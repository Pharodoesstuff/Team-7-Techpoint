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wis\Downloads\"/>
    </mc:Choice>
  </mc:AlternateContent>
  <xr:revisionPtr revIDLastSave="0" documentId="8_{B2FBAB7A-58EB-4B8F-B52C-5FD40E9112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Load growth by state" sheetId="4" r:id="rId2"/>
    <sheet name="Change Over Time" sheetId="3" r:id="rId3"/>
    <sheet name="Cumulative Load" sheetId="5" r:id="rId4"/>
    <sheet name="Growth by 2028" sheetId="7" r:id="rId5"/>
    <sheet name="Growth by 2030" sheetId="6" r:id="rId6"/>
    <sheet name="LARGEST YEARLY ADDITIONS" sheetId="8" r:id="rId7"/>
  </sheets>
  <definedNames>
    <definedName name="_xlnm._FilterDatabase" localSheetId="0" hidden="1">DATA!$A$1:$C$53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9" i="7"/>
  <c r="G10" i="7"/>
  <c r="G11" i="7"/>
  <c r="G12" i="7"/>
  <c r="G13" i="7"/>
  <c r="G14" i="7"/>
  <c r="G15" i="7"/>
  <c r="G4" i="7"/>
  <c r="F5" i="7"/>
  <c r="F9" i="7"/>
  <c r="F13" i="7"/>
  <c r="F11" i="7"/>
  <c r="F8" i="7"/>
  <c r="F6" i="7"/>
  <c r="F10" i="7"/>
  <c r="F14" i="7"/>
  <c r="F7" i="7"/>
  <c r="F15" i="7"/>
  <c r="F12" i="7"/>
  <c r="F4" i="7"/>
  <c r="E5" i="7"/>
  <c r="E6" i="7"/>
  <c r="E7" i="7"/>
  <c r="E8" i="7"/>
  <c r="E12" i="7"/>
  <c r="E9" i="7"/>
  <c r="E13" i="7"/>
  <c r="E10" i="7"/>
  <c r="E14" i="7"/>
  <c r="E11" i="7"/>
  <c r="E15" i="7"/>
  <c r="E4" i="7"/>
</calcChain>
</file>

<file path=xl/sharedStrings.xml><?xml version="1.0" encoding="utf-8"?>
<sst xmlns="http://schemas.openxmlformats.org/spreadsheetml/2006/main" count="466" uniqueCount="32">
  <si>
    <t>YEAR</t>
  </si>
  <si>
    <t>ARKANSAS</t>
  </si>
  <si>
    <t>2027</t>
  </si>
  <si>
    <t>2028</t>
  </si>
  <si>
    <t>2030</t>
  </si>
  <si>
    <t>2032</t>
  </si>
  <si>
    <t>ILLINOIS</t>
  </si>
  <si>
    <t>2026</t>
  </si>
  <si>
    <t>INDIANA</t>
  </si>
  <si>
    <t>2029</t>
  </si>
  <si>
    <t>2031</t>
  </si>
  <si>
    <t>IOWA</t>
  </si>
  <si>
    <t>KENTUCKY</t>
  </si>
  <si>
    <t>LOUISIANA</t>
  </si>
  <si>
    <t>MICHIGAN</t>
  </si>
  <si>
    <t>MINNESOTA</t>
  </si>
  <si>
    <t>MISSISSIPPI</t>
  </si>
  <si>
    <t>MISSOURI</t>
  </si>
  <si>
    <t>NORTH DAKOTA</t>
  </si>
  <si>
    <t>WISCONSIN</t>
  </si>
  <si>
    <t>STATE</t>
  </si>
  <si>
    <t>INCREMENTAL_LOAD_MW</t>
  </si>
  <si>
    <t>Row Labels</t>
  </si>
  <si>
    <t>Grand Total</t>
  </si>
  <si>
    <t>Sum of INCREMENTAL_LOAD_MW</t>
  </si>
  <si>
    <t>Sum of INCREMENTAL_LOAD_MW2</t>
  </si>
  <si>
    <t>Cumulative_INCREMENTAL_LOAD_MW2</t>
  </si>
  <si>
    <t>(Multiple Items)</t>
  </si>
  <si>
    <t>Growth by 2028</t>
  </si>
  <si>
    <t>Total Growth 2026-2032</t>
  </si>
  <si>
    <t>% Arriving by 2028</t>
  </si>
  <si>
    <t>SINGLE-YEAR LOAD ADDITION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</si>
</sst>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[LARGE_LOADS_BY_STATES.xlsx]Load growth by state!PivotTable2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Incremental Load</a:t>
            </a:r>
            <a:r>
              <a:rPr lang="en-US" baseline="0"/>
              <a:t>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'Load growth by state'!$B$3</c:f>
              <c:strCache>
                <c:ptCount val="1"/>
                <c:pt idx="0">
                  <c:v>Sum of INCREMENTAL_LOAD_MW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'Load growth by state'!$A$4:$A$16</c:f>
              <c:strCache>
                <c:ptCount val="12"/>
                <c:pt idx="0">
                  <c:v>ARKANSAS</c:v>
                </c:pt>
                <c:pt idx="1">
                  <c:v>ILLINOIS</c:v>
                </c:pt>
                <c:pt idx="2">
                  <c:v>INDIANA</c:v>
                </c:pt>
                <c:pt idx="3">
                  <c:v>IOWA</c:v>
                </c:pt>
                <c:pt idx="4">
                  <c:v>KENTUCKY</c:v>
                </c:pt>
                <c:pt idx="5">
                  <c:v>LOUISIANA</c:v>
                </c:pt>
                <c:pt idx="6">
                  <c:v>MICHIGAN</c:v>
                </c:pt>
                <c:pt idx="7">
                  <c:v>MINNESOTA</c:v>
                </c:pt>
                <c:pt idx="8">
                  <c:v>MISSISSIPPI</c:v>
                </c:pt>
                <c:pt idx="9">
                  <c:v>MISSOURI</c:v>
                </c:pt>
                <c:pt idx="10">
                  <c:v>NORTH DAKOTA</c:v>
                </c:pt>
                <c:pt idx="11">
                  <c:v>WISCONSIN</c:v>
                </c:pt>
              </c:strCache>
            </c:strRef>
          </c:cat>
          <c:val>
            <c:numRef>
              <c:f>'Load growth by state'!$B$4:$B$16</c:f>
              <c:numCache>
                <c:formatCode>General</c:formatCode>
                <c:ptCount val="12"/>
                <c:pt idx="0">
                  <c:v>1973</c:v>
                </c:pt>
                <c:pt idx="1">
                  <c:v>738</c:v>
                </c:pt>
                <c:pt idx="2">
                  <c:v>11997</c:v>
                </c:pt>
                <c:pt idx="3">
                  <c:v>5546</c:v>
                </c:pt>
                <c:pt idx="4">
                  <c:v>2282</c:v>
                </c:pt>
                <c:pt idx="5">
                  <c:v>5938</c:v>
                </c:pt>
                <c:pt idx="6">
                  <c:v>3603</c:v>
                </c:pt>
                <c:pt idx="7">
                  <c:v>3058</c:v>
                </c:pt>
                <c:pt idx="8">
                  <c:v>2543</c:v>
                </c:pt>
                <c:pt idx="9">
                  <c:v>4042</c:v>
                </c:pt>
                <c:pt idx="10">
                  <c:v>2116</c:v>
                </c:pt>
                <c:pt idx="11">
                  <c:v>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D-467A-A901-1680C7BD2EDC}"/>
            </c:ext>
          </c:extLst>
        </c:ser>
        <c:ser>
          <c:idx val="1"/>
          <c:order val="1"/>
          <c:tx>
            <c:strRef>
              <c:f>'Load growth by state'!$C$3</c:f>
              <c:strCache>
                <c:ptCount val="1"/>
                <c:pt idx="0">
                  <c:v>Sum of INCREMENTAL_LOAD_MW2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'Load growth by state'!$A$4:$A$16</c:f>
              <c:strCache>
                <c:ptCount val="12"/>
                <c:pt idx="0">
                  <c:v>ARKANSAS</c:v>
                </c:pt>
                <c:pt idx="1">
                  <c:v>ILLINOIS</c:v>
                </c:pt>
                <c:pt idx="2">
                  <c:v>INDIANA</c:v>
                </c:pt>
                <c:pt idx="3">
                  <c:v>IOWA</c:v>
                </c:pt>
                <c:pt idx="4">
                  <c:v>KENTUCKY</c:v>
                </c:pt>
                <c:pt idx="5">
                  <c:v>LOUISIANA</c:v>
                </c:pt>
                <c:pt idx="6">
                  <c:v>MICHIGAN</c:v>
                </c:pt>
                <c:pt idx="7">
                  <c:v>MINNESOTA</c:v>
                </c:pt>
                <c:pt idx="8">
                  <c:v>MISSISSIPPI</c:v>
                </c:pt>
                <c:pt idx="9">
                  <c:v>MISSOURI</c:v>
                </c:pt>
                <c:pt idx="10">
                  <c:v>NORTH DAKOTA</c:v>
                </c:pt>
                <c:pt idx="11">
                  <c:v>WISCONSIN</c:v>
                </c:pt>
              </c:strCache>
            </c:strRef>
          </c:cat>
          <c:val>
            <c:numRef>
              <c:f>'Load growth by state'!$C$4:$C$16</c:f>
              <c:numCache>
                <c:formatCode>0.00%</c:formatCode>
                <c:ptCount val="12"/>
                <c:pt idx="0">
                  <c:v>3.8922096624647372E-2</c:v>
                </c:pt>
                <c:pt idx="1">
                  <c:v>1.4558797419660294E-2</c:v>
                </c:pt>
                <c:pt idx="2">
                  <c:v>0.23666923122447772</c:v>
                </c:pt>
                <c:pt idx="3">
                  <c:v>0.1094079816930027</c:v>
                </c:pt>
                <c:pt idx="4">
                  <c:v>4.501785326783847E-2</c:v>
                </c:pt>
                <c:pt idx="5">
                  <c:v>0.11714110986171115</c:v>
                </c:pt>
                <c:pt idx="6">
                  <c:v>7.1077706101674853E-2</c:v>
                </c:pt>
                <c:pt idx="7">
                  <c:v>6.0326290663036831E-2</c:v>
                </c:pt>
                <c:pt idx="8">
                  <c:v>5.016669625771833E-2</c:v>
                </c:pt>
                <c:pt idx="9">
                  <c:v>7.9738020555917222E-2</c:v>
                </c:pt>
                <c:pt idx="10">
                  <c:v>4.1743110216803769E-2</c:v>
                </c:pt>
                <c:pt idx="11">
                  <c:v>0.13523110611351127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D-467A-A901-1680C7BD2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6675456"/>
        <c:axId val="1974293888"/>
      </c:barChart>
      <c:catAx>
        <c:axId val="20866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293888"/>
        <c:crosses val="autoZero"/>
        <c:auto val="1"/>
        <c:lblAlgn val="ctr"/>
        <c:lblOffset val="100"/>
        <c:noMultiLvlLbl val="0"/>
      </c:catAx>
      <c:valAx>
        <c:axId val="197429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7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[LARGE_LOADS_BY_STATES.xlsx]Change Over Time!PivotTable1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Incremental Load by Year (MW)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'Change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'Change Over Time'!$A$4:$A$11</c:f>
              <c:strCache>
                <c:ptCount val="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</c:strCache>
            </c:strRef>
          </c:cat>
          <c:val>
            <c:numRef>
              <c:f>'Change Over Time'!$B$4:$B$11</c:f>
              <c:numCache>
                <c:formatCode>General</c:formatCode>
                <c:ptCount val="7"/>
                <c:pt idx="0">
                  <c:v>3136</c:v>
                </c:pt>
                <c:pt idx="1">
                  <c:v>11449</c:v>
                </c:pt>
                <c:pt idx="2">
                  <c:v>11611</c:v>
                </c:pt>
                <c:pt idx="3">
                  <c:v>2948</c:v>
                </c:pt>
                <c:pt idx="4">
                  <c:v>16509</c:v>
                </c:pt>
                <c:pt idx="5">
                  <c:v>38</c:v>
                </c:pt>
                <c:pt idx="6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C-42CE-80F3-95FB2974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11248"/>
        <c:axId val="1725755424"/>
      </c:lineChart>
      <c:catAx>
        <c:axId val="20361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55424"/>
        <c:crosses val="autoZero"/>
        <c:auto val="1"/>
        <c:lblAlgn val="ctr"/>
        <c:lblOffset val="100"/>
        <c:noMultiLvlLbl val="0"/>
      </c:catAx>
      <c:valAx>
        <c:axId val="17257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1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</xdr:row>
      <xdr:rowOff>14287</xdr:rowOff>
    </xdr:from>
    <xdr:to>
      <xdr:col>13</xdr:col>
      <xdr:colOff>152400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9BD18-273E-D83A-9FE2-CBEEBEC77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248478</xdr:colOff>
      <xdr:row>18</xdr:row>
      <xdr:rowOff>31059</xdr:rowOff>
    </xdr:from>
    <xdr:ext cx="12476749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51D97-F29A-EE82-17CB-373D0F63C1F1}"/>
            </a:ext>
          </a:extLst>
        </xdr:cNvPr>
        <xdr:cNvSpPr txBox="1"/>
      </xdr:nvSpPr>
      <xdr:spPr>
        <a:xfrm>
          <a:off x="248478" y="3385516"/>
          <a:ext cx="124767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 Compares total projected large-load growth by state and each state's percentage of the 50,691 MW total. This identifies where growth is most concetrated.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2</xdr:row>
      <xdr:rowOff>14287</xdr:rowOff>
    </xdr:from>
    <xdr:to>
      <xdr:col>9</xdr:col>
      <xdr:colOff>523875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45CD8-16B6-6171-828C-475C02537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114300</xdr:colOff>
      <xdr:row>17</xdr:row>
      <xdr:rowOff>133350</xdr:rowOff>
    </xdr:from>
    <xdr:ext cx="11113235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11A559-5F7B-867F-C658-7E2B96D5842E}"/>
            </a:ext>
          </a:extLst>
        </xdr:cNvPr>
        <xdr:cNvSpPr txBox="1"/>
      </xdr:nvSpPr>
      <xdr:spPr>
        <a:xfrm>
          <a:off x="114300" y="3371850"/>
          <a:ext cx="111132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 Shows</a:t>
          </a:r>
          <a:r>
            <a:rPr lang="en-US" sz="1400" b="1" baseline="0"/>
            <a:t> total incremental large-load additions across MISO by year. This helps identify when the largest increases in demand are expected.</a:t>
          </a:r>
          <a:endParaRPr lang="en-US" sz="14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2</xdr:row>
      <xdr:rowOff>19050</xdr:rowOff>
    </xdr:from>
    <xdr:ext cx="6054863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54364-D0DC-678D-8C1A-D1A9E112DFF0}"/>
            </a:ext>
          </a:extLst>
        </xdr:cNvPr>
        <xdr:cNvSpPr txBox="1"/>
      </xdr:nvSpPr>
      <xdr:spPr>
        <a:xfrm>
          <a:off x="5895975" y="400050"/>
          <a:ext cx="605486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</a:t>
          </a:r>
          <a:r>
            <a:rPr lang="en-US" sz="1400" b="1" baseline="0"/>
            <a:t> Tracks how incremental large-load growth accumulates </a:t>
          </a:r>
        </a:p>
        <a:p>
          <a:r>
            <a:rPr lang="en-US" sz="1400" b="1" baseline="0"/>
            <a:t>over time within each state. This shows how quickly projected demand builds&gt;</a:t>
          </a:r>
          <a:endParaRPr lang="en-US" sz="14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16</xdr:row>
      <xdr:rowOff>152400</xdr:rowOff>
    </xdr:from>
    <xdr:ext cx="7982313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0162F4-D8B9-60FB-593D-5B5204DC12CB}"/>
            </a:ext>
          </a:extLst>
        </xdr:cNvPr>
        <xdr:cNvSpPr txBox="1"/>
      </xdr:nvSpPr>
      <xdr:spPr>
        <a:xfrm>
          <a:off x="47625" y="3200400"/>
          <a:ext cx="798231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 Measures how</a:t>
          </a:r>
          <a:r>
            <a:rPr lang="en-US" sz="1400" b="1" baseline="0"/>
            <a:t> much of each state's projected 2026-2032 growth is expected to arrive by 2028. </a:t>
          </a:r>
        </a:p>
        <a:p>
          <a:r>
            <a:rPr lang="en-US" sz="1400" b="1" baseline="0"/>
            <a:t>This helps idenitfy states facing the most near-term growth pressure.</a:t>
          </a:r>
          <a:endParaRPr lang="en-US" sz="1400" b="1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</xdr:row>
      <xdr:rowOff>142875</xdr:rowOff>
    </xdr:from>
    <xdr:ext cx="6380080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F9277-6364-A20F-6CF8-C937AD87653A}"/>
            </a:ext>
          </a:extLst>
        </xdr:cNvPr>
        <xdr:cNvSpPr txBox="1"/>
      </xdr:nvSpPr>
      <xdr:spPr>
        <a:xfrm>
          <a:off x="3228975" y="523875"/>
          <a:ext cx="638008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 Measures cumulative projected large-load growth through 2030</a:t>
          </a:r>
          <a:r>
            <a:rPr lang="en-US" sz="1400" b="1" baseline="0"/>
            <a:t> by state, </a:t>
          </a:r>
        </a:p>
        <a:p>
          <a:r>
            <a:rPr lang="en-US" sz="1400" b="1" baseline="0"/>
            <a:t>providing a medium-term view of demand growth.</a:t>
          </a:r>
          <a:endParaRPr lang="en-US" sz="14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3</xdr:row>
      <xdr:rowOff>66675</xdr:rowOff>
    </xdr:from>
    <xdr:ext cx="5864041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35811-3092-C985-1B5C-87B3473BC9B8}"/>
            </a:ext>
          </a:extLst>
        </xdr:cNvPr>
        <xdr:cNvSpPr txBox="1"/>
      </xdr:nvSpPr>
      <xdr:spPr>
        <a:xfrm>
          <a:off x="9620250" y="638175"/>
          <a:ext cx="586404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Purpose: Ranks individual state-year load additions from largest to smallest.</a:t>
          </a:r>
        </a:p>
        <a:p>
          <a:r>
            <a:rPr lang="en-US" sz="1400" b="1"/>
            <a:t>This identifies states experencing especially large increases in a single year.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lah Lewis" refreshedDate="46269.690406944443" createdVersion="8" refreshedVersion="8" minRefreshableVersion="3" recordCount="52" xr:uid="{34360257-D912-42D3-B33C-19ABB9D075F1}">
  <cacheSource type="worksheet">
    <worksheetSource ref="A1:C53" sheet="DATA"/>
  </cacheSource>
  <cacheFields count="3">
    <cacheField name="STATE" numFmtId="0">
      <sharedItems count="12">
        <s v="ARKANSAS"/>
        <s v="ILLINOIS"/>
        <s v="INDIANA"/>
        <s v="IOWA"/>
        <s v="KENTUCKY"/>
        <s v="LOUISIANA"/>
        <s v="MICHIGAN"/>
        <s v="MINNESOTA"/>
        <s v="MISSISSIPPI"/>
        <s v="MISSOURI"/>
        <s v="NORTH DAKOTA"/>
        <s v="WISCONSIN"/>
      </sharedItems>
    </cacheField>
    <cacheField name="YEAR" numFmtId="0">
      <sharedItems count="7">
        <s v="2026"/>
        <s v="2027"/>
        <s v="2029"/>
        <s v="2030"/>
        <s v="2028"/>
        <s v="2031"/>
        <s v="2032"/>
      </sharedItems>
    </cacheField>
    <cacheField name="INCREMENTAL_LOAD_MW" numFmtId="0">
      <sharedItems containsSemiMixedTypes="0" containsString="0" containsNumber="1" containsInteger="1" minValue="38" maxValue="4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100"/>
  </r>
  <r>
    <x v="0"/>
    <x v="1"/>
    <n v="750"/>
  </r>
  <r>
    <x v="0"/>
    <x v="2"/>
    <n v="93"/>
  </r>
  <r>
    <x v="0"/>
    <x v="3"/>
    <n v="1030"/>
  </r>
  <r>
    <x v="1"/>
    <x v="0"/>
    <n v="104"/>
  </r>
  <r>
    <x v="1"/>
    <x v="4"/>
    <n v="634"/>
  </r>
  <r>
    <x v="2"/>
    <x v="0"/>
    <n v="666"/>
  </r>
  <r>
    <x v="2"/>
    <x v="1"/>
    <n v="4228"/>
  </r>
  <r>
    <x v="2"/>
    <x v="4"/>
    <n v="1730"/>
  </r>
  <r>
    <x v="2"/>
    <x v="2"/>
    <n v="469"/>
  </r>
  <r>
    <x v="2"/>
    <x v="3"/>
    <n v="3666"/>
  </r>
  <r>
    <x v="2"/>
    <x v="5"/>
    <n v="38"/>
  </r>
  <r>
    <x v="2"/>
    <x v="6"/>
    <n v="1200"/>
  </r>
  <r>
    <x v="3"/>
    <x v="0"/>
    <n v="331"/>
  </r>
  <r>
    <x v="3"/>
    <x v="1"/>
    <n v="1121"/>
  </r>
  <r>
    <x v="3"/>
    <x v="4"/>
    <n v="1573"/>
  </r>
  <r>
    <x v="3"/>
    <x v="2"/>
    <n v="162"/>
  </r>
  <r>
    <x v="3"/>
    <x v="3"/>
    <n v="2359"/>
  </r>
  <r>
    <x v="4"/>
    <x v="1"/>
    <n v="241"/>
  </r>
  <r>
    <x v="4"/>
    <x v="4"/>
    <n v="241"/>
  </r>
  <r>
    <x v="4"/>
    <x v="6"/>
    <n v="1800"/>
  </r>
  <r>
    <x v="5"/>
    <x v="0"/>
    <n v="100"/>
  </r>
  <r>
    <x v="5"/>
    <x v="1"/>
    <n v="1268"/>
  </r>
  <r>
    <x v="5"/>
    <x v="4"/>
    <n v="1495"/>
  </r>
  <r>
    <x v="5"/>
    <x v="2"/>
    <n v="945"/>
  </r>
  <r>
    <x v="5"/>
    <x v="3"/>
    <n v="130"/>
  </r>
  <r>
    <x v="5"/>
    <x v="6"/>
    <n v="2000"/>
  </r>
  <r>
    <x v="6"/>
    <x v="0"/>
    <n v="116"/>
  </r>
  <r>
    <x v="6"/>
    <x v="1"/>
    <n v="1276"/>
  </r>
  <r>
    <x v="6"/>
    <x v="4"/>
    <n v="1383"/>
  </r>
  <r>
    <x v="6"/>
    <x v="2"/>
    <n v="283"/>
  </r>
  <r>
    <x v="6"/>
    <x v="3"/>
    <n v="545"/>
  </r>
  <r>
    <x v="7"/>
    <x v="0"/>
    <n v="346"/>
  </r>
  <r>
    <x v="7"/>
    <x v="1"/>
    <n v="466"/>
  </r>
  <r>
    <x v="7"/>
    <x v="4"/>
    <n v="445"/>
  </r>
  <r>
    <x v="7"/>
    <x v="2"/>
    <n v="275"/>
  </r>
  <r>
    <x v="7"/>
    <x v="3"/>
    <n v="1526"/>
  </r>
  <r>
    <x v="8"/>
    <x v="0"/>
    <n v="777"/>
  </r>
  <r>
    <x v="8"/>
    <x v="1"/>
    <n v="778"/>
  </r>
  <r>
    <x v="8"/>
    <x v="4"/>
    <n v="237"/>
  </r>
  <r>
    <x v="8"/>
    <x v="3"/>
    <n v="751"/>
  </r>
  <r>
    <x v="9"/>
    <x v="1"/>
    <n v="471"/>
  </r>
  <r>
    <x v="9"/>
    <x v="4"/>
    <n v="1600"/>
  </r>
  <r>
    <x v="9"/>
    <x v="2"/>
    <n v="721"/>
  </r>
  <r>
    <x v="9"/>
    <x v="3"/>
    <n v="1250"/>
  </r>
  <r>
    <x v="10"/>
    <x v="0"/>
    <n v="176"/>
  </r>
  <r>
    <x v="10"/>
    <x v="1"/>
    <n v="680"/>
  </r>
  <r>
    <x v="10"/>
    <x v="3"/>
    <n v="1260"/>
  </r>
  <r>
    <x v="11"/>
    <x v="0"/>
    <n v="420"/>
  </r>
  <r>
    <x v="11"/>
    <x v="1"/>
    <n v="170"/>
  </r>
  <r>
    <x v="11"/>
    <x v="4"/>
    <n v="2273"/>
  </r>
  <r>
    <x v="11"/>
    <x v="3"/>
    <n v="3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EF81F-9A0A-4C00-9C92-00F26DFBDF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C16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REMENTAL_LOAD_MW" fld="2" baseField="0" baseItem="0"/>
    <dataField name="Sum of INCREMENTAL_LOAD_MW2" fld="2" showDataAs="percentOfTotal" baseField="0" baseItem="6" numFmtId="1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CBFC6-0D85-4F56-A17C-D1026EBD7C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3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4"/>
        <item x="2"/>
        <item x="3"/>
        <item x="5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NCREMENTAL_LOAD_MW" fld="2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38C08-AD89-44E2-AC9A-59A08DF8233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8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4"/>
        <item x="2"/>
        <item x="3"/>
        <item x="5"/>
        <item x="6"/>
        <item t="default"/>
      </items>
    </pivotField>
    <pivotField dataField="1" showAll="0"/>
  </pivotFields>
  <rowFields count="2">
    <field x="0"/>
    <field x="1"/>
  </rowFields>
  <rowItems count="65">
    <i>
      <x/>
    </i>
    <i r="1">
      <x/>
    </i>
    <i r="1">
      <x v="1"/>
    </i>
    <i r="1">
      <x v="3"/>
    </i>
    <i r="1">
      <x v="4"/>
    </i>
    <i>
      <x v="1"/>
    </i>
    <i r="1">
      <x/>
    </i>
    <i r="1">
      <x v="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4"/>
    </i>
    <i>
      <x v="9"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4"/>
    </i>
    <i>
      <x v="11"/>
    </i>
    <i r="1">
      <x/>
    </i>
    <i r="1">
      <x v="1"/>
    </i>
    <i r="1">
      <x v="2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REMENTAL_LOAD_MW" fld="2" baseField="0" baseItem="0"/>
    <dataField name="Cumulative_INCREMENTAL_LOAD_MW2" fld="2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A1BD6-1369-414B-A82E-C9F41804B1D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8">
        <item x="0"/>
        <item x="1"/>
        <item x="4"/>
        <item h="1" x="2"/>
        <item h="1" x="3"/>
        <item h="1" x="5"/>
        <item h="1" x="6"/>
        <item t="default"/>
      </items>
    </pivotField>
    <pivotField dataField="1" showAll="0"/>
  </pivotFields>
  <rowFields count="1">
    <field x="0"/>
  </rowFields>
  <rowItems count="13">
    <i>
      <x v="2"/>
    </i>
    <i>
      <x v="3"/>
    </i>
    <i>
      <x v="11"/>
    </i>
    <i>
      <x v="5"/>
    </i>
    <i>
      <x v="6"/>
    </i>
    <i>
      <x v="9"/>
    </i>
    <i>
      <x v="8"/>
    </i>
    <i>
      <x v="7"/>
    </i>
    <i>
      <x v="10"/>
    </i>
    <i>
      <x/>
    </i>
    <i>
      <x v="1"/>
    </i>
    <i>
      <x v="4"/>
    </i>
    <i t="grand">
      <x/>
    </i>
  </rowItems>
  <colItems count="1">
    <i/>
  </colItems>
  <pageFields count="1">
    <pageField fld="1" hier="-1"/>
  </pageFields>
  <dataFields count="1">
    <dataField name="Sum of INCREMENTAL_LOAD_MW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C0BCF-00C9-4A3E-9B0B-54D2BB274B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8">
        <item x="0"/>
        <item x="1"/>
        <item x="4"/>
        <item x="2"/>
        <item x="3"/>
        <item h="1" x="5"/>
        <item h="1" x="6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Sum of INCREMENTAL_LOAD_MW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37DB8-DB5D-4530-AE2D-E5466AB2BD9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56" firstHeaderRow="1" firstDataRow="1" firstDataCol="2"/>
  <pivotFields count="3">
    <pivotField axis="axisRow" compact="0" outline="0" showAll="0" sortType="de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7">
        <item x="0"/>
        <item x="1"/>
        <item x="4"/>
        <item x="2"/>
        <item x="3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3">
    <i>
      <x v="4"/>
      <x v="11"/>
    </i>
    <i r="1">
      <x v="2"/>
    </i>
    <i r="1">
      <x v="3"/>
    </i>
    <i r="1">
      <x v="7"/>
    </i>
    <i r="1">
      <x v="10"/>
    </i>
    <i r="1">
      <x v="9"/>
    </i>
    <i r="1">
      <x/>
    </i>
    <i r="1">
      <x v="8"/>
    </i>
    <i r="1">
      <x v="6"/>
    </i>
    <i r="1">
      <x v="5"/>
    </i>
    <i>
      <x v="2"/>
      <x v="11"/>
    </i>
    <i r="1">
      <x v="2"/>
    </i>
    <i r="1">
      <x v="9"/>
    </i>
    <i r="1">
      <x v="3"/>
    </i>
    <i r="1">
      <x v="5"/>
    </i>
    <i r="1">
      <x v="6"/>
    </i>
    <i r="1">
      <x v="1"/>
    </i>
    <i r="1">
      <x v="7"/>
    </i>
    <i r="1">
      <x v="4"/>
    </i>
    <i r="1">
      <x v="8"/>
    </i>
    <i>
      <x v="1"/>
      <x v="2"/>
    </i>
    <i r="1">
      <x v="6"/>
    </i>
    <i r="1">
      <x v="5"/>
    </i>
    <i r="1">
      <x v="3"/>
    </i>
    <i r="1">
      <x v="8"/>
    </i>
    <i r="1">
      <x/>
    </i>
    <i r="1">
      <x v="10"/>
    </i>
    <i r="1">
      <x v="9"/>
    </i>
    <i r="1">
      <x v="7"/>
    </i>
    <i r="1">
      <x v="4"/>
    </i>
    <i r="1">
      <x v="11"/>
    </i>
    <i>
      <x v="6"/>
      <x v="5"/>
    </i>
    <i r="1">
      <x v="4"/>
    </i>
    <i r="1">
      <x v="2"/>
    </i>
    <i>
      <x/>
      <x v="8"/>
    </i>
    <i r="1">
      <x v="2"/>
    </i>
    <i r="1">
      <x v="11"/>
    </i>
    <i r="1">
      <x v="7"/>
    </i>
    <i r="1">
      <x v="3"/>
    </i>
    <i r="1">
      <x v="10"/>
    </i>
    <i r="1">
      <x v="6"/>
    </i>
    <i r="1">
      <x v="1"/>
    </i>
    <i r="1">
      <x/>
    </i>
    <i r="1">
      <x v="5"/>
    </i>
    <i>
      <x v="3"/>
      <x v="5"/>
    </i>
    <i r="1">
      <x v="9"/>
    </i>
    <i r="1">
      <x v="2"/>
    </i>
    <i r="1">
      <x v="6"/>
    </i>
    <i r="1">
      <x v="7"/>
    </i>
    <i r="1">
      <x v="3"/>
    </i>
    <i r="1">
      <x/>
    </i>
    <i>
      <x v="5"/>
      <x v="2"/>
    </i>
    <i t="grand">
      <x/>
    </i>
  </rowItems>
  <colItems count="1">
    <i/>
  </colItems>
  <dataFields count="1">
    <dataField name="Sum of INCREMENTAL_LOAD_MW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defaultRowHeight="15" x14ac:dyDescent="0.25"/>
  <cols>
    <col min="1" max="1" width="16.7109375" customWidth="1"/>
    <col min="2" max="2" width="13.42578125" customWidth="1"/>
    <col min="3" max="3" width="26.42578125" customWidth="1"/>
  </cols>
  <sheetData>
    <row r="1" spans="1:3" x14ac:dyDescent="0.25">
      <c r="A1" t="s">
        <v>20</v>
      </c>
      <c r="B1" t="s">
        <v>0</v>
      </c>
      <c r="C1" t="s">
        <v>21</v>
      </c>
    </row>
    <row r="2" spans="1:3" x14ac:dyDescent="0.25">
      <c r="A2" t="s">
        <v>1</v>
      </c>
      <c r="B2" t="s">
        <v>7</v>
      </c>
      <c r="C2">
        <v>100</v>
      </c>
    </row>
    <row r="3" spans="1:3" x14ac:dyDescent="0.25">
      <c r="A3" t="s">
        <v>1</v>
      </c>
      <c r="B3" t="s">
        <v>2</v>
      </c>
      <c r="C3">
        <v>750</v>
      </c>
    </row>
    <row r="4" spans="1:3" x14ac:dyDescent="0.25">
      <c r="A4" t="s">
        <v>1</v>
      </c>
      <c r="B4" t="s">
        <v>9</v>
      </c>
      <c r="C4">
        <v>93</v>
      </c>
    </row>
    <row r="5" spans="1:3" x14ac:dyDescent="0.25">
      <c r="A5" t="s">
        <v>1</v>
      </c>
      <c r="B5" t="s">
        <v>4</v>
      </c>
      <c r="C5">
        <v>1030</v>
      </c>
    </row>
    <row r="6" spans="1:3" x14ac:dyDescent="0.25">
      <c r="A6" t="s">
        <v>6</v>
      </c>
      <c r="B6" t="s">
        <v>7</v>
      </c>
      <c r="C6">
        <v>104</v>
      </c>
    </row>
    <row r="7" spans="1:3" x14ac:dyDescent="0.25">
      <c r="A7" t="s">
        <v>6</v>
      </c>
      <c r="B7" t="s">
        <v>3</v>
      </c>
      <c r="C7">
        <v>634</v>
      </c>
    </row>
    <row r="8" spans="1:3" x14ac:dyDescent="0.25">
      <c r="A8" t="s">
        <v>8</v>
      </c>
      <c r="B8" t="s">
        <v>7</v>
      </c>
      <c r="C8">
        <v>666</v>
      </c>
    </row>
    <row r="9" spans="1:3" x14ac:dyDescent="0.25">
      <c r="A9" t="s">
        <v>8</v>
      </c>
      <c r="B9" t="s">
        <v>2</v>
      </c>
      <c r="C9">
        <v>4228</v>
      </c>
    </row>
    <row r="10" spans="1:3" x14ac:dyDescent="0.25">
      <c r="A10" t="s">
        <v>8</v>
      </c>
      <c r="B10" t="s">
        <v>3</v>
      </c>
      <c r="C10">
        <v>1730</v>
      </c>
    </row>
    <row r="11" spans="1:3" x14ac:dyDescent="0.25">
      <c r="A11" t="s">
        <v>8</v>
      </c>
      <c r="B11" t="s">
        <v>9</v>
      </c>
      <c r="C11">
        <v>469</v>
      </c>
    </row>
    <row r="12" spans="1:3" x14ac:dyDescent="0.25">
      <c r="A12" t="s">
        <v>8</v>
      </c>
      <c r="B12" t="s">
        <v>4</v>
      </c>
      <c r="C12">
        <v>3666</v>
      </c>
    </row>
    <row r="13" spans="1:3" x14ac:dyDescent="0.25">
      <c r="A13" t="s">
        <v>8</v>
      </c>
      <c r="B13" t="s">
        <v>10</v>
      </c>
      <c r="C13">
        <v>38</v>
      </c>
    </row>
    <row r="14" spans="1:3" x14ac:dyDescent="0.25">
      <c r="A14" t="s">
        <v>8</v>
      </c>
      <c r="B14" t="s">
        <v>5</v>
      </c>
      <c r="C14">
        <v>1200</v>
      </c>
    </row>
    <row r="15" spans="1:3" x14ac:dyDescent="0.25">
      <c r="A15" t="s">
        <v>11</v>
      </c>
      <c r="B15" t="s">
        <v>7</v>
      </c>
      <c r="C15">
        <v>331</v>
      </c>
    </row>
    <row r="16" spans="1:3" x14ac:dyDescent="0.25">
      <c r="A16" t="s">
        <v>11</v>
      </c>
      <c r="B16" t="s">
        <v>2</v>
      </c>
      <c r="C16">
        <v>1121</v>
      </c>
    </row>
    <row r="17" spans="1:3" x14ac:dyDescent="0.25">
      <c r="A17" t="s">
        <v>11</v>
      </c>
      <c r="B17" t="s">
        <v>3</v>
      </c>
      <c r="C17">
        <v>1573</v>
      </c>
    </row>
    <row r="18" spans="1:3" x14ac:dyDescent="0.25">
      <c r="A18" t="s">
        <v>11</v>
      </c>
      <c r="B18" t="s">
        <v>9</v>
      </c>
      <c r="C18">
        <v>162</v>
      </c>
    </row>
    <row r="19" spans="1:3" x14ac:dyDescent="0.25">
      <c r="A19" t="s">
        <v>11</v>
      </c>
      <c r="B19" t="s">
        <v>4</v>
      </c>
      <c r="C19">
        <v>2359</v>
      </c>
    </row>
    <row r="20" spans="1:3" x14ac:dyDescent="0.25">
      <c r="A20" t="s">
        <v>12</v>
      </c>
      <c r="B20" t="s">
        <v>2</v>
      </c>
      <c r="C20">
        <v>241</v>
      </c>
    </row>
    <row r="21" spans="1:3" x14ac:dyDescent="0.25">
      <c r="A21" t="s">
        <v>12</v>
      </c>
      <c r="B21" t="s">
        <v>3</v>
      </c>
      <c r="C21">
        <v>241</v>
      </c>
    </row>
    <row r="22" spans="1:3" x14ac:dyDescent="0.25">
      <c r="A22" t="s">
        <v>12</v>
      </c>
      <c r="B22" t="s">
        <v>5</v>
      </c>
      <c r="C22">
        <v>1800</v>
      </c>
    </row>
    <row r="23" spans="1:3" x14ac:dyDescent="0.25">
      <c r="A23" t="s">
        <v>13</v>
      </c>
      <c r="B23" t="s">
        <v>7</v>
      </c>
      <c r="C23">
        <v>100</v>
      </c>
    </row>
    <row r="24" spans="1:3" x14ac:dyDescent="0.25">
      <c r="A24" t="s">
        <v>13</v>
      </c>
      <c r="B24" t="s">
        <v>2</v>
      </c>
      <c r="C24">
        <v>1268</v>
      </c>
    </row>
    <row r="25" spans="1:3" x14ac:dyDescent="0.25">
      <c r="A25" t="s">
        <v>13</v>
      </c>
      <c r="B25" t="s">
        <v>3</v>
      </c>
      <c r="C25">
        <v>1495</v>
      </c>
    </row>
    <row r="26" spans="1:3" x14ac:dyDescent="0.25">
      <c r="A26" t="s">
        <v>13</v>
      </c>
      <c r="B26" t="s">
        <v>9</v>
      </c>
      <c r="C26">
        <v>945</v>
      </c>
    </row>
    <row r="27" spans="1:3" x14ac:dyDescent="0.25">
      <c r="A27" t="s">
        <v>13</v>
      </c>
      <c r="B27" t="s">
        <v>4</v>
      </c>
      <c r="C27">
        <v>130</v>
      </c>
    </row>
    <row r="28" spans="1:3" x14ac:dyDescent="0.25">
      <c r="A28" t="s">
        <v>13</v>
      </c>
      <c r="B28" t="s">
        <v>5</v>
      </c>
      <c r="C28">
        <v>2000</v>
      </c>
    </row>
    <row r="29" spans="1:3" x14ac:dyDescent="0.25">
      <c r="A29" t="s">
        <v>14</v>
      </c>
      <c r="B29" t="s">
        <v>7</v>
      </c>
      <c r="C29">
        <v>116</v>
      </c>
    </row>
    <row r="30" spans="1:3" x14ac:dyDescent="0.25">
      <c r="A30" t="s">
        <v>14</v>
      </c>
      <c r="B30" t="s">
        <v>2</v>
      </c>
      <c r="C30">
        <v>1276</v>
      </c>
    </row>
    <row r="31" spans="1:3" x14ac:dyDescent="0.25">
      <c r="A31" t="s">
        <v>14</v>
      </c>
      <c r="B31" t="s">
        <v>3</v>
      </c>
      <c r="C31">
        <v>1383</v>
      </c>
    </row>
    <row r="32" spans="1:3" x14ac:dyDescent="0.25">
      <c r="A32" t="s">
        <v>14</v>
      </c>
      <c r="B32" t="s">
        <v>9</v>
      </c>
      <c r="C32">
        <v>283</v>
      </c>
    </row>
    <row r="33" spans="1:3" x14ac:dyDescent="0.25">
      <c r="A33" t="s">
        <v>14</v>
      </c>
      <c r="B33" t="s">
        <v>4</v>
      </c>
      <c r="C33">
        <v>545</v>
      </c>
    </row>
    <row r="34" spans="1:3" x14ac:dyDescent="0.25">
      <c r="A34" t="s">
        <v>15</v>
      </c>
      <c r="B34" t="s">
        <v>7</v>
      </c>
      <c r="C34">
        <v>346</v>
      </c>
    </row>
    <row r="35" spans="1:3" x14ac:dyDescent="0.25">
      <c r="A35" t="s">
        <v>15</v>
      </c>
      <c r="B35" t="s">
        <v>2</v>
      </c>
      <c r="C35">
        <v>466</v>
      </c>
    </row>
    <row r="36" spans="1:3" x14ac:dyDescent="0.25">
      <c r="A36" t="s">
        <v>15</v>
      </c>
      <c r="B36" t="s">
        <v>3</v>
      </c>
      <c r="C36">
        <v>445</v>
      </c>
    </row>
    <row r="37" spans="1:3" x14ac:dyDescent="0.25">
      <c r="A37" t="s">
        <v>15</v>
      </c>
      <c r="B37" t="s">
        <v>9</v>
      </c>
      <c r="C37">
        <v>275</v>
      </c>
    </row>
    <row r="38" spans="1:3" x14ac:dyDescent="0.25">
      <c r="A38" t="s">
        <v>15</v>
      </c>
      <c r="B38" t="s">
        <v>4</v>
      </c>
      <c r="C38">
        <v>1526</v>
      </c>
    </row>
    <row r="39" spans="1:3" x14ac:dyDescent="0.25">
      <c r="A39" t="s">
        <v>16</v>
      </c>
      <c r="B39" t="s">
        <v>7</v>
      </c>
      <c r="C39">
        <v>777</v>
      </c>
    </row>
    <row r="40" spans="1:3" x14ac:dyDescent="0.25">
      <c r="A40" t="s">
        <v>16</v>
      </c>
      <c r="B40" t="s">
        <v>2</v>
      </c>
      <c r="C40">
        <v>778</v>
      </c>
    </row>
    <row r="41" spans="1:3" x14ac:dyDescent="0.25">
      <c r="A41" t="s">
        <v>16</v>
      </c>
      <c r="B41" t="s">
        <v>3</v>
      </c>
      <c r="C41">
        <v>237</v>
      </c>
    </row>
    <row r="42" spans="1:3" x14ac:dyDescent="0.25">
      <c r="A42" t="s">
        <v>16</v>
      </c>
      <c r="B42" t="s">
        <v>4</v>
      </c>
      <c r="C42">
        <v>751</v>
      </c>
    </row>
    <row r="43" spans="1:3" x14ac:dyDescent="0.25">
      <c r="A43" t="s">
        <v>17</v>
      </c>
      <c r="B43" t="s">
        <v>2</v>
      </c>
      <c r="C43">
        <v>471</v>
      </c>
    </row>
    <row r="44" spans="1:3" x14ac:dyDescent="0.25">
      <c r="A44" t="s">
        <v>17</v>
      </c>
      <c r="B44" t="s">
        <v>3</v>
      </c>
      <c r="C44">
        <v>1600</v>
      </c>
    </row>
    <row r="45" spans="1:3" x14ac:dyDescent="0.25">
      <c r="A45" t="s">
        <v>17</v>
      </c>
      <c r="B45" t="s">
        <v>9</v>
      </c>
      <c r="C45">
        <v>721</v>
      </c>
    </row>
    <row r="46" spans="1:3" x14ac:dyDescent="0.25">
      <c r="A46" t="s">
        <v>17</v>
      </c>
      <c r="B46" t="s">
        <v>4</v>
      </c>
      <c r="C46">
        <v>1250</v>
      </c>
    </row>
    <row r="47" spans="1:3" x14ac:dyDescent="0.25">
      <c r="A47" t="s">
        <v>18</v>
      </c>
      <c r="B47" t="s">
        <v>7</v>
      </c>
      <c r="C47">
        <v>176</v>
      </c>
    </row>
    <row r="48" spans="1:3" x14ac:dyDescent="0.25">
      <c r="A48" t="s">
        <v>18</v>
      </c>
      <c r="B48" t="s">
        <v>2</v>
      </c>
      <c r="C48">
        <v>680</v>
      </c>
    </row>
    <row r="49" spans="1:3" x14ac:dyDescent="0.25">
      <c r="A49" t="s">
        <v>18</v>
      </c>
      <c r="B49" t="s">
        <v>4</v>
      </c>
      <c r="C49">
        <v>1260</v>
      </c>
    </row>
    <row r="50" spans="1:3" x14ac:dyDescent="0.25">
      <c r="A50" t="s">
        <v>19</v>
      </c>
      <c r="B50" t="s">
        <v>7</v>
      </c>
      <c r="C50">
        <v>420</v>
      </c>
    </row>
    <row r="51" spans="1:3" x14ac:dyDescent="0.25">
      <c r="A51" t="s">
        <v>19</v>
      </c>
      <c r="B51" t="s">
        <v>2</v>
      </c>
      <c r="C51">
        <v>170</v>
      </c>
    </row>
    <row r="52" spans="1:3" x14ac:dyDescent="0.25">
      <c r="A52" t="s">
        <v>19</v>
      </c>
      <c r="B52" t="s">
        <v>3</v>
      </c>
      <c r="C52">
        <v>2273</v>
      </c>
    </row>
    <row r="53" spans="1:3" x14ac:dyDescent="0.25">
      <c r="A53" t="s">
        <v>19</v>
      </c>
      <c r="B53" t="s">
        <v>4</v>
      </c>
      <c r="C53">
        <v>3992</v>
      </c>
    </row>
  </sheetData>
  <autoFilter ref="A1:C5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75E2-F22A-46B8-AA8F-9545073214BB}">
  <dimension ref="A3:C16"/>
  <sheetViews>
    <sheetView zoomScale="92" workbookViewId="0">
      <selection activeCell="C22" sqref="C22"/>
    </sheetView>
  </sheetViews>
  <sheetFormatPr defaultRowHeight="15" x14ac:dyDescent="0.25"/>
  <cols>
    <col min="1" max="1" width="15.28515625" bestFit="1" customWidth="1"/>
    <col min="2" max="2" width="31.7109375" bestFit="1" customWidth="1"/>
    <col min="3" max="3" width="32.7109375" bestFit="1" customWidth="1"/>
  </cols>
  <sheetData>
    <row r="3" spans="1:3" x14ac:dyDescent="0.25">
      <c r="A3" s="1" t="s">
        <v>22</v>
      </c>
      <c r="B3" t="s">
        <v>24</v>
      </c>
      <c r="C3" t="s">
        <v>25</v>
      </c>
    </row>
    <row r="4" spans="1:3" x14ac:dyDescent="0.25">
      <c r="A4" s="2" t="s">
        <v>1</v>
      </c>
      <c r="B4">
        <v>1973</v>
      </c>
      <c r="C4" s="4">
        <v>3.8922096624647372E-2</v>
      </c>
    </row>
    <row r="5" spans="1:3" x14ac:dyDescent="0.25">
      <c r="A5" s="2" t="s">
        <v>6</v>
      </c>
      <c r="B5">
        <v>738</v>
      </c>
      <c r="C5" s="4">
        <v>1.4558797419660294E-2</v>
      </c>
    </row>
    <row r="6" spans="1:3" x14ac:dyDescent="0.25">
      <c r="A6" s="2" t="s">
        <v>8</v>
      </c>
      <c r="B6">
        <v>11997</v>
      </c>
      <c r="C6" s="4">
        <v>0.23666923122447772</v>
      </c>
    </row>
    <row r="7" spans="1:3" x14ac:dyDescent="0.25">
      <c r="A7" s="2" t="s">
        <v>11</v>
      </c>
      <c r="B7">
        <v>5546</v>
      </c>
      <c r="C7" s="4">
        <v>0.1094079816930027</v>
      </c>
    </row>
    <row r="8" spans="1:3" x14ac:dyDescent="0.25">
      <c r="A8" s="2" t="s">
        <v>12</v>
      </c>
      <c r="B8">
        <v>2282</v>
      </c>
      <c r="C8" s="4">
        <v>4.501785326783847E-2</v>
      </c>
    </row>
    <row r="9" spans="1:3" x14ac:dyDescent="0.25">
      <c r="A9" s="2" t="s">
        <v>13</v>
      </c>
      <c r="B9">
        <v>5938</v>
      </c>
      <c r="C9" s="4">
        <v>0.11714110986171115</v>
      </c>
    </row>
    <row r="10" spans="1:3" x14ac:dyDescent="0.25">
      <c r="A10" s="2" t="s">
        <v>14</v>
      </c>
      <c r="B10">
        <v>3603</v>
      </c>
      <c r="C10" s="4">
        <v>7.1077706101674853E-2</v>
      </c>
    </row>
    <row r="11" spans="1:3" x14ac:dyDescent="0.25">
      <c r="A11" s="2" t="s">
        <v>15</v>
      </c>
      <c r="B11">
        <v>3058</v>
      </c>
      <c r="C11" s="4">
        <v>6.0326290663036831E-2</v>
      </c>
    </row>
    <row r="12" spans="1:3" x14ac:dyDescent="0.25">
      <c r="A12" s="2" t="s">
        <v>16</v>
      </c>
      <c r="B12">
        <v>2543</v>
      </c>
      <c r="C12" s="4">
        <v>5.016669625771833E-2</v>
      </c>
    </row>
    <row r="13" spans="1:3" x14ac:dyDescent="0.25">
      <c r="A13" s="2" t="s">
        <v>17</v>
      </c>
      <c r="B13">
        <v>4042</v>
      </c>
      <c r="C13" s="4">
        <v>7.9738020555917222E-2</v>
      </c>
    </row>
    <row r="14" spans="1:3" x14ac:dyDescent="0.25">
      <c r="A14" s="2" t="s">
        <v>18</v>
      </c>
      <c r="B14">
        <v>2116</v>
      </c>
      <c r="C14" s="4">
        <v>4.1743110216803769E-2</v>
      </c>
    </row>
    <row r="15" spans="1:3" x14ac:dyDescent="0.25">
      <c r="A15" s="2" t="s">
        <v>19</v>
      </c>
      <c r="B15">
        <v>6855</v>
      </c>
      <c r="C15" s="4">
        <v>0.13523110611351127</v>
      </c>
    </row>
    <row r="16" spans="1:3" x14ac:dyDescent="0.25">
      <c r="A16" s="2" t="s">
        <v>23</v>
      </c>
      <c r="B16">
        <v>50691</v>
      </c>
      <c r="C16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3936-3A65-4D22-ABAD-4E156F92FC13}">
  <dimension ref="A3:B11"/>
  <sheetViews>
    <sheetView workbookViewId="0">
      <selection activeCell="L8" sqref="L8"/>
    </sheetView>
  </sheetViews>
  <sheetFormatPr defaultRowHeight="15" x14ac:dyDescent="0.25"/>
  <cols>
    <col min="1" max="1" width="13.140625" bestFit="1" customWidth="1"/>
    <col min="2" max="2" width="31.7109375" bestFit="1" customWidth="1"/>
  </cols>
  <sheetData>
    <row r="3" spans="1:2" x14ac:dyDescent="0.25">
      <c r="A3" s="1" t="s">
        <v>22</v>
      </c>
      <c r="B3" t="s">
        <v>24</v>
      </c>
    </row>
    <row r="4" spans="1:2" x14ac:dyDescent="0.25">
      <c r="A4" s="2" t="s">
        <v>7</v>
      </c>
      <c r="B4">
        <v>3136</v>
      </c>
    </row>
    <row r="5" spans="1:2" x14ac:dyDescent="0.25">
      <c r="A5" s="2" t="s">
        <v>2</v>
      </c>
      <c r="B5">
        <v>11449</v>
      </c>
    </row>
    <row r="6" spans="1:2" x14ac:dyDescent="0.25">
      <c r="A6" s="2" t="s">
        <v>3</v>
      </c>
      <c r="B6">
        <v>11611</v>
      </c>
    </row>
    <row r="7" spans="1:2" x14ac:dyDescent="0.25">
      <c r="A7" s="2" t="s">
        <v>9</v>
      </c>
      <c r="B7">
        <v>2948</v>
      </c>
    </row>
    <row r="8" spans="1:2" x14ac:dyDescent="0.25">
      <c r="A8" s="2" t="s">
        <v>4</v>
      </c>
      <c r="B8">
        <v>16509</v>
      </c>
    </row>
    <row r="9" spans="1:2" x14ac:dyDescent="0.25">
      <c r="A9" s="2" t="s">
        <v>10</v>
      </c>
      <c r="B9">
        <v>38</v>
      </c>
    </row>
    <row r="10" spans="1:2" x14ac:dyDescent="0.25">
      <c r="A10" s="2" t="s">
        <v>5</v>
      </c>
      <c r="B10">
        <v>5000</v>
      </c>
    </row>
    <row r="11" spans="1:2" x14ac:dyDescent="0.25">
      <c r="A11" s="2" t="s">
        <v>23</v>
      </c>
      <c r="B11">
        <v>50691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CF0F-5D3C-4F5A-96D7-AABF9F59B8B5}">
  <dimension ref="A3:C68"/>
  <sheetViews>
    <sheetView workbookViewId="0">
      <selection activeCell="F9" sqref="F9"/>
    </sheetView>
  </sheetViews>
  <sheetFormatPr defaultRowHeight="15" x14ac:dyDescent="0.25"/>
  <cols>
    <col min="1" max="1" width="17.140625" bestFit="1" customWidth="1"/>
    <col min="2" max="2" width="31.7109375" bestFit="1" customWidth="1"/>
    <col min="3" max="3" width="37.42578125" bestFit="1" customWidth="1"/>
  </cols>
  <sheetData>
    <row r="3" spans="1:3" x14ac:dyDescent="0.25">
      <c r="A3" s="1" t="s">
        <v>22</v>
      </c>
      <c r="B3" t="s">
        <v>24</v>
      </c>
      <c r="C3" t="s">
        <v>26</v>
      </c>
    </row>
    <row r="4" spans="1:3" x14ac:dyDescent="0.25">
      <c r="A4" s="2" t="s">
        <v>1</v>
      </c>
      <c r="B4">
        <v>1973</v>
      </c>
    </row>
    <row r="5" spans="1:3" x14ac:dyDescent="0.25">
      <c r="A5" s="3" t="s">
        <v>7</v>
      </c>
      <c r="B5">
        <v>100</v>
      </c>
      <c r="C5">
        <v>100</v>
      </c>
    </row>
    <row r="6" spans="1:3" x14ac:dyDescent="0.25">
      <c r="A6" s="3" t="s">
        <v>2</v>
      </c>
      <c r="B6">
        <v>750</v>
      </c>
      <c r="C6">
        <v>850</v>
      </c>
    </row>
    <row r="7" spans="1:3" x14ac:dyDescent="0.25">
      <c r="A7" s="3" t="s">
        <v>9</v>
      </c>
      <c r="B7">
        <v>93</v>
      </c>
      <c r="C7">
        <v>943</v>
      </c>
    </row>
    <row r="8" spans="1:3" x14ac:dyDescent="0.25">
      <c r="A8" s="3" t="s">
        <v>4</v>
      </c>
      <c r="B8">
        <v>1030</v>
      </c>
      <c r="C8">
        <v>1973</v>
      </c>
    </row>
    <row r="9" spans="1:3" x14ac:dyDescent="0.25">
      <c r="A9" s="2" t="s">
        <v>6</v>
      </c>
      <c r="B9">
        <v>738</v>
      </c>
    </row>
    <row r="10" spans="1:3" x14ac:dyDescent="0.25">
      <c r="A10" s="3" t="s">
        <v>7</v>
      </c>
      <c r="B10">
        <v>104</v>
      </c>
      <c r="C10">
        <v>104</v>
      </c>
    </row>
    <row r="11" spans="1:3" x14ac:dyDescent="0.25">
      <c r="A11" s="3" t="s">
        <v>3</v>
      </c>
      <c r="B11">
        <v>634</v>
      </c>
      <c r="C11">
        <v>738</v>
      </c>
    </row>
    <row r="12" spans="1:3" x14ac:dyDescent="0.25">
      <c r="A12" s="2" t="s">
        <v>8</v>
      </c>
      <c r="B12">
        <v>11997</v>
      </c>
    </row>
    <row r="13" spans="1:3" x14ac:dyDescent="0.25">
      <c r="A13" s="3" t="s">
        <v>7</v>
      </c>
      <c r="B13">
        <v>666</v>
      </c>
      <c r="C13">
        <v>666</v>
      </c>
    </row>
    <row r="14" spans="1:3" x14ac:dyDescent="0.25">
      <c r="A14" s="3" t="s">
        <v>2</v>
      </c>
      <c r="B14">
        <v>4228</v>
      </c>
      <c r="C14">
        <v>4894</v>
      </c>
    </row>
    <row r="15" spans="1:3" x14ac:dyDescent="0.25">
      <c r="A15" s="3" t="s">
        <v>3</v>
      </c>
      <c r="B15">
        <v>1730</v>
      </c>
      <c r="C15">
        <v>6624</v>
      </c>
    </row>
    <row r="16" spans="1:3" x14ac:dyDescent="0.25">
      <c r="A16" s="3" t="s">
        <v>9</v>
      </c>
      <c r="B16">
        <v>469</v>
      </c>
      <c r="C16">
        <v>7093</v>
      </c>
    </row>
    <row r="17" spans="1:3" x14ac:dyDescent="0.25">
      <c r="A17" s="3" t="s">
        <v>4</v>
      </c>
      <c r="B17">
        <v>3666</v>
      </c>
      <c r="C17">
        <v>10759</v>
      </c>
    </row>
    <row r="18" spans="1:3" x14ac:dyDescent="0.25">
      <c r="A18" s="3" t="s">
        <v>10</v>
      </c>
      <c r="B18">
        <v>38</v>
      </c>
      <c r="C18">
        <v>10797</v>
      </c>
    </row>
    <row r="19" spans="1:3" x14ac:dyDescent="0.25">
      <c r="A19" s="3" t="s">
        <v>5</v>
      </c>
      <c r="B19">
        <v>1200</v>
      </c>
      <c r="C19">
        <v>11997</v>
      </c>
    </row>
    <row r="20" spans="1:3" x14ac:dyDescent="0.25">
      <c r="A20" s="2" t="s">
        <v>11</v>
      </c>
      <c r="B20">
        <v>5546</v>
      </c>
    </row>
    <row r="21" spans="1:3" x14ac:dyDescent="0.25">
      <c r="A21" s="3" t="s">
        <v>7</v>
      </c>
      <c r="B21">
        <v>331</v>
      </c>
      <c r="C21">
        <v>331</v>
      </c>
    </row>
    <row r="22" spans="1:3" x14ac:dyDescent="0.25">
      <c r="A22" s="3" t="s">
        <v>2</v>
      </c>
      <c r="B22">
        <v>1121</v>
      </c>
      <c r="C22">
        <v>1452</v>
      </c>
    </row>
    <row r="23" spans="1:3" x14ac:dyDescent="0.25">
      <c r="A23" s="3" t="s">
        <v>3</v>
      </c>
      <c r="B23">
        <v>1573</v>
      </c>
      <c r="C23">
        <v>3025</v>
      </c>
    </row>
    <row r="24" spans="1:3" x14ac:dyDescent="0.25">
      <c r="A24" s="3" t="s">
        <v>9</v>
      </c>
      <c r="B24">
        <v>162</v>
      </c>
      <c r="C24">
        <v>3187</v>
      </c>
    </row>
    <row r="25" spans="1:3" x14ac:dyDescent="0.25">
      <c r="A25" s="3" t="s">
        <v>4</v>
      </c>
      <c r="B25">
        <v>2359</v>
      </c>
      <c r="C25">
        <v>5546</v>
      </c>
    </row>
    <row r="26" spans="1:3" x14ac:dyDescent="0.25">
      <c r="A26" s="2" t="s">
        <v>12</v>
      </c>
      <c r="B26">
        <v>2282</v>
      </c>
    </row>
    <row r="27" spans="1:3" x14ac:dyDescent="0.25">
      <c r="A27" s="3" t="s">
        <v>2</v>
      </c>
      <c r="B27">
        <v>241</v>
      </c>
      <c r="C27">
        <v>241</v>
      </c>
    </row>
    <row r="28" spans="1:3" x14ac:dyDescent="0.25">
      <c r="A28" s="3" t="s">
        <v>3</v>
      </c>
      <c r="B28">
        <v>241</v>
      </c>
      <c r="C28">
        <v>482</v>
      </c>
    </row>
    <row r="29" spans="1:3" x14ac:dyDescent="0.25">
      <c r="A29" s="3" t="s">
        <v>5</v>
      </c>
      <c r="B29">
        <v>1800</v>
      </c>
      <c r="C29">
        <v>2282</v>
      </c>
    </row>
    <row r="30" spans="1:3" x14ac:dyDescent="0.25">
      <c r="A30" s="2" t="s">
        <v>13</v>
      </c>
      <c r="B30">
        <v>5938</v>
      </c>
    </row>
    <row r="31" spans="1:3" x14ac:dyDescent="0.25">
      <c r="A31" s="3" t="s">
        <v>7</v>
      </c>
      <c r="B31">
        <v>100</v>
      </c>
      <c r="C31">
        <v>100</v>
      </c>
    </row>
    <row r="32" spans="1:3" x14ac:dyDescent="0.25">
      <c r="A32" s="3" t="s">
        <v>2</v>
      </c>
      <c r="B32">
        <v>1268</v>
      </c>
      <c r="C32">
        <v>1368</v>
      </c>
    </row>
    <row r="33" spans="1:3" x14ac:dyDescent="0.25">
      <c r="A33" s="3" t="s">
        <v>3</v>
      </c>
      <c r="B33">
        <v>1495</v>
      </c>
      <c r="C33">
        <v>2863</v>
      </c>
    </row>
    <row r="34" spans="1:3" x14ac:dyDescent="0.25">
      <c r="A34" s="3" t="s">
        <v>9</v>
      </c>
      <c r="B34">
        <v>945</v>
      </c>
      <c r="C34">
        <v>3808</v>
      </c>
    </row>
    <row r="35" spans="1:3" x14ac:dyDescent="0.25">
      <c r="A35" s="3" t="s">
        <v>4</v>
      </c>
      <c r="B35">
        <v>130</v>
      </c>
      <c r="C35">
        <v>3938</v>
      </c>
    </row>
    <row r="36" spans="1:3" x14ac:dyDescent="0.25">
      <c r="A36" s="3" t="s">
        <v>5</v>
      </c>
      <c r="B36">
        <v>2000</v>
      </c>
      <c r="C36">
        <v>5938</v>
      </c>
    </row>
    <row r="37" spans="1:3" x14ac:dyDescent="0.25">
      <c r="A37" s="2" t="s">
        <v>14</v>
      </c>
      <c r="B37">
        <v>3603</v>
      </c>
    </row>
    <row r="38" spans="1:3" x14ac:dyDescent="0.25">
      <c r="A38" s="3" t="s">
        <v>7</v>
      </c>
      <c r="B38">
        <v>116</v>
      </c>
      <c r="C38">
        <v>116</v>
      </c>
    </row>
    <row r="39" spans="1:3" x14ac:dyDescent="0.25">
      <c r="A39" s="3" t="s">
        <v>2</v>
      </c>
      <c r="B39">
        <v>1276</v>
      </c>
      <c r="C39">
        <v>1392</v>
      </c>
    </row>
    <row r="40" spans="1:3" x14ac:dyDescent="0.25">
      <c r="A40" s="3" t="s">
        <v>3</v>
      </c>
      <c r="B40">
        <v>1383</v>
      </c>
      <c r="C40">
        <v>2775</v>
      </c>
    </row>
    <row r="41" spans="1:3" x14ac:dyDescent="0.25">
      <c r="A41" s="3" t="s">
        <v>9</v>
      </c>
      <c r="B41">
        <v>283</v>
      </c>
      <c r="C41">
        <v>3058</v>
      </c>
    </row>
    <row r="42" spans="1:3" x14ac:dyDescent="0.25">
      <c r="A42" s="3" t="s">
        <v>4</v>
      </c>
      <c r="B42">
        <v>545</v>
      </c>
      <c r="C42">
        <v>3603</v>
      </c>
    </row>
    <row r="43" spans="1:3" x14ac:dyDescent="0.25">
      <c r="A43" s="2" t="s">
        <v>15</v>
      </c>
      <c r="B43">
        <v>3058</v>
      </c>
    </row>
    <row r="44" spans="1:3" x14ac:dyDescent="0.25">
      <c r="A44" s="3" t="s">
        <v>7</v>
      </c>
      <c r="B44">
        <v>346</v>
      </c>
      <c r="C44">
        <v>346</v>
      </c>
    </row>
    <row r="45" spans="1:3" x14ac:dyDescent="0.25">
      <c r="A45" s="3" t="s">
        <v>2</v>
      </c>
      <c r="B45">
        <v>466</v>
      </c>
      <c r="C45">
        <v>812</v>
      </c>
    </row>
    <row r="46" spans="1:3" x14ac:dyDescent="0.25">
      <c r="A46" s="3" t="s">
        <v>3</v>
      </c>
      <c r="B46">
        <v>445</v>
      </c>
      <c r="C46">
        <v>1257</v>
      </c>
    </row>
    <row r="47" spans="1:3" x14ac:dyDescent="0.25">
      <c r="A47" s="3" t="s">
        <v>9</v>
      </c>
      <c r="B47">
        <v>275</v>
      </c>
      <c r="C47">
        <v>1532</v>
      </c>
    </row>
    <row r="48" spans="1:3" x14ac:dyDescent="0.25">
      <c r="A48" s="3" t="s">
        <v>4</v>
      </c>
      <c r="B48">
        <v>1526</v>
      </c>
      <c r="C48">
        <v>3058</v>
      </c>
    </row>
    <row r="49" spans="1:3" x14ac:dyDescent="0.25">
      <c r="A49" s="2" t="s">
        <v>16</v>
      </c>
      <c r="B49">
        <v>2543</v>
      </c>
    </row>
    <row r="50" spans="1:3" x14ac:dyDescent="0.25">
      <c r="A50" s="3" t="s">
        <v>7</v>
      </c>
      <c r="B50">
        <v>777</v>
      </c>
      <c r="C50">
        <v>777</v>
      </c>
    </row>
    <row r="51" spans="1:3" x14ac:dyDescent="0.25">
      <c r="A51" s="3" t="s">
        <v>2</v>
      </c>
      <c r="B51">
        <v>778</v>
      </c>
      <c r="C51">
        <v>1555</v>
      </c>
    </row>
    <row r="52" spans="1:3" x14ac:dyDescent="0.25">
      <c r="A52" s="3" t="s">
        <v>3</v>
      </c>
      <c r="B52">
        <v>237</v>
      </c>
      <c r="C52">
        <v>1792</v>
      </c>
    </row>
    <row r="53" spans="1:3" x14ac:dyDescent="0.25">
      <c r="A53" s="3" t="s">
        <v>4</v>
      </c>
      <c r="B53">
        <v>751</v>
      </c>
      <c r="C53">
        <v>2543</v>
      </c>
    </row>
    <row r="54" spans="1:3" x14ac:dyDescent="0.25">
      <c r="A54" s="2" t="s">
        <v>17</v>
      </c>
      <c r="B54">
        <v>4042</v>
      </c>
    </row>
    <row r="55" spans="1:3" x14ac:dyDescent="0.25">
      <c r="A55" s="3" t="s">
        <v>2</v>
      </c>
      <c r="B55">
        <v>471</v>
      </c>
      <c r="C55">
        <v>471</v>
      </c>
    </row>
    <row r="56" spans="1:3" x14ac:dyDescent="0.25">
      <c r="A56" s="3" t="s">
        <v>3</v>
      </c>
      <c r="B56">
        <v>1600</v>
      </c>
      <c r="C56">
        <v>2071</v>
      </c>
    </row>
    <row r="57" spans="1:3" x14ac:dyDescent="0.25">
      <c r="A57" s="3" t="s">
        <v>9</v>
      </c>
      <c r="B57">
        <v>721</v>
      </c>
      <c r="C57">
        <v>2792</v>
      </c>
    </row>
    <row r="58" spans="1:3" x14ac:dyDescent="0.25">
      <c r="A58" s="3" t="s">
        <v>4</v>
      </c>
      <c r="B58">
        <v>1250</v>
      </c>
      <c r="C58">
        <v>4042</v>
      </c>
    </row>
    <row r="59" spans="1:3" x14ac:dyDescent="0.25">
      <c r="A59" s="2" t="s">
        <v>18</v>
      </c>
      <c r="B59">
        <v>2116</v>
      </c>
    </row>
    <row r="60" spans="1:3" x14ac:dyDescent="0.25">
      <c r="A60" s="3" t="s">
        <v>7</v>
      </c>
      <c r="B60">
        <v>176</v>
      </c>
      <c r="C60">
        <v>176</v>
      </c>
    </row>
    <row r="61" spans="1:3" x14ac:dyDescent="0.25">
      <c r="A61" s="3" t="s">
        <v>2</v>
      </c>
      <c r="B61">
        <v>680</v>
      </c>
      <c r="C61">
        <v>856</v>
      </c>
    </row>
    <row r="62" spans="1:3" x14ac:dyDescent="0.25">
      <c r="A62" s="3" t="s">
        <v>4</v>
      </c>
      <c r="B62">
        <v>1260</v>
      </c>
      <c r="C62">
        <v>2116</v>
      </c>
    </row>
    <row r="63" spans="1:3" x14ac:dyDescent="0.25">
      <c r="A63" s="2" t="s">
        <v>19</v>
      </c>
      <c r="B63">
        <v>6855</v>
      </c>
    </row>
    <row r="64" spans="1:3" x14ac:dyDescent="0.25">
      <c r="A64" s="3" t="s">
        <v>7</v>
      </c>
      <c r="B64">
        <v>420</v>
      </c>
      <c r="C64">
        <v>420</v>
      </c>
    </row>
    <row r="65" spans="1:3" x14ac:dyDescent="0.25">
      <c r="A65" s="3" t="s">
        <v>2</v>
      </c>
      <c r="B65">
        <v>170</v>
      </c>
      <c r="C65">
        <v>590</v>
      </c>
    </row>
    <row r="66" spans="1:3" x14ac:dyDescent="0.25">
      <c r="A66" s="3" t="s">
        <v>3</v>
      </c>
      <c r="B66">
        <v>2273</v>
      </c>
      <c r="C66">
        <v>2863</v>
      </c>
    </row>
    <row r="67" spans="1:3" x14ac:dyDescent="0.25">
      <c r="A67" s="3" t="s">
        <v>4</v>
      </c>
      <c r="B67">
        <v>3992</v>
      </c>
      <c r="C67">
        <v>6855</v>
      </c>
    </row>
    <row r="68" spans="1:3" x14ac:dyDescent="0.25">
      <c r="A68" s="2" t="s">
        <v>23</v>
      </c>
      <c r="B68">
        <v>50691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16BC-BBB8-4D0F-AD8C-2DE57C1534CC}">
  <dimension ref="A1:G16"/>
  <sheetViews>
    <sheetView workbookViewId="0">
      <selection activeCell="G19" sqref="G19"/>
    </sheetView>
  </sheetViews>
  <sheetFormatPr defaultRowHeight="15" x14ac:dyDescent="0.25"/>
  <cols>
    <col min="1" max="1" width="15.28515625" bestFit="1" customWidth="1"/>
    <col min="2" max="2" width="31.7109375" bestFit="1" customWidth="1"/>
    <col min="4" max="4" width="18.28515625" customWidth="1"/>
    <col min="5" max="5" width="19.85546875" customWidth="1"/>
    <col min="6" max="6" width="21.85546875" customWidth="1"/>
    <col min="7" max="7" width="21.5703125" customWidth="1"/>
  </cols>
  <sheetData>
    <row r="1" spans="1:7" x14ac:dyDescent="0.25">
      <c r="A1" s="1" t="s">
        <v>0</v>
      </c>
      <c r="B1" t="s">
        <v>27</v>
      </c>
    </row>
    <row r="3" spans="1:7" x14ac:dyDescent="0.25">
      <c r="A3" s="1" t="s">
        <v>22</v>
      </c>
      <c r="B3" t="s">
        <v>24</v>
      </c>
      <c r="D3" t="s">
        <v>20</v>
      </c>
      <c r="E3" t="s">
        <v>28</v>
      </c>
      <c r="F3" t="s">
        <v>29</v>
      </c>
      <c r="G3" t="s">
        <v>30</v>
      </c>
    </row>
    <row r="4" spans="1:7" x14ac:dyDescent="0.25">
      <c r="A4" s="2" t="s">
        <v>8</v>
      </c>
      <c r="B4">
        <v>6624</v>
      </c>
      <c r="D4" t="s">
        <v>1</v>
      </c>
      <c r="E4">
        <f>GETPIVOTDATA("INCREMENTAL_LOAD_MW", $A$3, "STATE",D4)</f>
        <v>850</v>
      </c>
      <c r="F4">
        <f>GETPIVOTDATA("Sum of INCREMENTAL_LOAD_MW",'Load growth by state'!$A$3,"STATE",D4)</f>
        <v>1973</v>
      </c>
      <c r="G4" s="5">
        <f>E4/F4</f>
        <v>0.43081601621895588</v>
      </c>
    </row>
    <row r="5" spans="1:7" x14ac:dyDescent="0.25">
      <c r="A5" s="2" t="s">
        <v>11</v>
      </c>
      <c r="B5">
        <v>3025</v>
      </c>
      <c r="D5" t="s">
        <v>6</v>
      </c>
      <c r="E5">
        <f>GETPIVOTDATA("INCREMENTAL_LOAD_MW", $A$3, "STATE",D5)</f>
        <v>738</v>
      </c>
      <c r="F5">
        <f>GETPIVOTDATA("Sum of INCREMENTAL_LOAD_MW",'Load growth by state'!$A$3,"STATE",D5)</f>
        <v>738</v>
      </c>
      <c r="G5" s="5">
        <f t="shared" ref="G5:G15" si="0">E5/F5</f>
        <v>1</v>
      </c>
    </row>
    <row r="6" spans="1:7" x14ac:dyDescent="0.25">
      <c r="A6" s="2" t="s">
        <v>19</v>
      </c>
      <c r="B6">
        <v>2863</v>
      </c>
      <c r="D6" t="s">
        <v>8</v>
      </c>
      <c r="E6">
        <f t="shared" ref="E6:E15" si="1">GETPIVOTDATA("INCREMENTAL_LOAD_MW", $A$3, "STATE",D6)</f>
        <v>6624</v>
      </c>
      <c r="F6">
        <f>GETPIVOTDATA("Sum of INCREMENTAL_LOAD_MW",'Load growth by state'!$A$3,"STATE",D6)</f>
        <v>11997</v>
      </c>
      <c r="G6" s="5">
        <f t="shared" si="0"/>
        <v>0.5521380345086272</v>
      </c>
    </row>
    <row r="7" spans="1:7" x14ac:dyDescent="0.25">
      <c r="A7" s="2" t="s">
        <v>13</v>
      </c>
      <c r="B7">
        <v>2863</v>
      </c>
      <c r="D7" t="s">
        <v>11</v>
      </c>
      <c r="E7">
        <f t="shared" si="1"/>
        <v>3025</v>
      </c>
      <c r="F7">
        <f>GETPIVOTDATA("Sum of INCREMENTAL_LOAD_MW",'Load growth by state'!$A$3,"STATE",D7)</f>
        <v>5546</v>
      </c>
      <c r="G7" s="5">
        <f t="shared" si="0"/>
        <v>0.54543815362423365</v>
      </c>
    </row>
    <row r="8" spans="1:7" x14ac:dyDescent="0.25">
      <c r="A8" s="2" t="s">
        <v>14</v>
      </c>
      <c r="B8">
        <v>2775</v>
      </c>
      <c r="D8" t="s">
        <v>12</v>
      </c>
      <c r="E8">
        <f t="shared" si="1"/>
        <v>482</v>
      </c>
      <c r="F8">
        <f>GETPIVOTDATA("Sum of INCREMENTAL_LOAD_MW",'Load growth by state'!$A$3,"STATE",D8)</f>
        <v>2282</v>
      </c>
      <c r="G8" s="5">
        <f t="shared" si="0"/>
        <v>0.2112182296231376</v>
      </c>
    </row>
    <row r="9" spans="1:7" x14ac:dyDescent="0.25">
      <c r="A9" s="2" t="s">
        <v>17</v>
      </c>
      <c r="B9">
        <v>2071</v>
      </c>
      <c r="D9" t="s">
        <v>13</v>
      </c>
      <c r="E9">
        <f t="shared" si="1"/>
        <v>2863</v>
      </c>
      <c r="F9">
        <f>GETPIVOTDATA("Sum of INCREMENTAL_LOAD_MW",'Load growth by state'!$A$3,"STATE",D9)</f>
        <v>5938</v>
      </c>
      <c r="G9" s="5">
        <f t="shared" si="0"/>
        <v>0.48214887167396431</v>
      </c>
    </row>
    <row r="10" spans="1:7" x14ac:dyDescent="0.25">
      <c r="A10" s="2" t="s">
        <v>16</v>
      </c>
      <c r="B10">
        <v>1792</v>
      </c>
      <c r="D10" t="s">
        <v>14</v>
      </c>
      <c r="E10">
        <f t="shared" si="1"/>
        <v>2775</v>
      </c>
      <c r="F10">
        <f>GETPIVOTDATA("Sum of INCREMENTAL_LOAD_MW",'Load growth by state'!$A$3,"STATE",D10)</f>
        <v>3603</v>
      </c>
      <c r="G10" s="5">
        <f t="shared" si="0"/>
        <v>0.77019150707743544</v>
      </c>
    </row>
    <row r="11" spans="1:7" x14ac:dyDescent="0.25">
      <c r="A11" s="2" t="s">
        <v>15</v>
      </c>
      <c r="B11">
        <v>1257</v>
      </c>
      <c r="D11" t="s">
        <v>15</v>
      </c>
      <c r="E11">
        <f t="shared" si="1"/>
        <v>1257</v>
      </c>
      <c r="F11">
        <f>GETPIVOTDATA("Sum of INCREMENTAL_LOAD_MW",'Load growth by state'!$A$3,"STATE",D11)</f>
        <v>3058</v>
      </c>
      <c r="G11" s="5">
        <f t="shared" si="0"/>
        <v>0.41105297580117722</v>
      </c>
    </row>
    <row r="12" spans="1:7" x14ac:dyDescent="0.25">
      <c r="A12" s="2" t="s">
        <v>18</v>
      </c>
      <c r="B12">
        <v>856</v>
      </c>
      <c r="D12" t="s">
        <v>16</v>
      </c>
      <c r="E12">
        <f t="shared" si="1"/>
        <v>1792</v>
      </c>
      <c r="F12">
        <f>GETPIVOTDATA("Sum of INCREMENTAL_LOAD_MW",'Load growth by state'!$A$3,"STATE",D12)</f>
        <v>2543</v>
      </c>
      <c r="G12" s="5">
        <f t="shared" si="0"/>
        <v>0.7046795123869446</v>
      </c>
    </row>
    <row r="13" spans="1:7" x14ac:dyDescent="0.25">
      <c r="A13" s="2" t="s">
        <v>1</v>
      </c>
      <c r="B13">
        <v>850</v>
      </c>
      <c r="D13" t="s">
        <v>17</v>
      </c>
      <c r="E13">
        <f t="shared" si="1"/>
        <v>2071</v>
      </c>
      <c r="F13">
        <f>GETPIVOTDATA("Sum of INCREMENTAL_LOAD_MW",'Load growth by state'!$A$3,"STATE",D13)</f>
        <v>4042</v>
      </c>
      <c r="G13" s="5">
        <f t="shared" si="0"/>
        <v>0.51237011380504704</v>
      </c>
    </row>
    <row r="14" spans="1:7" x14ac:dyDescent="0.25">
      <c r="A14" s="2" t="s">
        <v>6</v>
      </c>
      <c r="B14">
        <v>738</v>
      </c>
      <c r="D14" t="s">
        <v>18</v>
      </c>
      <c r="E14">
        <f t="shared" si="1"/>
        <v>856</v>
      </c>
      <c r="F14">
        <f>GETPIVOTDATA("Sum of INCREMENTAL_LOAD_MW",'Load growth by state'!$A$3,"STATE",D14)</f>
        <v>2116</v>
      </c>
      <c r="G14" s="5">
        <f t="shared" si="0"/>
        <v>0.4045368620037807</v>
      </c>
    </row>
    <row r="15" spans="1:7" x14ac:dyDescent="0.25">
      <c r="A15" s="2" t="s">
        <v>12</v>
      </c>
      <c r="B15">
        <v>482</v>
      </c>
      <c r="D15" t="s">
        <v>19</v>
      </c>
      <c r="E15">
        <f t="shared" si="1"/>
        <v>2863</v>
      </c>
      <c r="F15">
        <f>GETPIVOTDATA("Sum of INCREMENTAL_LOAD_MW",'Load growth by state'!$A$3,"STATE",D15)</f>
        <v>6855</v>
      </c>
      <c r="G15" s="5">
        <f t="shared" si="0"/>
        <v>0.41765134938001458</v>
      </c>
    </row>
    <row r="16" spans="1:7" x14ac:dyDescent="0.25">
      <c r="A16" s="2" t="s">
        <v>23</v>
      </c>
      <c r="B16">
        <v>26196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8019-7846-43C6-BDF7-9C338B288ABB}">
  <dimension ref="A1:B16"/>
  <sheetViews>
    <sheetView workbookViewId="0">
      <selection activeCell="A3" sqref="A3"/>
    </sheetView>
  </sheetViews>
  <sheetFormatPr defaultRowHeight="15" x14ac:dyDescent="0.25"/>
  <cols>
    <col min="1" max="1" width="15.28515625" bestFit="1" customWidth="1"/>
    <col min="2" max="2" width="31.7109375" bestFit="1" customWidth="1"/>
  </cols>
  <sheetData>
    <row r="1" spans="1:2" x14ac:dyDescent="0.25">
      <c r="A1" s="1" t="s">
        <v>0</v>
      </c>
      <c r="B1" t="s">
        <v>27</v>
      </c>
    </row>
    <row r="3" spans="1:2" x14ac:dyDescent="0.25">
      <c r="A3" s="1" t="s">
        <v>22</v>
      </c>
      <c r="B3" t="s">
        <v>24</v>
      </c>
    </row>
    <row r="4" spans="1:2" x14ac:dyDescent="0.25">
      <c r="A4" s="2" t="s">
        <v>1</v>
      </c>
      <c r="B4">
        <v>1973</v>
      </c>
    </row>
    <row r="5" spans="1:2" x14ac:dyDescent="0.25">
      <c r="A5" s="2" t="s">
        <v>6</v>
      </c>
      <c r="B5">
        <v>738</v>
      </c>
    </row>
    <row r="6" spans="1:2" x14ac:dyDescent="0.25">
      <c r="A6" s="2" t="s">
        <v>8</v>
      </c>
      <c r="B6">
        <v>10759</v>
      </c>
    </row>
    <row r="7" spans="1:2" x14ac:dyDescent="0.25">
      <c r="A7" s="2" t="s">
        <v>11</v>
      </c>
      <c r="B7">
        <v>5546</v>
      </c>
    </row>
    <row r="8" spans="1:2" x14ac:dyDescent="0.25">
      <c r="A8" s="2" t="s">
        <v>12</v>
      </c>
      <c r="B8">
        <v>482</v>
      </c>
    </row>
    <row r="9" spans="1:2" x14ac:dyDescent="0.25">
      <c r="A9" s="2" t="s">
        <v>13</v>
      </c>
      <c r="B9">
        <v>3938</v>
      </c>
    </row>
    <row r="10" spans="1:2" x14ac:dyDescent="0.25">
      <c r="A10" s="2" t="s">
        <v>14</v>
      </c>
      <c r="B10">
        <v>3603</v>
      </c>
    </row>
    <row r="11" spans="1:2" x14ac:dyDescent="0.25">
      <c r="A11" s="2" t="s">
        <v>15</v>
      </c>
      <c r="B11">
        <v>3058</v>
      </c>
    </row>
    <row r="12" spans="1:2" x14ac:dyDescent="0.25">
      <c r="A12" s="2" t="s">
        <v>16</v>
      </c>
      <c r="B12">
        <v>2543</v>
      </c>
    </row>
    <row r="13" spans="1:2" x14ac:dyDescent="0.25">
      <c r="A13" s="2" t="s">
        <v>17</v>
      </c>
      <c r="B13">
        <v>4042</v>
      </c>
    </row>
    <row r="14" spans="1:2" x14ac:dyDescent="0.25">
      <c r="A14" s="2" t="s">
        <v>18</v>
      </c>
      <c r="B14">
        <v>2116</v>
      </c>
    </row>
    <row r="15" spans="1:2" x14ac:dyDescent="0.25">
      <c r="A15" s="2" t="s">
        <v>19</v>
      </c>
      <c r="B15">
        <v>6855</v>
      </c>
    </row>
    <row r="16" spans="1:2" x14ac:dyDescent="0.25">
      <c r="A16" s="2" t="s">
        <v>23</v>
      </c>
      <c r="B16">
        <v>45653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B24B-4303-4935-AAAF-C64594D38FCE}">
  <dimension ref="A3:G56"/>
  <sheetViews>
    <sheetView workbookViewId="0">
      <selection activeCell="M9" sqref="M9"/>
    </sheetView>
  </sheetViews>
  <sheetFormatPr defaultRowHeight="15" x14ac:dyDescent="0.25"/>
  <cols>
    <col min="1" max="1" width="19" bestFit="1" customWidth="1"/>
    <col min="2" max="2" width="15.28515625" bestFit="1" customWidth="1"/>
    <col min="3" max="3" width="31.7109375" bestFit="1" customWidth="1"/>
    <col min="6" max="6" width="19.42578125" customWidth="1"/>
    <col min="7" max="7" width="34.7109375" customWidth="1"/>
  </cols>
  <sheetData>
    <row r="3" spans="1:7" x14ac:dyDescent="0.25">
      <c r="A3" s="1" t="s">
        <v>0</v>
      </c>
      <c r="B3" s="1" t="s">
        <v>20</v>
      </c>
      <c r="C3" t="s">
        <v>24</v>
      </c>
      <c r="E3" t="s">
        <v>0</v>
      </c>
      <c r="F3" t="s">
        <v>20</v>
      </c>
      <c r="G3" t="s">
        <v>31</v>
      </c>
    </row>
    <row r="4" spans="1:7" x14ac:dyDescent="0.25">
      <c r="A4" t="s">
        <v>4</v>
      </c>
      <c r="B4" t="s">
        <v>19</v>
      </c>
      <c r="C4">
        <v>3992</v>
      </c>
      <c r="E4" t="s">
        <v>2</v>
      </c>
      <c r="F4" t="s">
        <v>8</v>
      </c>
      <c r="G4">
        <v>4228</v>
      </c>
    </row>
    <row r="5" spans="1:7" x14ac:dyDescent="0.25">
      <c r="A5" t="s">
        <v>4</v>
      </c>
      <c r="B5" t="s">
        <v>8</v>
      </c>
      <c r="C5">
        <v>3666</v>
      </c>
      <c r="E5" t="s">
        <v>4</v>
      </c>
      <c r="F5" t="s">
        <v>19</v>
      </c>
      <c r="G5">
        <v>3992</v>
      </c>
    </row>
    <row r="6" spans="1:7" x14ac:dyDescent="0.25">
      <c r="A6" t="s">
        <v>4</v>
      </c>
      <c r="B6" t="s">
        <v>11</v>
      </c>
      <c r="C6">
        <v>2359</v>
      </c>
      <c r="E6" t="s">
        <v>4</v>
      </c>
      <c r="F6" t="s">
        <v>8</v>
      </c>
      <c r="G6">
        <v>3666</v>
      </c>
    </row>
    <row r="7" spans="1:7" x14ac:dyDescent="0.25">
      <c r="A7" t="s">
        <v>4</v>
      </c>
      <c r="B7" t="s">
        <v>15</v>
      </c>
      <c r="C7">
        <v>1526</v>
      </c>
      <c r="E7" t="s">
        <v>4</v>
      </c>
      <c r="F7" t="s">
        <v>11</v>
      </c>
      <c r="G7">
        <v>2359</v>
      </c>
    </row>
    <row r="8" spans="1:7" x14ac:dyDescent="0.25">
      <c r="A8" t="s">
        <v>4</v>
      </c>
      <c r="B8" t="s">
        <v>18</v>
      </c>
      <c r="C8">
        <v>1260</v>
      </c>
      <c r="E8" t="s">
        <v>3</v>
      </c>
      <c r="F8" t="s">
        <v>19</v>
      </c>
      <c r="G8">
        <v>2273</v>
      </c>
    </row>
    <row r="9" spans="1:7" x14ac:dyDescent="0.25">
      <c r="A9" t="s">
        <v>4</v>
      </c>
      <c r="B9" t="s">
        <v>17</v>
      </c>
      <c r="C9">
        <v>1250</v>
      </c>
      <c r="E9" t="s">
        <v>5</v>
      </c>
      <c r="F9" t="s">
        <v>13</v>
      </c>
      <c r="G9">
        <v>2000</v>
      </c>
    </row>
    <row r="10" spans="1:7" x14ac:dyDescent="0.25">
      <c r="A10" t="s">
        <v>4</v>
      </c>
      <c r="B10" t="s">
        <v>1</v>
      </c>
      <c r="C10">
        <v>1030</v>
      </c>
      <c r="E10" t="s">
        <v>5</v>
      </c>
      <c r="F10" t="s">
        <v>12</v>
      </c>
      <c r="G10">
        <v>1800</v>
      </c>
    </row>
    <row r="11" spans="1:7" x14ac:dyDescent="0.25">
      <c r="A11" t="s">
        <v>4</v>
      </c>
      <c r="B11" t="s">
        <v>16</v>
      </c>
      <c r="C11">
        <v>751</v>
      </c>
      <c r="E11" t="s">
        <v>3</v>
      </c>
      <c r="F11" t="s">
        <v>8</v>
      </c>
      <c r="G11">
        <v>1730</v>
      </c>
    </row>
    <row r="12" spans="1:7" x14ac:dyDescent="0.25">
      <c r="A12" t="s">
        <v>4</v>
      </c>
      <c r="B12" t="s">
        <v>14</v>
      </c>
      <c r="C12">
        <v>545</v>
      </c>
      <c r="E12" t="s">
        <v>3</v>
      </c>
      <c r="F12" t="s">
        <v>17</v>
      </c>
      <c r="G12">
        <v>1600</v>
      </c>
    </row>
    <row r="13" spans="1:7" x14ac:dyDescent="0.25">
      <c r="A13" t="s">
        <v>4</v>
      </c>
      <c r="B13" t="s">
        <v>13</v>
      </c>
      <c r="C13">
        <v>130</v>
      </c>
      <c r="E13" t="s">
        <v>3</v>
      </c>
      <c r="F13" t="s">
        <v>11</v>
      </c>
      <c r="G13">
        <v>1573</v>
      </c>
    </row>
    <row r="14" spans="1:7" x14ac:dyDescent="0.25">
      <c r="A14" t="s">
        <v>3</v>
      </c>
      <c r="B14" t="s">
        <v>19</v>
      </c>
      <c r="C14">
        <v>2273</v>
      </c>
      <c r="E14" t="s">
        <v>4</v>
      </c>
      <c r="F14" t="s">
        <v>15</v>
      </c>
      <c r="G14">
        <v>1526</v>
      </c>
    </row>
    <row r="15" spans="1:7" x14ac:dyDescent="0.25">
      <c r="A15" t="s">
        <v>3</v>
      </c>
      <c r="B15" t="s">
        <v>8</v>
      </c>
      <c r="C15">
        <v>1730</v>
      </c>
      <c r="E15" t="s">
        <v>3</v>
      </c>
      <c r="F15" t="s">
        <v>13</v>
      </c>
      <c r="G15">
        <v>1495</v>
      </c>
    </row>
    <row r="16" spans="1:7" x14ac:dyDescent="0.25">
      <c r="A16" t="s">
        <v>3</v>
      </c>
      <c r="B16" t="s">
        <v>17</v>
      </c>
      <c r="C16">
        <v>1600</v>
      </c>
      <c r="E16" t="s">
        <v>3</v>
      </c>
      <c r="F16" t="s">
        <v>14</v>
      </c>
      <c r="G16">
        <v>1383</v>
      </c>
    </row>
    <row r="17" spans="1:7" x14ac:dyDescent="0.25">
      <c r="A17" t="s">
        <v>3</v>
      </c>
      <c r="B17" t="s">
        <v>11</v>
      </c>
      <c r="C17">
        <v>1573</v>
      </c>
      <c r="E17" t="s">
        <v>2</v>
      </c>
      <c r="F17" t="s">
        <v>14</v>
      </c>
      <c r="G17">
        <v>1276</v>
      </c>
    </row>
    <row r="18" spans="1:7" x14ac:dyDescent="0.25">
      <c r="A18" t="s">
        <v>3</v>
      </c>
      <c r="B18" t="s">
        <v>13</v>
      </c>
      <c r="C18">
        <v>1495</v>
      </c>
      <c r="E18" t="s">
        <v>2</v>
      </c>
      <c r="F18" t="s">
        <v>13</v>
      </c>
      <c r="G18">
        <v>1268</v>
      </c>
    </row>
    <row r="19" spans="1:7" x14ac:dyDescent="0.25">
      <c r="A19" t="s">
        <v>3</v>
      </c>
      <c r="B19" t="s">
        <v>14</v>
      </c>
      <c r="C19">
        <v>1383</v>
      </c>
      <c r="E19" t="s">
        <v>4</v>
      </c>
      <c r="F19" t="s">
        <v>18</v>
      </c>
      <c r="G19">
        <v>1260</v>
      </c>
    </row>
    <row r="20" spans="1:7" x14ac:dyDescent="0.25">
      <c r="A20" t="s">
        <v>3</v>
      </c>
      <c r="B20" t="s">
        <v>6</v>
      </c>
      <c r="C20">
        <v>634</v>
      </c>
      <c r="E20" t="s">
        <v>4</v>
      </c>
      <c r="F20" t="s">
        <v>17</v>
      </c>
      <c r="G20">
        <v>1250</v>
      </c>
    </row>
    <row r="21" spans="1:7" x14ac:dyDescent="0.25">
      <c r="A21" t="s">
        <v>3</v>
      </c>
      <c r="B21" t="s">
        <v>15</v>
      </c>
      <c r="C21">
        <v>445</v>
      </c>
      <c r="E21" t="s">
        <v>5</v>
      </c>
      <c r="F21" t="s">
        <v>8</v>
      </c>
      <c r="G21">
        <v>1200</v>
      </c>
    </row>
    <row r="22" spans="1:7" x14ac:dyDescent="0.25">
      <c r="A22" t="s">
        <v>3</v>
      </c>
      <c r="B22" t="s">
        <v>12</v>
      </c>
      <c r="C22">
        <v>241</v>
      </c>
      <c r="E22" t="s">
        <v>2</v>
      </c>
      <c r="F22" t="s">
        <v>11</v>
      </c>
      <c r="G22">
        <v>1121</v>
      </c>
    </row>
    <row r="23" spans="1:7" x14ac:dyDescent="0.25">
      <c r="A23" t="s">
        <v>3</v>
      </c>
      <c r="B23" t="s">
        <v>16</v>
      </c>
      <c r="C23">
        <v>237</v>
      </c>
      <c r="E23" t="s">
        <v>4</v>
      </c>
      <c r="F23" t="s">
        <v>1</v>
      </c>
      <c r="G23">
        <v>1030</v>
      </c>
    </row>
    <row r="24" spans="1:7" x14ac:dyDescent="0.25">
      <c r="A24" t="s">
        <v>2</v>
      </c>
      <c r="B24" t="s">
        <v>8</v>
      </c>
      <c r="C24">
        <v>4228</v>
      </c>
      <c r="E24" t="s">
        <v>9</v>
      </c>
      <c r="F24" t="s">
        <v>13</v>
      </c>
      <c r="G24">
        <v>945</v>
      </c>
    </row>
    <row r="25" spans="1:7" x14ac:dyDescent="0.25">
      <c r="A25" t="s">
        <v>2</v>
      </c>
      <c r="B25" t="s">
        <v>14</v>
      </c>
      <c r="C25">
        <v>1276</v>
      </c>
      <c r="E25" t="s">
        <v>2</v>
      </c>
      <c r="F25" t="s">
        <v>16</v>
      </c>
      <c r="G25">
        <v>778</v>
      </c>
    </row>
    <row r="26" spans="1:7" x14ac:dyDescent="0.25">
      <c r="A26" t="s">
        <v>2</v>
      </c>
      <c r="B26" t="s">
        <v>13</v>
      </c>
      <c r="C26">
        <v>1268</v>
      </c>
      <c r="E26" t="s">
        <v>7</v>
      </c>
      <c r="F26" t="s">
        <v>16</v>
      </c>
      <c r="G26">
        <v>777</v>
      </c>
    </row>
    <row r="27" spans="1:7" x14ac:dyDescent="0.25">
      <c r="A27" t="s">
        <v>2</v>
      </c>
      <c r="B27" t="s">
        <v>11</v>
      </c>
      <c r="C27">
        <v>1121</v>
      </c>
      <c r="E27" t="s">
        <v>4</v>
      </c>
      <c r="F27" t="s">
        <v>16</v>
      </c>
      <c r="G27">
        <v>751</v>
      </c>
    </row>
    <row r="28" spans="1:7" x14ac:dyDescent="0.25">
      <c r="A28" t="s">
        <v>2</v>
      </c>
      <c r="B28" t="s">
        <v>16</v>
      </c>
      <c r="C28">
        <v>778</v>
      </c>
      <c r="E28" t="s">
        <v>2</v>
      </c>
      <c r="F28" t="s">
        <v>1</v>
      </c>
      <c r="G28">
        <v>750</v>
      </c>
    </row>
    <row r="29" spans="1:7" x14ac:dyDescent="0.25">
      <c r="A29" t="s">
        <v>2</v>
      </c>
      <c r="B29" t="s">
        <v>1</v>
      </c>
      <c r="C29">
        <v>750</v>
      </c>
      <c r="E29" t="s">
        <v>9</v>
      </c>
      <c r="F29" t="s">
        <v>17</v>
      </c>
      <c r="G29">
        <v>721</v>
      </c>
    </row>
    <row r="30" spans="1:7" x14ac:dyDescent="0.25">
      <c r="A30" t="s">
        <v>2</v>
      </c>
      <c r="B30" t="s">
        <v>18</v>
      </c>
      <c r="C30">
        <v>680</v>
      </c>
      <c r="E30" t="s">
        <v>2</v>
      </c>
      <c r="F30" t="s">
        <v>18</v>
      </c>
      <c r="G30">
        <v>680</v>
      </c>
    </row>
    <row r="31" spans="1:7" x14ac:dyDescent="0.25">
      <c r="A31" t="s">
        <v>2</v>
      </c>
      <c r="B31" t="s">
        <v>17</v>
      </c>
      <c r="C31">
        <v>471</v>
      </c>
      <c r="E31" t="s">
        <v>7</v>
      </c>
      <c r="F31" t="s">
        <v>8</v>
      </c>
      <c r="G31">
        <v>666</v>
      </c>
    </row>
    <row r="32" spans="1:7" x14ac:dyDescent="0.25">
      <c r="A32" t="s">
        <v>2</v>
      </c>
      <c r="B32" t="s">
        <v>15</v>
      </c>
      <c r="C32">
        <v>466</v>
      </c>
      <c r="E32" t="s">
        <v>3</v>
      </c>
      <c r="F32" t="s">
        <v>6</v>
      </c>
      <c r="G32">
        <v>634</v>
      </c>
    </row>
    <row r="33" spans="1:7" x14ac:dyDescent="0.25">
      <c r="A33" t="s">
        <v>2</v>
      </c>
      <c r="B33" t="s">
        <v>12</v>
      </c>
      <c r="C33">
        <v>241</v>
      </c>
      <c r="E33" t="s">
        <v>4</v>
      </c>
      <c r="F33" t="s">
        <v>14</v>
      </c>
      <c r="G33">
        <v>545</v>
      </c>
    </row>
    <row r="34" spans="1:7" x14ac:dyDescent="0.25">
      <c r="A34" t="s">
        <v>2</v>
      </c>
      <c r="B34" t="s">
        <v>19</v>
      </c>
      <c r="C34">
        <v>170</v>
      </c>
      <c r="E34" t="s">
        <v>2</v>
      </c>
      <c r="F34" t="s">
        <v>17</v>
      </c>
      <c r="G34">
        <v>471</v>
      </c>
    </row>
    <row r="35" spans="1:7" x14ac:dyDescent="0.25">
      <c r="A35" t="s">
        <v>5</v>
      </c>
      <c r="B35" t="s">
        <v>13</v>
      </c>
      <c r="C35">
        <v>2000</v>
      </c>
      <c r="E35" t="s">
        <v>9</v>
      </c>
      <c r="F35" t="s">
        <v>8</v>
      </c>
      <c r="G35">
        <v>469</v>
      </c>
    </row>
    <row r="36" spans="1:7" x14ac:dyDescent="0.25">
      <c r="A36" t="s">
        <v>5</v>
      </c>
      <c r="B36" t="s">
        <v>12</v>
      </c>
      <c r="C36">
        <v>1800</v>
      </c>
      <c r="E36" t="s">
        <v>2</v>
      </c>
      <c r="F36" t="s">
        <v>15</v>
      </c>
      <c r="G36">
        <v>466</v>
      </c>
    </row>
    <row r="37" spans="1:7" x14ac:dyDescent="0.25">
      <c r="A37" t="s">
        <v>5</v>
      </c>
      <c r="B37" t="s">
        <v>8</v>
      </c>
      <c r="C37">
        <v>1200</v>
      </c>
      <c r="E37" t="s">
        <v>3</v>
      </c>
      <c r="F37" t="s">
        <v>15</v>
      </c>
      <c r="G37">
        <v>445</v>
      </c>
    </row>
    <row r="38" spans="1:7" x14ac:dyDescent="0.25">
      <c r="A38" t="s">
        <v>7</v>
      </c>
      <c r="B38" t="s">
        <v>16</v>
      </c>
      <c r="C38">
        <v>777</v>
      </c>
      <c r="E38" t="s">
        <v>7</v>
      </c>
      <c r="F38" t="s">
        <v>19</v>
      </c>
      <c r="G38">
        <v>420</v>
      </c>
    </row>
    <row r="39" spans="1:7" x14ac:dyDescent="0.25">
      <c r="A39" t="s">
        <v>7</v>
      </c>
      <c r="B39" t="s">
        <v>8</v>
      </c>
      <c r="C39">
        <v>666</v>
      </c>
      <c r="E39" t="s">
        <v>7</v>
      </c>
      <c r="F39" t="s">
        <v>15</v>
      </c>
      <c r="G39">
        <v>346</v>
      </c>
    </row>
    <row r="40" spans="1:7" x14ac:dyDescent="0.25">
      <c r="A40" t="s">
        <v>7</v>
      </c>
      <c r="B40" t="s">
        <v>19</v>
      </c>
      <c r="C40">
        <v>420</v>
      </c>
      <c r="E40" t="s">
        <v>7</v>
      </c>
      <c r="F40" t="s">
        <v>11</v>
      </c>
      <c r="G40">
        <v>331</v>
      </c>
    </row>
    <row r="41" spans="1:7" x14ac:dyDescent="0.25">
      <c r="A41" t="s">
        <v>7</v>
      </c>
      <c r="B41" t="s">
        <v>15</v>
      </c>
      <c r="C41">
        <v>346</v>
      </c>
      <c r="E41" t="s">
        <v>9</v>
      </c>
      <c r="F41" t="s">
        <v>14</v>
      </c>
      <c r="G41">
        <v>283</v>
      </c>
    </row>
    <row r="42" spans="1:7" x14ac:dyDescent="0.25">
      <c r="A42" t="s">
        <v>7</v>
      </c>
      <c r="B42" t="s">
        <v>11</v>
      </c>
      <c r="C42">
        <v>331</v>
      </c>
      <c r="E42" t="s">
        <v>9</v>
      </c>
      <c r="F42" t="s">
        <v>15</v>
      </c>
      <c r="G42">
        <v>275</v>
      </c>
    </row>
    <row r="43" spans="1:7" x14ac:dyDescent="0.25">
      <c r="A43" t="s">
        <v>7</v>
      </c>
      <c r="B43" t="s">
        <v>18</v>
      </c>
      <c r="C43">
        <v>176</v>
      </c>
      <c r="E43" t="s">
        <v>3</v>
      </c>
      <c r="F43" t="s">
        <v>12</v>
      </c>
      <c r="G43">
        <v>241</v>
      </c>
    </row>
    <row r="44" spans="1:7" x14ac:dyDescent="0.25">
      <c r="A44" t="s">
        <v>7</v>
      </c>
      <c r="B44" t="s">
        <v>14</v>
      </c>
      <c r="C44">
        <v>116</v>
      </c>
      <c r="E44" t="s">
        <v>2</v>
      </c>
      <c r="F44" t="s">
        <v>12</v>
      </c>
      <c r="G44">
        <v>241</v>
      </c>
    </row>
    <row r="45" spans="1:7" x14ac:dyDescent="0.25">
      <c r="A45" t="s">
        <v>7</v>
      </c>
      <c r="B45" t="s">
        <v>6</v>
      </c>
      <c r="C45">
        <v>104</v>
      </c>
      <c r="E45" t="s">
        <v>3</v>
      </c>
      <c r="F45" t="s">
        <v>16</v>
      </c>
      <c r="G45">
        <v>237</v>
      </c>
    </row>
    <row r="46" spans="1:7" x14ac:dyDescent="0.25">
      <c r="A46" t="s">
        <v>7</v>
      </c>
      <c r="B46" t="s">
        <v>1</v>
      </c>
      <c r="C46">
        <v>100</v>
      </c>
      <c r="E46" t="s">
        <v>7</v>
      </c>
      <c r="F46" t="s">
        <v>18</v>
      </c>
      <c r="G46">
        <v>176</v>
      </c>
    </row>
    <row r="47" spans="1:7" x14ac:dyDescent="0.25">
      <c r="A47" t="s">
        <v>7</v>
      </c>
      <c r="B47" t="s">
        <v>13</v>
      </c>
      <c r="C47">
        <v>100</v>
      </c>
      <c r="E47" t="s">
        <v>2</v>
      </c>
      <c r="F47" t="s">
        <v>19</v>
      </c>
      <c r="G47">
        <v>170</v>
      </c>
    </row>
    <row r="48" spans="1:7" x14ac:dyDescent="0.25">
      <c r="A48" t="s">
        <v>9</v>
      </c>
      <c r="B48" t="s">
        <v>13</v>
      </c>
      <c r="C48">
        <v>945</v>
      </c>
      <c r="E48" t="s">
        <v>9</v>
      </c>
      <c r="F48" t="s">
        <v>11</v>
      </c>
      <c r="G48">
        <v>162</v>
      </c>
    </row>
    <row r="49" spans="1:7" x14ac:dyDescent="0.25">
      <c r="A49" t="s">
        <v>9</v>
      </c>
      <c r="B49" t="s">
        <v>17</v>
      </c>
      <c r="C49">
        <v>721</v>
      </c>
      <c r="E49" t="s">
        <v>4</v>
      </c>
      <c r="F49" t="s">
        <v>13</v>
      </c>
      <c r="G49">
        <v>130</v>
      </c>
    </row>
    <row r="50" spans="1:7" x14ac:dyDescent="0.25">
      <c r="A50" t="s">
        <v>9</v>
      </c>
      <c r="B50" t="s">
        <v>8</v>
      </c>
      <c r="C50">
        <v>469</v>
      </c>
      <c r="E50" t="s">
        <v>7</v>
      </c>
      <c r="F50" t="s">
        <v>14</v>
      </c>
      <c r="G50">
        <v>116</v>
      </c>
    </row>
    <row r="51" spans="1:7" x14ac:dyDescent="0.25">
      <c r="A51" t="s">
        <v>9</v>
      </c>
      <c r="B51" t="s">
        <v>14</v>
      </c>
      <c r="C51">
        <v>283</v>
      </c>
      <c r="E51" t="s">
        <v>7</v>
      </c>
      <c r="F51" t="s">
        <v>6</v>
      </c>
      <c r="G51">
        <v>104</v>
      </c>
    </row>
    <row r="52" spans="1:7" x14ac:dyDescent="0.25">
      <c r="A52" t="s">
        <v>9</v>
      </c>
      <c r="B52" t="s">
        <v>15</v>
      </c>
      <c r="C52">
        <v>275</v>
      </c>
      <c r="E52" t="s">
        <v>7</v>
      </c>
      <c r="F52" t="s">
        <v>1</v>
      </c>
      <c r="G52">
        <v>100</v>
      </c>
    </row>
    <row r="53" spans="1:7" x14ac:dyDescent="0.25">
      <c r="A53" t="s">
        <v>9</v>
      </c>
      <c r="B53" t="s">
        <v>11</v>
      </c>
      <c r="C53">
        <v>162</v>
      </c>
      <c r="E53" t="s">
        <v>7</v>
      </c>
      <c r="F53" t="s">
        <v>13</v>
      </c>
      <c r="G53">
        <v>100</v>
      </c>
    </row>
    <row r="54" spans="1:7" x14ac:dyDescent="0.25">
      <c r="A54" t="s">
        <v>9</v>
      </c>
      <c r="B54" t="s">
        <v>1</v>
      </c>
      <c r="C54">
        <v>93</v>
      </c>
      <c r="E54" t="s">
        <v>9</v>
      </c>
      <c r="F54" t="s">
        <v>1</v>
      </c>
      <c r="G54">
        <v>93</v>
      </c>
    </row>
    <row r="55" spans="1:7" x14ac:dyDescent="0.25">
      <c r="A55" t="s">
        <v>10</v>
      </c>
      <c r="B55" t="s">
        <v>8</v>
      </c>
      <c r="C55">
        <v>38</v>
      </c>
      <c r="E55" t="s">
        <v>10</v>
      </c>
      <c r="F55" t="s">
        <v>8</v>
      </c>
      <c r="G55">
        <v>38</v>
      </c>
    </row>
    <row r="56" spans="1:7" x14ac:dyDescent="0.25">
      <c r="A56" t="s">
        <v>23</v>
      </c>
      <c r="C56">
        <v>50691</v>
      </c>
    </row>
  </sheetData>
  <sortState xmlns:xlrd2="http://schemas.microsoft.com/office/spreadsheetml/2017/richdata2" ref="E4:G56">
    <sortCondition descending="1" ref="G4:G56"/>
  </sortState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510AD180CB8A4A8F6C4E8A16332B16" ma:contentTypeVersion="16" ma:contentTypeDescription="Create a new document." ma:contentTypeScope="" ma:versionID="314103d219b49c27c5af0ea9ba21829d">
  <xsd:schema xmlns:xsd="http://www.w3.org/2001/XMLSchema" xmlns:xs="http://www.w3.org/2001/XMLSchema" xmlns:p="http://schemas.microsoft.com/office/2006/metadata/properties" xmlns:ns3="c6df376c-0621-48d0-a39b-9236a29392e6" xmlns:ns4="cd63b299-6aa5-4a75-bffb-5cd36d3d4666" targetNamespace="http://schemas.microsoft.com/office/2006/metadata/properties" ma:root="true" ma:fieldsID="bf622d2309e5558f4983cd217c994447" ns3:_="" ns4:_="">
    <xsd:import namespace="c6df376c-0621-48d0-a39b-9236a29392e6"/>
    <xsd:import namespace="cd63b299-6aa5-4a75-bffb-5cd36d3d466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f376c-0621-48d0-a39b-9236a29392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3b299-6aa5-4a75-bffb-5cd36d3d46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63b299-6aa5-4a75-bffb-5cd36d3d4666" xsi:nil="true"/>
  </documentManagement>
</p:properties>
</file>

<file path=customXml/itemProps1.xml><?xml version="1.0" encoding="utf-8"?>
<ds:datastoreItem xmlns:ds="http://schemas.openxmlformats.org/officeDocument/2006/customXml" ds:itemID="{E1B1F24F-2B34-439B-8FBC-6F110276C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df376c-0621-48d0-a39b-9236a29392e6"/>
    <ds:schemaRef ds:uri="cd63b299-6aa5-4a75-bffb-5cd36d3d46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B2466E-2CA9-4CC4-865F-4DE7B47ED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A2A215-3095-4106-9C54-56C3810CF239}">
  <ds:schemaRefs>
    <ds:schemaRef ds:uri="http://schemas.microsoft.com/office/infopath/2007/PartnerControls"/>
    <ds:schemaRef ds:uri="http://www.w3.org/XML/1998/namespace"/>
    <ds:schemaRef ds:uri="cd63b299-6aa5-4a75-bffb-5cd36d3d4666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c6df376c-0621-48d0-a39b-9236a29392e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Load growth by state</vt:lpstr>
      <vt:lpstr>Change Over Time</vt:lpstr>
      <vt:lpstr>Cumulative Load</vt:lpstr>
      <vt:lpstr>Growth by 2028</vt:lpstr>
      <vt:lpstr>Growth by 2030</vt:lpstr>
      <vt:lpstr>LARGEST YEARLY ADDITIONS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Jaylah Lewis</dc:creator>
  <dc:description/>
  <cp:lastModifiedBy>Lewis, Jaylah</cp:lastModifiedBy>
  <dcterms:created xsi:type="dcterms:W3CDTF">2026-08-03T21:22:00Z</dcterms:created>
  <dcterms:modified xsi:type="dcterms:W3CDTF">2026-09-09T17:52:23Z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0x0101001E510AD180CB8A4A8F6C4E8A16332B16</vt:lpwstr>
  </property>
  <property fmtid="{D5CDD505-2E9C-101B-9397-08002B2CF9AE}" pid="3" name="MediaServiceImageTags">
    <vt:lpwstr/>
  </property>
</Properties>
</file>