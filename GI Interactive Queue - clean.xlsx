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inefrank/Downloads/"/>
    </mc:Choice>
  </mc:AlternateContent>
  <xr:revisionPtr revIDLastSave="0" documentId="13_ncr:9_{8B9A11C9-C246-EB4B-8981-C6FBDAB907B7}" xr6:coauthVersionLast="47" xr6:coauthVersionMax="47" xr10:uidLastSave="{00000000-0000-0000-0000-000000000000}"/>
  <bookViews>
    <workbookView xWindow="0" yWindow="680" windowWidth="34200" windowHeight="21460" xr2:uid="{F0E58EF1-C776-8A4C-9617-315277F765B5}"/>
  </bookViews>
  <sheets>
    <sheet name="GI Interactive Queue (1)" sheetId="1" r:id="rId1"/>
    <sheet name="Sheet1" sheetId="2" r:id="rId2"/>
    <sheet name="Fuel Types" sheetId="3" r:id="rId3"/>
    <sheet name="Sheet3" sheetId="4" r:id="rId4"/>
    <sheet name="Status" sheetId="5" r:id="rId5"/>
  </sheets>
  <calcPr calcId="19102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4" i="5"/>
  <c r="A3829" i="1"/>
  <c r="H3829" i="1"/>
  <c r="E3829" i="1"/>
  <c r="D3829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2" i="1"/>
  <c r="Z3829" i="1"/>
</calcChain>
</file>

<file path=xl/sharedStrings.xml><?xml version="1.0" encoding="utf-8"?>
<sst xmlns="http://schemas.openxmlformats.org/spreadsheetml/2006/main" count="46594" uniqueCount="7672">
  <si>
    <t>Project #</t>
  </si>
  <si>
    <t>Request Status</t>
  </si>
  <si>
    <t>Queue Date</t>
  </si>
  <si>
    <t>Withdrawn Date</t>
  </si>
  <si>
    <t>Done Date</t>
  </si>
  <si>
    <t>Appl In Service Date</t>
  </si>
  <si>
    <t>Transmission Owner</t>
  </si>
  <si>
    <t>County</t>
  </si>
  <si>
    <t>State</t>
  </si>
  <si>
    <t>Study Cycle</t>
  </si>
  <si>
    <t>Study Group</t>
  </si>
  <si>
    <t>Study Phase</t>
  </si>
  <si>
    <t>Service Type</t>
  </si>
  <si>
    <t>POI Name</t>
  </si>
  <si>
    <t>Summer MW</t>
  </si>
  <si>
    <t>Winter MW</t>
  </si>
  <si>
    <t>Fuel</t>
  </si>
  <si>
    <t>Generating Facility</t>
  </si>
  <si>
    <t>Post GIA Status</t>
  </si>
  <si>
    <t>Negotiated In Service Date</t>
  </si>
  <si>
    <t>Decision Point 1 ERIS MW</t>
  </si>
  <si>
    <t>Decision Point 1 NRIS MW</t>
  </si>
  <si>
    <t>Decision Point 2 ERIS MW</t>
  </si>
  <si>
    <t>Decision Point 2 NRIS MW</t>
  </si>
  <si>
    <t>J1000</t>
  </si>
  <si>
    <t>Done</t>
  </si>
  <si>
    <t>American Transmission Co. LLC</t>
  </si>
  <si>
    <t>Grant County</t>
  </si>
  <si>
    <t>WI</t>
  </si>
  <si>
    <t>DPP-2018-APR</t>
  </si>
  <si>
    <t>East (ATC)</t>
  </si>
  <si>
    <t>GIA</t>
  </si>
  <si>
    <t>NRIS</t>
  </si>
  <si>
    <t>Nelson Dewey - Lancaster 138kV Line</t>
  </si>
  <si>
    <t>Solar</t>
  </si>
  <si>
    <t>Photovoltaic</t>
  </si>
  <si>
    <t>In Service</t>
  </si>
  <si>
    <t>J1001</t>
  </si>
  <si>
    <t>Withdrawn</t>
  </si>
  <si>
    <t>NORTHERN STATES POWER COMPANY</t>
  </si>
  <si>
    <t>Lincoln County</t>
  </si>
  <si>
    <t>MN</t>
  </si>
  <si>
    <t>West</t>
  </si>
  <si>
    <t>Buffalo Ridge 115kV Substation</t>
  </si>
  <si>
    <t>Not Started</t>
  </si>
  <si>
    <t>J1002</t>
  </si>
  <si>
    <t>Waushara County</t>
  </si>
  <si>
    <t>Wautoma 138kV Switchyard</t>
  </si>
  <si>
    <t>J1003</t>
  </si>
  <si>
    <t>Dodge County</t>
  </si>
  <si>
    <t>North Beaver Dam 69 kV Substation</t>
  </si>
  <si>
    <t>J1004</t>
  </si>
  <si>
    <t>METC</t>
  </si>
  <si>
    <t>MI</t>
  </si>
  <si>
    <t>East (ITC)</t>
  </si>
  <si>
    <t>Kenowa - Nelson Road 345kV Line Tap</t>
  </si>
  <si>
    <t>Wind</t>
  </si>
  <si>
    <t>Wind Turbine</t>
  </si>
  <si>
    <t>J1005</t>
  </si>
  <si>
    <t>Murphy 345kV Substation</t>
  </si>
  <si>
    <t>J1006</t>
  </si>
  <si>
    <t>Brookings County</t>
  </si>
  <si>
    <t>SD</t>
  </si>
  <si>
    <t>Brookings - Yankee 115kV Line Tap</t>
  </si>
  <si>
    <t>J1007</t>
  </si>
  <si>
    <t>ENTERGY ARKANSAS, LLC</t>
  </si>
  <si>
    <t>Crittenden County</t>
  </si>
  <si>
    <t>AR</t>
  </si>
  <si>
    <t>South</t>
  </si>
  <si>
    <t>Marion - Marked Tree 161kV Line Tap</t>
  </si>
  <si>
    <t>Under Construction</t>
  </si>
  <si>
    <t>J1008</t>
  </si>
  <si>
    <t>ITC MIDWEST</t>
  </si>
  <si>
    <t>Faribault County</t>
  </si>
  <si>
    <t>Blue Earth IPL - Blue Earth 69kV Line Tap</t>
  </si>
  <si>
    <t>J1009</t>
  </si>
  <si>
    <t>Pleasant Prairie - Racine 345kV Line Tap</t>
  </si>
  <si>
    <t>J1010</t>
  </si>
  <si>
    <t>Arcadian - Zion 345kV Line Tap</t>
  </si>
  <si>
    <t>J1011</t>
  </si>
  <si>
    <t>J1012</t>
  </si>
  <si>
    <t>PRAIRIE POWER, INC.</t>
  </si>
  <si>
    <t>Scott County</t>
  </si>
  <si>
    <t>IL</t>
  </si>
  <si>
    <t>Central</t>
  </si>
  <si>
    <t>Jacksonville Ind. Park - Winchester 138kV Line Tap</t>
  </si>
  <si>
    <t>J1013</t>
  </si>
  <si>
    <t>Branch County</t>
  </si>
  <si>
    <t>Batavia 138kV Substation</t>
  </si>
  <si>
    <t>J1014</t>
  </si>
  <si>
    <t>Jackson County</t>
  </si>
  <si>
    <t>Tompkins - Blackstone 138kV Line</t>
  </si>
  <si>
    <t>J1015</t>
  </si>
  <si>
    <t>Otsego County</t>
  </si>
  <si>
    <t>Gaylord 138kV Substation</t>
  </si>
  <si>
    <t>J1016</t>
  </si>
  <si>
    <t>Southern Indiana Gas &amp; Electric Company d/b/a Vectren Energy Delivery of Indiana, Inc.</t>
  </si>
  <si>
    <t>Gibson County</t>
  </si>
  <si>
    <t>IN</t>
  </si>
  <si>
    <t>Francisco - Toyota Z75 138kV Line Tap</t>
  </si>
  <si>
    <t>J1017</t>
  </si>
  <si>
    <t>DUKE ENERGY INDIANA, LLC</t>
  </si>
  <si>
    <t>Springboro 138 kV Substation</t>
  </si>
  <si>
    <t>J1018</t>
  </si>
  <si>
    <t>Miami County</t>
  </si>
  <si>
    <t>Peru South East - Greentown 230 kV Line Tap</t>
  </si>
  <si>
    <t>J1019</t>
  </si>
  <si>
    <t>Ameren Missouri</t>
  </si>
  <si>
    <t>Boone County</t>
  </si>
  <si>
    <t>MO</t>
  </si>
  <si>
    <t>Overton - McCredie 345 kV Line Tap</t>
  </si>
  <si>
    <t>J1020</t>
  </si>
  <si>
    <t>COOPERATIVE ENERGY</t>
  </si>
  <si>
    <t>Jasper County</t>
  </si>
  <si>
    <t>MS</t>
  </si>
  <si>
    <t>Missionary 230kV Substation</t>
  </si>
  <si>
    <t>J1021</t>
  </si>
  <si>
    <t>AMEREN ILLINOIS</t>
  </si>
  <si>
    <t>Piatt County</t>
  </si>
  <si>
    <t>Goose Creek 345kV Switchyard</t>
  </si>
  <si>
    <t>J1022</t>
  </si>
  <si>
    <t>McLean County</t>
  </si>
  <si>
    <t>ERIS</t>
  </si>
  <si>
    <t>Weedman Substation 138kV Bus</t>
  </si>
  <si>
    <t>J1023</t>
  </si>
  <si>
    <t>Mississippi County</t>
  </si>
  <si>
    <t>Osceola - Wilson 161 kV Line Tap</t>
  </si>
  <si>
    <t>J1024</t>
  </si>
  <si>
    <t>MIDAMERICAN ENERGY COMPANY</t>
  </si>
  <si>
    <t>Nodaway County</t>
  </si>
  <si>
    <t>Maryville - Clarinda 161 kV Line Tap</t>
  </si>
  <si>
    <t>J1025</t>
  </si>
  <si>
    <t>AMEREN TRANSMISSION COMPANY OF ILLINOIS</t>
  </si>
  <si>
    <t>Knox County</t>
  </si>
  <si>
    <t>Zachary - Maywood 345 kV Line Tap</t>
  </si>
  <si>
    <t>J1026</t>
  </si>
  <si>
    <t>Spencer Creek 345 kV Substation</t>
  </si>
  <si>
    <t>J1027</t>
  </si>
  <si>
    <t>HOOSIER ENERGY</t>
  </si>
  <si>
    <t>Pike County</t>
  </si>
  <si>
    <t>Ratts 161 kV Substation</t>
  </si>
  <si>
    <t>J1028</t>
  </si>
  <si>
    <t>Ratts - Victory 161 kV Line Tap</t>
  </si>
  <si>
    <t>J1029</t>
  </si>
  <si>
    <t>ENTERGY LOUISIANA, LLC</t>
  </si>
  <si>
    <t>East Feliciana Parish</t>
  </si>
  <si>
    <t>LA</t>
  </si>
  <si>
    <t>Fancy Point 230 kV Substation</t>
  </si>
  <si>
    <t>J1030</t>
  </si>
  <si>
    <t>ENTERGY TEXAS, INC.</t>
  </si>
  <si>
    <t>Polk County</t>
  </si>
  <si>
    <t>TX</t>
  </si>
  <si>
    <t>Poco - Menard 138kV Line Tao</t>
  </si>
  <si>
    <t>J1031</t>
  </si>
  <si>
    <t>Henry County</t>
  </si>
  <si>
    <t>Fall Creek - New Castle 138 kV Line Tap</t>
  </si>
  <si>
    <t>J1032</t>
  </si>
  <si>
    <t>Wabasha County</t>
  </si>
  <si>
    <t>Briggs Rd. - N. Rochester 345 kV Line Tap</t>
  </si>
  <si>
    <t>Battery Storage</t>
  </si>
  <si>
    <t>J1033</t>
  </si>
  <si>
    <t>Stoddard County</t>
  </si>
  <si>
    <t>Stoddard - Morely 161 kV Line Tap</t>
  </si>
  <si>
    <t>J1034</t>
  </si>
  <si>
    <t>Stoddard - Morley 161kV Line Tap</t>
  </si>
  <si>
    <t>J1035</t>
  </si>
  <si>
    <t>Washington County</t>
  </si>
  <si>
    <t>Fayetteville - Marigold 138 kV Line Tap</t>
  </si>
  <si>
    <t>J1036</t>
  </si>
  <si>
    <t>Xcel Energy</t>
  </si>
  <si>
    <t>Cottonwood County</t>
  </si>
  <si>
    <t>Lakefield Generation SW 345kV Substation</t>
  </si>
  <si>
    <t>J1037</t>
  </si>
  <si>
    <t>GREAT RIVER ENERGY</t>
  </si>
  <si>
    <t>Murray County</t>
  </si>
  <si>
    <t>Moon Lake 69kV Substation</t>
  </si>
  <si>
    <t>J1038</t>
  </si>
  <si>
    <t>OTTER TAIL POWER COMPANY</t>
  </si>
  <si>
    <t>Grant Co. - E. Fergus Falls - Hoot Lake 115 kV Line Tap</t>
  </si>
  <si>
    <t>J1039</t>
  </si>
  <si>
    <t>Warren County</t>
  </si>
  <si>
    <t>Enon - Montogomery 345kV Line Tap</t>
  </si>
  <si>
    <t>J1040</t>
  </si>
  <si>
    <t>MONTANA-DAKOTA UTILITIES CO.</t>
  </si>
  <si>
    <t>McIntosh County</t>
  </si>
  <si>
    <t>ND</t>
  </si>
  <si>
    <t>Wishek Junction 230 kV Substation</t>
  </si>
  <si>
    <t>J1041</t>
  </si>
  <si>
    <t>Brewster - Heron Lake 161 kV Line</t>
  </si>
  <si>
    <t>J1042</t>
  </si>
  <si>
    <t>Walworth County</t>
  </si>
  <si>
    <t>North Lake Geneva 138kV Substation</t>
  </si>
  <si>
    <t>J1043</t>
  </si>
  <si>
    <t>Montcalm County</t>
  </si>
  <si>
    <t>Vergennes - Nelson Rd 345 kV Line Tap</t>
  </si>
  <si>
    <t>J1044</t>
  </si>
  <si>
    <t>North Lake Geneva - Sugar Creek - Burlington 138kV Line Tap</t>
  </si>
  <si>
    <t>J1045</t>
  </si>
  <si>
    <t>Fenton - Chanarambie 115kV Line Tap</t>
  </si>
  <si>
    <t>J1046</t>
  </si>
  <si>
    <t>Washtenaw County</t>
  </si>
  <si>
    <t>Majestic - Lemoyne 345 kV Line Tap</t>
  </si>
  <si>
    <t>J1047</t>
  </si>
  <si>
    <t>J1048</t>
  </si>
  <si>
    <t>Vergennes - Nelson Road 345kV Line Tap</t>
  </si>
  <si>
    <t>J1049</t>
  </si>
  <si>
    <t>Forrest County</t>
  </si>
  <si>
    <t>Purvis 161 kV Substation</t>
  </si>
  <si>
    <t>J1050</t>
  </si>
  <si>
    <t>IA</t>
  </si>
  <si>
    <t>Doud Tap 161 kV Substation</t>
  </si>
  <si>
    <t>J1051</t>
  </si>
  <si>
    <t>Jefferson County</t>
  </si>
  <si>
    <t>Concord 138kV Substation</t>
  </si>
  <si>
    <t>J1052</t>
  </si>
  <si>
    <t>Beecher - Seamless East 138kV Line Tap</t>
  </si>
  <si>
    <t>J1053</t>
  </si>
  <si>
    <t>Concord SW YD 138 kV Substation</t>
  </si>
  <si>
    <t>J1054</t>
  </si>
  <si>
    <t>Goodhue County</t>
  </si>
  <si>
    <t>Cannon Falls 115kV Substation</t>
  </si>
  <si>
    <t>J1055</t>
  </si>
  <si>
    <t>Mason County</t>
  </si>
  <si>
    <t>Mason Substation 138 kV Bus</t>
  </si>
  <si>
    <t>J1056</t>
  </si>
  <si>
    <t>Monroe County</t>
  </si>
  <si>
    <t>Lulu - Monroe 345 kV Line Tap</t>
  </si>
  <si>
    <t>J1057</t>
  </si>
  <si>
    <t>J1058</t>
  </si>
  <si>
    <t>NORTHERN INDIANA PUBLIC SERVICE COMPANY LLC NIP</t>
  </si>
  <si>
    <t>Lake County</t>
  </si>
  <si>
    <t>Schahfer-St. John 345kV Line Tap</t>
  </si>
  <si>
    <t>J1059</t>
  </si>
  <si>
    <t>Cape Girardeau County</t>
  </si>
  <si>
    <t>Kelso - Lutesville 345 kV Line Tap</t>
  </si>
  <si>
    <t>J1060</t>
  </si>
  <si>
    <t>St. Francis County</t>
  </si>
  <si>
    <t>West Memphis - Keo 500 kV Line Tap</t>
  </si>
  <si>
    <t>J1061</t>
  </si>
  <si>
    <t>Briggs Rd - N. Rochester 345 kV Line Tap</t>
  </si>
  <si>
    <t>J1062</t>
  </si>
  <si>
    <t>J1063</t>
  </si>
  <si>
    <t>Clinton County</t>
  </si>
  <si>
    <t>New London - Frankfort 230kV Line Tap</t>
  </si>
  <si>
    <t>J1064</t>
  </si>
  <si>
    <t>Ionia County</t>
  </si>
  <si>
    <t>Marquette - Vergennes 138 kV Line Tap</t>
  </si>
  <si>
    <t>J1065</t>
  </si>
  <si>
    <t>Gratiot County</t>
  </si>
  <si>
    <t>Alma - Vestaburg 138kV Line Tap</t>
  </si>
  <si>
    <t>J1066</t>
  </si>
  <si>
    <t>E-NRIS</t>
  </si>
  <si>
    <t>El Dara Junction - Pittsfield 69 kV Line Tap</t>
  </si>
  <si>
    <t>J1067</t>
  </si>
  <si>
    <t>NORTHERN INDIANA PUBLIC SERVICE COMPANY LLC</t>
  </si>
  <si>
    <t>Reynolds - Burr Oak 345kV Line</t>
  </si>
  <si>
    <t>J1068</t>
  </si>
  <si>
    <t>Dorset 120 kV Substation</t>
  </si>
  <si>
    <t>J1069</t>
  </si>
  <si>
    <t>Reynolds 345kV Substation</t>
  </si>
  <si>
    <t>J1070</t>
  </si>
  <si>
    <t>ENTERGY MISSISSIPPI, LLC</t>
  </si>
  <si>
    <t>SE Greenville 115kV Substation</t>
  </si>
  <si>
    <t>J1071</t>
  </si>
  <si>
    <t>Oceana County</t>
  </si>
  <si>
    <t>Donaldson 138 kV Substation</t>
  </si>
  <si>
    <t>J1072</t>
  </si>
  <si>
    <t>Mower County</t>
  </si>
  <si>
    <t>Adams 345 kV Substation</t>
  </si>
  <si>
    <t>J1073</t>
  </si>
  <si>
    <t>Iberville Parish</t>
  </si>
  <si>
    <t>Webre 500 kV Substation</t>
  </si>
  <si>
    <t>J1074</t>
  </si>
  <si>
    <t>Francisco 138 kV sub</t>
  </si>
  <si>
    <t>J1075</t>
  </si>
  <si>
    <t>Cass County</t>
  </si>
  <si>
    <t>Argenta - Weeds Lake - Hiple 345kV Line Tap</t>
  </si>
  <si>
    <t>J1076</t>
  </si>
  <si>
    <t>St. James Parish</t>
  </si>
  <si>
    <t>Vacherie Sub 230 kV Substation</t>
  </si>
  <si>
    <t>J1077</t>
  </si>
  <si>
    <t>J1078</t>
  </si>
  <si>
    <t>San Souci 500 kV Substation</t>
  </si>
  <si>
    <t>J1079</t>
  </si>
  <si>
    <t>St. Charles Parish</t>
  </si>
  <si>
    <t>Waterford 1&amp;2 230 kV Substation</t>
  </si>
  <si>
    <t>J1080</t>
  </si>
  <si>
    <t>Brokaw - Clinton 345kV Line Tap</t>
  </si>
  <si>
    <t>J1081</t>
  </si>
  <si>
    <t>Winger 115kV Substation</t>
  </si>
  <si>
    <t>J1082</t>
  </si>
  <si>
    <t>Zachary 345 kV Substation</t>
  </si>
  <si>
    <t>J1083</t>
  </si>
  <si>
    <t>Eaton County</t>
  </si>
  <si>
    <t>Oneida138kV Substation</t>
  </si>
  <si>
    <t>J1084</t>
  </si>
  <si>
    <t>Rock Creek 345 kV Substation</t>
  </si>
  <si>
    <t>J1085</t>
  </si>
  <si>
    <t>Gardner Park - J821 POI - Stone Lake 345 kV Line Tap</t>
  </si>
  <si>
    <t>J1086</t>
  </si>
  <si>
    <t>Nobles County</t>
  </si>
  <si>
    <t>Elk - Brewster 161 kV Line Tap</t>
  </si>
  <si>
    <t>J1087</t>
  </si>
  <si>
    <t>Miner - Kelso 161 kV Line Tap</t>
  </si>
  <si>
    <t>J1088</t>
  </si>
  <si>
    <t>Shiawassee County</t>
  </si>
  <si>
    <t>Cornell - Layton 138 kV Line Tap</t>
  </si>
  <si>
    <t>J1089</t>
  </si>
  <si>
    <t>Cornell - Bell Rd 138 kV Line Tap</t>
  </si>
  <si>
    <t>J1090</t>
  </si>
  <si>
    <t>Ingham County</t>
  </si>
  <si>
    <t>Tompkins - Churchill Jct 138 kV Line Tap</t>
  </si>
  <si>
    <t>J1091</t>
  </si>
  <si>
    <t>Craighead County</t>
  </si>
  <si>
    <t>Power Line Road 161 kV Substation</t>
  </si>
  <si>
    <t>J1092</t>
  </si>
  <si>
    <t>Saint Croix County</t>
  </si>
  <si>
    <t>Three Lakes 115 kV Substation</t>
  </si>
  <si>
    <t>J1093</t>
  </si>
  <si>
    <t>Reed Switch 115kV Substation</t>
  </si>
  <si>
    <t>J1094</t>
  </si>
  <si>
    <t>Prest 138kV Switching Station</t>
  </si>
  <si>
    <t>J1095</t>
  </si>
  <si>
    <t>DeSoto County</t>
  </si>
  <si>
    <t>Twinkletown 230kV Substation</t>
  </si>
  <si>
    <t>J1096</t>
  </si>
  <si>
    <t>Saline County</t>
  </si>
  <si>
    <t>Norris City North - Muddy 138 kV Line</t>
  </si>
  <si>
    <t>J1097</t>
  </si>
  <si>
    <t>KEO EHV 500 kV Substation</t>
  </si>
  <si>
    <t>J1098</t>
  </si>
  <si>
    <t>Lakefield 345 kV Substation</t>
  </si>
  <si>
    <t>J1099</t>
  </si>
  <si>
    <t>Derrick 230 kV Substation</t>
  </si>
  <si>
    <t>J1100</t>
  </si>
  <si>
    <t>Grimes County</t>
  </si>
  <si>
    <t>Grimes 345 kV Substation</t>
  </si>
  <si>
    <t>J1101</t>
  </si>
  <si>
    <t>Manitowoc County</t>
  </si>
  <si>
    <t>Kewaunee 138kV Substation</t>
  </si>
  <si>
    <t>J1102</t>
  </si>
  <si>
    <t>Logan County</t>
  </si>
  <si>
    <t>Fogarty 138 kV Substation</t>
  </si>
  <si>
    <t>J1103</t>
  </si>
  <si>
    <t>Tuscola County</t>
  </si>
  <si>
    <t>Bauer - (Kirk) - Ringle 345kV Line Tap</t>
  </si>
  <si>
    <t>J1104</t>
  </si>
  <si>
    <t>Germantown - Bark River 138kV Line</t>
  </si>
  <si>
    <t>J1105</t>
  </si>
  <si>
    <t>Dakota County</t>
  </si>
  <si>
    <t>Hampton Corners 345 kV Substation</t>
  </si>
  <si>
    <t>J1106</t>
  </si>
  <si>
    <t>Redwood County</t>
  </si>
  <si>
    <t>Lyon County - Cedar Mountain 345 kV Circuit 2 Line</t>
  </si>
  <si>
    <t>J1107</t>
  </si>
  <si>
    <t>J1108</t>
  </si>
  <si>
    <t>MISSOURI RIVER ENERGY SERVICES</t>
  </si>
  <si>
    <t>Douglas County</t>
  </si>
  <si>
    <t>Alexandria 345 kV Substation</t>
  </si>
  <si>
    <t>J1109</t>
  </si>
  <si>
    <t>Bison 345kV Substation</t>
  </si>
  <si>
    <t>J1110</t>
  </si>
  <si>
    <t>SMMPA</t>
  </si>
  <si>
    <t>North Austin 161 kV Substation</t>
  </si>
  <si>
    <t>J1111</t>
  </si>
  <si>
    <t>Southern Illinois Power Cooperative</t>
  </si>
  <si>
    <t>Campbell Hill - Jackson 161 kV Line Tap</t>
  </si>
  <si>
    <t>J1112</t>
  </si>
  <si>
    <t>Kosciusko County</t>
  </si>
  <si>
    <t>Leesburg 138kV Substation</t>
  </si>
  <si>
    <t>J1113</t>
  </si>
  <si>
    <t>Sunflower County</t>
  </si>
  <si>
    <t>Delta - Ruleville 115kV Line Tap</t>
  </si>
  <si>
    <t>J1114</t>
  </si>
  <si>
    <t>Plymouth County</t>
  </si>
  <si>
    <t>J506 Substation on Raun - Highland 345 kV Line</t>
  </si>
  <si>
    <t>J1115</t>
  </si>
  <si>
    <t>Macon County</t>
  </si>
  <si>
    <t>Latham - Oreana 345kV Line</t>
  </si>
  <si>
    <t>J1116</t>
  </si>
  <si>
    <t>Duke Energy Corporation</t>
  </si>
  <si>
    <t>Hancock County</t>
  </si>
  <si>
    <t>Greensboro - Greenfield 138 kV Line Tap</t>
  </si>
  <si>
    <t>J1117</t>
  </si>
  <si>
    <t>Green 138kV Substation</t>
  </si>
  <si>
    <t>J1118</t>
  </si>
  <si>
    <t>Mahomet - Weedman 138 kV Line Tap</t>
  </si>
  <si>
    <t>J1119</t>
  </si>
  <si>
    <t>Tompkins 345 kV Substation</t>
  </si>
  <si>
    <t>Gas</t>
  </si>
  <si>
    <t>Combined Cycle</t>
  </si>
  <si>
    <t>J1120</t>
  </si>
  <si>
    <t>Big Hill CO - Bayou Farms CO 138 kV Line Tap</t>
  </si>
  <si>
    <t>J1121</t>
  </si>
  <si>
    <t>Marathon County</t>
  </si>
  <si>
    <t>Stone Lake - (Pershing) - Gardner Park 345 kV Line Tap</t>
  </si>
  <si>
    <t>J1122</t>
  </si>
  <si>
    <t>Pottawattamie County</t>
  </si>
  <si>
    <t>Council Bluffs - Fallow Avenue 345 kV Line Tap</t>
  </si>
  <si>
    <t>J1123</t>
  </si>
  <si>
    <t>Audrain County</t>
  </si>
  <si>
    <t>J1124</t>
  </si>
  <si>
    <t>Olmsted County</t>
  </si>
  <si>
    <t>Byron 345kV Substation</t>
  </si>
  <si>
    <t>J1125</t>
  </si>
  <si>
    <t>Cross County</t>
  </si>
  <si>
    <t>Wynne South - Wynne East AECC 161 kV Line Tap</t>
  </si>
  <si>
    <t>J1126</t>
  </si>
  <si>
    <t>ITC Bauer - Grassmere - Rapson (Kirk Sub) 345kV Substation</t>
  </si>
  <si>
    <t>J1127</t>
  </si>
  <si>
    <t>Green County</t>
  </si>
  <si>
    <t>Albany - Bass Creek 138 kV Line Tap</t>
  </si>
  <si>
    <t>J1128</t>
  </si>
  <si>
    <t>Freeborn County</t>
  </si>
  <si>
    <t>Hayward - Murphy Creek 161 kV Line Tap</t>
  </si>
  <si>
    <t>J1129</t>
  </si>
  <si>
    <t>Rock County</t>
  </si>
  <si>
    <t>Paddock - Townline Rd 138 kV Line Tap</t>
  </si>
  <si>
    <t>J1130</t>
  </si>
  <si>
    <t>Baxter Wilson SES 115/500 kV Sw YD</t>
  </si>
  <si>
    <t>J1131</t>
  </si>
  <si>
    <t>Sub 56 Davenport 161 kV Substation</t>
  </si>
  <si>
    <t>J1132</t>
  </si>
  <si>
    <t>Union County</t>
  </si>
  <si>
    <t>Creston East 69 kV Substation</t>
  </si>
  <si>
    <t>J1133</t>
  </si>
  <si>
    <t>Richland Parish</t>
  </si>
  <si>
    <t>Dunn - Oakridge 115kV Line Tap</t>
  </si>
  <si>
    <t>J1134</t>
  </si>
  <si>
    <t>White County</t>
  </si>
  <si>
    <t>Griffithville - Searcy Price 115 kV Line Tap</t>
  </si>
  <si>
    <t>J1135</t>
  </si>
  <si>
    <t>Des Moines County</t>
  </si>
  <si>
    <t>Huntwoods 69 kV substation</t>
  </si>
  <si>
    <t>J1136</t>
  </si>
  <si>
    <t>Hinds County</t>
  </si>
  <si>
    <t>Tinnin Road 230kV Substation</t>
  </si>
  <si>
    <t>J1137</t>
  </si>
  <si>
    <t>Swifton - Hoxie South 161 kV Line Tap</t>
  </si>
  <si>
    <t>J1138</t>
  </si>
  <si>
    <t>Baraga County</t>
  </si>
  <si>
    <t>M38 138 kV Substation</t>
  </si>
  <si>
    <t>J1139</t>
  </si>
  <si>
    <t>Champaign County</t>
  </si>
  <si>
    <t>Sidney Substation 138 kV Bus</t>
  </si>
  <si>
    <t>J1140</t>
  </si>
  <si>
    <t>MINNESOTA POWER</t>
  </si>
  <si>
    <t>Benton County</t>
  </si>
  <si>
    <t>Platte River 115 kV Substation</t>
  </si>
  <si>
    <t>J1141</t>
  </si>
  <si>
    <t>Manistee County</t>
  </si>
  <si>
    <t>Filer - BoxbdJ - Stronach 138kV Line Tap</t>
  </si>
  <si>
    <t>J1142</t>
  </si>
  <si>
    <t>Vacherie 230kV Substation</t>
  </si>
  <si>
    <t>In Service (with Provisional GIA)</t>
  </si>
  <si>
    <t>J1143</t>
  </si>
  <si>
    <t>Morrison County</t>
  </si>
  <si>
    <t>Blanchard - Little Falls 115 kV Line</t>
  </si>
  <si>
    <t>J1144</t>
  </si>
  <si>
    <t>Moselle - Columbia 161kV Line Tap</t>
  </si>
  <si>
    <t>J1145</t>
  </si>
  <si>
    <t>Callaway County</t>
  </si>
  <si>
    <t>Overton - (McCrede) - Montgomery 345 kV Line Tap</t>
  </si>
  <si>
    <t>J1146</t>
  </si>
  <si>
    <t>Coal</t>
  </si>
  <si>
    <t>J1147</t>
  </si>
  <si>
    <t>Moses - McCrory 161 kV Line tap</t>
  </si>
  <si>
    <t>J1148</t>
  </si>
  <si>
    <t>Posey County</t>
  </si>
  <si>
    <t>AB Brown 138 kV Substation</t>
  </si>
  <si>
    <t>J1149</t>
  </si>
  <si>
    <t>Yellow Medicine County</t>
  </si>
  <si>
    <t>Hazel Creek 230 kV Substation</t>
  </si>
  <si>
    <t>J1150</t>
  </si>
  <si>
    <t>Deedsville 345 kV Substation</t>
  </si>
  <si>
    <t>J1151</t>
  </si>
  <si>
    <t>Ascension Parish</t>
  </si>
  <si>
    <t>Brittany 230kV Substation</t>
  </si>
  <si>
    <t>J1152</t>
  </si>
  <si>
    <t>Gwynneville 345 kV Substation</t>
  </si>
  <si>
    <t>J1153</t>
  </si>
  <si>
    <t>Sheboygan County</t>
  </si>
  <si>
    <t>Holland 138 kV Substation</t>
  </si>
  <si>
    <t>J1154</t>
  </si>
  <si>
    <t>Jefferson 138 kV Substation</t>
  </si>
  <si>
    <t>J1155</t>
  </si>
  <si>
    <t>Driver 230 kV Substation</t>
  </si>
  <si>
    <t>J1156</t>
  </si>
  <si>
    <t>Kuhn Rd. - Parkin 161 kV line tap</t>
  </si>
  <si>
    <t>J1157</t>
  </si>
  <si>
    <t>Tinnin Road 230 kV Substation</t>
  </si>
  <si>
    <t>J1158</t>
  </si>
  <si>
    <t>Vacherie 230 kV Substation</t>
  </si>
  <si>
    <t>J1159</t>
  </si>
  <si>
    <t>Walker County</t>
  </si>
  <si>
    <t>Mount Zion 138 kV Substation</t>
  </si>
  <si>
    <t>J1160</t>
  </si>
  <si>
    <t>Sand Lake - Port Edwards 138 kV Line Tap</t>
  </si>
  <si>
    <t>J1161</t>
  </si>
  <si>
    <t>J1162</t>
  </si>
  <si>
    <t>Jacinto - China 230 kV Line Tap</t>
  </si>
  <si>
    <t>J1163</t>
  </si>
  <si>
    <t>Crenshaw - Tunica 115kv Line Tap</t>
  </si>
  <si>
    <t>J1164</t>
  </si>
  <si>
    <t>Magnolia 161 kV Substation</t>
  </si>
  <si>
    <t>J1165</t>
  </si>
  <si>
    <t>Jefferson Davis Parish</t>
  </si>
  <si>
    <t>LC Bulk - Henning 138 kV Line Tap</t>
  </si>
  <si>
    <t>J1166</t>
  </si>
  <si>
    <t>Acadia Parish</t>
  </si>
  <si>
    <t>Bayou Cove - Richard 138 kV Line Tap</t>
  </si>
  <si>
    <t>J1167</t>
  </si>
  <si>
    <t>AECC Forrest City West 161 kV Substation</t>
  </si>
  <si>
    <t>J1168</t>
  </si>
  <si>
    <t>Liberty County</t>
  </si>
  <si>
    <t>Pintail 138 kV Substation</t>
  </si>
  <si>
    <t>J1169</t>
  </si>
  <si>
    <t>McCook County</t>
  </si>
  <si>
    <t>Grant 115 kV Substation</t>
  </si>
  <si>
    <t>J1170</t>
  </si>
  <si>
    <t>Bison 345 kV Substation</t>
  </si>
  <si>
    <t>J1171</t>
  </si>
  <si>
    <t>Butternut 138 kV Substation</t>
  </si>
  <si>
    <t>J1172</t>
  </si>
  <si>
    <t>Genesee County</t>
  </si>
  <si>
    <t>Dort - Garfield 138 kV Line Tap</t>
  </si>
  <si>
    <t>J1173</t>
  </si>
  <si>
    <t>CONSUMERS ENERGY COMPANY</t>
  </si>
  <si>
    <t>Lenawee County</t>
  </si>
  <si>
    <t>Raisin - METC Tap 138kV Line Tap</t>
  </si>
  <si>
    <t>J1174</t>
  </si>
  <si>
    <t>Worth County</t>
  </si>
  <si>
    <t>Ledyard - Colby 345 kV Line Tap</t>
  </si>
  <si>
    <t>J1175</t>
  </si>
  <si>
    <t>Ledyard - Colby 345kV Line Tap</t>
  </si>
  <si>
    <t>J1176</t>
  </si>
  <si>
    <t>Lime Creek 161 kV Substation</t>
  </si>
  <si>
    <t>J1177</t>
  </si>
  <si>
    <t>Schuyler County</t>
  </si>
  <si>
    <t>Hughes 345 kV Switching Station (J541 POI)</t>
  </si>
  <si>
    <t>J1178</t>
  </si>
  <si>
    <t>Oneida 138 kV Substation</t>
  </si>
  <si>
    <t>J1179</t>
  </si>
  <si>
    <t>Chisago County</t>
  </si>
  <si>
    <t>Rush City - Red Rock 230 kV Line Tap</t>
  </si>
  <si>
    <t>J1180</t>
  </si>
  <si>
    <t>Clark County</t>
  </si>
  <si>
    <t>Casey West - Sullivan 345 kV Line</t>
  </si>
  <si>
    <t>J1181</t>
  </si>
  <si>
    <t>Chickasaw County</t>
  </si>
  <si>
    <t>Hazleton - Mitchell county 345 kV line</t>
  </si>
  <si>
    <t>J1182</t>
  </si>
  <si>
    <t>Adair County</t>
  </si>
  <si>
    <t>Zachary Substation 345 kV Bus</t>
  </si>
  <si>
    <t>J1183</t>
  </si>
  <si>
    <t>Delta County</t>
  </si>
  <si>
    <t>Heritage Garden substation</t>
  </si>
  <si>
    <t>J1184</t>
  </si>
  <si>
    <t>Washington Parish</t>
  </si>
  <si>
    <t>Lagen Holton-Franklinton 115kV Line Tap</t>
  </si>
  <si>
    <t>J1185</t>
  </si>
  <si>
    <t>Putnam County</t>
  </si>
  <si>
    <t>Adair - Appanoose 161 kV Line Tap</t>
  </si>
  <si>
    <t>J1186</t>
  </si>
  <si>
    <t>San Jacinto County</t>
  </si>
  <si>
    <t>Pelican Road - Shepard 138 kV Line Tap</t>
  </si>
  <si>
    <t>J1187</t>
  </si>
  <si>
    <t>Mercer County</t>
  </si>
  <si>
    <t>Stanton 230 kV Substation</t>
  </si>
  <si>
    <t>J1188</t>
  </si>
  <si>
    <t>Sheepskin 69 kV Substation</t>
  </si>
  <si>
    <t>J1189</t>
  </si>
  <si>
    <t>Crane Solar 69kV Substation</t>
  </si>
  <si>
    <t>J1190</t>
  </si>
  <si>
    <t>DPP-2019</t>
  </si>
  <si>
    <t>Calamus East 161 kV Substation</t>
  </si>
  <si>
    <t>J1191</t>
  </si>
  <si>
    <t>City of Columbia, MO</t>
  </si>
  <si>
    <t>Bolstad 69 kV Substation</t>
  </si>
  <si>
    <t>J1192</t>
  </si>
  <si>
    <t>Oneida 138kV Substation</t>
  </si>
  <si>
    <t>J1193</t>
  </si>
  <si>
    <t>Morton County</t>
  </si>
  <si>
    <t>Heskitt 115 kV Switchyard</t>
  </si>
  <si>
    <t>Combustion Turbine (Simple Cycle)</t>
  </si>
  <si>
    <t>J1194</t>
  </si>
  <si>
    <t>Murphy 138 kV Substation</t>
  </si>
  <si>
    <t>J1195</t>
  </si>
  <si>
    <t>Wagner 138 kV Substation</t>
  </si>
  <si>
    <t>J1196</t>
  </si>
  <si>
    <t>Sanilac County</t>
  </si>
  <si>
    <t>Greenwood - Rapson (Banner) 345 kV Line Tap</t>
  </si>
  <si>
    <t>J1197</t>
  </si>
  <si>
    <t>LaSalle County</t>
  </si>
  <si>
    <t>Corbin 138kV Substation</t>
  </si>
  <si>
    <t>J1198</t>
  </si>
  <si>
    <t>Newton 345kV Substation</t>
  </si>
  <si>
    <t>Hybrid</t>
  </si>
  <si>
    <t>Solar/Battery</t>
  </si>
  <si>
    <t>J1199</t>
  </si>
  <si>
    <t>Fulton County</t>
  </si>
  <si>
    <t>Duck Creek 345kV Substation</t>
  </si>
  <si>
    <t>J1200</t>
  </si>
  <si>
    <t>Putnam 138kV Substation</t>
  </si>
  <si>
    <t>J1201</t>
  </si>
  <si>
    <t>Montgomery County</t>
  </si>
  <si>
    <t>North Coffeen 138kV Substation</t>
  </si>
  <si>
    <t>J1202</t>
  </si>
  <si>
    <t>Randolph County</t>
  </si>
  <si>
    <t>Baldwin Plant 345kV Switchyard - Baldwin Unit 2</t>
  </si>
  <si>
    <t>J1203</t>
  </si>
  <si>
    <t>Thetford 345kV Substation</t>
  </si>
  <si>
    <t>J1204</t>
  </si>
  <si>
    <t>Cumberland County</t>
  </si>
  <si>
    <t>Casey West 345kV Substation</t>
  </si>
  <si>
    <t>J1205</t>
  </si>
  <si>
    <t>CLECO POWER LLC</t>
  </si>
  <si>
    <t>Allen Parish</t>
  </si>
  <si>
    <t>Centennial - West Bay 138kV Line</t>
  </si>
  <si>
    <t>J1206</t>
  </si>
  <si>
    <t>Newton 138kV Substation</t>
  </si>
  <si>
    <t>J1207</t>
  </si>
  <si>
    <t>J1208</t>
  </si>
  <si>
    <t>Muddy - Crab Orchard 138 kV line</t>
  </si>
  <si>
    <t>J1209</t>
  </si>
  <si>
    <t>Muddy - Crab Orchard 138kV Line</t>
  </si>
  <si>
    <t>J1210</t>
  </si>
  <si>
    <t>Iosco County</t>
  </si>
  <si>
    <t>Whittemore - Twining 138kV Line</t>
  </si>
  <si>
    <t>J1211</t>
  </si>
  <si>
    <t>Isabella County</t>
  </si>
  <si>
    <t>Vernon - METC Tap 138kV Line</t>
  </si>
  <si>
    <t>J1212</t>
  </si>
  <si>
    <t>Chanarambie-Ellsborough 115kV Line</t>
  </si>
  <si>
    <t>J1213</t>
  </si>
  <si>
    <t>Iron County</t>
  </si>
  <si>
    <t>Taum Sauk 138kV Switchyard, Bus 1 &amp; 2</t>
  </si>
  <si>
    <t>Hydro</t>
  </si>
  <si>
    <t>Hydroelectric</t>
  </si>
  <si>
    <t>J1214</t>
  </si>
  <si>
    <t>Dane County</t>
  </si>
  <si>
    <t>Rockdale 345 kV Substation</t>
  </si>
  <si>
    <t>J1215</t>
  </si>
  <si>
    <t>Arkansas County</t>
  </si>
  <si>
    <t>Stuttgart Ricuskey - Woodward 230 kV</t>
  </si>
  <si>
    <t>J1216</t>
  </si>
  <si>
    <t>Ashley 138 kV Substation</t>
  </si>
  <si>
    <t>J1217</t>
  </si>
  <si>
    <t>St. Landry Parish</t>
  </si>
  <si>
    <t>Ville Platte - West Fork 230 kV Line Tap</t>
  </si>
  <si>
    <t>J1218</t>
  </si>
  <si>
    <t>Muscatine County</t>
  </si>
  <si>
    <t>Sub 92 345 kV</t>
  </si>
  <si>
    <t>J1219</t>
  </si>
  <si>
    <t>Tangipahoa Parish</t>
  </si>
  <si>
    <t>Chicken Farm - Amite 115 kV Line</t>
  </si>
  <si>
    <t>J1220</t>
  </si>
  <si>
    <t>Rapides Parish</t>
  </si>
  <si>
    <t>Rapides - Rodemacher 230 kV Line Tap</t>
  </si>
  <si>
    <t>J1221</t>
  </si>
  <si>
    <t>Wadena County</t>
  </si>
  <si>
    <t>Wing River- Riverton 230kV line</t>
  </si>
  <si>
    <t>J1222</t>
  </si>
  <si>
    <t>Ralls County</t>
  </si>
  <si>
    <t>J1223</t>
  </si>
  <si>
    <t>Colonial Pipeline  - Kentwood 115 kV Line</t>
  </si>
  <si>
    <t>J1224</t>
  </si>
  <si>
    <t>Majestic - Milan 345 kV Line Tap</t>
  </si>
  <si>
    <t>J1225</t>
  </si>
  <si>
    <t>Ashley-Turkey Hill Line 1482, between the Okawville and North Nashville substations</t>
  </si>
  <si>
    <t>J1226</t>
  </si>
  <si>
    <t>Morocco 345 kV Substation</t>
  </si>
  <si>
    <t>J1227</t>
  </si>
  <si>
    <t>Spencer County</t>
  </si>
  <si>
    <t>Dubois - FB Culley 138 kV Line Tap</t>
  </si>
  <si>
    <t>J1228</t>
  </si>
  <si>
    <t>Huntley 161 kV Substation</t>
  </si>
  <si>
    <t>J1229</t>
  </si>
  <si>
    <t>Sub 92 345 kV Substation</t>
  </si>
  <si>
    <t>J1230</t>
  </si>
  <si>
    <t>J1231</t>
  </si>
  <si>
    <t>BIG RIVERS ELECTRIC CORPORATION</t>
  </si>
  <si>
    <t>Lyon County</t>
  </si>
  <si>
    <t>KY</t>
  </si>
  <si>
    <t>Barkley - Caldwell 161kV Line</t>
  </si>
  <si>
    <t>J1232</t>
  </si>
  <si>
    <t>Coles County</t>
  </si>
  <si>
    <t>Chesterville - Mattoon West 138kV Line</t>
  </si>
  <si>
    <t>J1233</t>
  </si>
  <si>
    <t>Cato 138 kV Substation</t>
  </si>
  <si>
    <t>J1234</t>
  </si>
  <si>
    <t>DUKE ENERGY INDIANA, LLC CIN</t>
  </si>
  <si>
    <t>Edwardsport - Washington Mun, Linton 138kV Line</t>
  </si>
  <si>
    <t>J1235</t>
  </si>
  <si>
    <t>J1236</t>
  </si>
  <si>
    <t>Ville Platte - West Form 230 kV Line Tap</t>
  </si>
  <si>
    <t>J1237</t>
  </si>
  <si>
    <t>Majestic - Milan 345kV Line</t>
  </si>
  <si>
    <t>J1238</t>
  </si>
  <si>
    <t>J1239</t>
  </si>
  <si>
    <t>Ouachita Parish</t>
  </si>
  <si>
    <t>Rilla 115 kV Substation</t>
  </si>
  <si>
    <t>J1240</t>
  </si>
  <si>
    <t>Spencer Creek 345kV Substation</t>
  </si>
  <si>
    <t>J1241</t>
  </si>
  <si>
    <t>West Mt Vernon - Xenia 345kV Line</t>
  </si>
  <si>
    <t>J1242</t>
  </si>
  <si>
    <t>Hamilton Line 796 Tap to Audrian 69kV Line</t>
  </si>
  <si>
    <t>J1243</t>
  </si>
  <si>
    <t>McDonough County</t>
  </si>
  <si>
    <t>Macomb West #2 - Blandlnsville Tap 69kV Line</t>
  </si>
  <si>
    <t>J1244</t>
  </si>
  <si>
    <t>Houghton County</t>
  </si>
  <si>
    <t>Winona - Toivola - Portage Tap - Atlantic Mine 69kV Line</t>
  </si>
  <si>
    <t>J1245</t>
  </si>
  <si>
    <t>J1246</t>
  </si>
  <si>
    <t>Bayou Labutte 500kV Substation</t>
  </si>
  <si>
    <t>J1247</t>
  </si>
  <si>
    <t>Ivanhoe 138kV Substation</t>
  </si>
  <si>
    <t>Waste Heat Recovery</t>
  </si>
  <si>
    <t>Co-gen</t>
  </si>
  <si>
    <t>J1248</t>
  </si>
  <si>
    <t>Calhoun County</t>
  </si>
  <si>
    <t>Marshall - Black Stone 138 kV line</t>
  </si>
  <si>
    <t>J1249</t>
  </si>
  <si>
    <t>Lamar County</t>
  </si>
  <si>
    <t>Morrow 161 kV Substation</t>
  </si>
  <si>
    <t>J1250</t>
  </si>
  <si>
    <t>Clay County</t>
  </si>
  <si>
    <t>Datto-Corning North 161 kV line</t>
  </si>
  <si>
    <t>J1251</t>
  </si>
  <si>
    <t>Marquette County</t>
  </si>
  <si>
    <t>Arnold - Perkins 138 kV Line Tap</t>
  </si>
  <si>
    <t>J1252</t>
  </si>
  <si>
    <t>J1253</t>
  </si>
  <si>
    <t>Fond du Lac County</t>
  </si>
  <si>
    <t>South Fond Du Lac to Fitzgerald 345 kV line</t>
  </si>
  <si>
    <t>J1254</t>
  </si>
  <si>
    <t>Merom - Gibson - Wheatland 345kV Line</t>
  </si>
  <si>
    <t>J1255</t>
  </si>
  <si>
    <t>J1256</t>
  </si>
  <si>
    <t>J1257</t>
  </si>
  <si>
    <t>J1258</t>
  </si>
  <si>
    <t>Lonoke County</t>
  </si>
  <si>
    <t>J1259</t>
  </si>
  <si>
    <t>Colonial Pipeline - Kentwood 115 kV Line</t>
  </si>
  <si>
    <t>J1260</t>
  </si>
  <si>
    <t>Desha County</t>
  </si>
  <si>
    <t>Dumas - Reed 115kV Line</t>
  </si>
  <si>
    <t>J1261</t>
  </si>
  <si>
    <t>Clarendon - Brinkley East 115kV Line</t>
  </si>
  <si>
    <t>J1262</t>
  </si>
  <si>
    <t>Wayne County</t>
  </si>
  <si>
    <t>Waterman 120kV Substation</t>
  </si>
  <si>
    <t>J1263</t>
  </si>
  <si>
    <t>Casey  - Kansas West 345kV Line</t>
  </si>
  <si>
    <t>J1264</t>
  </si>
  <si>
    <t>Schoolcraft County</t>
  </si>
  <si>
    <t>Blaney Park - Engadine - Hiawatha - Alger - Munising 69kV Line</t>
  </si>
  <si>
    <t>J1265</t>
  </si>
  <si>
    <t>LaGrange County</t>
  </si>
  <si>
    <t>Wolcottville - South Milford 69kV Line</t>
  </si>
  <si>
    <t>J1266</t>
  </si>
  <si>
    <t>Marion County</t>
  </si>
  <si>
    <t>Kinmundy - Salem 138kV Line</t>
  </si>
  <si>
    <t>J1267</t>
  </si>
  <si>
    <t>Fisher  - Cherry Valley 161kV Line</t>
  </si>
  <si>
    <t>J1268</t>
  </si>
  <si>
    <t>Pike - Troy 161kV Line</t>
  </si>
  <si>
    <t>J1269</t>
  </si>
  <si>
    <t>Warrick County</t>
  </si>
  <si>
    <t>Elliott 69kV Substation</t>
  </si>
  <si>
    <t>J1270</t>
  </si>
  <si>
    <t>Palo Alto County</t>
  </si>
  <si>
    <t>Kossuth - O'Brien 345 kV Line Tap</t>
  </si>
  <si>
    <t>J1271</t>
  </si>
  <si>
    <t>Vanderburgh County</t>
  </si>
  <si>
    <t>Oak Grove 138kV Substation</t>
  </si>
  <si>
    <t>J1272</t>
  </si>
  <si>
    <t>Angel Mound 138kV Substation</t>
  </si>
  <si>
    <t>J1273</t>
  </si>
  <si>
    <t>Burr Oak - East Winnamac 138 kV Line Tap</t>
  </si>
  <si>
    <t>J1274</t>
  </si>
  <si>
    <t>Point 69kV Substation</t>
  </si>
  <si>
    <t>J1275</t>
  </si>
  <si>
    <t>Henderson County</t>
  </si>
  <si>
    <t>Henderson 161 kV Substation</t>
  </si>
  <si>
    <t>J1276</t>
  </si>
  <si>
    <t>J1277</t>
  </si>
  <si>
    <t>J1278</t>
  </si>
  <si>
    <t>Corrigan Bulk - Staley 138kV Line</t>
  </si>
  <si>
    <t>J1279</t>
  </si>
  <si>
    <t>Hardin County</t>
  </si>
  <si>
    <t>Rye - Cypress 138kV Line</t>
  </si>
  <si>
    <t>J1280</t>
  </si>
  <si>
    <t>Brinkley East - Clarendon 115kV Line</t>
  </si>
  <si>
    <t>J1281</t>
  </si>
  <si>
    <t>Ashley County</t>
  </si>
  <si>
    <t>Crossett - Monticello East 115kV Line</t>
  </si>
  <si>
    <t>J1282</t>
  </si>
  <si>
    <t>Beauregard Parish</t>
  </si>
  <si>
    <t>Cooper - Penton Road 230kV Line</t>
  </si>
  <si>
    <t>J1283</t>
  </si>
  <si>
    <t>White Bluff - Arsenal C and White Bluff - Arsenal D 115kV Line</t>
  </si>
  <si>
    <t>J1284</t>
  </si>
  <si>
    <t>Linn County</t>
  </si>
  <si>
    <t>Duane Arnold - Tiffin (MEC) 345 kV Line Tap</t>
  </si>
  <si>
    <t>J1285</t>
  </si>
  <si>
    <t>J1286</t>
  </si>
  <si>
    <t>Evangeline Parish</t>
  </si>
  <si>
    <t>Manuel 138 kV Substation</t>
  </si>
  <si>
    <t>J1287</t>
  </si>
  <si>
    <t>Tunica County</t>
  </si>
  <si>
    <t>Tunica - Crenshaw 115kV Line</t>
  </si>
  <si>
    <t>J1288</t>
  </si>
  <si>
    <t>Vermillion County</t>
  </si>
  <si>
    <t>Cayuga - Sugar Creek 345kVLine</t>
  </si>
  <si>
    <t>J1289</t>
  </si>
  <si>
    <t>Morgan County</t>
  </si>
  <si>
    <t>Turner - Austin 345kV Line</t>
  </si>
  <si>
    <t>J1290</t>
  </si>
  <si>
    <t>J1291</t>
  </si>
  <si>
    <t>Catahoula Parish</t>
  </si>
  <si>
    <t>Standard - Red Gum 115 kV Line Tap</t>
  </si>
  <si>
    <t>J1292</t>
  </si>
  <si>
    <t>Thompson Road 138kV Substation</t>
  </si>
  <si>
    <t>J1293</t>
  </si>
  <si>
    <t>Lee County</t>
  </si>
  <si>
    <t>Brinkley East - Moro 115 kV Line Tap</t>
  </si>
  <si>
    <t>J1294</t>
  </si>
  <si>
    <t>Indianola - Cleveland 115kV Line</t>
  </si>
  <si>
    <t>J1295</t>
  </si>
  <si>
    <t>Gibson - Francisco 345kV Line</t>
  </si>
  <si>
    <t>J1296</t>
  </si>
  <si>
    <t>Francisco 138kV Substation</t>
  </si>
  <si>
    <t>J1297</t>
  </si>
  <si>
    <t>Cornell - Bell Road 138 kV Line</t>
  </si>
  <si>
    <t>J1298</t>
  </si>
  <si>
    <t>Hayward - Murphy Creek 161kV Line</t>
  </si>
  <si>
    <t>J1299</t>
  </si>
  <si>
    <t>Miner - Kelso 161kV Line</t>
  </si>
  <si>
    <t>J1300</t>
  </si>
  <si>
    <t>Brewster - Elk 161kV Line</t>
  </si>
  <si>
    <t>J1301</t>
  </si>
  <si>
    <t>J1302</t>
  </si>
  <si>
    <t>Muddy - Norris City 138kV Line</t>
  </si>
  <si>
    <t>J1303</t>
  </si>
  <si>
    <t>Campbell Hill - Jackson 161kV Line</t>
  </si>
  <si>
    <t>J1304</t>
  </si>
  <si>
    <t>Paddock - Townline Road 138kV Line</t>
  </si>
  <si>
    <t>J1305</t>
  </si>
  <si>
    <t>Albany - Bass Creek 138kV Line</t>
  </si>
  <si>
    <t>J1306</t>
  </si>
  <si>
    <t>Perry County</t>
  </si>
  <si>
    <t>Commodore-Jordan 345kV Line</t>
  </si>
  <si>
    <t>J1307</t>
  </si>
  <si>
    <t>Oneida - Battle Creek 345kV Line</t>
  </si>
  <si>
    <t>J1308</t>
  </si>
  <si>
    <t>AB Brown - Gibson 345kV Line</t>
  </si>
  <si>
    <t>J1309</t>
  </si>
  <si>
    <t>Gillett 115 kV Substation</t>
  </si>
  <si>
    <t>J1310</t>
  </si>
  <si>
    <t>Blackstone - Marshall 138 kV Line</t>
  </si>
  <si>
    <t>J1311</t>
  </si>
  <si>
    <t>St. Clair County</t>
  </si>
  <si>
    <t>Fayetteville Bee Hollow Road 138 kV Substation</t>
  </si>
  <si>
    <t>J1312</t>
  </si>
  <si>
    <t>J1313</t>
  </si>
  <si>
    <t>Greene County</t>
  </si>
  <si>
    <t>161kV bus at Karma substation</t>
  </si>
  <si>
    <t>J1314</t>
  </si>
  <si>
    <t>DAIRYLAND POWER COOPERATIVE</t>
  </si>
  <si>
    <t>Apple River 161 kV Substation</t>
  </si>
  <si>
    <t>J1315</t>
  </si>
  <si>
    <t>Lyon County - Cedar Mountain 345 kV Line Tap</t>
  </si>
  <si>
    <t>J1316</t>
  </si>
  <si>
    <t>Kenosha County</t>
  </si>
  <si>
    <t>Paris 138 kV Substation</t>
  </si>
  <si>
    <t>J1317</t>
  </si>
  <si>
    <t>Bennet 120kV Substation</t>
  </si>
  <si>
    <t>J1318</t>
  </si>
  <si>
    <t>Rush County</t>
  </si>
  <si>
    <t>Rushville 69kV Substation</t>
  </si>
  <si>
    <t>J1319</t>
  </si>
  <si>
    <t>Huron County</t>
  </si>
  <si>
    <t>Rapson 120kV Substation</t>
  </si>
  <si>
    <t>J1320</t>
  </si>
  <si>
    <t>Coldwater - Batavia 138kV Line</t>
  </si>
  <si>
    <t>J1321</t>
  </si>
  <si>
    <t>Story County</t>
  </si>
  <si>
    <t>O'Brien - Kossuth 345 kV Line Tap</t>
  </si>
  <si>
    <t>J1322</t>
  </si>
  <si>
    <t>Battle Creek - Oneida 345kV Tap</t>
  </si>
  <si>
    <t>J1323</t>
  </si>
  <si>
    <t>Lagrange 138 kV Substation</t>
  </si>
  <si>
    <t>J1324</t>
  </si>
  <si>
    <t>Midway 138kV Substation</t>
  </si>
  <si>
    <t>J1325</t>
  </si>
  <si>
    <t>Magnolia 161 kV substation</t>
  </si>
  <si>
    <t>J1326</t>
  </si>
  <si>
    <t>J1327</t>
  </si>
  <si>
    <t>J1328</t>
  </si>
  <si>
    <t>Big Stone South 345kV Sub</t>
  </si>
  <si>
    <t>J1329</t>
  </si>
  <si>
    <t>J1330</t>
  </si>
  <si>
    <t>Baldwin 345kV Substation</t>
  </si>
  <si>
    <t>J1331</t>
  </si>
  <si>
    <t>ITC</t>
  </si>
  <si>
    <t>Greenwood 120 kV Substation</t>
  </si>
  <si>
    <t>J1332</t>
  </si>
  <si>
    <t>Rollin Schahfer - Lake George 345kV Line</t>
  </si>
  <si>
    <t>J1333</t>
  </si>
  <si>
    <t>Schahfer - Burr Oak 345kV Line</t>
  </si>
  <si>
    <t>J1334</t>
  </si>
  <si>
    <t>J1335</t>
  </si>
  <si>
    <t>J1336</t>
  </si>
  <si>
    <t>J1337</t>
  </si>
  <si>
    <t>Sherburne County</t>
  </si>
  <si>
    <t>Sherburne County 345 kV substation</t>
  </si>
  <si>
    <t>J1338</t>
  </si>
  <si>
    <t>Spencer Creek - Montgomery 345 kV Line Tap</t>
  </si>
  <si>
    <t>J1339</t>
  </si>
  <si>
    <t>J1340</t>
  </si>
  <si>
    <t>J1341</t>
  </si>
  <si>
    <t>Buchanan County</t>
  </si>
  <si>
    <t>Hazleton 345kV Substation</t>
  </si>
  <si>
    <t>J1342</t>
  </si>
  <si>
    <t>Starke County</t>
  </si>
  <si>
    <t>Starke 138kV Substation</t>
  </si>
  <si>
    <t>J1343</t>
  </si>
  <si>
    <t>Cerro Gordo County</t>
  </si>
  <si>
    <t>Emery - Lime Creek 161 kV Line Tap</t>
  </si>
  <si>
    <t>J1344</t>
  </si>
  <si>
    <t>Mills County</t>
  </si>
  <si>
    <t>Hastings 69 kV Substation</t>
  </si>
  <si>
    <t>J1345</t>
  </si>
  <si>
    <t>North Beaver Dam 69kV Substation</t>
  </si>
  <si>
    <t>J1346</t>
  </si>
  <si>
    <t>Brownstown 345kV Substation</t>
  </si>
  <si>
    <t>J1347</t>
  </si>
  <si>
    <t>Pelahatchie - Scott 115 kV Line Tap</t>
  </si>
  <si>
    <t>J1348</t>
  </si>
  <si>
    <t>Cayuga - Sugar Creek 345kV Line</t>
  </si>
  <si>
    <t>J1349</t>
  </si>
  <si>
    <t>Crandall 345 kV Substation</t>
  </si>
  <si>
    <t>Solar/Wind</t>
  </si>
  <si>
    <t>J1350</t>
  </si>
  <si>
    <t>Milan ‚Äì Monroe ‚Äì Morocco 345 kV Point</t>
  </si>
  <si>
    <t>J1351</t>
  </si>
  <si>
    <t>Madison Parish</t>
  </si>
  <si>
    <t>Tallulah - Delhi 115kV Line Tap</t>
  </si>
  <si>
    <t>J1352</t>
  </si>
  <si>
    <t>Spencer Creek - Montgomery 345kV Line</t>
  </si>
  <si>
    <t>J1353</t>
  </si>
  <si>
    <t>Green Acres138kV Subtation</t>
  </si>
  <si>
    <t>J1354</t>
  </si>
  <si>
    <t>Decatur County</t>
  </si>
  <si>
    <t>Decatur  County 138kV Switching Station</t>
  </si>
  <si>
    <t>J1355</t>
  </si>
  <si>
    <t>LaPorte County</t>
  </si>
  <si>
    <t>Stillwell 138kV Subtation</t>
  </si>
  <si>
    <t>J1356</t>
  </si>
  <si>
    <t>Martin County</t>
  </si>
  <si>
    <t>Whitfield 138kV Substation</t>
  </si>
  <si>
    <t>J1357</t>
  </si>
  <si>
    <t>Madison County</t>
  </si>
  <si>
    <t>Madison 138 KV SUBSTATION</t>
  </si>
  <si>
    <t>J1358</t>
  </si>
  <si>
    <t>Luchtman - Michigan City138kV Line</t>
  </si>
  <si>
    <t>J1359</t>
  </si>
  <si>
    <t>Oakridge 69 kV Substation</t>
  </si>
  <si>
    <t>J1360</t>
  </si>
  <si>
    <t>J1361</t>
  </si>
  <si>
    <t>Lagen Holton - Franklinton 115kV Line (J1184)</t>
  </si>
  <si>
    <t>J1362</t>
  </si>
  <si>
    <t>Muskegon County</t>
  </si>
  <si>
    <t>Kenowa - Ludington 345 kV Line Tap</t>
  </si>
  <si>
    <t>J1363</t>
  </si>
  <si>
    <t>J1364</t>
  </si>
  <si>
    <t>Marked Tree - Marion 161 kV Line tap</t>
  </si>
  <si>
    <t>J1365</t>
  </si>
  <si>
    <t>Tama County</t>
  </si>
  <si>
    <t>Traer 161-kV Substation</t>
  </si>
  <si>
    <t>J1366</t>
  </si>
  <si>
    <t>Eau Claire County</t>
  </si>
  <si>
    <t>Tremval - Seven Mile 161 kV Line Tap</t>
  </si>
  <si>
    <t>J1367</t>
  </si>
  <si>
    <t>Caneland 230kV Substation</t>
  </si>
  <si>
    <t>J1368</t>
  </si>
  <si>
    <t>Fancy Point - Waterloo 230 kV Line</t>
  </si>
  <si>
    <t>J1369</t>
  </si>
  <si>
    <t>Dubois County</t>
  </si>
  <si>
    <t>Dubois - Culley 138kV line</t>
  </si>
  <si>
    <t>J1370</t>
  </si>
  <si>
    <t>Chippewa County</t>
  </si>
  <si>
    <t>9 Mile SW STA - Dafter 69kV Line</t>
  </si>
  <si>
    <t>J1371</t>
  </si>
  <si>
    <t>Astoria 345kV Substation</t>
  </si>
  <si>
    <t>J1372</t>
  </si>
  <si>
    <t>Fancy Point - Waterloo 230 kV Line (J1368 POI)</t>
  </si>
  <si>
    <t>J1373</t>
  </si>
  <si>
    <t>J1374</t>
  </si>
  <si>
    <t>ATC Ebenezer Sub on Lancaster-Eden 138kv line</t>
  </si>
  <si>
    <t>J1375</t>
  </si>
  <si>
    <t>Du Pont - Cobb  -White Lake 138kv</t>
  </si>
  <si>
    <t>J1376</t>
  </si>
  <si>
    <t>Cooper County</t>
  </si>
  <si>
    <t>Barnett - Georgetown Overton 161 kV Line Tap</t>
  </si>
  <si>
    <t>J1377</t>
  </si>
  <si>
    <t>Wempletown - Rockdale 345kV Line Tap</t>
  </si>
  <si>
    <t>J1378</t>
  </si>
  <si>
    <t>Fountain County</t>
  </si>
  <si>
    <t>Veedersburg West 230 kV Substation</t>
  </si>
  <si>
    <t>J1379</t>
  </si>
  <si>
    <t>Eureka - Vestaburg 138 kV Line Tap</t>
  </si>
  <si>
    <t>J1380</t>
  </si>
  <si>
    <t>Cooper - Penton 230 kV Line</t>
  </si>
  <si>
    <t>J1381</t>
  </si>
  <si>
    <t>Howard County</t>
  </si>
  <si>
    <t>Greentown 230 kV substation</t>
  </si>
  <si>
    <t>J1382</t>
  </si>
  <si>
    <t>Hutsonville - Neoga 138 kV Line tap</t>
  </si>
  <si>
    <t>J1383</t>
  </si>
  <si>
    <t>Ipava 138 kV Substation</t>
  </si>
  <si>
    <t>J1384</t>
  </si>
  <si>
    <t>Ville Platte - West Fork 230 kV Line</t>
  </si>
  <si>
    <t>J1385</t>
  </si>
  <si>
    <t>Hendricks County</t>
  </si>
  <si>
    <t>Stilesville 138 kV Substation</t>
  </si>
  <si>
    <t>J1386</t>
  </si>
  <si>
    <t>Green Acres 138 kV Substation</t>
  </si>
  <si>
    <t>J1387</t>
  </si>
  <si>
    <t>Circuit 6958 69 kV Line Tap</t>
  </si>
  <si>
    <t>J1388</t>
  </si>
  <si>
    <t>Oakland City - Old Ben Coal 138 kV Line Tap</t>
  </si>
  <si>
    <t>J1389</t>
  </si>
  <si>
    <t>Saginaw County</t>
  </si>
  <si>
    <t>Murphy Station - Nelson Road 345 kV Line tap</t>
  </si>
  <si>
    <t>J1390</t>
  </si>
  <si>
    <t>Bartholomew County</t>
  </si>
  <si>
    <t>Gallagher Station - Columbus 230 kV Line Tap</t>
  </si>
  <si>
    <t>J1391</t>
  </si>
  <si>
    <t>Duff 138 kV Substation</t>
  </si>
  <si>
    <t>J1392</t>
  </si>
  <si>
    <t>J1393</t>
  </si>
  <si>
    <t>J1394</t>
  </si>
  <si>
    <t>Cornell - Layton138kV Line</t>
  </si>
  <si>
    <t>J1395</t>
  </si>
  <si>
    <t>Hawks Nest Lake - Lyon County 345 kV Line Tap</t>
  </si>
  <si>
    <t>J1396</t>
  </si>
  <si>
    <t>Ratts-Victory 161kV Line</t>
  </si>
  <si>
    <t>J1397</t>
  </si>
  <si>
    <t>Juneau County</t>
  </si>
  <si>
    <t>Whistling Wings 69 kV Substation</t>
  </si>
  <si>
    <t>J1398</t>
  </si>
  <si>
    <t>Ratts 161kV Substation</t>
  </si>
  <si>
    <t>J1399</t>
  </si>
  <si>
    <t>Delhi - Churchill - Tompkins  138kV Line</t>
  </si>
  <si>
    <t>J1400</t>
  </si>
  <si>
    <t>Marked Tree - Marion 161 kV Line Tap</t>
  </si>
  <si>
    <t>J1401</t>
  </si>
  <si>
    <t>Batavia - Wagner 138kV Line</t>
  </si>
  <si>
    <t>J1402</t>
  </si>
  <si>
    <t>Cash  - Newport AB161kV Line</t>
  </si>
  <si>
    <t>J1403</t>
  </si>
  <si>
    <t>Marquette 138 kV Substation</t>
  </si>
  <si>
    <t>J1404</t>
  </si>
  <si>
    <t>Drew 115kV Substation</t>
  </si>
  <si>
    <t>J1405</t>
  </si>
  <si>
    <t>Sanborn - Linton 138 kV Line Tap</t>
  </si>
  <si>
    <t>J1406</t>
  </si>
  <si>
    <t>J1407</t>
  </si>
  <si>
    <t>Porter County</t>
  </si>
  <si>
    <t>South Valparaiso 138 kV Substation</t>
  </si>
  <si>
    <t>J1408</t>
  </si>
  <si>
    <t>Macoupin County</t>
  </si>
  <si>
    <t>Virden 138kV Substation</t>
  </si>
  <si>
    <t>Solar/Wind/Battery</t>
  </si>
  <si>
    <t>J1409</t>
  </si>
  <si>
    <t>J1410</t>
  </si>
  <si>
    <t>N. Madison 345 kV Substation</t>
  </si>
  <si>
    <t>J1411</t>
  </si>
  <si>
    <t>J1412</t>
  </si>
  <si>
    <t>Lake George - Schahfer GEN STA 345 kV Line Tap</t>
  </si>
  <si>
    <t>J1413</t>
  </si>
  <si>
    <t>Hazleton - Mitchell County 345 kV Line tap</t>
  </si>
  <si>
    <t>J1414</t>
  </si>
  <si>
    <t>J1415</t>
  </si>
  <si>
    <t>J1416</t>
  </si>
  <si>
    <t>Worth County - Glenworth 161 kV Line tap</t>
  </si>
  <si>
    <t>J1417</t>
  </si>
  <si>
    <t>J1418</t>
  </si>
  <si>
    <t>Pulaski County</t>
  </si>
  <si>
    <t>Joppa-Joppa North Bus 161kV Substation</t>
  </si>
  <si>
    <t>J1419</t>
  </si>
  <si>
    <t>Edwardsport - Amo 345 kV Line Tap</t>
  </si>
  <si>
    <t>J1420</t>
  </si>
  <si>
    <t>Rock Island County</t>
  </si>
  <si>
    <t>Sub #107 69 kV Substation</t>
  </si>
  <si>
    <t>J1421</t>
  </si>
  <si>
    <t>Moler 230 kV Substation</t>
  </si>
  <si>
    <t>J1422</t>
  </si>
  <si>
    <t>Edwards County</t>
  </si>
  <si>
    <t>Albion - Olney 138 kV Line Tap</t>
  </si>
  <si>
    <t>J1423</t>
  </si>
  <si>
    <t>Ottawa County</t>
  </si>
  <si>
    <t>Campbell - Blendon 138kV Line</t>
  </si>
  <si>
    <t>J1424</t>
  </si>
  <si>
    <t>CLECO POWER LLC CLEC</t>
  </si>
  <si>
    <t>J1425</t>
  </si>
  <si>
    <t>NRIS-Only</t>
  </si>
  <si>
    <t>Pine Bluff International Paper 115 kV substation</t>
  </si>
  <si>
    <t>J1426</t>
  </si>
  <si>
    <t>Benton County 115kV Substation</t>
  </si>
  <si>
    <t>J1427</t>
  </si>
  <si>
    <t>Duane Arnold 345kV Substation</t>
  </si>
  <si>
    <t>J1428</t>
  </si>
  <si>
    <t>Buffalo 345kV Substation</t>
  </si>
  <si>
    <t>J1429</t>
  </si>
  <si>
    <t>Whistiling Wings 69 kV Substation</t>
  </si>
  <si>
    <t>J1430</t>
  </si>
  <si>
    <t>Verona - Foundary 138kV Line</t>
  </si>
  <si>
    <t>J1431</t>
  </si>
  <si>
    <t>J1432</t>
  </si>
  <si>
    <t>Salem  - Rock Creek 345kV Line</t>
  </si>
  <si>
    <t>J1433</t>
  </si>
  <si>
    <t>Lagen Holton-Franklinton 115kV (J1184)</t>
  </si>
  <si>
    <t>J1434</t>
  </si>
  <si>
    <t>J907 230kV Sub, Brinkley East - Aubrey 230 kV Line</t>
  </si>
  <si>
    <t>J1435</t>
  </si>
  <si>
    <t>Dubuque County</t>
  </si>
  <si>
    <t>Center Grove 161kV Substation</t>
  </si>
  <si>
    <t>J1436</t>
  </si>
  <si>
    <t>Morehouse Parish</t>
  </si>
  <si>
    <t>Oak Ridge 115 kV Substation</t>
  </si>
  <si>
    <t>J1437</t>
  </si>
  <si>
    <t>ARKANSAS ELECTRIC COOPERATIVE CORPORATION</t>
  </si>
  <si>
    <t>Carroll County</t>
  </si>
  <si>
    <t>AECC Dry Creek 161kV Switchyard Station</t>
  </si>
  <si>
    <t>J1438</t>
  </si>
  <si>
    <t>Fayette County</t>
  </si>
  <si>
    <t>Windsor - Hazelton 161kV Line</t>
  </si>
  <si>
    <t>J1439</t>
  </si>
  <si>
    <t>Lula - Tunica 115 kV Line</t>
  </si>
  <si>
    <t>J1440</t>
  </si>
  <si>
    <t>ENTERGY MISSISSIPPI, LLC EMMP</t>
  </si>
  <si>
    <t>J1441</t>
  </si>
  <si>
    <t>Terrebonne Parish</t>
  </si>
  <si>
    <t>Schriever 230 kV Substation</t>
  </si>
  <si>
    <t>J1442</t>
  </si>
  <si>
    <t>Rich (SHECO) - Livingston 138 kV Line Tap</t>
  </si>
  <si>
    <t>J1443</t>
  </si>
  <si>
    <t>Texas Eastern F SS - Strong SS 115 kV Line Tap</t>
  </si>
  <si>
    <t>J1444</t>
  </si>
  <si>
    <t>J1445</t>
  </si>
  <si>
    <t>Mayhew Lake 115kV Substation</t>
  </si>
  <si>
    <t>J1446</t>
  </si>
  <si>
    <t>Wright County</t>
  </si>
  <si>
    <t>Lake Pulaski 115kV Substation</t>
  </si>
  <si>
    <t>J1447</t>
  </si>
  <si>
    <t>Schahfer - Green Acres 345kV Line</t>
  </si>
  <si>
    <t>J1448</t>
  </si>
  <si>
    <t>Caldwell County</t>
  </si>
  <si>
    <t>Hopkins - Caldwell County - Barkely 161kV Line</t>
  </si>
  <si>
    <t>J1449</t>
  </si>
  <si>
    <t>Morocco 138kV Substation</t>
  </si>
  <si>
    <t>J1450</t>
  </si>
  <si>
    <t>BIG RIVERS ELECTRIC CORPORATION BRPS</t>
  </si>
  <si>
    <t>Webster County</t>
  </si>
  <si>
    <t>Hopkins - Reid161kV Line</t>
  </si>
  <si>
    <t>J1451</t>
  </si>
  <si>
    <t>J1452</t>
  </si>
  <si>
    <t>Red River Parish</t>
  </si>
  <si>
    <t>Carroll - Mansfield 138 kV Line Tap</t>
  </si>
  <si>
    <t>J1453</t>
  </si>
  <si>
    <t>Havana - Shockey 138 kV Line Tap</t>
  </si>
  <si>
    <t>J1454</t>
  </si>
  <si>
    <t>Mason 138 kV Substation</t>
  </si>
  <si>
    <t>J1455</t>
  </si>
  <si>
    <t>Teche - Morbihan 138kV Line</t>
  </si>
  <si>
    <t>J1456</t>
  </si>
  <si>
    <t>Sheridan County</t>
  </si>
  <si>
    <t>Harvey - Underwood 230 kV Line Tap</t>
  </si>
  <si>
    <t>J1457</t>
  </si>
  <si>
    <t>Sugar Creek - Cayuga 345 kV Line Tap</t>
  </si>
  <si>
    <t>J1458</t>
  </si>
  <si>
    <t>Ray Braswell - Tinnin - Gerald Andrus 230kV Line</t>
  </si>
  <si>
    <t>J1459</t>
  </si>
  <si>
    <t>Argenta - Tompkins 345 kV Line Tap</t>
  </si>
  <si>
    <t>J1460</t>
  </si>
  <si>
    <t>Sunrise 138 kV Substation</t>
  </si>
  <si>
    <t>J1461</t>
  </si>
  <si>
    <t>Carver County</t>
  </si>
  <si>
    <t>McLeod - Blue Lake 230kV Line</t>
  </si>
  <si>
    <t>J1462</t>
  </si>
  <si>
    <t>Acadia - Scanlan 138kV Line</t>
  </si>
  <si>
    <t>J1463</t>
  </si>
  <si>
    <t>West Baton Rouge Parish</t>
  </si>
  <si>
    <t>Addis - Big Cajun 230 kV Line Tap (J639)</t>
  </si>
  <si>
    <t>J1464</t>
  </si>
  <si>
    <t>Meredosia - Austin 345 kV Line tap</t>
  </si>
  <si>
    <t>J1465</t>
  </si>
  <si>
    <t>Livonia - Colonial Springs 138kV line</t>
  </si>
  <si>
    <t>J1466</t>
  </si>
  <si>
    <t>Reid EHV 161 kV Substation</t>
  </si>
  <si>
    <t>J1467</t>
  </si>
  <si>
    <t>ITC 161kV Windsor - Hazleton 161kV Line</t>
  </si>
  <si>
    <t>J1468</t>
  </si>
  <si>
    <t>West Hastings 115kV Substation</t>
  </si>
  <si>
    <t>J1469</t>
  </si>
  <si>
    <t>Marion - Marked Tree 161kV Line</t>
  </si>
  <si>
    <t>J1470</t>
  </si>
  <si>
    <t>Cayuga CT 345kV Substation</t>
  </si>
  <si>
    <t>J1471</t>
  </si>
  <si>
    <t>ITC 161kV Wever Substation</t>
  </si>
  <si>
    <t>J1472</t>
  </si>
  <si>
    <t>Leoni - Parr Raod 138kV line</t>
  </si>
  <si>
    <t>J1473</t>
  </si>
  <si>
    <t>Lawrence Creek - Shafer 115kV Line</t>
  </si>
  <si>
    <t>J1474</t>
  </si>
  <si>
    <t>Pine Lake - Eagle Point 115kV Line</t>
  </si>
  <si>
    <t>J1475</t>
  </si>
  <si>
    <t>Casey West - Sullivan 345 kV Line Tap</t>
  </si>
  <si>
    <t>J1476</t>
  </si>
  <si>
    <t>Creston East 69 kV Substation (J1132)</t>
  </si>
  <si>
    <t>J1477</t>
  </si>
  <si>
    <t>Sub 56 161 kV Substation (J1131)</t>
  </si>
  <si>
    <t>J1478</t>
  </si>
  <si>
    <t>Huntwoods 69 kV substation (J1135)</t>
  </si>
  <si>
    <t>J1479</t>
  </si>
  <si>
    <t>Burlington 161 kV Substation</t>
  </si>
  <si>
    <t>J1480</t>
  </si>
  <si>
    <t>Black Hawk County</t>
  </si>
  <si>
    <t>Shawlis - Electric Farms 161kV Line</t>
  </si>
  <si>
    <t>J1481</t>
  </si>
  <si>
    <t>J1482</t>
  </si>
  <si>
    <t>Monticello - Springboro 138 kV Line Tap</t>
  </si>
  <si>
    <t>J1483</t>
  </si>
  <si>
    <t>Iowa County</t>
  </si>
  <si>
    <t>Hill Valley 345 kV Substation</t>
  </si>
  <si>
    <t>J1484</t>
  </si>
  <si>
    <t>J1485</t>
  </si>
  <si>
    <t>OTTER TAIL POWER COMPANY OTPW</t>
  </si>
  <si>
    <t>Deuel County</t>
  </si>
  <si>
    <t>Astoria 345 kV Substation (J493/J510)</t>
  </si>
  <si>
    <t>J1486</t>
  </si>
  <si>
    <t>Waupaca County</t>
  </si>
  <si>
    <t>Harrison North 138kV Substation</t>
  </si>
  <si>
    <t>J1487</t>
  </si>
  <si>
    <t>Freeborn 161kV substation</t>
  </si>
  <si>
    <t>J1488</t>
  </si>
  <si>
    <t>AMEREN MISSOURI</t>
  </si>
  <si>
    <t>McCredie - Montgomery 345 kV Line Tap</t>
  </si>
  <si>
    <t>J1489</t>
  </si>
  <si>
    <t>Maywood - Spencer Creek 345 kV Line Tap</t>
  </si>
  <si>
    <t>J1490</t>
  </si>
  <si>
    <t>J1491</t>
  </si>
  <si>
    <t>INDIANAPOLIS POWER &amp; LIGHT COMPANY</t>
  </si>
  <si>
    <t>Marion</t>
  </si>
  <si>
    <t>DPP-2020</t>
  </si>
  <si>
    <t>IPL EW Stout North  Yard 138 kV Substation</t>
  </si>
  <si>
    <t>J1492</t>
  </si>
  <si>
    <t>Kent</t>
  </si>
  <si>
    <t>Gaines 138kV</t>
  </si>
  <si>
    <t>J1493</t>
  </si>
  <si>
    <t>Hubbard</t>
  </si>
  <si>
    <t>Hubbard 115kV</t>
  </si>
  <si>
    <t>J1494</t>
  </si>
  <si>
    <t>Chisago</t>
  </si>
  <si>
    <t>Chisago 115kV</t>
  </si>
  <si>
    <t>J1495</t>
  </si>
  <si>
    <t>Goodhue</t>
  </si>
  <si>
    <t>North Rochester 161kV</t>
  </si>
  <si>
    <t>J1496</t>
  </si>
  <si>
    <t>SOUTHERN MINNESOTA MUNICIPAL POWER AGENCY</t>
  </si>
  <si>
    <t>Olmsted</t>
  </si>
  <si>
    <t>Byron 161kV</t>
  </si>
  <si>
    <t>J1497</t>
  </si>
  <si>
    <t>AMERICAN TRANSMISSION COMPANY</t>
  </si>
  <si>
    <t>Jefferson</t>
  </si>
  <si>
    <t>Concord 138 kV</t>
  </si>
  <si>
    <t>J1498</t>
  </si>
  <si>
    <t>Murray</t>
  </si>
  <si>
    <t>Chanarambie 115 kV Substation</t>
  </si>
  <si>
    <t>J1499</t>
  </si>
  <si>
    <t>Union</t>
  </si>
  <si>
    <t>El Dorado East - Sterlington 115 kV</t>
  </si>
  <si>
    <t>J1500</t>
  </si>
  <si>
    <t>George</t>
  </si>
  <si>
    <t>SE Greene Co 230kV substation</t>
  </si>
  <si>
    <t>J1501</t>
  </si>
  <si>
    <t>Sangamon</t>
  </si>
  <si>
    <t>Auburn North 138kV</t>
  </si>
  <si>
    <t>J1502</t>
  </si>
  <si>
    <t>DAIRYLAND POWER COOPERATIVE DPC</t>
  </si>
  <si>
    <t>Juneau</t>
  </si>
  <si>
    <t>Briggs Road - North Madison 345.0kV</t>
  </si>
  <si>
    <t>J1503</t>
  </si>
  <si>
    <t>Faribault</t>
  </si>
  <si>
    <t>Huntley</t>
  </si>
  <si>
    <t>J1504</t>
  </si>
  <si>
    <t>J1505</t>
  </si>
  <si>
    <t>Washington</t>
  </si>
  <si>
    <t>Talisheek - Bogalusa 230 kV Line</t>
  </si>
  <si>
    <t>J1506</t>
  </si>
  <si>
    <t>Barkers Corner - Bogalusa 230 kV Line</t>
  </si>
  <si>
    <t>J1507</t>
  </si>
  <si>
    <t>J1508</t>
  </si>
  <si>
    <t>Marathon</t>
  </si>
  <si>
    <t>B-54 Wien to McMillan 115KV</t>
  </si>
  <si>
    <t>J1509</t>
  </si>
  <si>
    <t>ENTERGY MISSISSIPPI, LLC.</t>
  </si>
  <si>
    <t>Leflore</t>
  </si>
  <si>
    <t>Greenwood - Pickens 115 kV</t>
  </si>
  <si>
    <t>J1510</t>
  </si>
  <si>
    <t>Wood</t>
  </si>
  <si>
    <t>Arpin 345kV</t>
  </si>
  <si>
    <t>J1511</t>
  </si>
  <si>
    <t>Scandia to Lawrence Creek 69kV</t>
  </si>
  <si>
    <t>J1512</t>
  </si>
  <si>
    <t>Lafayette</t>
  </si>
  <si>
    <t>Darlington 138KV</t>
  </si>
  <si>
    <t>J1513</t>
  </si>
  <si>
    <t>Waupaca</t>
  </si>
  <si>
    <t>Clintonville</t>
  </si>
  <si>
    <t>J1514</t>
  </si>
  <si>
    <t>ENTERGY ARKANSAS, LLC EATO</t>
  </si>
  <si>
    <t>Mississippi</t>
  </si>
  <si>
    <t>Driver 203kV  Substation</t>
  </si>
  <si>
    <t>J1515</t>
  </si>
  <si>
    <t>Midland</t>
  </si>
  <si>
    <t>Tittabawassee  to Murphy 345kV</t>
  </si>
  <si>
    <t>J1516</t>
  </si>
  <si>
    <t>St. Clair</t>
  </si>
  <si>
    <t>Fitz  120kV</t>
  </si>
  <si>
    <t>J1517</t>
  </si>
  <si>
    <t>Vermillion</t>
  </si>
  <si>
    <t>Hillsdale North 230 kV</t>
  </si>
  <si>
    <t>J1518</t>
  </si>
  <si>
    <t>Hillsdale North</t>
  </si>
  <si>
    <t>J1519</t>
  </si>
  <si>
    <t>Bollinger</t>
  </si>
  <si>
    <t>St. Francois to Lutesville 345 kV</t>
  </si>
  <si>
    <t>J1520</t>
  </si>
  <si>
    <t>Worth</t>
  </si>
  <si>
    <t>Other_</t>
  </si>
  <si>
    <t>J1521</t>
  </si>
  <si>
    <t>Day</t>
  </si>
  <si>
    <t>Big Stone to Ellendale (BS3ELR) 345kV (J933)</t>
  </si>
  <si>
    <t>J1522</t>
  </si>
  <si>
    <t>Muskegon</t>
  </si>
  <si>
    <t>Grassmere 345kV</t>
  </si>
  <si>
    <t>J1523</t>
  </si>
  <si>
    <t>J1524</t>
  </si>
  <si>
    <t>Pipestone</t>
  </si>
  <si>
    <t>Buffalo Ridge to Pipestone 115kV</t>
  </si>
  <si>
    <t>J1525</t>
  </si>
  <si>
    <t>Huron</t>
  </si>
  <si>
    <t>GRASSMERE</t>
  </si>
  <si>
    <t>J1526</t>
  </si>
  <si>
    <t>Greenwood 345kV</t>
  </si>
  <si>
    <t>J1527</t>
  </si>
  <si>
    <t>Ottawa</t>
  </si>
  <si>
    <t>Kenowa 345kV</t>
  </si>
  <si>
    <t>J1528</t>
  </si>
  <si>
    <t>Dunn</t>
  </si>
  <si>
    <t>EAU CLAIRE (ENDPOINT A) TO AS KING (ENDPOINT B) 345 KV</t>
  </si>
  <si>
    <t>J1529</t>
  </si>
  <si>
    <t>MIDAMERICAN ENERGY CO. MEC</t>
  </si>
  <si>
    <t>Carroll</t>
  </si>
  <si>
    <t>Tap Carroll (635320) - Auburn (635328) 69 kV line at about midpoint</t>
  </si>
  <si>
    <t>J1530</t>
  </si>
  <si>
    <t>Mills</t>
  </si>
  <si>
    <t>Tap Hastings (635033) - Macedonia (635069) 69 kV line at about midpoint</t>
  </si>
  <si>
    <t>J1531</t>
  </si>
  <si>
    <t>Sherburne</t>
  </si>
  <si>
    <t>Sheroc Substation 345kV</t>
  </si>
  <si>
    <t>J1532</t>
  </si>
  <si>
    <t>Page</t>
  </si>
  <si>
    <t>Clarinda-Coburg 69 kV</t>
  </si>
  <si>
    <t>J1533</t>
  </si>
  <si>
    <t>MIDAMERICAN ENERGY CO.</t>
  </si>
  <si>
    <t>Adams</t>
  </si>
  <si>
    <t>Creston-Adams County 161kV</t>
  </si>
  <si>
    <t>J1534</t>
  </si>
  <si>
    <t>Byron</t>
  </si>
  <si>
    <t>J1535</t>
  </si>
  <si>
    <t>Knox</t>
  </si>
  <si>
    <t>Edwardsport - Peabody Tap 138 kV Line</t>
  </si>
  <si>
    <t>J1536</t>
  </si>
  <si>
    <t>Isabella</t>
  </si>
  <si>
    <t>Summerton (1) 138 kV</t>
  </si>
  <si>
    <t>J1537</t>
  </si>
  <si>
    <t>Genesee</t>
  </si>
  <si>
    <t>Thetford #1  - Dort 138kV T-Line</t>
  </si>
  <si>
    <t>J1538</t>
  </si>
  <si>
    <t>Livingston</t>
  </si>
  <si>
    <t>Hammond - Coly 230 kV</t>
  </si>
  <si>
    <t>J1539</t>
  </si>
  <si>
    <t>West Baton Rouge</t>
  </si>
  <si>
    <t>J683 POI 138 kV</t>
  </si>
  <si>
    <t>J1540</t>
  </si>
  <si>
    <t>Cass</t>
  </si>
  <si>
    <t>Bison-Alexandria 345kV</t>
  </si>
  <si>
    <t>J1541</t>
  </si>
  <si>
    <t>Calcasieu</t>
  </si>
  <si>
    <t>Donaldsonville 230kV</t>
  </si>
  <si>
    <t>J1542</t>
  </si>
  <si>
    <t>ENTERGY LOUISIANA, LLC ELTO</t>
  </si>
  <si>
    <t>St. James</t>
  </si>
  <si>
    <t>Thibodaux - Vacherie 230kV</t>
  </si>
  <si>
    <t>J1543</t>
  </si>
  <si>
    <t>Grand Traverse</t>
  </si>
  <si>
    <t>Ludington to Keystone 345kV</t>
  </si>
  <si>
    <t>J1544</t>
  </si>
  <si>
    <t>Morton</t>
  </si>
  <si>
    <t>Mandan BN-Northwest Mandan 115kV Line</t>
  </si>
  <si>
    <t>J1545</t>
  </si>
  <si>
    <t>Morehouse</t>
  </si>
  <si>
    <t>Crossett North to North Bastrop 115 kV</t>
  </si>
  <si>
    <t>J1546</t>
  </si>
  <si>
    <t>Monroe</t>
  </si>
  <si>
    <t>Milan - Monroe 345 kV</t>
  </si>
  <si>
    <t>J1547</t>
  </si>
  <si>
    <t>Franklin</t>
  </si>
  <si>
    <t>Killdeer to Blackhawk 345kV Line Tap</t>
  </si>
  <si>
    <t>J1548</t>
  </si>
  <si>
    <t>Putnam</t>
  </si>
  <si>
    <t>Amo-Edwardsport IGCC 345kV</t>
  </si>
  <si>
    <t>J1549</t>
  </si>
  <si>
    <t>Clinton</t>
  </si>
  <si>
    <t>Rock Creek-DeWitt 161kV line</t>
  </si>
  <si>
    <t>J1550</t>
  </si>
  <si>
    <t>Branch</t>
  </si>
  <si>
    <t>BARTON LAKE - BATAVIA 138.0kV</t>
  </si>
  <si>
    <t>J1551</t>
  </si>
  <si>
    <t>J1552</t>
  </si>
  <si>
    <t>Jackson</t>
  </si>
  <si>
    <t>Blackstone to Marshall 138kV (J1310 POI)</t>
  </si>
  <si>
    <t>J1553</t>
  </si>
  <si>
    <t>BINGHAM</t>
  </si>
  <si>
    <t>J1554</t>
  </si>
  <si>
    <t>Ionia</t>
  </si>
  <si>
    <t>American Bumper Junction to David Junction 138Kv</t>
  </si>
  <si>
    <t>J1555</t>
  </si>
  <si>
    <t>Hillsdale</t>
  </si>
  <si>
    <t>Moore Road Substation 138kV</t>
  </si>
  <si>
    <t>J1556</t>
  </si>
  <si>
    <t>Northern Fibre 138kV</t>
  </si>
  <si>
    <t>J1557</t>
  </si>
  <si>
    <t>Sanilac</t>
  </si>
  <si>
    <t>GREENWOOD - RAPSON (BANNER) 345.0kV</t>
  </si>
  <si>
    <t>J1558</t>
  </si>
  <si>
    <t>Pope</t>
  </si>
  <si>
    <t>MORELAND</t>
  </si>
  <si>
    <t>J1559</t>
  </si>
  <si>
    <t>Conway</t>
  </si>
  <si>
    <t>Morrilton East Substation (161kV bus)</t>
  </si>
  <si>
    <t>J1560</t>
  </si>
  <si>
    <t>Iberia</t>
  </si>
  <si>
    <t>Patoutville Substation (138kV bus)</t>
  </si>
  <si>
    <t>J1561</t>
  </si>
  <si>
    <t>Acadia</t>
  </si>
  <si>
    <t>Richard 138kV</t>
  </si>
  <si>
    <t>J1562</t>
  </si>
  <si>
    <t>BLYTHEVILLE I-55 - AECC BLYTHEVILLE NORTH 161.0kV</t>
  </si>
  <si>
    <t>J1563</t>
  </si>
  <si>
    <t>Whitesville - Wabash River 230kV line</t>
  </si>
  <si>
    <t>J1564</t>
  </si>
  <si>
    <t>J1565</t>
  </si>
  <si>
    <t>Lawrence</t>
  </si>
  <si>
    <t>Bedford - Columbus 345kV line (Line #34517)</t>
  </si>
  <si>
    <t>J1566</t>
  </si>
  <si>
    <t>Martin</t>
  </si>
  <si>
    <t>Rutland</t>
  </si>
  <si>
    <t>J1567</t>
  </si>
  <si>
    <t>Outagamie</t>
  </si>
  <si>
    <t>Werber W -  Hiway 22 345 kV line</t>
  </si>
  <si>
    <t>J1568</t>
  </si>
  <si>
    <t>Renville</t>
  </si>
  <si>
    <t>Franklin 115kV</t>
  </si>
  <si>
    <t>J1569</t>
  </si>
  <si>
    <t>Pierce</t>
  </si>
  <si>
    <t>Red Wing to Herbert 69kV (Redwing - Bay City - Esdaile - Herbert)</t>
  </si>
  <si>
    <t>J1570</t>
  </si>
  <si>
    <t>Rock</t>
  </si>
  <si>
    <t>Magnolia 161 kV</t>
  </si>
  <si>
    <t>J1571</t>
  </si>
  <si>
    <t>Lenawee</t>
  </si>
  <si>
    <t>MOROCCO</t>
  </si>
  <si>
    <t>J1572</t>
  </si>
  <si>
    <t>Huntley to Blue Earth 161kV</t>
  </si>
  <si>
    <t>J1573</t>
  </si>
  <si>
    <t>Portage</t>
  </si>
  <si>
    <t>Plover</t>
  </si>
  <si>
    <t>J1574</t>
  </si>
  <si>
    <t>West Carroll</t>
  </si>
  <si>
    <t>Darnell 115kV</t>
  </si>
  <si>
    <t>J1575</t>
  </si>
  <si>
    <t>OTTER TAIL POWER COMPANY OTP</t>
  </si>
  <si>
    <t>Marshall</t>
  </si>
  <si>
    <t>115 kV transmission line from Warsaw to Donaldson owned by Otter Tail Power Company</t>
  </si>
  <si>
    <t>J1576</t>
  </si>
  <si>
    <t>Angie to Adams Creek 230 kV</t>
  </si>
  <si>
    <t>J1577</t>
  </si>
  <si>
    <t>Grant</t>
  </si>
  <si>
    <t>HARDIN WEST SS - SHERIDAN 115.0kV</t>
  </si>
  <si>
    <t>J1578</t>
  </si>
  <si>
    <t>Bartholomew</t>
  </si>
  <si>
    <t>Columbus -Greenwood Clark Twp 230kV line (Circuit ID 23019)</t>
  </si>
  <si>
    <t>J1579</t>
  </si>
  <si>
    <t>Edwards</t>
  </si>
  <si>
    <t>Albion-Crossville 138kV Line</t>
  </si>
  <si>
    <t>J1580</t>
  </si>
  <si>
    <t>Cobb - Archer Junction  138kV #2</t>
  </si>
  <si>
    <t>J1581</t>
  </si>
  <si>
    <t>Nobles</t>
  </si>
  <si>
    <t>NOBLES COUNTY</t>
  </si>
  <si>
    <t>J1582</t>
  </si>
  <si>
    <t>St. Croix</t>
  </si>
  <si>
    <t>Pine Lake to Three Lakes 115 kV</t>
  </si>
  <si>
    <t>J1583</t>
  </si>
  <si>
    <t>Iberville</t>
  </si>
  <si>
    <t>Donaldsonville - Evergreen 230kV</t>
  </si>
  <si>
    <t>J1584</t>
  </si>
  <si>
    <t>Toomey  138kV</t>
  </si>
  <si>
    <t>J1585</t>
  </si>
  <si>
    <t>Moniteau</t>
  </si>
  <si>
    <t>Apache Tap - Barnett 161kV line</t>
  </si>
  <si>
    <t>J1586</t>
  </si>
  <si>
    <t>Calhoun</t>
  </si>
  <si>
    <t>Argenta to Tompkins 345kV line</t>
  </si>
  <si>
    <t>J1587</t>
  </si>
  <si>
    <t>Du Pont to Cobb 138 KV (J1375 POI)</t>
  </si>
  <si>
    <t>J1588</t>
  </si>
  <si>
    <t>BISON</t>
  </si>
  <si>
    <t>J1589</t>
  </si>
  <si>
    <t>Hubbardston - Tech Drive 138kV</t>
  </si>
  <si>
    <t>J1590</t>
  </si>
  <si>
    <t>Plymouth</t>
  </si>
  <si>
    <t>REMSEN TOWNSHIP</t>
  </si>
  <si>
    <t>J1591</t>
  </si>
  <si>
    <t>Clay</t>
  </si>
  <si>
    <t>Staunton 138kV</t>
  </si>
  <si>
    <t>J1592</t>
  </si>
  <si>
    <t>MORRILTON EAST - Atkins 161 kV</t>
  </si>
  <si>
    <t>J1593</t>
  </si>
  <si>
    <t>Rush</t>
  </si>
  <si>
    <t>Greensboro-Gwynneville 345kV</t>
  </si>
  <si>
    <t>J1594</t>
  </si>
  <si>
    <t>Clark</t>
  </si>
  <si>
    <t>Big Stone to Ellendale 345 kV</t>
  </si>
  <si>
    <t>J1595</t>
  </si>
  <si>
    <t>St. Martin</t>
  </si>
  <si>
    <t>Kirk 138kV</t>
  </si>
  <si>
    <t>J1596</t>
  </si>
  <si>
    <t>Waushara</t>
  </si>
  <si>
    <t>Sand Lake 138kV</t>
  </si>
  <si>
    <t>J1597</t>
  </si>
  <si>
    <t>Wadena</t>
  </si>
  <si>
    <t>Wing River Substation 230kV</t>
  </si>
  <si>
    <t>J1598</t>
  </si>
  <si>
    <t>Goos Ferry</t>
  </si>
  <si>
    <t>J1599</t>
  </si>
  <si>
    <t>Morbihan - Hopkins 138kV</t>
  </si>
  <si>
    <t>J1600</t>
  </si>
  <si>
    <t>Meade</t>
  </si>
  <si>
    <t>Flaherty Tap to Custer 69kV</t>
  </si>
  <si>
    <t>J1601</t>
  </si>
  <si>
    <t>Merom - Gibson Station Tap 345 kV Line</t>
  </si>
  <si>
    <t>J1602</t>
  </si>
  <si>
    <t>Ouachita</t>
  </si>
  <si>
    <t>Rilla 115kV substation (Same as J1239)</t>
  </si>
  <si>
    <t>J1603</t>
  </si>
  <si>
    <t>Otsego</t>
  </si>
  <si>
    <t>Vantyle 138kV</t>
  </si>
  <si>
    <t>J1604</t>
  </si>
  <si>
    <t>HENDERSON UTILITY COMM DBA HENDERSON MUNICIPAL POWER AND LIGHT</t>
  </si>
  <si>
    <t>Henderson</t>
  </si>
  <si>
    <t>HMPL Sub No.7</t>
  </si>
  <si>
    <t>J1605</t>
  </si>
  <si>
    <t>SHERBURNE CO</t>
  </si>
  <si>
    <t>J1606</t>
  </si>
  <si>
    <t>Fountain</t>
  </si>
  <si>
    <t>Attica 230kV Substation</t>
  </si>
  <si>
    <t>J1607</t>
  </si>
  <si>
    <t>Hardin West SS to Sheridan 115 kV</t>
  </si>
  <si>
    <t>J1608</t>
  </si>
  <si>
    <t>Ingham</t>
  </si>
  <si>
    <t>Tihart to Lovejoy Junction  138kv</t>
  </si>
  <si>
    <t>J1609</t>
  </si>
  <si>
    <t>St. Joseph</t>
  </si>
  <si>
    <t>Simpson 138kV</t>
  </si>
  <si>
    <t>J1610</t>
  </si>
  <si>
    <t>CITY WATER LIGHT &amp; POWER</t>
  </si>
  <si>
    <t>Auburn North to Chatham Main 138kV</t>
  </si>
  <si>
    <t>J1611</t>
  </si>
  <si>
    <t>MINNESOTA POWER INC.</t>
  </si>
  <si>
    <t>Morrison</t>
  </si>
  <si>
    <t>Langdon 115 kV Sub</t>
  </si>
  <si>
    <t>J1612</t>
  </si>
  <si>
    <t>J1613</t>
  </si>
  <si>
    <t>Bison Substation 345 kV</t>
  </si>
  <si>
    <t>J1614</t>
  </si>
  <si>
    <t>White Road - Four Mile 138kV line</t>
  </si>
  <si>
    <t>J1615</t>
  </si>
  <si>
    <t>Oconto</t>
  </si>
  <si>
    <t>Morgan</t>
  </si>
  <si>
    <t>J1616</t>
  </si>
  <si>
    <t>Edwardsport</t>
  </si>
  <si>
    <t>J1617</t>
  </si>
  <si>
    <t>Vermilion</t>
  </si>
  <si>
    <t>Bunsonville 138kV</t>
  </si>
  <si>
    <t>J1618</t>
  </si>
  <si>
    <t>Ascension</t>
  </si>
  <si>
    <t>ST. JAMES - WELCOME 230KV</t>
  </si>
  <si>
    <t>J1619</t>
  </si>
  <si>
    <t>BIG RIVERS ELECTRIC CORPORATION BREC</t>
  </si>
  <si>
    <t>Webster</t>
  </si>
  <si>
    <t>Reid Switchyard 161kV</t>
  </si>
  <si>
    <t>J1620</t>
  </si>
  <si>
    <t>Split Rock - Pipestone 115.0kV</t>
  </si>
  <si>
    <t>J1621</t>
  </si>
  <si>
    <t>McPherson</t>
  </si>
  <si>
    <t>Big Stone South to Ellendale 345kV</t>
  </si>
  <si>
    <t>J1622</t>
  </si>
  <si>
    <t>Sheridan</t>
  </si>
  <si>
    <t>Harvey-Underwood 230kV</t>
  </si>
  <si>
    <t>J1623</t>
  </si>
  <si>
    <t>Orange</t>
  </si>
  <si>
    <t>Mitchell Lost River 345kV</t>
  </si>
  <si>
    <t>J1624</t>
  </si>
  <si>
    <t>Columbus Denois Cr - Columbus 345 230 kV Transmission Line</t>
  </si>
  <si>
    <t>J1625</t>
  </si>
  <si>
    <t>Tipton</t>
  </si>
  <si>
    <t>Kokomo - Tipton 230kV Transmission line</t>
  </si>
  <si>
    <t>J1626</t>
  </si>
  <si>
    <t>Fayette</t>
  </si>
  <si>
    <t>Ramsey East 138kV bus</t>
  </si>
  <si>
    <t>J1627</t>
  </si>
  <si>
    <t>White</t>
  </si>
  <si>
    <t>Reynolds 345KV</t>
  </si>
  <si>
    <t>J1628</t>
  </si>
  <si>
    <t>Goodland to Reynolds 138KV</t>
  </si>
  <si>
    <t>J1629</t>
  </si>
  <si>
    <t>Columbia</t>
  </si>
  <si>
    <t>Columbia SW YD(ALTE) - South Fond Du Lac  SW YD 345 KV T-Line</t>
  </si>
  <si>
    <t>J1630</t>
  </si>
  <si>
    <t>Madison</t>
  </si>
  <si>
    <t>Gerald Andrus-Tinnin Road 230 kV</t>
  </si>
  <si>
    <t>J1631</t>
  </si>
  <si>
    <t>Stonelake  to Gardner Park 345kV</t>
  </si>
  <si>
    <t>J1632</t>
  </si>
  <si>
    <t>Caldwell</t>
  </si>
  <si>
    <t>Caldwell County -  Barkley 161kV</t>
  </si>
  <si>
    <t>J1633</t>
  </si>
  <si>
    <t>Beauregard</t>
  </si>
  <si>
    <t>Cooper Switching - Penton Road 230 kV</t>
  </si>
  <si>
    <t>J1634</t>
  </si>
  <si>
    <t>COOPER SWITCHING - PENTON ROAD 230 KV</t>
  </si>
  <si>
    <t>J1635</t>
  </si>
  <si>
    <t>BUTTERS - NEWTON (MI AVE) 138.0kV</t>
  </si>
  <si>
    <t>J1636</t>
  </si>
  <si>
    <t>Pike</t>
  </si>
  <si>
    <t>Peno Creek Substation 161kV</t>
  </si>
  <si>
    <t>J1637</t>
  </si>
  <si>
    <t>Wheatland Substation 345kV</t>
  </si>
  <si>
    <t>J1638</t>
  </si>
  <si>
    <t>Hancock</t>
  </si>
  <si>
    <t>Skillman Substation 161kV</t>
  </si>
  <si>
    <t>J1639</t>
  </si>
  <si>
    <t>345kV Allen Junction to Morocco</t>
  </si>
  <si>
    <t>J1640</t>
  </si>
  <si>
    <t>Hinds</t>
  </si>
  <si>
    <t>Beech Grove - Ray Braswell 115 kV</t>
  </si>
  <si>
    <t>J1641</t>
  </si>
  <si>
    <t>Greene</t>
  </si>
  <si>
    <t>Worthington Substation 138kV</t>
  </si>
  <si>
    <t>J1642</t>
  </si>
  <si>
    <t>SOUTHERN INDIANA GAS &amp; ELECTRIC COMPANY D/B/A CENTERPOINT ENERGY INDIANA SOUTH</t>
  </si>
  <si>
    <t>Spencer</t>
  </si>
  <si>
    <t>North East (Castle) - Culley 138kV</t>
  </si>
  <si>
    <t>J1643</t>
  </si>
  <si>
    <t>Delaney 138kV</t>
  </si>
  <si>
    <t>J1644</t>
  </si>
  <si>
    <t>St. Landry</t>
  </si>
  <si>
    <t>Champange - Plaisance</t>
  </si>
  <si>
    <t>J1645</t>
  </si>
  <si>
    <t>Panther 230kV Substation</t>
  </si>
  <si>
    <t>J1646</t>
  </si>
  <si>
    <t>NORTHERN INDIANA PUBLIC SERVICE COMPANY LLC NIPS</t>
  </si>
  <si>
    <t>Newton</t>
  </si>
  <si>
    <t>MORRISON DITCH</t>
  </si>
  <si>
    <t>J1647</t>
  </si>
  <si>
    <t>Chippewa</t>
  </si>
  <si>
    <t>Maynard XMSN 115kV Substation</t>
  </si>
  <si>
    <t>J1648</t>
  </si>
  <si>
    <t>Searcy</t>
  </si>
  <si>
    <t>Searcy Price 161kV</t>
  </si>
  <si>
    <t>J1649</t>
  </si>
  <si>
    <t>McCracken</t>
  </si>
  <si>
    <t>Shell - McCracken County 69.0kV</t>
  </si>
  <si>
    <t>J1650</t>
  </si>
  <si>
    <t>Logan</t>
  </si>
  <si>
    <t>Latham 345kV</t>
  </si>
  <si>
    <t>J1651</t>
  </si>
  <si>
    <t>Howlett</t>
  </si>
  <si>
    <t>J1652</t>
  </si>
  <si>
    <t>Champaign</t>
  </si>
  <si>
    <t>Sidney 138kV</t>
  </si>
  <si>
    <t>J1653</t>
  </si>
  <si>
    <t>Tazewell</t>
  </si>
  <si>
    <t>San Jose Rail 138kV</t>
  </si>
  <si>
    <t>J1654</t>
  </si>
  <si>
    <t>Goss-Thetford 345kV Line</t>
  </si>
  <si>
    <t>J1655</t>
  </si>
  <si>
    <t>West Mt Vernon - Xenia 345kV Line (J1241)</t>
  </si>
  <si>
    <t>J1656</t>
  </si>
  <si>
    <t>Sydney to Bunsonville 345kV Line</t>
  </si>
  <si>
    <t>J1657</t>
  </si>
  <si>
    <t>Pine Lake to Apple River 161 kV</t>
  </si>
  <si>
    <t>J1658</t>
  </si>
  <si>
    <t>COLDWATER - MOORE ROAD 138.0kV</t>
  </si>
  <si>
    <t>J1659</t>
  </si>
  <si>
    <t>Washtenaw</t>
  </si>
  <si>
    <t>DORSET</t>
  </si>
  <si>
    <t>J1660</t>
  </si>
  <si>
    <t>J1661</t>
  </si>
  <si>
    <t>Lapeer</t>
  </si>
  <si>
    <t>Imlay Pump 120kV Substation</t>
  </si>
  <si>
    <t>J1662</t>
  </si>
  <si>
    <t>Goodland Substation 138kV (Bus Name: 17Goodland)</t>
  </si>
  <si>
    <t>J1663</t>
  </si>
  <si>
    <t>ARGENTA - TALLMADGE 345.0kV</t>
  </si>
  <si>
    <t>J1664</t>
  </si>
  <si>
    <t>Carrigan 120kV Substation</t>
  </si>
  <si>
    <t>J1665</t>
  </si>
  <si>
    <t>J1666</t>
  </si>
  <si>
    <t>Oneida - Majestic 345 kV</t>
  </si>
  <si>
    <t>J1667</t>
  </si>
  <si>
    <t>Bard Rd to Clare Junction 138 kV</t>
  </si>
  <si>
    <t>J1668</t>
  </si>
  <si>
    <t>Donaldsonville - Evergreen 230 kV</t>
  </si>
  <si>
    <t>J1669</t>
  </si>
  <si>
    <t>Jefferson Davis</t>
  </si>
  <si>
    <t>LAKE CHARLES BULK</t>
  </si>
  <si>
    <t>J1670</t>
  </si>
  <si>
    <t>Crooked Lake 161kV at J586 POI</t>
  </si>
  <si>
    <t>J1671</t>
  </si>
  <si>
    <t>ENTERGY TEXAS, INC. ETTO</t>
  </si>
  <si>
    <t>Walker</t>
  </si>
  <si>
    <t>Rocky Creek to Lewis Creek 230kV</t>
  </si>
  <si>
    <t>J1672</t>
  </si>
  <si>
    <t>ENTERGY MISSISSIPPI, LLC. EMTO</t>
  </si>
  <si>
    <t>Tinnin Road 230kV</t>
  </si>
  <si>
    <t>J1673</t>
  </si>
  <si>
    <t>Sabine</t>
  </si>
  <si>
    <t>Fisher - Marthaville 230.0kV</t>
  </si>
  <si>
    <t>J1674</t>
  </si>
  <si>
    <t>St. Tammany</t>
  </si>
  <si>
    <t>Talisheek - North Slidell 230kV Line</t>
  </si>
  <si>
    <t>J1675</t>
  </si>
  <si>
    <t>Edgar</t>
  </si>
  <si>
    <t>Kansas 345kV</t>
  </si>
  <si>
    <t>J1676</t>
  </si>
  <si>
    <t>McLean</t>
  </si>
  <si>
    <t>Brokaw - Clinton 345 kV line</t>
  </si>
  <si>
    <t>J1677</t>
  </si>
  <si>
    <t>Macon</t>
  </si>
  <si>
    <t>Leghorn 345 kV</t>
  </si>
  <si>
    <t>J1678</t>
  </si>
  <si>
    <t>Miami</t>
  </si>
  <si>
    <t>Deedsville 345 kV</t>
  </si>
  <si>
    <t>J1679</t>
  </si>
  <si>
    <t>7XENIA    - 7MTVERNW 345.0kV</t>
  </si>
  <si>
    <t>J1680</t>
  </si>
  <si>
    <t>345 kV Walton Substation</t>
  </si>
  <si>
    <t>J1681</t>
  </si>
  <si>
    <t>Maries</t>
  </si>
  <si>
    <t>Bland to Franks 345kV line</t>
  </si>
  <si>
    <t>J1682</t>
  </si>
  <si>
    <t>Boone</t>
  </si>
  <si>
    <t>Hortonville to Whitestown 345 kV</t>
  </si>
  <si>
    <t>J1683</t>
  </si>
  <si>
    <t>Porter</t>
  </si>
  <si>
    <t>Babcock - Lake George 345 kV</t>
  </si>
  <si>
    <t>J1684</t>
  </si>
  <si>
    <t>Starke</t>
  </si>
  <si>
    <t>SCHAHFER GEN STA - BURR OAK 345.0kV</t>
  </si>
  <si>
    <t>J1685</t>
  </si>
  <si>
    <t>Donaldsonville to Evergreen 230kV line</t>
  </si>
  <si>
    <t>J1686</t>
  </si>
  <si>
    <t>Evangeline</t>
  </si>
  <si>
    <t>Coughlin - Plaisance 138 kV</t>
  </si>
  <si>
    <t>J1687</t>
  </si>
  <si>
    <t>Decatur</t>
  </si>
  <si>
    <t>Decatur Switching Station 161kv</t>
  </si>
  <si>
    <t>J1688</t>
  </si>
  <si>
    <t>Rising 345kV</t>
  </si>
  <si>
    <t>J1689</t>
  </si>
  <si>
    <t>Henry</t>
  </si>
  <si>
    <t>Cadiz 138kV</t>
  </si>
  <si>
    <t>J1690</t>
  </si>
  <si>
    <t>Lewisville 138kV</t>
  </si>
  <si>
    <t>J1691</t>
  </si>
  <si>
    <t>Sullivan</t>
  </si>
  <si>
    <t>Gibson Sta - Merom (HED) 345.0kV</t>
  </si>
  <si>
    <t>J1692</t>
  </si>
  <si>
    <t>Walton 345 kV  Substation</t>
  </si>
  <si>
    <t>J1693</t>
  </si>
  <si>
    <t>J1694</t>
  </si>
  <si>
    <t>Lost River 345kV</t>
  </si>
  <si>
    <t>J1695</t>
  </si>
  <si>
    <t>Perry</t>
  </si>
  <si>
    <t>Aster 138kV Substation (Rebuild of North Coulterville 138kV)</t>
  </si>
  <si>
    <t>J1696</t>
  </si>
  <si>
    <t>Reid EHV 161kV</t>
  </si>
  <si>
    <t>J1697</t>
  </si>
  <si>
    <t>Shawswick to Pleasant Grove 138 kV</t>
  </si>
  <si>
    <t>J1698</t>
  </si>
  <si>
    <t>J1699</t>
  </si>
  <si>
    <t>Shelby</t>
  </si>
  <si>
    <t>HE Lewis Creek 69 kV</t>
  </si>
  <si>
    <t>J1700</t>
  </si>
  <si>
    <t>Johnson</t>
  </si>
  <si>
    <t>FRANKLIN 230KV</t>
  </si>
  <si>
    <t>J1701</t>
  </si>
  <si>
    <t>McDonough</t>
  </si>
  <si>
    <t>Macomb to Ipava 138kV line</t>
  </si>
  <si>
    <t>J1702</t>
  </si>
  <si>
    <t>Faraday 345 kV</t>
  </si>
  <si>
    <t>J1703</t>
  </si>
  <si>
    <t>Reid to Hopkins County 161kV</t>
  </si>
  <si>
    <t>J1704</t>
  </si>
  <si>
    <t>Gwynneville 345kV Substation</t>
  </si>
  <si>
    <t>J1705</t>
  </si>
  <si>
    <t>South Fond du Lac (Endpoint A) to Columbia (Endpoint B)  345 kV</t>
  </si>
  <si>
    <t>J1706</t>
  </si>
  <si>
    <t>Green</t>
  </si>
  <si>
    <t>North Monroe 138 kV</t>
  </si>
  <si>
    <t>J1707</t>
  </si>
  <si>
    <t>Dubois</t>
  </si>
  <si>
    <t>DUFF 345KV</t>
  </si>
  <si>
    <t>J1708</t>
  </si>
  <si>
    <t>J947 Interconnection Substation</t>
  </si>
  <si>
    <t>J1709</t>
  </si>
  <si>
    <t>Grimes</t>
  </si>
  <si>
    <t>138 kV Grimes</t>
  </si>
  <si>
    <t>J1710</t>
  </si>
  <si>
    <t>Lee</t>
  </si>
  <si>
    <t>KEO EHV</t>
  </si>
  <si>
    <t>J1711</t>
  </si>
  <si>
    <t>North Monroe 138kV Substation</t>
  </si>
  <si>
    <t>J1712</t>
  </si>
  <si>
    <t>North Coulterville - COMM 345kV</t>
  </si>
  <si>
    <t>J1713</t>
  </si>
  <si>
    <t>Faraday (138 kV)</t>
  </si>
  <si>
    <t>J1714</t>
  </si>
  <si>
    <t>Ramsey East 138kV Substation</t>
  </si>
  <si>
    <t>J1715</t>
  </si>
  <si>
    <t>HE Westport 138kV</t>
  </si>
  <si>
    <t>J1716</t>
  </si>
  <si>
    <t>Fond du Lac</t>
  </si>
  <si>
    <t>South Fond du Lac - Fitzgerald 345.0kV</t>
  </si>
  <si>
    <t>J1717</t>
  </si>
  <si>
    <t>Greensburg 138kV</t>
  </si>
  <si>
    <t>J1718</t>
  </si>
  <si>
    <t>Bunsonville 345kV</t>
  </si>
  <si>
    <t>J1719</t>
  </si>
  <si>
    <t>Sand Lake 138kV Substation</t>
  </si>
  <si>
    <t>J1720</t>
  </si>
  <si>
    <t>Fountain Prairie -North Randolph   138kV Transmission Line</t>
  </si>
  <si>
    <t>J1721</t>
  </si>
  <si>
    <t>Vigo</t>
  </si>
  <si>
    <t>TH Pfizer Jct. - Worthington (HED)</t>
  </si>
  <si>
    <t>J1722</t>
  </si>
  <si>
    <t>Lonoke</t>
  </si>
  <si>
    <t>Galloway - Remigton 115kV  Transmission Line</t>
  </si>
  <si>
    <t>J1723</t>
  </si>
  <si>
    <t>Cross</t>
  </si>
  <si>
    <t>Wynne East to Wynne South 161kV line (J1125 sub)</t>
  </si>
  <si>
    <t>J1724</t>
  </si>
  <si>
    <t>LaPorte</t>
  </si>
  <si>
    <t>LNG - STILLWELL 138kV line</t>
  </si>
  <si>
    <t>J1725</t>
  </si>
  <si>
    <t>San Jose Rail Splitter 138KV (G515)</t>
  </si>
  <si>
    <t>J1726</t>
  </si>
  <si>
    <t>Pulaski</t>
  </si>
  <si>
    <t>Reynolds - Burr 345kV</t>
  </si>
  <si>
    <t>J1727</t>
  </si>
  <si>
    <t>Lime Creek 161kV</t>
  </si>
  <si>
    <t>J1728</t>
  </si>
  <si>
    <t>Story</t>
  </si>
  <si>
    <t>Story County Substation 161kV</t>
  </si>
  <si>
    <t>J1729</t>
  </si>
  <si>
    <t>J1730</t>
  </si>
  <si>
    <t>Eau Claire to AS King 345 kV</t>
  </si>
  <si>
    <t>J1731</t>
  </si>
  <si>
    <t>Noblesville to Fall Creek 345 kV</t>
  </si>
  <si>
    <t>J1732</t>
  </si>
  <si>
    <t>ACEC Lewiston Tap (X-68) - ACEC Lewiston 138.0kV</t>
  </si>
  <si>
    <t>J1733</t>
  </si>
  <si>
    <t>Allamakee</t>
  </si>
  <si>
    <t>Lansing 161 kV</t>
  </si>
  <si>
    <t>J1734</t>
  </si>
  <si>
    <t>Burlington Generation - Wever 161kV</t>
  </si>
  <si>
    <t>J1735</t>
  </si>
  <si>
    <t>J1304 POI 138 kV Substation</t>
  </si>
  <si>
    <t>J1736</t>
  </si>
  <si>
    <t>Duff 138kV</t>
  </si>
  <si>
    <t>J1737</t>
  </si>
  <si>
    <t>Gwynville 345 kV</t>
  </si>
  <si>
    <t>J1738</t>
  </si>
  <si>
    <t>Leola Substation 41.6kV</t>
  </si>
  <si>
    <t>J1739</t>
  </si>
  <si>
    <t>J1740</t>
  </si>
  <si>
    <t>Walworth</t>
  </si>
  <si>
    <t>University to Mukwanago 138kV Line</t>
  </si>
  <si>
    <t>J1741</t>
  </si>
  <si>
    <t>Walton 345kV  Substation</t>
  </si>
  <si>
    <t>J1742</t>
  </si>
  <si>
    <t>J1743</t>
  </si>
  <si>
    <t>J1744</t>
  </si>
  <si>
    <t>Cumberland</t>
  </si>
  <si>
    <t>Hutsonville - Neoga 138 kV</t>
  </si>
  <si>
    <t>J1745</t>
  </si>
  <si>
    <t>Winnebago</t>
  </si>
  <si>
    <t>Fitzgerald 138 kV</t>
  </si>
  <si>
    <t>J1746</t>
  </si>
  <si>
    <t>Columbia 138 kV</t>
  </si>
  <si>
    <t>J1747</t>
  </si>
  <si>
    <t>J830 POI</t>
  </si>
  <si>
    <t>J1748</t>
  </si>
  <si>
    <t>DeSoto</t>
  </si>
  <si>
    <t>Twinkletown 230 kV</t>
  </si>
  <si>
    <t>J1749</t>
  </si>
  <si>
    <t>Addis - Big Cajun 230kV</t>
  </si>
  <si>
    <t>J1750</t>
  </si>
  <si>
    <t>Marquette</t>
  </si>
  <si>
    <t>J1751</t>
  </si>
  <si>
    <t>Saratoga - Badger West 138.0kV</t>
  </si>
  <si>
    <t>J1752</t>
  </si>
  <si>
    <t>Golden Sands - Arnott (O-119)</t>
  </si>
  <si>
    <t>J1753</t>
  </si>
  <si>
    <t>Columbia-South Fond du Lac 345kV</t>
  </si>
  <si>
    <t>J1754</t>
  </si>
  <si>
    <t>McHenry</t>
  </si>
  <si>
    <t>McHenry ND</t>
  </si>
  <si>
    <t>J1755</t>
  </si>
  <si>
    <t>Bureau</t>
  </si>
  <si>
    <t>Bureau County 138 kV</t>
  </si>
  <si>
    <t>J1756</t>
  </si>
  <si>
    <t>Gwynneville to Sunnyside 345kV</t>
  </si>
  <si>
    <t>J1757</t>
  </si>
  <si>
    <t>Coles</t>
  </si>
  <si>
    <t>Kansas - Faraday 345 kV</t>
  </si>
  <si>
    <t>J1758</t>
  </si>
  <si>
    <t>Barnes</t>
  </si>
  <si>
    <t>Pillsburry Substation  230kV</t>
  </si>
  <si>
    <t>J1759</t>
  </si>
  <si>
    <t>Fisher to Mansfield Compressor 230 kV</t>
  </si>
  <si>
    <t>J1760</t>
  </si>
  <si>
    <t>Liberty</t>
  </si>
  <si>
    <t>Timberland 230kV</t>
  </si>
  <si>
    <t>J1761</t>
  </si>
  <si>
    <t>Maple River 230kV</t>
  </si>
  <si>
    <t>J1762</t>
  </si>
  <si>
    <t>Iron</t>
  </si>
  <si>
    <t>Crystal Falls - Aspen 69 kV</t>
  </si>
  <si>
    <t>J1763</t>
  </si>
  <si>
    <t>Cavalier</t>
  </si>
  <si>
    <t>Langdon Substation 115kV</t>
  </si>
  <si>
    <t>J1764</t>
  </si>
  <si>
    <t>WABASH VALLEY POWER ASSOCIATION, INC.</t>
  </si>
  <si>
    <t>Seminary/Perryville 138kV</t>
  </si>
  <si>
    <t>J1765</t>
  </si>
  <si>
    <t>Tipton West Substation 230kV</t>
  </si>
  <si>
    <t>J1766</t>
  </si>
  <si>
    <t>Fallon</t>
  </si>
  <si>
    <t>MT</t>
  </si>
  <si>
    <t>Keystone XL (Pumping station - 14) - 115kV</t>
  </si>
  <si>
    <t>J1767</t>
  </si>
  <si>
    <t>Burt to Emery  161kV</t>
  </si>
  <si>
    <t>J1768</t>
  </si>
  <si>
    <t>Lost River Substation  345</t>
  </si>
  <si>
    <t>J1769</t>
  </si>
  <si>
    <t>Howard</t>
  </si>
  <si>
    <t>Beaver Creek to Rice 161 kV line tap (same POI as J898)</t>
  </si>
  <si>
    <t>J1770</t>
  </si>
  <si>
    <t>Hoopston 138kV</t>
  </si>
  <si>
    <t>J1771</t>
  </si>
  <si>
    <t>Casey - Sullivan 345 kV</t>
  </si>
  <si>
    <t>J1772</t>
  </si>
  <si>
    <t>J1773</t>
  </si>
  <si>
    <t>Hill Valley to Cardinal 345kV</t>
  </si>
  <si>
    <t>J1774</t>
  </si>
  <si>
    <t>Warren</t>
  </si>
  <si>
    <t>Cayuga 345kV</t>
  </si>
  <si>
    <t>J1775</t>
  </si>
  <si>
    <t>Calumet</t>
  </si>
  <si>
    <t>Forest Junction Substation 345kV</t>
  </si>
  <si>
    <t>J1776</t>
  </si>
  <si>
    <t>Osceola</t>
  </si>
  <si>
    <t>Dickinson County Switch Yard 161kV</t>
  </si>
  <si>
    <t>J1777</t>
  </si>
  <si>
    <t>Aster 138kV Substation</t>
  </si>
  <si>
    <t>J1778</t>
  </si>
  <si>
    <t>Kenosha</t>
  </si>
  <si>
    <t>Paris 138 kV</t>
  </si>
  <si>
    <t>J1779</t>
  </si>
  <si>
    <t>Dane</t>
  </si>
  <si>
    <t>Rockdale</t>
  </si>
  <si>
    <t>J1780</t>
  </si>
  <si>
    <t>Montgomery</t>
  </si>
  <si>
    <t>J1781</t>
  </si>
  <si>
    <t>Iowa</t>
  </si>
  <si>
    <t>Hill Valley 345kV</t>
  </si>
  <si>
    <t>J1782</t>
  </si>
  <si>
    <t>WABASH RIVER GEN. STA. TO WHITESVILLE SOUTH SUB 230kV</t>
  </si>
  <si>
    <t>J1783</t>
  </si>
  <si>
    <t>WABASH RIVER GEN. STA. TO WHITESVILLE SOUTH SUB 230 kV</t>
  </si>
  <si>
    <t>J1784</t>
  </si>
  <si>
    <t>New Castle to Hagerstown 69 kV</t>
  </si>
  <si>
    <t>J1785</t>
  </si>
  <si>
    <t>Maple 69 kV</t>
  </si>
  <si>
    <t>J1786</t>
  </si>
  <si>
    <t>J1787</t>
  </si>
  <si>
    <t>J1788</t>
  </si>
  <si>
    <t>St. Mary</t>
  </si>
  <si>
    <t>Caneland 230 kV</t>
  </si>
  <si>
    <t>J1789</t>
  </si>
  <si>
    <t>Brinkley East to Clarendon 115 kV</t>
  </si>
  <si>
    <t>J1790</t>
  </si>
  <si>
    <t>Ashley</t>
  </si>
  <si>
    <t>Crossett - Monticello East 115 kV Line</t>
  </si>
  <si>
    <t>J1791</t>
  </si>
  <si>
    <t>J1792</t>
  </si>
  <si>
    <t>Houghton</t>
  </si>
  <si>
    <t>New Tap of the Ontonagan to Rockland Jct 69kV Line approx. 2.2 mi. north of Rockland Jct.</t>
  </si>
  <si>
    <t>J1793</t>
  </si>
  <si>
    <t>Sheboygan</t>
  </si>
  <si>
    <t>Holland 138 kV</t>
  </si>
  <si>
    <t>J1794</t>
  </si>
  <si>
    <t>RICHARD - SCOTT 138.0kV</t>
  </si>
  <si>
    <t>J1795</t>
  </si>
  <si>
    <t>Bayou Cove to Richard 138kV (Circuit 258)</t>
  </si>
  <si>
    <t>J1796</t>
  </si>
  <si>
    <t>Pine Prairie to Coughlin 138 kV</t>
  </si>
  <si>
    <t>J1797</t>
  </si>
  <si>
    <t>St. John the Baptist</t>
  </si>
  <si>
    <t>Waterford 230kV</t>
  </si>
  <si>
    <t>J1798</t>
  </si>
  <si>
    <t>Wayne</t>
  </si>
  <si>
    <t>Waterman 120kV</t>
  </si>
  <si>
    <t>J1799</t>
  </si>
  <si>
    <t>Joppa 345 kV</t>
  </si>
  <si>
    <t>J1800</t>
  </si>
  <si>
    <t>Mower</t>
  </si>
  <si>
    <t>Adams Switch Yard 161kV</t>
  </si>
  <si>
    <t>J1801</t>
  </si>
  <si>
    <t>J1802</t>
  </si>
  <si>
    <t>Burr Oak 138kV</t>
  </si>
  <si>
    <t>J1803</t>
  </si>
  <si>
    <t>Winona-Atlantic 69 kV</t>
  </si>
  <si>
    <t>J1804</t>
  </si>
  <si>
    <t>PINE LAKE TO THREE LAKES 115 KV</t>
  </si>
  <si>
    <t>J1805</t>
  </si>
  <si>
    <t>J1806</t>
  </si>
  <si>
    <t>Greensboro Substation 345kV</t>
  </si>
  <si>
    <t>J1807</t>
  </si>
  <si>
    <t>Mount Tabor 138kV</t>
  </si>
  <si>
    <t>J1808</t>
  </si>
  <si>
    <t>Barron</t>
  </si>
  <si>
    <t>Barron 161 kV</t>
  </si>
  <si>
    <t>J1809</t>
  </si>
  <si>
    <t>Atlantic -Silver River 138 kV</t>
  </si>
  <si>
    <t>J1810</t>
  </si>
  <si>
    <t>Reynolds 345kV to Burr Oaks 345kV</t>
  </si>
  <si>
    <t>J1811</t>
  </si>
  <si>
    <t>Independence</t>
  </si>
  <si>
    <t>Independence 161 kV</t>
  </si>
  <si>
    <t>J1812</t>
  </si>
  <si>
    <t>Chambers</t>
  </si>
  <si>
    <t>Stowell 230 kV</t>
  </si>
  <si>
    <t>J1813</t>
  </si>
  <si>
    <t>Entergy Freeport 230 kV Substation</t>
  </si>
  <si>
    <t>J1814</t>
  </si>
  <si>
    <t>Dickinson</t>
  </si>
  <si>
    <t>Nordic</t>
  </si>
  <si>
    <t>J1815</t>
  </si>
  <si>
    <t>Linden Junction - Crawfordsville 138 kV</t>
  </si>
  <si>
    <t>J1816</t>
  </si>
  <si>
    <t>FISHER - CHERRY VALLEY 161.0kV</t>
  </si>
  <si>
    <t>J1817</t>
  </si>
  <si>
    <t>ATC WInona-Atlantic Minw 69 kV tap (J1244)</t>
  </si>
  <si>
    <t>J1818</t>
  </si>
  <si>
    <t>LAFAYETTE UTILITIES SYSTEM</t>
  </si>
  <si>
    <t>Northeast (Moss) 69kV</t>
  </si>
  <si>
    <t>J1819</t>
  </si>
  <si>
    <t>WEST MEMPHIS EHV - KEO EHV 500.0kV</t>
  </si>
  <si>
    <t>J1820</t>
  </si>
  <si>
    <t>J1821</t>
  </si>
  <si>
    <t>J1822</t>
  </si>
  <si>
    <t>KILLDEER3 (631199) 345 KV TO BLACKHAWK (636199) 345 kv line Tap</t>
  </si>
  <si>
    <t>J1823</t>
  </si>
  <si>
    <t>Portage (UPPCO) - Atlantic 69 kV</t>
  </si>
  <si>
    <t>J1824</t>
  </si>
  <si>
    <t>Academy 138KV</t>
  </si>
  <si>
    <t>J1825</t>
  </si>
  <si>
    <t>Westport</t>
  </si>
  <si>
    <t>J1826</t>
  </si>
  <si>
    <t>Dakota</t>
  </si>
  <si>
    <t>Cannon Falls Transmission 69 kV</t>
  </si>
  <si>
    <t>J1827</t>
  </si>
  <si>
    <t>bastrop tap point</t>
  </si>
  <si>
    <t>J1828</t>
  </si>
  <si>
    <t>Austin-1 138 kV substation</t>
  </si>
  <si>
    <t>J1829</t>
  </si>
  <si>
    <t>DEI's Columbus to Clark Twp. 230 kV (one of the two 230 kV circuits going from Columbus to Five Poin</t>
  </si>
  <si>
    <t>J1830</t>
  </si>
  <si>
    <t>Kelso - Joppa (Massac) 345 kV line</t>
  </si>
  <si>
    <t>J1831</t>
  </si>
  <si>
    <t>Menard</t>
  </si>
  <si>
    <t>Shockey 138kV</t>
  </si>
  <si>
    <t>J1832</t>
  </si>
  <si>
    <t>Plaisance 138kV</t>
  </si>
  <si>
    <t>J1833</t>
  </si>
  <si>
    <t>Lafourche</t>
  </si>
  <si>
    <t>Leeville 115kV</t>
  </si>
  <si>
    <t>Piston (Engine), Internal Combustion (Diesel)</t>
  </si>
  <si>
    <t>J1834</t>
  </si>
  <si>
    <t>Sabine 138/230 kV Substation</t>
  </si>
  <si>
    <t>J1835</t>
  </si>
  <si>
    <t>Culley to Grandview 138 KV line tap</t>
  </si>
  <si>
    <t>J1836</t>
  </si>
  <si>
    <t>Callaway</t>
  </si>
  <si>
    <t>Montgomery- Callaway- 7</t>
  </si>
  <si>
    <t>J1837</t>
  </si>
  <si>
    <t>Pana - Route 51 138kV</t>
  </si>
  <si>
    <t>J1838</t>
  </si>
  <si>
    <t>Christiana 138 kV</t>
  </si>
  <si>
    <t>Combined-Cycle ‚Äì Steam Plant</t>
  </si>
  <si>
    <t>J1839</t>
  </si>
  <si>
    <t>Decatur ADM North 138 kV</t>
  </si>
  <si>
    <t>J1840</t>
  </si>
  <si>
    <t>De Witt</t>
  </si>
  <si>
    <t>Clinton to Goose Creek-4545 345kV line</t>
  </si>
  <si>
    <t>J1841</t>
  </si>
  <si>
    <t>Forrest City to Wynne S 161 KV Line</t>
  </si>
  <si>
    <t>J1842</t>
  </si>
  <si>
    <t>FORREST CITY N SS - WYNNE SOUTH 161.0kV</t>
  </si>
  <si>
    <t>J1843</t>
  </si>
  <si>
    <t>J1844</t>
  </si>
  <si>
    <t>Active</t>
  </si>
  <si>
    <t>DPP-2021</t>
  </si>
  <si>
    <t>Phase 3</t>
  </si>
  <si>
    <t>19CVTRY</t>
  </si>
  <si>
    <t>J1845</t>
  </si>
  <si>
    <t>18BATTLC</t>
  </si>
  <si>
    <t>J1846</t>
  </si>
  <si>
    <t>Phase 2</t>
  </si>
  <si>
    <t>PANTHER</t>
  </si>
  <si>
    <t>J1847</t>
  </si>
  <si>
    <t>Murphy Creek 161kV substation</t>
  </si>
  <si>
    <t>J1848</t>
  </si>
  <si>
    <t>Van Buren</t>
  </si>
  <si>
    <t>Covert</t>
  </si>
  <si>
    <t>J1849</t>
  </si>
  <si>
    <t>Hardin</t>
  </si>
  <si>
    <t>Cypress 230 kV</t>
  </si>
  <si>
    <t>J1850</t>
  </si>
  <si>
    <t>Kirk - Cecelia 138kV Line</t>
  </si>
  <si>
    <t>J1851</t>
  </si>
  <si>
    <t>CROSSETT NORTH - BEEKMAN 115.0kV</t>
  </si>
  <si>
    <t>J1852</t>
  </si>
  <si>
    <t>Bison 345 kV</t>
  </si>
  <si>
    <t>J1853</t>
  </si>
  <si>
    <t>Des Moines</t>
  </si>
  <si>
    <t>Denmark - Newport</t>
  </si>
  <si>
    <t>J1854</t>
  </si>
  <si>
    <t>Wabash</t>
  </si>
  <si>
    <t>Wabash - Greentown 138kV</t>
  </si>
  <si>
    <t>J1855</t>
  </si>
  <si>
    <t>MALLORY 161</t>
  </si>
  <si>
    <t>J1856</t>
  </si>
  <si>
    <t>SHOFFNER - NEWPORT</t>
  </si>
  <si>
    <t>J1857</t>
  </si>
  <si>
    <t>EBONY SS -  5WM LEHI-W</t>
  </si>
  <si>
    <t>J1858</t>
  </si>
  <si>
    <t>Sandy Bayou</t>
  </si>
  <si>
    <t>J1859</t>
  </si>
  <si>
    <t>Pottawattamie</t>
  </si>
  <si>
    <t>Council Bluffs - Fallow Avenue 345kV Line Tap</t>
  </si>
  <si>
    <t>J1860</t>
  </si>
  <si>
    <t>Morocco to Beecher 138kV (8.36 miles from Morocco)</t>
  </si>
  <si>
    <t>J1861</t>
  </si>
  <si>
    <t>STILLWELL - L.N.G. PLANT 138.0kV</t>
  </si>
  <si>
    <t>J1862</t>
  </si>
  <si>
    <t>Bingham West 138kV</t>
  </si>
  <si>
    <t>J1863</t>
  </si>
  <si>
    <t>J1864</t>
  </si>
  <si>
    <t>Cerro Gordo</t>
  </si>
  <si>
    <t>Emery 161kV</t>
  </si>
  <si>
    <t>J1865</t>
  </si>
  <si>
    <t>Quinn-Blackhawk 345kV</t>
  </si>
  <si>
    <t>J1866</t>
  </si>
  <si>
    <t>T Corners 115kV Sub</t>
  </si>
  <si>
    <t>J1867</t>
  </si>
  <si>
    <t>Quinn</t>
  </si>
  <si>
    <t>J1868</t>
  </si>
  <si>
    <t>Winn</t>
  </si>
  <si>
    <t>Winnfield to Standard 115kV</t>
  </si>
  <si>
    <t>J1869</t>
  </si>
  <si>
    <t>J1870</t>
  </si>
  <si>
    <t>Tangipahoa</t>
  </si>
  <si>
    <t>Independence Substation 230kV</t>
  </si>
  <si>
    <t>J1871</t>
  </si>
  <si>
    <t>J1872</t>
  </si>
  <si>
    <t>El Dorado 500kV Substation</t>
  </si>
  <si>
    <t>J1873</t>
  </si>
  <si>
    <t>J1874</t>
  </si>
  <si>
    <t>J1875</t>
  </si>
  <si>
    <t>J1876</t>
  </si>
  <si>
    <t>Greensburg</t>
  </si>
  <si>
    <t>J1877</t>
  </si>
  <si>
    <t>J1878</t>
  </si>
  <si>
    <t>J1879</t>
  </si>
  <si>
    <t>J1880</t>
  </si>
  <si>
    <t>Argenta to Tallmadge 345kV (33 miles from Argenta)</t>
  </si>
  <si>
    <t>J1881</t>
  </si>
  <si>
    <t>Decatur Switching Station 161kV</t>
  </si>
  <si>
    <t>J1882</t>
  </si>
  <si>
    <t>Pending Transfer</t>
  </si>
  <si>
    <t>J1883</t>
  </si>
  <si>
    <t>Rilla 115kV</t>
  </si>
  <si>
    <t>J1884</t>
  </si>
  <si>
    <t>Columbia 345 kV</t>
  </si>
  <si>
    <t>J1885</t>
  </si>
  <si>
    <t>REID EHV 345 KV SUBSTATION</t>
  </si>
  <si>
    <t>J1886</t>
  </si>
  <si>
    <t>J1887</t>
  </si>
  <si>
    <t>St John 69kV</t>
  </si>
  <si>
    <t>J1888</t>
  </si>
  <si>
    <t>Oliver</t>
  </si>
  <si>
    <t>Square Butte 230 kV Substation East</t>
  </si>
  <si>
    <t>J1889</t>
  </si>
  <si>
    <t>Linn</t>
  </si>
  <si>
    <t>Mount Vernon</t>
  </si>
  <si>
    <t>J1890</t>
  </si>
  <si>
    <t>HARTBURG - AEP LAYFIELD 500.0kV</t>
  </si>
  <si>
    <t>J1891</t>
  </si>
  <si>
    <t>Attala</t>
  </si>
  <si>
    <t>230 kV McAdams Substation</t>
  </si>
  <si>
    <t>J1892</t>
  </si>
  <si>
    <t>Livingston - Keystone 345 kV</t>
  </si>
  <si>
    <t>J1893</t>
  </si>
  <si>
    <t>Mandan 230 kV</t>
  </si>
  <si>
    <t>J1894</t>
  </si>
  <si>
    <t>Kalamazoo</t>
  </si>
  <si>
    <t>Jaguar 138 kV</t>
  </si>
  <si>
    <t>J1895</t>
  </si>
  <si>
    <t>Balsam</t>
  </si>
  <si>
    <t>J1896</t>
  </si>
  <si>
    <t>Henderson to AB Brown 138 kV</t>
  </si>
  <si>
    <t>J1897</t>
  </si>
  <si>
    <t>DELL EHV - SAN SOUCI 500.0kV</t>
  </si>
  <si>
    <t>J1898</t>
  </si>
  <si>
    <t>Byron 161 kV</t>
  </si>
  <si>
    <t>J1899</t>
  </si>
  <si>
    <t>J1900</t>
  </si>
  <si>
    <t>Brownstown 12  120kV</t>
  </si>
  <si>
    <t>J1901</t>
  </si>
  <si>
    <t>South Henderson</t>
  </si>
  <si>
    <t>J1902</t>
  </si>
  <si>
    <t>IRONTON</t>
  </si>
  <si>
    <t>J1903</t>
  </si>
  <si>
    <t>Osceola (43.431167, -95.416667)</t>
  </si>
  <si>
    <t>J1904</t>
  </si>
  <si>
    <t>Richard 138 kV</t>
  </si>
  <si>
    <t>J1905</t>
  </si>
  <si>
    <t>Banner-Rapson 345kV Transmission Line</t>
  </si>
  <si>
    <t>J1906</t>
  </si>
  <si>
    <t>BOGALUSA</t>
  </si>
  <si>
    <t>J1907</t>
  </si>
  <si>
    <t>Other</t>
  </si>
  <si>
    <t>J1908</t>
  </si>
  <si>
    <t>Cocodrie</t>
  </si>
  <si>
    <t>J1909</t>
  </si>
  <si>
    <t>Bay</t>
  </si>
  <si>
    <t>Gallagher-Tittabawassee 345kV Transmission Line</t>
  </si>
  <si>
    <t>J1910</t>
  </si>
  <si>
    <t>J1911</t>
  </si>
  <si>
    <t>Madrid - Blackfoot 345kV</t>
  </si>
  <si>
    <t>J1912</t>
  </si>
  <si>
    <t>Greenwood-Rapson 345kV Transmission Line</t>
  </si>
  <si>
    <t>J1913</t>
  </si>
  <si>
    <t>Murphy-Tittabawassee 345kV Transmission Line</t>
  </si>
  <si>
    <t>J1914</t>
  </si>
  <si>
    <t>Presque Isle</t>
  </si>
  <si>
    <t>PORT CALCITE - ROCKPORT 138.0kV</t>
  </si>
  <si>
    <t>J1915</t>
  </si>
  <si>
    <t>Almeda Junction-Shale 138kV Transmission Line</t>
  </si>
  <si>
    <t>J1916</t>
  </si>
  <si>
    <t>Michigan Electric Transmission Company LLC</t>
  </si>
  <si>
    <t>NEWTON</t>
  </si>
  <si>
    <t>J1917</t>
  </si>
  <si>
    <t>MADRID - MAJESTIC 345.0kV</t>
  </si>
  <si>
    <t>J1918</t>
  </si>
  <si>
    <t>Montcalm</t>
  </si>
  <si>
    <t>KENOWA - NELSON ROAD 345.0kV</t>
  </si>
  <si>
    <t>J1919</t>
  </si>
  <si>
    <t>Oneida-Majestic 345 kV</t>
  </si>
  <si>
    <t>J1920</t>
  </si>
  <si>
    <t>Leelanau</t>
  </si>
  <si>
    <t>Tuscola-Arrowhead 120kV Transmission Line</t>
  </si>
  <si>
    <t>J1921</t>
  </si>
  <si>
    <t>Deja- Derby Jct 138kV Transmission line</t>
  </si>
  <si>
    <t>J1922</t>
  </si>
  <si>
    <t>Cottage Grove-Karn 138 kV</t>
  </si>
  <si>
    <t>J1923</t>
  </si>
  <si>
    <t>Rapson 120 kV substation</t>
  </si>
  <si>
    <t>J1924</t>
  </si>
  <si>
    <t>Cottage Grove-Seven Mile 138 kV</t>
  </si>
  <si>
    <t>J1925</t>
  </si>
  <si>
    <t>Tihart-Latson 138 kV</t>
  </si>
  <si>
    <t>J1926</t>
  </si>
  <si>
    <t>Mackinaw</t>
  </si>
  <si>
    <t>J1927</t>
  </si>
  <si>
    <t>MUSCATINE POWER AND WATER</t>
  </si>
  <si>
    <t>Muscatine</t>
  </si>
  <si>
    <t>Grandview Substation 69 kV</t>
  </si>
  <si>
    <t>J1928</t>
  </si>
  <si>
    <t>J1929</t>
  </si>
  <si>
    <t>Cheboygan</t>
  </si>
  <si>
    <t>J1930</t>
  </si>
  <si>
    <t>N Madison - Columbia</t>
  </si>
  <si>
    <t>J1931</t>
  </si>
  <si>
    <t>J1932</t>
  </si>
  <si>
    <t>Pending Revision Approval</t>
  </si>
  <si>
    <t>Gladwin</t>
  </si>
  <si>
    <t>J1933</t>
  </si>
  <si>
    <t>Bastrop Tap 115kV</t>
  </si>
  <si>
    <t>J1934</t>
  </si>
  <si>
    <t>Lakeview 138kV</t>
  </si>
  <si>
    <t>J1935</t>
  </si>
  <si>
    <t>N. Madison 69kV</t>
  </si>
  <si>
    <t>J1936</t>
  </si>
  <si>
    <t>Werner West - Rocky Run 345kV</t>
  </si>
  <si>
    <t>J1937</t>
  </si>
  <si>
    <t>J1938</t>
  </si>
  <si>
    <t>J1939</t>
  </si>
  <si>
    <t>Saginaw</t>
  </si>
  <si>
    <t>CORNELL - LAYTON 138.0kV</t>
  </si>
  <si>
    <t>J1940</t>
  </si>
  <si>
    <t>Monroe-Lallendorf 345kV Transmission Line</t>
  </si>
  <si>
    <t>J1941</t>
  </si>
  <si>
    <t>Polk</t>
  </si>
  <si>
    <t>Crookston</t>
  </si>
  <si>
    <t>J1942</t>
  </si>
  <si>
    <t>Seville TP-Niles TP 120 kV</t>
  </si>
  <si>
    <t>J1943</t>
  </si>
  <si>
    <t>Columbia - North Madison 345/138 kV 345.0kV</t>
  </si>
  <si>
    <t>J1944</t>
  </si>
  <si>
    <t>J1945</t>
  </si>
  <si>
    <t>J1946</t>
  </si>
  <si>
    <t>COOPERATIVE ENERGY SME</t>
  </si>
  <si>
    <t>Jasper</t>
  </si>
  <si>
    <t>230 kV Missionary Substation</t>
  </si>
  <si>
    <t>J1947</t>
  </si>
  <si>
    <t>J1948</t>
  </si>
  <si>
    <t>HANNIBAL WEST</t>
  </si>
  <si>
    <t>J1949</t>
  </si>
  <si>
    <t>Antrim</t>
  </si>
  <si>
    <t>Mancelona - Westwood 69kV</t>
  </si>
  <si>
    <t>J1950</t>
  </si>
  <si>
    <t>Gibson</t>
  </si>
  <si>
    <t>Francisco - Toyota 138kV</t>
  </si>
  <si>
    <t>J1951</t>
  </si>
  <si>
    <t>Lemoyne-Majestic 345kV</t>
  </si>
  <si>
    <t>J1952</t>
  </si>
  <si>
    <t>Emery-Floyd 161kV</t>
  </si>
  <si>
    <t>J1953</t>
  </si>
  <si>
    <t>Concordia</t>
  </si>
  <si>
    <t>Red Gum 115kV</t>
  </si>
  <si>
    <t>J1954</t>
  </si>
  <si>
    <t>SW Delavan 138kV</t>
  </si>
  <si>
    <t>J1955</t>
  </si>
  <si>
    <t>J1956</t>
  </si>
  <si>
    <t>J1957</t>
  </si>
  <si>
    <t>Coahoma</t>
  </si>
  <si>
    <t>Clarksdale-Roundaway 115kV (co-located with J2284)</t>
  </si>
  <si>
    <t>J1958</t>
  </si>
  <si>
    <t>J1959</t>
  </si>
  <si>
    <t>Waterford-Vacherie 230kV</t>
  </si>
  <si>
    <t>J1960</t>
  </si>
  <si>
    <t>Starke - Flint Lake 138kV</t>
  </si>
  <si>
    <t>J1961</t>
  </si>
  <si>
    <t>Buffalo 115kV</t>
  </si>
  <si>
    <t>J1962</t>
  </si>
  <si>
    <t>Livingston - Rich 138kV</t>
  </si>
  <si>
    <t>J1963</t>
  </si>
  <si>
    <t>J1964</t>
  </si>
  <si>
    <t>J1965</t>
  </si>
  <si>
    <t>7MCCREDIE - 7MONTGMRY 345.0kV</t>
  </si>
  <si>
    <t>J1966</t>
  </si>
  <si>
    <t>Cayuga  -  Frankfort  230.0kV</t>
  </si>
  <si>
    <t>J1967</t>
  </si>
  <si>
    <t>Rantoul East 138kV</t>
  </si>
  <si>
    <t>J1968</t>
  </si>
  <si>
    <t>J1969</t>
  </si>
  <si>
    <t>J1970</t>
  </si>
  <si>
    <t>4SIDNEY 1 - 4MIRA TAP 138.0kV</t>
  </si>
  <si>
    <t>J1971</t>
  </si>
  <si>
    <t>Cardinal</t>
  </si>
  <si>
    <t>J1972</t>
  </si>
  <si>
    <t>J1973</t>
  </si>
  <si>
    <t>J1974</t>
  </si>
  <si>
    <t>Mattoon West</t>
  </si>
  <si>
    <t>J1975</t>
  </si>
  <si>
    <t>J1976</t>
  </si>
  <si>
    <t>J1977</t>
  </si>
  <si>
    <t>Trenton 120kV</t>
  </si>
  <si>
    <t>J1978</t>
  </si>
  <si>
    <t>Pocahontas</t>
  </si>
  <si>
    <t>Lemars Tap-Little Sioux 161kV</t>
  </si>
  <si>
    <t>J1979</t>
  </si>
  <si>
    <t>Hazleton-Mitchell County 345kV line</t>
  </si>
  <si>
    <t>J1980</t>
  </si>
  <si>
    <t>Vergennes 138kV</t>
  </si>
  <si>
    <t>J1981</t>
  </si>
  <si>
    <t>J1982</t>
  </si>
  <si>
    <t>J1983</t>
  </si>
  <si>
    <t>J1984</t>
  </si>
  <si>
    <t>Tallmadge 138kV</t>
  </si>
  <si>
    <t>J1985</t>
  </si>
  <si>
    <t>Chicken Farm - Amite</t>
  </si>
  <si>
    <t>J1986</t>
  </si>
  <si>
    <t>St. Charles</t>
  </si>
  <si>
    <t>Montgomery 161kV</t>
  </si>
  <si>
    <t>J1987</t>
  </si>
  <si>
    <t>Coventry</t>
  </si>
  <si>
    <t>J1988</t>
  </si>
  <si>
    <t>Roundaway Cepa 115kV</t>
  </si>
  <si>
    <t>J1989</t>
  </si>
  <si>
    <t>Brown</t>
  </si>
  <si>
    <t>Ellendale 345 - Twin Brooks 345.0kV</t>
  </si>
  <si>
    <t>J1990</t>
  </si>
  <si>
    <t>Stutsman</t>
  </si>
  <si>
    <t>Ellendale 345kV</t>
  </si>
  <si>
    <t>J1991</t>
  </si>
  <si>
    <t>Genpower Keo 500kV</t>
  </si>
  <si>
    <t>J1992</t>
  </si>
  <si>
    <t>J1993</t>
  </si>
  <si>
    <t>Columbia - South Fond du Lac 345.0kV</t>
  </si>
  <si>
    <t>J1994</t>
  </si>
  <si>
    <t>Metomen 138 kV</t>
  </si>
  <si>
    <t>J1995</t>
  </si>
  <si>
    <t>Richland</t>
  </si>
  <si>
    <t>DUNN - OAK RIDGE (LA) 115.0kV</t>
  </si>
  <si>
    <t>J1996</t>
  </si>
  <si>
    <t>Shawano</t>
  </si>
  <si>
    <t>West Shawano 138kV - Badger 138kV</t>
  </si>
  <si>
    <t>J1997</t>
  </si>
  <si>
    <t>Nelson (EES) - Longville 138kV</t>
  </si>
  <si>
    <t>J1998</t>
  </si>
  <si>
    <t>Nuthatch Switching Station</t>
  </si>
  <si>
    <t>J1999</t>
  </si>
  <si>
    <t>Rapides</t>
  </si>
  <si>
    <t>Rodemacher</t>
  </si>
  <si>
    <t>J2000</t>
  </si>
  <si>
    <t>Frankfort to Cayuga 230kV</t>
  </si>
  <si>
    <t>J2001</t>
  </si>
  <si>
    <t>Newaygo</t>
  </si>
  <si>
    <t>KENOWA - LUDINGTON 345.0kV</t>
  </si>
  <si>
    <t>J2002</t>
  </si>
  <si>
    <t>SUB T HASKINS</t>
  </si>
  <si>
    <t>J2003</t>
  </si>
  <si>
    <t>Deuel</t>
  </si>
  <si>
    <t>Astoria 345kV</t>
  </si>
  <si>
    <t>J2004</t>
  </si>
  <si>
    <t>J2005</t>
  </si>
  <si>
    <t>J2006</t>
  </si>
  <si>
    <t>Arkansas</t>
  </si>
  <si>
    <t>Robert E Ritchie - Stuttgart Rcuskey 230kV</t>
  </si>
  <si>
    <t>J2007</t>
  </si>
  <si>
    <t>J2008</t>
  </si>
  <si>
    <t>J2009</t>
  </si>
  <si>
    <t>J2010</t>
  </si>
  <si>
    <t>STUTTGART RICUSKEY - WOODWARD 230 SUB 230.0kV</t>
  </si>
  <si>
    <t>J2011</t>
  </si>
  <si>
    <t>J2012</t>
  </si>
  <si>
    <t>Chicken Farm-Amite</t>
  </si>
  <si>
    <t>J2013</t>
  </si>
  <si>
    <t>J2014</t>
  </si>
  <si>
    <t>Eau Claire - Arpin 345kV</t>
  </si>
  <si>
    <t>J2015</t>
  </si>
  <si>
    <t>Tunica</t>
  </si>
  <si>
    <t>Lula-Tunica (same POI as J1440)</t>
  </si>
  <si>
    <t>J2016</t>
  </si>
  <si>
    <t>Daviess</t>
  </si>
  <si>
    <t>F.B Culley to Northeast</t>
  </si>
  <si>
    <t>J2017</t>
  </si>
  <si>
    <t>F B Culley- Northeast 138kV</t>
  </si>
  <si>
    <t>J2018</t>
  </si>
  <si>
    <t>J2019</t>
  </si>
  <si>
    <t>Rolette</t>
  </si>
  <si>
    <t>Rugby-Glenborough 230 kV Line</t>
  </si>
  <si>
    <t>J2020</t>
  </si>
  <si>
    <t>CLECO Cooper-Penton Road 230kV Line</t>
  </si>
  <si>
    <t>J2021</t>
  </si>
  <si>
    <t>Trempealeau</t>
  </si>
  <si>
    <t>Tremval 69kV</t>
  </si>
  <si>
    <t>J2022</t>
  </si>
  <si>
    <t>Pleasant Valley 345 kV Substation</t>
  </si>
  <si>
    <t>J2023</t>
  </si>
  <si>
    <t>Amite</t>
  </si>
  <si>
    <t>Gloster to Liberty 138 kV</t>
  </si>
  <si>
    <t>J2024</t>
  </si>
  <si>
    <t>J2025</t>
  </si>
  <si>
    <t>Vacherie 230 kV</t>
  </si>
  <si>
    <t>J2026</t>
  </si>
  <si>
    <t>Gratiot</t>
  </si>
  <si>
    <t>REGAL</t>
  </si>
  <si>
    <t>J2027</t>
  </si>
  <si>
    <t>CHUB LAKE - 304JB21/22 - HAMPTON - 8S50/51 345.0kV</t>
  </si>
  <si>
    <t>J2028</t>
  </si>
  <si>
    <t>Crittenden</t>
  </si>
  <si>
    <t>Kuhn Rd to Parkin</t>
  </si>
  <si>
    <t>J2029</t>
  </si>
  <si>
    <t>Perch Lake</t>
  </si>
  <si>
    <t>J203</t>
  </si>
  <si>
    <t>DPP-2017-AUG</t>
  </si>
  <si>
    <t>Greenwood - Banner 345kV Line Tap</t>
  </si>
  <si>
    <t>J2030</t>
  </si>
  <si>
    <t>Isanti</t>
  </si>
  <si>
    <t>ISANTTI TAP to ATHNSSW 69kV</t>
  </si>
  <si>
    <t>J2031</t>
  </si>
  <si>
    <t>Tama</t>
  </si>
  <si>
    <t>Toledo</t>
  </si>
  <si>
    <t>J2032</t>
  </si>
  <si>
    <t>Hanna</t>
  </si>
  <si>
    <t>J2033</t>
  </si>
  <si>
    <t>J2034</t>
  </si>
  <si>
    <t>Thibodaux</t>
  </si>
  <si>
    <t>J2035</t>
  </si>
  <si>
    <t>J2036</t>
  </si>
  <si>
    <t>J2037</t>
  </si>
  <si>
    <t>Byron 345 kV Substation</t>
  </si>
  <si>
    <t>J2038</t>
  </si>
  <si>
    <t>Kokomo Webster St.  - Walton 230.0kV</t>
  </si>
  <si>
    <t>J2039</t>
  </si>
  <si>
    <t>Meredosia to Ipava 345 kV</t>
  </si>
  <si>
    <t>Wind/Battery</t>
  </si>
  <si>
    <t>J2040</t>
  </si>
  <si>
    <t>Lakefield - Obrien Co 345 kV (43.497803, -95.318336)</t>
  </si>
  <si>
    <t>J2041</t>
  </si>
  <si>
    <t>Amelia North substation</t>
  </si>
  <si>
    <t>J2042</t>
  </si>
  <si>
    <t>J2043</t>
  </si>
  <si>
    <t>Overton - McCredie 345kV</t>
  </si>
  <si>
    <t>J2044</t>
  </si>
  <si>
    <t>Goodland 138 kV Substation</t>
  </si>
  <si>
    <t>J2045</t>
  </si>
  <si>
    <t>Goodland 138 kV</t>
  </si>
  <si>
    <t>J2046</t>
  </si>
  <si>
    <t>Miami Wabash - Mier 138 kV (40.723889, -85.812019)</t>
  </si>
  <si>
    <t>J2047</t>
  </si>
  <si>
    <t>Robinsonville 230 kV</t>
  </si>
  <si>
    <t>J2048</t>
  </si>
  <si>
    <t>Benton</t>
  </si>
  <si>
    <t>GOODLAND - MORRISON DITCH 138.0kV</t>
  </si>
  <si>
    <t>J2049</t>
  </si>
  <si>
    <t>J2050</t>
  </si>
  <si>
    <t>Thomas Hill-Adair-1 161kV</t>
  </si>
  <si>
    <t>J2051</t>
  </si>
  <si>
    <t>161 kV line tap of DELL EAST to Blytheville</t>
  </si>
  <si>
    <t>J2052</t>
  </si>
  <si>
    <t>J2053</t>
  </si>
  <si>
    <t>Redwood</t>
  </si>
  <si>
    <t>Cedar Mountain - Lyon County 345.0kV</t>
  </si>
  <si>
    <t>J2054</t>
  </si>
  <si>
    <t>Freeborn</t>
  </si>
  <si>
    <t>J2055</t>
  </si>
  <si>
    <t>Edgewater</t>
  </si>
  <si>
    <t>J2056</t>
  </si>
  <si>
    <t>Morocco to Beecher 138 kV line</t>
  </si>
  <si>
    <t>J2057</t>
  </si>
  <si>
    <t>Nelson Road to Kenowa 345 kV line</t>
  </si>
  <si>
    <t>J2058</t>
  </si>
  <si>
    <t>Monroe to Wayne</t>
  </si>
  <si>
    <t>J2059</t>
  </si>
  <si>
    <t>Tippecanoe</t>
  </si>
  <si>
    <t>Springboro - Lafayette 138 kV</t>
  </si>
  <si>
    <t>J2060</t>
  </si>
  <si>
    <t>J2061</t>
  </si>
  <si>
    <t>MURPHY</t>
  </si>
  <si>
    <t>J2062</t>
  </si>
  <si>
    <t>J2063</t>
  </si>
  <si>
    <t>Wheatland 345kV Substation</t>
  </si>
  <si>
    <t>J2064</t>
  </si>
  <si>
    <t>Tompkins 138 kV</t>
  </si>
  <si>
    <t>J2065</t>
  </si>
  <si>
    <t>J2066</t>
  </si>
  <si>
    <t>Denmark</t>
  </si>
  <si>
    <t>J2067</t>
  </si>
  <si>
    <t>Tamarac</t>
  </si>
  <si>
    <t>J2068</t>
  </si>
  <si>
    <t>Herbert 69 kV Substation</t>
  </si>
  <si>
    <t>J2069</t>
  </si>
  <si>
    <t>EUREKA - VESTABURG 138.0kV</t>
  </si>
  <si>
    <t>J2070</t>
  </si>
  <si>
    <t>Three Lakes - Pine Lake 115 kV</t>
  </si>
  <si>
    <t>J2071</t>
  </si>
  <si>
    <t>RYE CO - CYPRESS 138.0kV</t>
  </si>
  <si>
    <t>J2072</t>
  </si>
  <si>
    <t>Woodward 115kV -  H.S. EHV 115 kV</t>
  </si>
  <si>
    <t>J2073</t>
  </si>
  <si>
    <t>Ohio</t>
  </si>
  <si>
    <t>345 kV Wilson Substation</t>
  </si>
  <si>
    <t>J2074</t>
  </si>
  <si>
    <t>Werner West 138 kV</t>
  </si>
  <si>
    <t>J2075</t>
  </si>
  <si>
    <t>China (Bus# 334204) to Sheco Batiste Creek (Bus# 334240)</t>
  </si>
  <si>
    <t>J2076</t>
  </si>
  <si>
    <t>San Jacinto</t>
  </si>
  <si>
    <t>COLEY CREEK to PELICAN ROAD 138 kV</t>
  </si>
  <si>
    <t>J2077</t>
  </si>
  <si>
    <t>Independence (6INDEPD)</t>
  </si>
  <si>
    <t>J2078</t>
  </si>
  <si>
    <t>Fernald</t>
  </si>
  <si>
    <t>J2079</t>
  </si>
  <si>
    <t>Lime Creek 161 kV</t>
  </si>
  <si>
    <t>J2080</t>
  </si>
  <si>
    <t>J2081</t>
  </si>
  <si>
    <t>Sans Souci 500kV</t>
  </si>
  <si>
    <t>Steam Turbine (including Nuclear, Geothermal and Solar Steam)</t>
  </si>
  <si>
    <t>J2082</t>
  </si>
  <si>
    <t>Shady Oaks (Bus# 500780) to Coughlin (Bus# 500230)</t>
  </si>
  <si>
    <t>J2083</t>
  </si>
  <si>
    <t>Allen</t>
  </si>
  <si>
    <t>Caney</t>
  </si>
  <si>
    <t>J2084</t>
  </si>
  <si>
    <t>Emmons</t>
  </si>
  <si>
    <t>Linton NW (not in power flow case yet)</t>
  </si>
  <si>
    <t>J2085</t>
  </si>
  <si>
    <t>Linton NW 115 kV (radial to Wishek 115 kV)</t>
  </si>
  <si>
    <t>J2086</t>
  </si>
  <si>
    <t>Buffalo 345 kV</t>
  </si>
  <si>
    <t>J2087</t>
  </si>
  <si>
    <t>FRANKLIN</t>
  </si>
  <si>
    <t>J2088</t>
  </si>
  <si>
    <t>WEST MEMPHIS EHV - KEO EHV 500 kV (854.0)</t>
  </si>
  <si>
    <t>J2089</t>
  </si>
  <si>
    <t>Line tap DELL to Manilla AECC 161 kV</t>
  </si>
  <si>
    <t>J2090</t>
  </si>
  <si>
    <t>161 kV  Parkin to Kuhn RoadLine Tap</t>
  </si>
  <si>
    <t>J2091</t>
  </si>
  <si>
    <t>TWINKLETOWN 230 KV</t>
  </si>
  <si>
    <t>J2092</t>
  </si>
  <si>
    <t>Wright</t>
  </si>
  <si>
    <t>Dickinson Sub</t>
  </si>
  <si>
    <t>J2093</t>
  </si>
  <si>
    <t>West Memphis to Hughes 161 kV Line Tap</t>
  </si>
  <si>
    <t>J2094</t>
  </si>
  <si>
    <t>Sargent</t>
  </si>
  <si>
    <t>Forman 230 kV Substation</t>
  </si>
  <si>
    <t>J2095</t>
  </si>
  <si>
    <t>Belle Plaine Junction to Toledo Transmission</t>
  </si>
  <si>
    <t>J2096</t>
  </si>
  <si>
    <t>Terrebonne</t>
  </si>
  <si>
    <t>J2097</t>
  </si>
  <si>
    <t>Tri-County 230 kV Substation</t>
  </si>
  <si>
    <t>J2098</t>
  </si>
  <si>
    <t>BATTLE CREEK - ONEIDA 345.0kV</t>
  </si>
  <si>
    <t>J2099</t>
  </si>
  <si>
    <t>Rocky Run to Werner West 345 kV</t>
  </si>
  <si>
    <t>J2100</t>
  </si>
  <si>
    <t>ARGENTA - PALISADES 345.0kV</t>
  </si>
  <si>
    <t>J2101</t>
  </si>
  <si>
    <t>J2102</t>
  </si>
  <si>
    <t>Buffalo</t>
  </si>
  <si>
    <t>Alma</t>
  </si>
  <si>
    <t>J2103</t>
  </si>
  <si>
    <t>Buna SW to Call Transmission Line</t>
  </si>
  <si>
    <t>J2104</t>
  </si>
  <si>
    <t>J2105</t>
  </si>
  <si>
    <t>Killdeer 345 kV Substation</t>
  </si>
  <si>
    <t>J2106</t>
  </si>
  <si>
    <t>Story County 161 kV</t>
  </si>
  <si>
    <t>J2107</t>
  </si>
  <si>
    <t>Rocky Run to Werner West 345 kV line</t>
  </si>
  <si>
    <t>J2108</t>
  </si>
  <si>
    <t>IC ENRON - SUB JIC 161 kV</t>
  </si>
  <si>
    <t>J2109</t>
  </si>
  <si>
    <t>J2110</t>
  </si>
  <si>
    <t>Gilmore 161kV</t>
  </si>
  <si>
    <t>J2111</t>
  </si>
  <si>
    <t>Marion to Marked Tree 161kV</t>
  </si>
  <si>
    <t>J2112</t>
  </si>
  <si>
    <t>Warren to Kountze 138 kV</t>
  </si>
  <si>
    <t>J2113</t>
  </si>
  <si>
    <t>Reid - Daviess Co 161 kV</t>
  </si>
  <si>
    <t>J2114</t>
  </si>
  <si>
    <t>Tyler</t>
  </si>
  <si>
    <t>DOUCETTE  to DEER 138 kV</t>
  </si>
  <si>
    <t>J2115</t>
  </si>
  <si>
    <t>Faraday 138kV</t>
  </si>
  <si>
    <t>J2116</t>
  </si>
  <si>
    <t>Cook</t>
  </si>
  <si>
    <t>COVIL</t>
  </si>
  <si>
    <t>Diesel</t>
  </si>
  <si>
    <t>J2117</t>
  </si>
  <si>
    <t>J2118</t>
  </si>
  <si>
    <t>Whiting - Morocco 138kV</t>
  </si>
  <si>
    <t>J2119</t>
  </si>
  <si>
    <t>J2120</t>
  </si>
  <si>
    <t>Fairfax</t>
  </si>
  <si>
    <t>J2121</t>
  </si>
  <si>
    <t>McCredie - Overton 345 kV</t>
  </si>
  <si>
    <t>J2122</t>
  </si>
  <si>
    <t>Nuthatch Switching Substation</t>
  </si>
  <si>
    <t>J2123</t>
  </si>
  <si>
    <t>Duff 138KV</t>
  </si>
  <si>
    <t>J2124</t>
  </si>
  <si>
    <t>Rising</t>
  </si>
  <si>
    <t>J2125</t>
  </si>
  <si>
    <t>Xenia to W Mt Vernon 345 kV</t>
  </si>
  <si>
    <t>J2126</t>
  </si>
  <si>
    <t>Garner SS to Seracy  Price 115kV line</t>
  </si>
  <si>
    <t>J2127</t>
  </si>
  <si>
    <t>COOPERATIVE ENERGY SMEP</t>
  </si>
  <si>
    <t>Silver Creek 115kV</t>
  </si>
  <si>
    <t>J2128</t>
  </si>
  <si>
    <t>7ARLAND - 7FARADAY 345.0kV</t>
  </si>
  <si>
    <t>J2129</t>
  </si>
  <si>
    <t>WOLVERINE POWER SUPPLY COOPERATIVE</t>
  </si>
  <si>
    <t>Barry</t>
  </si>
  <si>
    <t>Bradley 138 kV Substation</t>
  </si>
  <si>
    <t>J2130</t>
  </si>
  <si>
    <t>Clinton 230kV</t>
  </si>
  <si>
    <t>J2131</t>
  </si>
  <si>
    <t>7CASEY    - 7NEWTON   345.0kV</t>
  </si>
  <si>
    <t>J2132</t>
  </si>
  <si>
    <t>Cayuga 230 kV</t>
  </si>
  <si>
    <t>J2133</t>
  </si>
  <si>
    <t>Garner 115 kV Substation</t>
  </si>
  <si>
    <t>J2134</t>
  </si>
  <si>
    <t>WHITE BLUFF EHV - WRIGHTSVILLE 115.0kV</t>
  </si>
  <si>
    <t>J2135</t>
  </si>
  <si>
    <t>Ville Platte - West Fork 230kV</t>
  </si>
  <si>
    <t>J2136</t>
  </si>
  <si>
    <t>Iroquois</t>
  </si>
  <si>
    <t>Gilman South</t>
  </si>
  <si>
    <t>J2137</t>
  </si>
  <si>
    <t>J2138</t>
  </si>
  <si>
    <t>Rye Co - Cypress 138kV</t>
  </si>
  <si>
    <t>J2139</t>
  </si>
  <si>
    <t>BLACKFOOT - MADRID 345.0kV</t>
  </si>
  <si>
    <t>J2140</t>
  </si>
  <si>
    <t>J2141</t>
  </si>
  <si>
    <t>J2142</t>
  </si>
  <si>
    <t>Adair</t>
  </si>
  <si>
    <t>Maywood - Zachary 345 kV line</t>
  </si>
  <si>
    <t>J2143</t>
  </si>
  <si>
    <t>Chicot</t>
  </si>
  <si>
    <t>Lake Village Bagby 115 KV</t>
  </si>
  <si>
    <t>J2144</t>
  </si>
  <si>
    <t>Schahfer 345 kV Sub</t>
  </si>
  <si>
    <t>J2145</t>
  </si>
  <si>
    <t>Wilson EHV</t>
  </si>
  <si>
    <t>J2146</t>
  </si>
  <si>
    <t>Hopkins</t>
  </si>
  <si>
    <t>Hopkins County 161kV Substation</t>
  </si>
  <si>
    <t>J2147</t>
  </si>
  <si>
    <t>Daviess County - Utica 69kV</t>
  </si>
  <si>
    <t>J2148</t>
  </si>
  <si>
    <t>J2149</t>
  </si>
  <si>
    <t>Saline</t>
  </si>
  <si>
    <t>WHITE BLUFF EHV - HENSLEY 115.0kV</t>
  </si>
  <si>
    <t>J2150</t>
  </si>
  <si>
    <t>Madison 138 kV</t>
  </si>
  <si>
    <t>J2151</t>
  </si>
  <si>
    <t>Muddy to West Frankfort 138 kV line</t>
  </si>
  <si>
    <t>J2152</t>
  </si>
  <si>
    <t>INDEPENDENCE [LA] - HAMMOND 230.0kV</t>
  </si>
  <si>
    <t>J2153</t>
  </si>
  <si>
    <t>Ashley Switchyard</t>
  </si>
  <si>
    <t>J2154</t>
  </si>
  <si>
    <t>Carlyss - Nelson 230kV</t>
  </si>
  <si>
    <t>J2155</t>
  </si>
  <si>
    <t>New Madrid</t>
  </si>
  <si>
    <t>J2156</t>
  </si>
  <si>
    <t>Massac - Jordan 345kV</t>
  </si>
  <si>
    <t>J2157</t>
  </si>
  <si>
    <t>J2158</t>
  </si>
  <si>
    <t>Hutsonville - Neoga 138KV</t>
  </si>
  <si>
    <t>J2159</t>
  </si>
  <si>
    <t>J2160</t>
  </si>
  <si>
    <t>Gallagher to Columbus 230KV</t>
  </si>
  <si>
    <t>J2161</t>
  </si>
  <si>
    <t>Fulton</t>
  </si>
  <si>
    <t>Ipava 138KV</t>
  </si>
  <si>
    <t>J2162</t>
  </si>
  <si>
    <t>Itta Benna - Moorhead 115KV</t>
  </si>
  <si>
    <t>J2163</t>
  </si>
  <si>
    <t>230 kV: Penton Road to Roy S Nelson 230 kV</t>
  </si>
  <si>
    <t>J2164</t>
  </si>
  <si>
    <t>Petersburg 345 kV</t>
  </si>
  <si>
    <t>J2165</t>
  </si>
  <si>
    <t>JACINTO - SHECO BATISTE CREEK 230.0kV</t>
  </si>
  <si>
    <t>J2166</t>
  </si>
  <si>
    <t>Taylor</t>
  </si>
  <si>
    <t>Clarinda - Braddyville 161 kV line</t>
  </si>
  <si>
    <t>J2167</t>
  </si>
  <si>
    <t>Chalkley - Solac 230kV</t>
  </si>
  <si>
    <t>J2168</t>
  </si>
  <si>
    <t>China Substation</t>
  </si>
  <si>
    <t>J2169</t>
  </si>
  <si>
    <t>Deridder - Centennial 138-kV</t>
  </si>
  <si>
    <t>J2170</t>
  </si>
  <si>
    <t>Snyder 345 kV (J1180/J1475 POI)</t>
  </si>
  <si>
    <t>J2171</t>
  </si>
  <si>
    <t>Aster to Commodore</t>
  </si>
  <si>
    <t>J2172</t>
  </si>
  <si>
    <t>Macomb Northeast</t>
  </si>
  <si>
    <t>J2173</t>
  </si>
  <si>
    <t>BOLTON</t>
  </si>
  <si>
    <t>J2174</t>
  </si>
  <si>
    <t>ROBINSONVILLE - TUNICA 230/115 SUB 230.0kV</t>
  </si>
  <si>
    <t>J2175</t>
  </si>
  <si>
    <t>Indianola to Gerald Andrus 230 kV</t>
  </si>
  <si>
    <t>J2176</t>
  </si>
  <si>
    <t>Hartburg - Rhodes 500 kV</t>
  </si>
  <si>
    <t>J2177</t>
  </si>
  <si>
    <t>Tipton West 230 kV</t>
  </si>
  <si>
    <t>J2178</t>
  </si>
  <si>
    <t>Merom 345 kV</t>
  </si>
  <si>
    <t>J2179</t>
  </si>
  <si>
    <t>MONTGOMERY</t>
  </si>
  <si>
    <t>J2180</t>
  </si>
  <si>
    <t>Fisher</t>
  </si>
  <si>
    <t>J2181</t>
  </si>
  <si>
    <t>J2182</t>
  </si>
  <si>
    <t>Tallahatchie</t>
  </si>
  <si>
    <t>webb 115 kV</t>
  </si>
  <si>
    <t>J2183</t>
  </si>
  <si>
    <t>Pointe Coupee</t>
  </si>
  <si>
    <t>Fancy Point - Waterloo</t>
  </si>
  <si>
    <t>J2184</t>
  </si>
  <si>
    <t>Brinkley West Substation 115kV</t>
  </si>
  <si>
    <t>J2185</t>
  </si>
  <si>
    <t>J2186</t>
  </si>
  <si>
    <t>Ipava-Maple Ridge 345kV (4573)</t>
  </si>
  <si>
    <t>J2187</t>
  </si>
  <si>
    <t>Stillwell 138kV</t>
  </si>
  <si>
    <t>J2188</t>
  </si>
  <si>
    <t>J2189</t>
  </si>
  <si>
    <t>Hornsby Switching Station</t>
  </si>
  <si>
    <t>J2190</t>
  </si>
  <si>
    <t>J2191</t>
  </si>
  <si>
    <t>J2192</t>
  </si>
  <si>
    <t>7BUNSONVILLE - 7SIDNEY   345.0kV</t>
  </si>
  <si>
    <t>J2193</t>
  </si>
  <si>
    <t>Sand Lake</t>
  </si>
  <si>
    <t>J2194</t>
  </si>
  <si>
    <t>Merom - Gibson 345 kV Line</t>
  </si>
  <si>
    <t>J2195</t>
  </si>
  <si>
    <t>Ramsey East 138 kV</t>
  </si>
  <si>
    <t>J2196</t>
  </si>
  <si>
    <t>AUSTIN 138 KV</t>
  </si>
  <si>
    <t>J2197</t>
  </si>
  <si>
    <t>Xenia</t>
  </si>
  <si>
    <t>J2198</t>
  </si>
  <si>
    <t>Joachim 138kV</t>
  </si>
  <si>
    <t>J2199</t>
  </si>
  <si>
    <t>Anoka</t>
  </si>
  <si>
    <t>COON CREEK</t>
  </si>
  <si>
    <t>J2200</t>
  </si>
  <si>
    <t>Scott</t>
  </si>
  <si>
    <t>BLUE LAKE</t>
  </si>
  <si>
    <t>J2201</t>
  </si>
  <si>
    <t>Harrison</t>
  </si>
  <si>
    <t>Kenzig Road - HE Ramsey 345.0kV</t>
  </si>
  <si>
    <t>J2202</t>
  </si>
  <si>
    <t>Lacassine 69 kV</t>
  </si>
  <si>
    <t>J2203</t>
  </si>
  <si>
    <t>East Quincy</t>
  </si>
  <si>
    <t>J2204</t>
  </si>
  <si>
    <t>DUPO FERRY</t>
  </si>
  <si>
    <t>J2205</t>
  </si>
  <si>
    <t>J1145 New 345kV POI Substation (Ameren Overton-Montgomery 345kV Line)</t>
  </si>
  <si>
    <t>J2206</t>
  </si>
  <si>
    <t>Attica Substation 230kV</t>
  </si>
  <si>
    <t>J2207</t>
  </si>
  <si>
    <t>J2208</t>
  </si>
  <si>
    <t>De Soto</t>
  </si>
  <si>
    <t>Mansfield (Bus #500530) to Red River Tap (Bus #500762) 138 kV</t>
  </si>
  <si>
    <t>J2209</t>
  </si>
  <si>
    <t>Oran 161kV Substation</t>
  </si>
  <si>
    <t>J2210</t>
  </si>
  <si>
    <t>Derrick 230 kV</t>
  </si>
  <si>
    <t>J2211</t>
  </si>
  <si>
    <t>Tower Dr</t>
  </si>
  <si>
    <t>J2212</t>
  </si>
  <si>
    <t>Madison Michigan Ave</t>
  </si>
  <si>
    <t>J2213</t>
  </si>
  <si>
    <t>HIPLE</t>
  </si>
  <si>
    <t>J2214</t>
  </si>
  <si>
    <t>Fisher 230 kV</t>
  </si>
  <si>
    <t>J2215</t>
  </si>
  <si>
    <t>Lake</t>
  </si>
  <si>
    <t>SCHAHFER GEN STA - ST. JOHN 345.0kV</t>
  </si>
  <si>
    <t>J2216</t>
  </si>
  <si>
    <t>Sandcut-Rockville 138kV</t>
  </si>
  <si>
    <t>J2217</t>
  </si>
  <si>
    <t>Brinkley East - Aubrey 230 kV Line</t>
  </si>
  <si>
    <t>J2218</t>
  </si>
  <si>
    <t>Manitowoc</t>
  </si>
  <si>
    <t>SHOTO</t>
  </si>
  <si>
    <t>J2219</t>
  </si>
  <si>
    <t>ROCHESTER - WABACO    161.0kV</t>
  </si>
  <si>
    <t>J2220</t>
  </si>
  <si>
    <t>J2221</t>
  </si>
  <si>
    <t>Speed</t>
  </si>
  <si>
    <t>J2222</t>
  </si>
  <si>
    <t>Penton Road to Nelson 230 kV</t>
  </si>
  <si>
    <t>J2223</t>
  </si>
  <si>
    <t>Cash - Newport AB 161 kV</t>
  </si>
  <si>
    <t>J2224</t>
  </si>
  <si>
    <t>J2225</t>
  </si>
  <si>
    <t>J2226</t>
  </si>
  <si>
    <t>J2227</t>
  </si>
  <si>
    <t>Independence - Bridge Creek 69.0kV</t>
  </si>
  <si>
    <t>J2228</t>
  </si>
  <si>
    <t>Red Gum</t>
  </si>
  <si>
    <t>J2229</t>
  </si>
  <si>
    <t>Miami Wabash - Mier 138 kV</t>
  </si>
  <si>
    <t>J2230</t>
  </si>
  <si>
    <t>J2231</t>
  </si>
  <si>
    <t>Sherrill 115kV</t>
  </si>
  <si>
    <t>J2232</t>
  </si>
  <si>
    <t>J2233</t>
  </si>
  <si>
    <t>J2234</t>
  </si>
  <si>
    <t>J2235</t>
  </si>
  <si>
    <t>EAST TEXAS ELECTRIC COOPERATIVE, INC.</t>
  </si>
  <si>
    <t>Shepherd Substation</t>
  </si>
  <si>
    <t>J2236</t>
  </si>
  <si>
    <t>Greentown 230 kV</t>
  </si>
  <si>
    <t>J2237</t>
  </si>
  <si>
    <t>J2238</t>
  </si>
  <si>
    <t>The Franks (Bus #300041) - Bland (Bus #344154) 345 kV Line</t>
  </si>
  <si>
    <t>J2239</t>
  </si>
  <si>
    <t>Belgrade - Pilot Knob 161 kV</t>
  </si>
  <si>
    <t>J2240</t>
  </si>
  <si>
    <t>Nevada</t>
  </si>
  <si>
    <t>Prescott 337507 to Emmett 337505</t>
  </si>
  <si>
    <t>J2241</t>
  </si>
  <si>
    <t>Cayuga sub (Jordan Creek Wind J515 POI) 345 kV</t>
  </si>
  <si>
    <t>J2242</t>
  </si>
  <si>
    <t>SHECO</t>
  </si>
  <si>
    <t>J2243</t>
  </si>
  <si>
    <t>Warren 138kV</t>
  </si>
  <si>
    <t>J2244</t>
  </si>
  <si>
    <t>MABELVALE EHV to WHITE BLUFF EHV 115kV</t>
  </si>
  <si>
    <t>J2245</t>
  </si>
  <si>
    <t>Mandeville - North Slidell 230kV Line (not listed on TTF, but both substations seem to have breakers</t>
  </si>
  <si>
    <t>J2246</t>
  </si>
  <si>
    <t>REID EHV 345 kV Substation</t>
  </si>
  <si>
    <t>J2247</t>
  </si>
  <si>
    <t>Woodhall</t>
  </si>
  <si>
    <t>J2248</t>
  </si>
  <si>
    <t>White Bluff EHV to Wrightsville 115kV</t>
  </si>
  <si>
    <t>J2249</t>
  </si>
  <si>
    <t>Bayou Cove</t>
  </si>
  <si>
    <t>J2250</t>
  </si>
  <si>
    <t>MONTANA-DAKOTA UTILITIES CO.MDU</t>
  </si>
  <si>
    <t>Ellendale 345</t>
  </si>
  <si>
    <t>J2251</t>
  </si>
  <si>
    <t>J2252</t>
  </si>
  <si>
    <t>Cash - Newport AB</t>
  </si>
  <si>
    <t>J2253</t>
  </si>
  <si>
    <t>Fork Creek Substation</t>
  </si>
  <si>
    <t>J2254</t>
  </si>
  <si>
    <t>J2255</t>
  </si>
  <si>
    <t>Ripley</t>
  </si>
  <si>
    <t>Batesville 345 kV</t>
  </si>
  <si>
    <t>J2256</t>
  </si>
  <si>
    <t>Humboldt</t>
  </si>
  <si>
    <t>Irvington - Webster 345kV Line</t>
  </si>
  <si>
    <t>J2257</t>
  </si>
  <si>
    <t>Ville Platte - Westfork 230kV</t>
  </si>
  <si>
    <t>J2258</t>
  </si>
  <si>
    <t>East Quincy-Fishhook 138kV</t>
  </si>
  <si>
    <t>J2259</t>
  </si>
  <si>
    <t>Hendricks</t>
  </si>
  <si>
    <t>Amo 345kV</t>
  </si>
  <si>
    <t>J2260</t>
  </si>
  <si>
    <t>PORT CALCITE - RIGGSVILLE 138.0kV</t>
  </si>
  <si>
    <t>J2261</t>
  </si>
  <si>
    <t>INDEPENDENCE-ISES - POWERLINE ROAD 500.0kV</t>
  </si>
  <si>
    <t>J2262</t>
  </si>
  <si>
    <t>J2263</t>
  </si>
  <si>
    <t>Edwardsport 345KV</t>
  </si>
  <si>
    <t>J2264</t>
  </si>
  <si>
    <t>Prairie</t>
  </si>
  <si>
    <t>Desarc(A) (500kV) -Griffithville(B) (500kV)</t>
  </si>
  <si>
    <t>J2265</t>
  </si>
  <si>
    <t>St. Francois (Bus #345773) - Lutesville (Bus #344974) 345 kV Line</t>
  </si>
  <si>
    <t>J2266</t>
  </si>
  <si>
    <t>7KANSAS   - 08SUGCRK 345.0kV</t>
  </si>
  <si>
    <t>J2267</t>
  </si>
  <si>
    <t>Williamson</t>
  </si>
  <si>
    <t>345 kV Crab Orchard Substation</t>
  </si>
  <si>
    <t>J2268</t>
  </si>
  <si>
    <t>Duane Arnold</t>
  </si>
  <si>
    <t>J2269</t>
  </si>
  <si>
    <t>Veedersburg West - Lafayette 230kV</t>
  </si>
  <si>
    <t>J2270</t>
  </si>
  <si>
    <t>J2271</t>
  </si>
  <si>
    <t>South Fond du Lac to Columbia 345 kV</t>
  </si>
  <si>
    <t>J2272</t>
  </si>
  <si>
    <t>Calamus East</t>
  </si>
  <si>
    <t>J2273</t>
  </si>
  <si>
    <t>Tabor</t>
  </si>
  <si>
    <t>J2274</t>
  </si>
  <si>
    <t>Lincoln</t>
  </si>
  <si>
    <t>Pike - Troy 161kV</t>
  </si>
  <si>
    <t>J2275</t>
  </si>
  <si>
    <t>Peoria</t>
  </si>
  <si>
    <t>Fargo to Sandburg 345kV</t>
  </si>
  <si>
    <t>J2276</t>
  </si>
  <si>
    <t>MISSOURI RIVER ENERGY SERVICES - TRANSMISSION</t>
  </si>
  <si>
    <t>Douglas</t>
  </si>
  <si>
    <t>ALEXANDRIA</t>
  </si>
  <si>
    <t>J2277</t>
  </si>
  <si>
    <t>Arnott - Golden Sands 138.0kV</t>
  </si>
  <si>
    <t>J2278</t>
  </si>
  <si>
    <t>J2279</t>
  </si>
  <si>
    <t>Burnips to Tremaine 138 kV line</t>
  </si>
  <si>
    <t>J2280</t>
  </si>
  <si>
    <t>GREENWOOD CLARK TOWNSHIP</t>
  </si>
  <si>
    <t>J2281</t>
  </si>
  <si>
    <t>Reynolds 138 kV</t>
  </si>
  <si>
    <t>J2282</t>
  </si>
  <si>
    <t>BR Tap -- New Hardinsburg 161kV</t>
  </si>
  <si>
    <t>J2283</t>
  </si>
  <si>
    <t>18Knowles (MISO node #256632)</t>
  </si>
  <si>
    <t>J2284</t>
  </si>
  <si>
    <t>Clarksdale-Delta 115kV line</t>
  </si>
  <si>
    <t>J2285</t>
  </si>
  <si>
    <t>Praire - Winger</t>
  </si>
  <si>
    <t>J2286</t>
  </si>
  <si>
    <t>Praire - Winger 230kV</t>
  </si>
  <si>
    <t>J2287</t>
  </si>
  <si>
    <t>Bolivar</t>
  </si>
  <si>
    <t>DELTA SES SWITCHYARD 115kV</t>
  </si>
  <si>
    <t>J2288</t>
  </si>
  <si>
    <t>Ralls</t>
  </si>
  <si>
    <t>SPENCER CREEK</t>
  </si>
  <si>
    <t>J2289</t>
  </si>
  <si>
    <t>Sunflower</t>
  </si>
  <si>
    <t>Indianola 230/130 Sub</t>
  </si>
  <si>
    <t>J2290</t>
  </si>
  <si>
    <t>Avoyelles</t>
  </si>
  <si>
    <t>CLECO Yellow Bayou 138kV Substation</t>
  </si>
  <si>
    <t>J2291</t>
  </si>
  <si>
    <t>Winger</t>
  </si>
  <si>
    <t>J2292</t>
  </si>
  <si>
    <t>GOOS FERRY</t>
  </si>
  <si>
    <t>J2293</t>
  </si>
  <si>
    <t>J2294</t>
  </si>
  <si>
    <t>ARKANSAS ELECTRIC COOPERATIVE CORPORATION AECT</t>
  </si>
  <si>
    <t>Dell to Nucor 161 kV</t>
  </si>
  <si>
    <t>J2295</t>
  </si>
  <si>
    <t>Merom Substation 345kV</t>
  </si>
  <si>
    <t>J2296</t>
  </si>
  <si>
    <t>Merom Gibson 345kV line Tap</t>
  </si>
  <si>
    <t>J2297</t>
  </si>
  <si>
    <t>Indianola 230kV Substation</t>
  </si>
  <si>
    <t>J2298</t>
  </si>
  <si>
    <t>Gainesville Switching Station</t>
  </si>
  <si>
    <t>J2299</t>
  </si>
  <si>
    <t>Marmaduke</t>
  </si>
  <si>
    <t>J2300</t>
  </si>
  <si>
    <t>J2301</t>
  </si>
  <si>
    <t>J2302</t>
  </si>
  <si>
    <t>St. Helena</t>
  </si>
  <si>
    <t>MCKNIGHT - PLANT DANIEL 500.0kV</t>
  </si>
  <si>
    <t>J2303</t>
  </si>
  <si>
    <t>J2304</t>
  </si>
  <si>
    <t>Columbia - Rockdale 345.0kV</t>
  </si>
  <si>
    <t>J2305</t>
  </si>
  <si>
    <t>Henderson - AB Brown 138 kV</t>
  </si>
  <si>
    <t>J2306</t>
  </si>
  <si>
    <t>Commodore-Jordan</t>
  </si>
  <si>
    <t>J2307</t>
  </si>
  <si>
    <t>Greentown  - Walton. 230.0kV</t>
  </si>
  <si>
    <t>J2308</t>
  </si>
  <si>
    <t>J2309</t>
  </si>
  <si>
    <t>Chanarambie - ELLSBOROUGH (GRE) 115.0kV</t>
  </si>
  <si>
    <t>J2310</t>
  </si>
  <si>
    <t>Rhodes</t>
  </si>
  <si>
    <t>J2311</t>
  </si>
  <si>
    <t>J2312</t>
  </si>
  <si>
    <t>J2313</t>
  </si>
  <si>
    <t>J2314</t>
  </si>
  <si>
    <t>PETRY WOODS SS</t>
  </si>
  <si>
    <t>J2315</t>
  </si>
  <si>
    <t>Petry Woods</t>
  </si>
  <si>
    <t>J2316</t>
  </si>
  <si>
    <t>Nordic 138kV Substation</t>
  </si>
  <si>
    <t>J2317</t>
  </si>
  <si>
    <t>BASTROP (CAHOON) - STERLINGTON 115 SWYD 115.0kV</t>
  </si>
  <si>
    <t>J2318</t>
  </si>
  <si>
    <t>North East (Castle) - Culley 138 kV (J1642 POI)</t>
  </si>
  <si>
    <t>J2319</t>
  </si>
  <si>
    <t>Stein 345 kV substation</t>
  </si>
  <si>
    <t>J2320</t>
  </si>
  <si>
    <t>Inverness</t>
  </si>
  <si>
    <t>J2321</t>
  </si>
  <si>
    <t>Lamar</t>
  </si>
  <si>
    <t>DPP-2022</t>
  </si>
  <si>
    <t>Phase 1</t>
  </si>
  <si>
    <t>Columbia to Plant Morrow 161kV</t>
  </si>
  <si>
    <t>J2322</t>
  </si>
  <si>
    <t>Coughlin - Pine Prairie 138.0kV</t>
  </si>
  <si>
    <t>J2323</t>
  </si>
  <si>
    <t>Webster-Lehigh 345kV</t>
  </si>
  <si>
    <t>J2324</t>
  </si>
  <si>
    <t>Shirland Ave Tap (Y-54) to Shaw 69kV</t>
  </si>
  <si>
    <t>J2325</t>
  </si>
  <si>
    <t>Bastrop to Sterlington 115 kV</t>
  </si>
  <si>
    <t>J2326</t>
  </si>
  <si>
    <t>Werner West</t>
  </si>
  <si>
    <t>J2327</t>
  </si>
  <si>
    <t>LaMoure</t>
  </si>
  <si>
    <t>Ellendale 345 kV</t>
  </si>
  <si>
    <t>J2328</t>
  </si>
  <si>
    <t>Keo 500kV</t>
  </si>
  <si>
    <t>J2329</t>
  </si>
  <si>
    <t>Wabash River-Whitesville South 230 kV</t>
  </si>
  <si>
    <t>J2330</t>
  </si>
  <si>
    <t>GREENWOOD</t>
  </si>
  <si>
    <t>J2331</t>
  </si>
  <si>
    <t>West Frankfort East Substation 345kV</t>
  </si>
  <si>
    <t>J2332</t>
  </si>
  <si>
    <t>Cottonwood</t>
  </si>
  <si>
    <t>Lyon County - Cedar Mountain 345kV</t>
  </si>
  <si>
    <t>J2333</t>
  </si>
  <si>
    <t>Ellendale - Twin Brooks 345kV</t>
  </si>
  <si>
    <t>J2334</t>
  </si>
  <si>
    <t>Redhawk</t>
  </si>
  <si>
    <t>J2335</t>
  </si>
  <si>
    <t>Plover 115 kV Substation (J1573 substation)</t>
  </si>
  <si>
    <t>J2336</t>
  </si>
  <si>
    <t>Sterlington - Downsville 115 kV Line</t>
  </si>
  <si>
    <t>J2337</t>
  </si>
  <si>
    <t>St. Francois</t>
  </si>
  <si>
    <t>St. Francois 138kV 4ST FRANC 1 bus 345774</t>
  </si>
  <si>
    <t>J2338</t>
  </si>
  <si>
    <t>J2339</t>
  </si>
  <si>
    <t>Cocodrie-Forest Hill 230kV</t>
  </si>
  <si>
    <t>J2340</t>
  </si>
  <si>
    <t>RUSHVILLE 69 kV - HEMILROY 69 kV</t>
  </si>
  <si>
    <t>J2341</t>
  </si>
  <si>
    <t>Ricuskey-Woodward 230kV</t>
  </si>
  <si>
    <t>J2342</t>
  </si>
  <si>
    <t>J2343</t>
  </si>
  <si>
    <t>Georgetown  - North 138.0kV</t>
  </si>
  <si>
    <t>J2344</t>
  </si>
  <si>
    <t>Jamestown 345 kV</t>
  </si>
  <si>
    <t>J2345</t>
  </si>
  <si>
    <t>Gardner Park-Stone Lake 345kV</t>
  </si>
  <si>
    <t>J2346</t>
  </si>
  <si>
    <t>J2347</t>
  </si>
  <si>
    <t>Roscommon</t>
  </si>
  <si>
    <t>Higgins - Mio Dam 138 kV Line</t>
  </si>
  <si>
    <t>J2348</t>
  </si>
  <si>
    <t>Minden to Sarepta 115 kV</t>
  </si>
  <si>
    <t>J2349</t>
  </si>
  <si>
    <t>Jackson to Campbell Hill 161kV</t>
  </si>
  <si>
    <t>J2350</t>
  </si>
  <si>
    <t>J2351</t>
  </si>
  <si>
    <t>AECC RECTOR NORTH - RECTOR 161kV line</t>
  </si>
  <si>
    <t>J2352</t>
  </si>
  <si>
    <t>Woodbury</t>
  </si>
  <si>
    <t>Raun - Lehigh 345 kV</t>
  </si>
  <si>
    <t>J2353</t>
  </si>
  <si>
    <t>REYNOLDS - BURR OAK 345.0kV</t>
  </si>
  <si>
    <t>J2354</t>
  </si>
  <si>
    <t>Marinette</t>
  </si>
  <si>
    <t>Crivitz</t>
  </si>
  <si>
    <t>J2355</t>
  </si>
  <si>
    <t>A Tap on 4JERSEYVL-4ROODHSE</t>
  </si>
  <si>
    <t>J2356</t>
  </si>
  <si>
    <t>Craighead</t>
  </si>
  <si>
    <t>Cash-Newport AB 161 kV line</t>
  </si>
  <si>
    <t>J2357</t>
  </si>
  <si>
    <t>Thibodaux 230 kV Substation</t>
  </si>
  <si>
    <t>J2358</t>
  </si>
  <si>
    <t>J2359</t>
  </si>
  <si>
    <t>J2360</t>
  </si>
  <si>
    <t>J2361</t>
  </si>
  <si>
    <t>AECC Oppelo 161 kV Substation</t>
  </si>
  <si>
    <t>J2362</t>
  </si>
  <si>
    <t>VEEDERSBURG WEST 230kV Substation</t>
  </si>
  <si>
    <t>J2363</t>
  </si>
  <si>
    <t>Marshalltown-Laurel 161kV</t>
  </si>
  <si>
    <t>J2364</t>
  </si>
  <si>
    <t>Madison-Orient 345kV</t>
  </si>
  <si>
    <t>J2365</t>
  </si>
  <si>
    <t>J2366</t>
  </si>
  <si>
    <t>J2367</t>
  </si>
  <si>
    <t>Ellendale 345kV SS</t>
  </si>
  <si>
    <t>J2368</t>
  </si>
  <si>
    <t>J2369</t>
  </si>
  <si>
    <t>J2370</t>
  </si>
  <si>
    <t>BOLTON - RAYMOND-CAPLINE 115.0kV</t>
  </si>
  <si>
    <t>J2371</t>
  </si>
  <si>
    <t>J2372</t>
  </si>
  <si>
    <t>Bloomington Brokaw 138kV Substation</t>
  </si>
  <si>
    <t>J2373</t>
  </si>
  <si>
    <t>230kV Graywood or (new) Big Lake</t>
  </si>
  <si>
    <t>J2374</t>
  </si>
  <si>
    <t>J1557 Sub</t>
  </si>
  <si>
    <t>J2375</t>
  </si>
  <si>
    <t>Faraday</t>
  </si>
  <si>
    <t>J2376</t>
  </si>
  <si>
    <t>4PANA 1 - 4SHELBYVL E 138.0kV</t>
  </si>
  <si>
    <t>J2377</t>
  </si>
  <si>
    <t>7CLINTON  - 7BROKAW 345.0kV</t>
  </si>
  <si>
    <t>J2378</t>
  </si>
  <si>
    <t>Macomb</t>
  </si>
  <si>
    <t>LENOX - ST.CLAIR 120.0kV</t>
  </si>
  <si>
    <t>J2379</t>
  </si>
  <si>
    <t>J2380</t>
  </si>
  <si>
    <t>Meade County 161kV Substation</t>
  </si>
  <si>
    <t>J2381</t>
  </si>
  <si>
    <t>DOWNSVILLE- RUSTON EAST (LAGEN) 115 kV</t>
  </si>
  <si>
    <t>J2382</t>
  </si>
  <si>
    <t>Randolph</t>
  </si>
  <si>
    <t>5ADAIR    - 5THMHIL (AECI)  161.0kV</t>
  </si>
  <si>
    <t>J2383</t>
  </si>
  <si>
    <t>J2384</t>
  </si>
  <si>
    <t>J2385</t>
  </si>
  <si>
    <t>SWARTZ 115 KV</t>
  </si>
  <si>
    <t>J2386</t>
  </si>
  <si>
    <t>Poinsett</t>
  </si>
  <si>
    <t>Marked Tree 161 kV</t>
  </si>
  <si>
    <t>J2387</t>
  </si>
  <si>
    <t>Stoddard</t>
  </si>
  <si>
    <t>Stoddard 161 kV Substation</t>
  </si>
  <si>
    <t>J2388</t>
  </si>
  <si>
    <t>J2389</t>
  </si>
  <si>
    <t>Monument</t>
  </si>
  <si>
    <t>J2390</t>
  </si>
  <si>
    <t>Ipava 138kV</t>
  </si>
  <si>
    <t>J2391</t>
  </si>
  <si>
    <t>Webb 115 kV</t>
  </si>
  <si>
    <t>J2392</t>
  </si>
  <si>
    <t>Mason</t>
  </si>
  <si>
    <t>PERE MARQUETTE 138 KV</t>
  </si>
  <si>
    <t>J2393</t>
  </si>
  <si>
    <t>Kansas West Substation 138kV</t>
  </si>
  <si>
    <t>J2394</t>
  </si>
  <si>
    <t>Independence ISES - Powerline Road 500 kV</t>
  </si>
  <si>
    <t>J2395</t>
  </si>
  <si>
    <t>SHERIDAN EHV - EL DORADO EHV 500.0kV</t>
  </si>
  <si>
    <t>J2396</t>
  </si>
  <si>
    <t>J2397</t>
  </si>
  <si>
    <t>J2398</t>
  </si>
  <si>
    <t>J2399</t>
  </si>
  <si>
    <t>J2400</t>
  </si>
  <si>
    <t>Bienville</t>
  </si>
  <si>
    <t>Sailes Substation 115kV</t>
  </si>
  <si>
    <t>J2401</t>
  </si>
  <si>
    <t>7W_FRFT_E - 7SHAWNEE FP 345.0kV</t>
  </si>
  <si>
    <t>J2402</t>
  </si>
  <si>
    <t>J2403</t>
  </si>
  <si>
    <t>7JORD - 7MASS 345.0kV</t>
  </si>
  <si>
    <t>J2404</t>
  </si>
  <si>
    <t>East Baton Rouge</t>
  </si>
  <si>
    <t>EAST</t>
  </si>
  <si>
    <t>J2405</t>
  </si>
  <si>
    <t>Peters Road 230 kV substation</t>
  </si>
  <si>
    <t>J2406</t>
  </si>
  <si>
    <t>Pickens - Canton 230 kV</t>
  </si>
  <si>
    <t>J2407</t>
  </si>
  <si>
    <t>Dresser-Merom (HED) 345kV line break</t>
  </si>
  <si>
    <t>J2408</t>
  </si>
  <si>
    <t>Switzerland</t>
  </si>
  <si>
    <t>Fairview 138 kV Substation</t>
  </si>
  <si>
    <t>J2409</t>
  </si>
  <si>
    <t>INDEPENDENCE-ISES 500kV Substation</t>
  </si>
  <si>
    <t>J2410</t>
  </si>
  <si>
    <t>Pony Creek-Rolling Hills Wind 345kV</t>
  </si>
  <si>
    <t>J2411</t>
  </si>
  <si>
    <t>Red River-Mansfield 138kV</t>
  </si>
  <si>
    <t>J2412</t>
  </si>
  <si>
    <t>LR Alexander 115kV</t>
  </si>
  <si>
    <t>J2413</t>
  </si>
  <si>
    <t>Hoopeston West 138kV</t>
  </si>
  <si>
    <t>J2414</t>
  </si>
  <si>
    <t>Hoopeston 138kV</t>
  </si>
  <si>
    <t>J2415</t>
  </si>
  <si>
    <t>J2416</t>
  </si>
  <si>
    <t>North Rochester-Briggs Road 345kV</t>
  </si>
  <si>
    <t>J2417</t>
  </si>
  <si>
    <t>J2418</t>
  </si>
  <si>
    <t>J2419</t>
  </si>
  <si>
    <t>Huntley 345kV</t>
  </si>
  <si>
    <t>J2420</t>
  </si>
  <si>
    <t>J2421</t>
  </si>
  <si>
    <t>J2422</t>
  </si>
  <si>
    <t>Baldwin</t>
  </si>
  <si>
    <t>J2423</t>
  </si>
  <si>
    <t>Columbia-North Madison 345kV</t>
  </si>
  <si>
    <t>J2424</t>
  </si>
  <si>
    <t>Manuel 138kV</t>
  </si>
  <si>
    <t>J2425</t>
  </si>
  <si>
    <t>7ENON - 7MONTGMRY 345kV</t>
  </si>
  <si>
    <t>J2426</t>
  </si>
  <si>
    <t>Kinmundy 138kV</t>
  </si>
  <si>
    <t>J2427</t>
  </si>
  <si>
    <t>J2428</t>
  </si>
  <si>
    <t>Clarksdale 115kV</t>
  </si>
  <si>
    <t>J2429</t>
  </si>
  <si>
    <t>North Madison 69kV Substation</t>
  </si>
  <si>
    <t>J2430</t>
  </si>
  <si>
    <t>J2431</t>
  </si>
  <si>
    <t>St. Francis</t>
  </si>
  <si>
    <t>West Memphis-Genpower Keo 500kV Line Break (located at "CHALKBLUFFPV" 500kV POI SS, co-located with</t>
  </si>
  <si>
    <t>J2432</t>
  </si>
  <si>
    <t>Lula-Tunica 115kV</t>
  </si>
  <si>
    <t>J2433</t>
  </si>
  <si>
    <t>Wing River-Riverton 230kV</t>
  </si>
  <si>
    <t>J2434</t>
  </si>
  <si>
    <t>J2435</t>
  </si>
  <si>
    <t>Webster-Wright 161kV</t>
  </si>
  <si>
    <t>J2436</t>
  </si>
  <si>
    <t>J2437</t>
  </si>
  <si>
    <t>BRINKLEY EAST - AECC AUBREY 230.0kV</t>
  </si>
  <si>
    <t>J2438</t>
  </si>
  <si>
    <t>7MONTGMRY -7ENON 345kV</t>
  </si>
  <si>
    <t>J2439</t>
  </si>
  <si>
    <t>J2440</t>
  </si>
  <si>
    <t>J2441</t>
  </si>
  <si>
    <t>West Bay - Centennial 138 kV</t>
  </si>
  <si>
    <t>J2442</t>
  </si>
  <si>
    <t>Batesville 138 kV</t>
  </si>
  <si>
    <t>J2443</t>
  </si>
  <si>
    <t>Kosciusko</t>
  </si>
  <si>
    <t>Leesburg 345 kV</t>
  </si>
  <si>
    <t>J2444</t>
  </si>
  <si>
    <t>ARGENTA - TWIN BRANCH 345.0kV</t>
  </si>
  <si>
    <t>J2445</t>
  </si>
  <si>
    <t>Karma 161kV</t>
  </si>
  <si>
    <t>J2446</t>
  </si>
  <si>
    <t>Allen S King - Eau Claire 345.0kV</t>
  </si>
  <si>
    <t>J2447</t>
  </si>
  <si>
    <t>J2448</t>
  </si>
  <si>
    <t>Haynesville South to Sarepta 115kV</t>
  </si>
  <si>
    <t>J2449</t>
  </si>
  <si>
    <t>Faulkner</t>
  </si>
  <si>
    <t>Mayflower EHV 500 kV</t>
  </si>
  <si>
    <t>J2450</t>
  </si>
  <si>
    <t>WESTWOOD 345 KV</t>
  </si>
  <si>
    <t>J2451</t>
  </si>
  <si>
    <t>Gerald Andrus SES Switchyard-Lake Village Bagby 230 Kv</t>
  </si>
  <si>
    <t>J2452</t>
  </si>
  <si>
    <t>Cleveland</t>
  </si>
  <si>
    <t>Sheridan EHV- EL Dorado EHV 500 Kv</t>
  </si>
  <si>
    <t>J2453</t>
  </si>
  <si>
    <t>Casey West 345kV</t>
  </si>
  <si>
    <t>J2454</t>
  </si>
  <si>
    <t>Eureka - Vestaburg 138kV</t>
  </si>
  <si>
    <t>J2455</t>
  </si>
  <si>
    <t>La Crosse</t>
  </si>
  <si>
    <t>FRENCH ISLAND</t>
  </si>
  <si>
    <t>J2456</t>
  </si>
  <si>
    <t>Phillips</t>
  </si>
  <si>
    <t>AECC AUBREY-RITCHIE SES SWITCHYARD 230 KV</t>
  </si>
  <si>
    <t>J2457</t>
  </si>
  <si>
    <t>ENTERGY NEW ORLEANS, LLC ENTO</t>
  </si>
  <si>
    <t>Orleans</t>
  </si>
  <si>
    <t>PATERSON</t>
  </si>
  <si>
    <t>J2458</t>
  </si>
  <si>
    <t>Pleasant Hill 500kV Substation</t>
  </si>
  <si>
    <t>J2459</t>
  </si>
  <si>
    <t>White Bluff EHV 500kV</t>
  </si>
  <si>
    <t>J2460</t>
  </si>
  <si>
    <t>J2461</t>
  </si>
  <si>
    <t>Christian</t>
  </si>
  <si>
    <t>Pana 138 kV</t>
  </si>
  <si>
    <t>J2462</t>
  </si>
  <si>
    <t>Ledyard-Colby 345kV</t>
  </si>
  <si>
    <t>J2463</t>
  </si>
  <si>
    <t>J2464</t>
  </si>
  <si>
    <t>J2465</t>
  </si>
  <si>
    <t>Goose Creek Energy Center to Maroa East 345 kV</t>
  </si>
  <si>
    <t>J2466</t>
  </si>
  <si>
    <t>J2467</t>
  </si>
  <si>
    <t>J2468</t>
  </si>
  <si>
    <t>El Dorado East 115kV</t>
  </si>
  <si>
    <t>J2469</t>
  </si>
  <si>
    <t>Sub K (Tiffin)-Duane Arnold 345kV</t>
  </si>
  <si>
    <t>J2470</t>
  </si>
  <si>
    <t>Donahue-Marksville 138kV</t>
  </si>
  <si>
    <t>J2471</t>
  </si>
  <si>
    <t>Beecher-Cement City 138kV</t>
  </si>
  <si>
    <t>J2472</t>
  </si>
  <si>
    <t>J2473</t>
  </si>
  <si>
    <t>Hanna 138kV</t>
  </si>
  <si>
    <t>J2474</t>
  </si>
  <si>
    <t>4AUSTIN - 4VIRDEN   138.0kV</t>
  </si>
  <si>
    <t>J2475</t>
  </si>
  <si>
    <t>Toll Rd 120kV</t>
  </si>
  <si>
    <t>J2476</t>
  </si>
  <si>
    <t>Otego 138kV</t>
  </si>
  <si>
    <t>J2477</t>
  </si>
  <si>
    <t>J2478</t>
  </si>
  <si>
    <t>J2479</t>
  </si>
  <si>
    <t>Red Gum to Metropolis 115 kV</t>
  </si>
  <si>
    <t>J2480</t>
  </si>
  <si>
    <t>Reid to Daviess County 161 kV</t>
  </si>
  <si>
    <t>J2481</t>
  </si>
  <si>
    <t>Webster-Irvington 345kV</t>
  </si>
  <si>
    <t>J2482</t>
  </si>
  <si>
    <t>J2483</t>
  </si>
  <si>
    <t>GILLSBURG SS (CE)-LIBERTY115 Kv</t>
  </si>
  <si>
    <t>J2484</t>
  </si>
  <si>
    <t>J2485</t>
  </si>
  <si>
    <t>J2486</t>
  </si>
  <si>
    <t>LALLENDORF - MONROE 345.0kV</t>
  </si>
  <si>
    <t>J2487</t>
  </si>
  <si>
    <t>J2488</t>
  </si>
  <si>
    <t>Almeda Junction-Shale 138kV</t>
  </si>
  <si>
    <t>J2489</t>
  </si>
  <si>
    <t>Red River</t>
  </si>
  <si>
    <t>Western Kraft-Layfield 230 kV</t>
  </si>
  <si>
    <t>J2490</t>
  </si>
  <si>
    <t>Tuscola</t>
  </si>
  <si>
    <t>J2491</t>
  </si>
  <si>
    <t>Edenville - Price Rd. Jct 138 kV</t>
  </si>
  <si>
    <t>J2492</t>
  </si>
  <si>
    <t>Wilkin</t>
  </si>
  <si>
    <t>Wahpeton 230kV</t>
  </si>
  <si>
    <t>J2493</t>
  </si>
  <si>
    <t>Arenac</t>
  </si>
  <si>
    <t>Gallagher - Tittabawassee 345 kV</t>
  </si>
  <si>
    <t>J2494</t>
  </si>
  <si>
    <t>Clare Jct to Vernon Jct 138 kV</t>
  </si>
  <si>
    <t>J2495</t>
  </si>
  <si>
    <t>Benton County 115 kV</t>
  </si>
  <si>
    <t>J2496</t>
  </si>
  <si>
    <t>Reynolds 345 kV Substation</t>
  </si>
  <si>
    <t>J2497</t>
  </si>
  <si>
    <t>West Mt. Vernon</t>
  </si>
  <si>
    <t>J2498</t>
  </si>
  <si>
    <t>Hamilton</t>
  </si>
  <si>
    <t>Hortonville-Noblesville Line 345 kV</t>
  </si>
  <si>
    <t>J2499</t>
  </si>
  <si>
    <t>Blendon 138 kV</t>
  </si>
  <si>
    <t>J2500</t>
  </si>
  <si>
    <t>Bon Wier to Cooper 138 kV</t>
  </si>
  <si>
    <t>J2501</t>
  </si>
  <si>
    <t>NORTH ROCHESTER</t>
  </si>
  <si>
    <t>J2502</t>
  </si>
  <si>
    <t>J2503</t>
  </si>
  <si>
    <t>Downsville - Ruston East 115 kV</t>
  </si>
  <si>
    <t>J2504</t>
  </si>
  <si>
    <t>Mattoon East 138 kV</t>
  </si>
  <si>
    <t>J2505</t>
  </si>
  <si>
    <t>J2506</t>
  </si>
  <si>
    <t>CITY OF COLUMBIA, MISSOURI (WATER AND LIGHT DEPT.)</t>
  </si>
  <si>
    <t>5BOLSTAD 161kV Substation</t>
  </si>
  <si>
    <t>J2507</t>
  </si>
  <si>
    <t>Gibson Sta to Petersburg (IP&amp;L) 345 kV</t>
  </si>
  <si>
    <t>J2508</t>
  </si>
  <si>
    <t>El Dorado Ehv - Sarepta 345kV</t>
  </si>
  <si>
    <t>J2509</t>
  </si>
  <si>
    <t>Westwood 345 kV</t>
  </si>
  <si>
    <t>J2510</t>
  </si>
  <si>
    <t>Stuttgart Rcuskey - Woodward 230kV</t>
  </si>
  <si>
    <t>J2511</t>
  </si>
  <si>
    <t>J2512</t>
  </si>
  <si>
    <t>J2513</t>
  </si>
  <si>
    <t>J2514</t>
  </si>
  <si>
    <t>J2515</t>
  </si>
  <si>
    <t>J2516</t>
  </si>
  <si>
    <t>J2517</t>
  </si>
  <si>
    <t>AECC  Aubrey to Brinkley East 230 kV</t>
  </si>
  <si>
    <t>J2518</t>
  </si>
  <si>
    <t>J2519</t>
  </si>
  <si>
    <t>Smalling</t>
  </si>
  <si>
    <t>J2520</t>
  </si>
  <si>
    <t>Saratoga-ACEC Badger West 138kV</t>
  </si>
  <si>
    <t>J2521</t>
  </si>
  <si>
    <t>J2522</t>
  </si>
  <si>
    <t>AECC Manila - Dell EHV 161 kV (J2089 POI)</t>
  </si>
  <si>
    <t>J2523</t>
  </si>
  <si>
    <t>INDEPENDENCE-ISES</t>
  </si>
  <si>
    <t>J2524</t>
  </si>
  <si>
    <t>5STODDARD - 5MORLEY (AECI) 161kV</t>
  </si>
  <si>
    <t>J2525</t>
  </si>
  <si>
    <t>Dunn - Oak Ridge 115 kV</t>
  </si>
  <si>
    <t>J2526</t>
  </si>
  <si>
    <t>Layfield - Western Kraft 230.0kV</t>
  </si>
  <si>
    <t>J2527</t>
  </si>
  <si>
    <t>Caney 138 kV</t>
  </si>
  <si>
    <t>J2528</t>
  </si>
  <si>
    <t>Parkin to Kuhn Road 161 kV</t>
  </si>
  <si>
    <t>J2529</t>
  </si>
  <si>
    <t>Cocodrie - Hineston 230kV line</t>
  </si>
  <si>
    <t>J2530</t>
  </si>
  <si>
    <t>Thorntown to Kokomo HP 230 kV</t>
  </si>
  <si>
    <t>J2531</t>
  </si>
  <si>
    <t>Bernice - Vienna 115 kV</t>
  </si>
  <si>
    <t>J2532</t>
  </si>
  <si>
    <t>Latham</t>
  </si>
  <si>
    <t>J2533</t>
  </si>
  <si>
    <t>J2534</t>
  </si>
  <si>
    <t>Pere Marquette 138 KV</t>
  </si>
  <si>
    <t>J2535</t>
  </si>
  <si>
    <t>Cooper - Leesville 138 kV</t>
  </si>
  <si>
    <t>J2536</t>
  </si>
  <si>
    <t>LaSalle</t>
  </si>
  <si>
    <t>Fox River - Ottawa 138kV</t>
  </si>
  <si>
    <t>J2537</t>
  </si>
  <si>
    <t>Highway 22 345 kV Substation</t>
  </si>
  <si>
    <t>J2538</t>
  </si>
  <si>
    <t>Speed  - Trimble (LGEE) 345.0kV</t>
  </si>
  <si>
    <t>J2539</t>
  </si>
  <si>
    <t>Trimble (LGEE) - Speed 345 kV</t>
  </si>
  <si>
    <t>J2540</t>
  </si>
  <si>
    <t>Graves</t>
  </si>
  <si>
    <t>Bryan Road</t>
  </si>
  <si>
    <t>J2541</t>
  </si>
  <si>
    <t>J2542</t>
  </si>
  <si>
    <t>Vesta Rd 138kV</t>
  </si>
  <si>
    <t>J2543</t>
  </si>
  <si>
    <t>J2544</t>
  </si>
  <si>
    <t>J2545</t>
  </si>
  <si>
    <t>Buchanan</t>
  </si>
  <si>
    <t>J2546</t>
  </si>
  <si>
    <t>J2547</t>
  </si>
  <si>
    <t>Bryan Road - McCracken County 161.0kV</t>
  </si>
  <si>
    <t>J2548</t>
  </si>
  <si>
    <t>J2549</t>
  </si>
  <si>
    <t>Sub T to Maywood 345kV line</t>
  </si>
  <si>
    <t>J2550</t>
  </si>
  <si>
    <t>Yellow Medicine</t>
  </si>
  <si>
    <t>HAZEL CREEK</t>
  </si>
  <si>
    <t>J2551</t>
  </si>
  <si>
    <t>J2552</t>
  </si>
  <si>
    <t>Rock Island</t>
  </si>
  <si>
    <t>SUB 39 - CORDOVA 345.0kV</t>
  </si>
  <si>
    <t>J2553</t>
  </si>
  <si>
    <t>Killdeer</t>
  </si>
  <si>
    <t>J2554</t>
  </si>
  <si>
    <t>J2555</t>
  </si>
  <si>
    <t>DELHI to TOMPKINS 138kV</t>
  </si>
  <si>
    <t>J2556</t>
  </si>
  <si>
    <t>Whiteside</t>
  </si>
  <si>
    <t>J2557</t>
  </si>
  <si>
    <t>Arpin</t>
  </si>
  <si>
    <t>J2558</t>
  </si>
  <si>
    <t>Delta Ms - Ruleville 115kV Line</t>
  </si>
  <si>
    <t>J2559</t>
  </si>
  <si>
    <t>J2560</t>
  </si>
  <si>
    <t>CLEVELAND/SOUTH - STEINER (CE) 115.0kV</t>
  </si>
  <si>
    <t>J2561</t>
  </si>
  <si>
    <t>J2562</t>
  </si>
  <si>
    <t>Dewitt - Deluce</t>
  </si>
  <si>
    <t>J2563</t>
  </si>
  <si>
    <t>crandal</t>
  </si>
  <si>
    <t>J2564</t>
  </si>
  <si>
    <t>138kV Crawfordsville</t>
  </si>
  <si>
    <t>J2565</t>
  </si>
  <si>
    <t>4GILMAN-4PAXTON E 138kV</t>
  </si>
  <si>
    <t>J2566</t>
  </si>
  <si>
    <t>Gibson Sta - Bedford 345 345.0kV</t>
  </si>
  <si>
    <t>J2567</t>
  </si>
  <si>
    <t>Oceana</t>
  </si>
  <si>
    <t>J2568</t>
  </si>
  <si>
    <t>Habetz - Sellers Road 138 kV Line</t>
  </si>
  <si>
    <t>J2569</t>
  </si>
  <si>
    <t>St. Louis</t>
  </si>
  <si>
    <t>Arrowhead 115 kV Substation</t>
  </si>
  <si>
    <t>J2570</t>
  </si>
  <si>
    <t>J2571</t>
  </si>
  <si>
    <t>BROOKFIELD ENERGY MARKETING INC.</t>
  </si>
  <si>
    <t>J866 Six Mile Lake Substation</t>
  </si>
  <si>
    <t>J2572</t>
  </si>
  <si>
    <t>Noblesville (Duke) - Hortonville (Duke) 345.0kV</t>
  </si>
  <si>
    <t>J2573</t>
  </si>
  <si>
    <t>Gallagher to Bedford 138kV Line</t>
  </si>
  <si>
    <t>J2574</t>
  </si>
  <si>
    <t>J2575</t>
  </si>
  <si>
    <t>Cincinnati 138 kV Substation</t>
  </si>
  <si>
    <t>J2576</t>
  </si>
  <si>
    <t>Louisa</t>
  </si>
  <si>
    <t>Denmark - Newport 161kV</t>
  </si>
  <si>
    <t>J2577</t>
  </si>
  <si>
    <t>Parkin</t>
  </si>
  <si>
    <t>J2578</t>
  </si>
  <si>
    <t>KARN - THETFORD (ATLANTA) 138.0kV</t>
  </si>
  <si>
    <t>J2579</t>
  </si>
  <si>
    <t>J2580</t>
  </si>
  <si>
    <t>Montgomery to Winnfield 230 kV</t>
  </si>
  <si>
    <t>J2581</t>
  </si>
  <si>
    <t>Batesville 138kV Substation</t>
  </si>
  <si>
    <t>J2582</t>
  </si>
  <si>
    <t>Speed 138 kV substation</t>
  </si>
  <si>
    <t>J2583</t>
  </si>
  <si>
    <t>Eaton</t>
  </si>
  <si>
    <t>Battle Creek - Island Road 138 kV Line</t>
  </si>
  <si>
    <t>J2584</t>
  </si>
  <si>
    <t>Warrenton 161kV Substation</t>
  </si>
  <si>
    <t>J2585</t>
  </si>
  <si>
    <t>Worthington Primary - Merom Primary 345 kV line</t>
  </si>
  <si>
    <t>J2586</t>
  </si>
  <si>
    <t>SPEED 345</t>
  </si>
  <si>
    <t>J2587</t>
  </si>
  <si>
    <t>Sugar Creek - Cayuga CT  345.0kV</t>
  </si>
  <si>
    <t>J2588</t>
  </si>
  <si>
    <t>TOMPKINS - VROOMAN 138.0kV</t>
  </si>
  <si>
    <t>J2589</t>
  </si>
  <si>
    <t>J2590</t>
  </si>
  <si>
    <t>Stein - Rapson 345 kV line</t>
  </si>
  <si>
    <t>J2591</t>
  </si>
  <si>
    <t>Choctaw</t>
  </si>
  <si>
    <t>WOLF CREEK 500 kV</t>
  </si>
  <si>
    <t>High Voltage DC</t>
  </si>
  <si>
    <t>J2592</t>
  </si>
  <si>
    <t>Thetford (Atlanta) - Karn 138 kV line</t>
  </si>
  <si>
    <t>J2593</t>
  </si>
  <si>
    <t>Gasconade</t>
  </si>
  <si>
    <t>Bland 138 kV Substation</t>
  </si>
  <si>
    <t>J2594</t>
  </si>
  <si>
    <t>Ray Braswell 230 kV</t>
  </si>
  <si>
    <t>J2595</t>
  </si>
  <si>
    <t>LAKEOVER EHV-RAY BRASWELL EHV 500 kV</t>
  </si>
  <si>
    <t>J2596</t>
  </si>
  <si>
    <t>West Memphis 500 kV</t>
  </si>
  <si>
    <t>J2597</t>
  </si>
  <si>
    <t>J2598</t>
  </si>
  <si>
    <t>Adams to Hayward 161 kV Tap</t>
  </si>
  <si>
    <t>J2599</t>
  </si>
  <si>
    <t>Lyon County 345kV Substation</t>
  </si>
  <si>
    <t>J2600</t>
  </si>
  <si>
    <t>Wabasha</t>
  </si>
  <si>
    <t>Wabaco to Alma 161 kV Tap</t>
  </si>
  <si>
    <t>J2601</t>
  </si>
  <si>
    <t>North Rochester - Briggs Road 345.0kV</t>
  </si>
  <si>
    <t>J2602</t>
  </si>
  <si>
    <t>J2603</t>
  </si>
  <si>
    <t>4PURO - 4HAVANA3 138.0kV</t>
  </si>
  <si>
    <t>J2604</t>
  </si>
  <si>
    <t>South Centralia 138 kV</t>
  </si>
  <si>
    <t>J2605</t>
  </si>
  <si>
    <t>Steele</t>
  </si>
  <si>
    <t>ALEXANDRIA 345 KV</t>
  </si>
  <si>
    <t>J2606</t>
  </si>
  <si>
    <t>Alexandria 345kV</t>
  </si>
  <si>
    <t>J2607</t>
  </si>
  <si>
    <t>Redhawk 138 kV - MTEP Project (17976)</t>
  </si>
  <si>
    <t>J2608</t>
  </si>
  <si>
    <t>Stevens</t>
  </si>
  <si>
    <t>Hancock 115kV Substation</t>
  </si>
  <si>
    <t>J2609</t>
  </si>
  <si>
    <t>J2610</t>
  </si>
  <si>
    <t>Bond</t>
  </si>
  <si>
    <t>4GREENVIL to 4HOOKDALE 138kV</t>
  </si>
  <si>
    <t>J2611</t>
  </si>
  <si>
    <t>Alcona</t>
  </si>
  <si>
    <t>IOSCO - SPRUCE ROAD 138.0kV</t>
  </si>
  <si>
    <t>J2612</t>
  </si>
  <si>
    <t>Flora 115kV Substation</t>
  </si>
  <si>
    <t>J2613</t>
  </si>
  <si>
    <t>HOLLAND BOTTOM - INDEPENDENCE-ISES 500.0kV</t>
  </si>
  <si>
    <t>J2614</t>
  </si>
  <si>
    <t>Mercer 161kV</t>
  </si>
  <si>
    <t>J2615</t>
  </si>
  <si>
    <t>FB Culley to Dubois Transmission Line</t>
  </si>
  <si>
    <t>J2616</t>
  </si>
  <si>
    <t>Scanlan (Cajun) to Bosco SS 138 kV line</t>
  </si>
  <si>
    <t>J2617</t>
  </si>
  <si>
    <t>Palisades to Argenta 345 kV</t>
  </si>
  <si>
    <t>J2618</t>
  </si>
  <si>
    <t>Lenox 120kV</t>
  </si>
  <si>
    <t>J2619</t>
  </si>
  <si>
    <t>Kenowa to Nelson Rd. 345kV</t>
  </si>
  <si>
    <t>J2620</t>
  </si>
  <si>
    <t>Bearden to Camden North 115 kV</t>
  </si>
  <si>
    <t>J2621</t>
  </si>
  <si>
    <t>Pine Lake 161 kV Substation</t>
  </si>
  <si>
    <t>J2622</t>
  </si>
  <si>
    <t>Drew</t>
  </si>
  <si>
    <t>Wilmar to Monticello South 115 kV</t>
  </si>
  <si>
    <t>J2623</t>
  </si>
  <si>
    <t>Hot Spring</t>
  </si>
  <si>
    <t>H.S. EHV to Friendship 115 kV</t>
  </si>
  <si>
    <t>J2624</t>
  </si>
  <si>
    <t>Big Stone South 345kV Substation</t>
  </si>
  <si>
    <t>J2625</t>
  </si>
  <si>
    <t>Maywood 345kV</t>
  </si>
  <si>
    <t>J2626</t>
  </si>
  <si>
    <t>345kV Commodore to Jordan</t>
  </si>
  <si>
    <t>J2627</t>
  </si>
  <si>
    <t>J2628</t>
  </si>
  <si>
    <t>RAPSON</t>
  </si>
  <si>
    <t>J2629</t>
  </si>
  <si>
    <t>Leach to Newton Bulk 138 kV Line</t>
  </si>
  <si>
    <t>J2630</t>
  </si>
  <si>
    <t>Woodruff</t>
  </si>
  <si>
    <t>Des Arc to Cotton Plant 115 kV</t>
  </si>
  <si>
    <t>J2631</t>
  </si>
  <si>
    <t>Stuttgart Ricuskey- Tarleton 230 KV</t>
  </si>
  <si>
    <t>J2632</t>
  </si>
  <si>
    <t>Sarpeta to Minden 115 kV</t>
  </si>
  <si>
    <t>J2633</t>
  </si>
  <si>
    <t>AECC Clinton Industrial - AECC Clinton West 161 KV</t>
  </si>
  <si>
    <t>J2634</t>
  </si>
  <si>
    <t>CAMDEN MAGUIRE - SMACKOVER 115.0kV</t>
  </si>
  <si>
    <t>J2635</t>
  </si>
  <si>
    <t>Cane 138 kV</t>
  </si>
  <si>
    <t>J2636</t>
  </si>
  <si>
    <t>BISMARCK-AECC ALPINE 115 KV</t>
  </si>
  <si>
    <t>J2637</t>
  </si>
  <si>
    <t>Cotton Plant- Brinkley West 115KV</t>
  </si>
  <si>
    <t>J2638</t>
  </si>
  <si>
    <t>Emmet SS - Hope East SS 115KV</t>
  </si>
  <si>
    <t>J2639</t>
  </si>
  <si>
    <t>Bradley</t>
  </si>
  <si>
    <t>AECC HERMITAGE SOUTH - HILO 115.0kV</t>
  </si>
  <si>
    <t>J2640</t>
  </si>
  <si>
    <t>J2641</t>
  </si>
  <si>
    <t>NEWPORT</t>
  </si>
  <si>
    <t>J2642</t>
  </si>
  <si>
    <t>BOGALUSA - DEXTER SS (CE) 115.0kV</t>
  </si>
  <si>
    <t>J2643</t>
  </si>
  <si>
    <t>J2644</t>
  </si>
  <si>
    <t>EUDORA - CHICKASAW (LAGEN) 115.0kV</t>
  </si>
  <si>
    <t>J2645</t>
  </si>
  <si>
    <t>4PREST - 4BALDWIN 138.0kV</t>
  </si>
  <si>
    <t>J2646</t>
  </si>
  <si>
    <t>REESE 115 - TRUSSELS CROSSING (LAGEN)</t>
  </si>
  <si>
    <t>J2647</t>
  </si>
  <si>
    <t>West Frankfort East 345 kV (7E W FKFT)</t>
  </si>
  <si>
    <t>J2648</t>
  </si>
  <si>
    <t>Sidney 138 kV</t>
  </si>
  <si>
    <t>J2649</t>
  </si>
  <si>
    <t>WEST MEMPHIS EHV - KEO EHV 500kv</t>
  </si>
  <si>
    <t>J2650</t>
  </si>
  <si>
    <t>Sunnyside to Hanna 345 kV</t>
  </si>
  <si>
    <t>J2651</t>
  </si>
  <si>
    <t>MOLER - COLFEL 230.0kV</t>
  </si>
  <si>
    <t>J2652</t>
  </si>
  <si>
    <t>Rosemount - Nininger (GRE) 115 kV line</t>
  </si>
  <si>
    <t>J2653</t>
  </si>
  <si>
    <t>Army Post 161kV Substation</t>
  </si>
  <si>
    <t>J2654</t>
  </si>
  <si>
    <t>Frankfort  -  New London 230.0kV</t>
  </si>
  <si>
    <t>J2655</t>
  </si>
  <si>
    <t>Army Post 161 kV Substation</t>
  </si>
  <si>
    <t>J2656</t>
  </si>
  <si>
    <t>4LATHAM-4N DEC E 138 kV</t>
  </si>
  <si>
    <t>J2657</t>
  </si>
  <si>
    <t>J2658</t>
  </si>
  <si>
    <t>7CASEY-7NEWTON 345kV</t>
  </si>
  <si>
    <t>J2659</t>
  </si>
  <si>
    <t>Turner</t>
  </si>
  <si>
    <t>J2660</t>
  </si>
  <si>
    <t>J2661</t>
  </si>
  <si>
    <t>7Xenia- 7MT Vrnon 345 KV</t>
  </si>
  <si>
    <t>J2662</t>
  </si>
  <si>
    <t>J2663</t>
  </si>
  <si>
    <t>Reynolds - Burr Oak 345 kV Line</t>
  </si>
  <si>
    <t>J2664</t>
  </si>
  <si>
    <t>Cayuga Sta - Nucor 345 kV line</t>
  </si>
  <si>
    <t>J2665</t>
  </si>
  <si>
    <t>Mercer</t>
  </si>
  <si>
    <t>Coyote Switchyard 345kV Substation</t>
  </si>
  <si>
    <t>J2666</t>
  </si>
  <si>
    <t>Brick Church 138 kV</t>
  </si>
  <si>
    <t>J2667</t>
  </si>
  <si>
    <t>GREENWOOD - RAPSON 345.0kV</t>
  </si>
  <si>
    <t>J2668</t>
  </si>
  <si>
    <t>Lake County - Pere Marquette (METC) 138.0kV</t>
  </si>
  <si>
    <t>J2669</t>
  </si>
  <si>
    <t>J2670</t>
  </si>
  <si>
    <t>Ludington to Keystone 345 kV</t>
  </si>
  <si>
    <t>J2671</t>
  </si>
  <si>
    <t>Whittemore to Twining 138 kV</t>
  </si>
  <si>
    <t>J2672</t>
  </si>
  <si>
    <t>Shiawassee</t>
  </si>
  <si>
    <t>BINGHAM - CORNELL 138.0kV</t>
  </si>
  <si>
    <t>J2673</t>
  </si>
  <si>
    <t>Clare</t>
  </si>
  <si>
    <t>BARD ROAD - WARREN 138.0kV</t>
  </si>
  <si>
    <t>J2674</t>
  </si>
  <si>
    <t>Bingham to Marquette 138 kV</t>
  </si>
  <si>
    <t>J2675</t>
  </si>
  <si>
    <t>BARD ROAD - GALLAGHER 138.0kV</t>
  </si>
  <si>
    <t>J2676</t>
  </si>
  <si>
    <t>RAPSON - STEIN 345.0kV</t>
  </si>
  <si>
    <t>J2677</t>
  </si>
  <si>
    <t>Greenwood 120 kV</t>
  </si>
  <si>
    <t>J2678</t>
  </si>
  <si>
    <t>Delta</t>
  </si>
  <si>
    <t>Chandler 138 kV</t>
  </si>
  <si>
    <t>J2679</t>
  </si>
  <si>
    <t>COLFAX to Madrid 120 kV</t>
  </si>
  <si>
    <t>J2680</t>
  </si>
  <si>
    <t>Dunklin</t>
  </si>
  <si>
    <t>Jim Hill-Hayti South 161 kV Line</t>
  </si>
  <si>
    <t>J2681</t>
  </si>
  <si>
    <t>Springhill 115kV (A) to Taylor 115kV (B)</t>
  </si>
  <si>
    <t>J2682</t>
  </si>
  <si>
    <t>Independence-ISES- Newport 161 KV</t>
  </si>
  <si>
    <t>J2683</t>
  </si>
  <si>
    <t>New Substation on Rye  Co - Cypress 138 kV (Same POI as J2071)</t>
  </si>
  <si>
    <t>J2684</t>
  </si>
  <si>
    <t>BUNCE</t>
  </si>
  <si>
    <t>J2685</t>
  </si>
  <si>
    <t>Sharkey</t>
  </si>
  <si>
    <t>ROLLING FORK</t>
  </si>
  <si>
    <t>J2686</t>
  </si>
  <si>
    <t>Walcott 345 kV</t>
  </si>
  <si>
    <t>J2687</t>
  </si>
  <si>
    <t>Sunnyside to Gwynneville 345kV line</t>
  </si>
  <si>
    <t>J2688</t>
  </si>
  <si>
    <t>NEWTON 138 kV</t>
  </si>
  <si>
    <t>J2689</t>
  </si>
  <si>
    <t>JACINTO 230kV</t>
  </si>
  <si>
    <t>J2690</t>
  </si>
  <si>
    <t>J2691</t>
  </si>
  <si>
    <t>7RUSH     - 7BALDWIN 345.0kV</t>
  </si>
  <si>
    <t>J2692</t>
  </si>
  <si>
    <t>J2693</t>
  </si>
  <si>
    <t>WISNER</t>
  </si>
  <si>
    <t>J2694</t>
  </si>
  <si>
    <t>7COFFEEN  - 7PANA     345.0kV</t>
  </si>
  <si>
    <t>J2695</t>
  </si>
  <si>
    <t>J2696</t>
  </si>
  <si>
    <t>ENTERGY ARKANSAS INC. EAI</t>
  </si>
  <si>
    <t>J2697</t>
  </si>
  <si>
    <t>7ASTER - 7CMDR 345.0kV</t>
  </si>
  <si>
    <t>J2698</t>
  </si>
  <si>
    <t>J2699</t>
  </si>
  <si>
    <t>East Carroll</t>
  </si>
  <si>
    <t>115 kV DARNELL</t>
  </si>
  <si>
    <t>J2700</t>
  </si>
  <si>
    <t>138 kV LAKE CHARLES BULK</t>
  </si>
  <si>
    <t>J2701</t>
  </si>
  <si>
    <t>COLONIAL WELSH 138</t>
  </si>
  <si>
    <t>J2702</t>
  </si>
  <si>
    <t>Ipava-Macomb, West-1429 138 kV</t>
  </si>
  <si>
    <t>J2703</t>
  </si>
  <si>
    <t>Meredosia 345 kV</t>
  </si>
  <si>
    <t>J2704</t>
  </si>
  <si>
    <t>Cargas</t>
  </si>
  <si>
    <t>J2705</t>
  </si>
  <si>
    <t>Assumption</t>
  </si>
  <si>
    <t>NAPOLEONVILLE 115 kV</t>
  </si>
  <si>
    <t>J2706</t>
  </si>
  <si>
    <t>BAXTER WILSON SES SWYD - PERRYVILLE 500 500 kV (181.1,503.0)</t>
  </si>
  <si>
    <t>J2707</t>
  </si>
  <si>
    <t>PAINCOURTVILLE 115 kV</t>
  </si>
  <si>
    <t>J2708</t>
  </si>
  <si>
    <t>J2709</t>
  </si>
  <si>
    <t>DEEDSVILLE 345</t>
  </si>
  <si>
    <t>J2710</t>
  </si>
  <si>
    <t>Mulliken Jct.- Chester 69 kV</t>
  </si>
  <si>
    <t>J2711</t>
  </si>
  <si>
    <t>FLINT LAKE - SOUTH VALPARAISO 138 kV</t>
  </si>
  <si>
    <t>J2712</t>
  </si>
  <si>
    <t>Clinton 230</t>
  </si>
  <si>
    <t>J2713</t>
  </si>
  <si>
    <t>OAK GROVE - MERCER CO (AMRN)</t>
  </si>
  <si>
    <t>J2714</t>
  </si>
  <si>
    <t>Eunice</t>
  </si>
  <si>
    <t>J2715</t>
  </si>
  <si>
    <t>ACADIA - COLONIAL ACADEMY CO 138.0kV</t>
  </si>
  <si>
    <t>J2716</t>
  </si>
  <si>
    <t>HAMPTON 345 KV</t>
  </si>
  <si>
    <t>J2717</t>
  </si>
  <si>
    <t>ETTA 500kV Substation</t>
  </si>
  <si>
    <t>J2718</t>
  </si>
  <si>
    <t>J2719</t>
  </si>
  <si>
    <t>BARD ROAD 138kV Substation</t>
  </si>
  <si>
    <t>J2720</t>
  </si>
  <si>
    <t>Yazoo</t>
  </si>
  <si>
    <t>MIDWAY SS (CE) - YAZOO CITY SS 115.0kV</t>
  </si>
  <si>
    <t>J2721</t>
  </si>
  <si>
    <t>Panola</t>
  </si>
  <si>
    <t>Senatobia-Sardis 115 kV Line</t>
  </si>
  <si>
    <t>J2722</t>
  </si>
  <si>
    <t>Tap on Frankfort - New London 230 kV Line</t>
  </si>
  <si>
    <t>J2723</t>
  </si>
  <si>
    <t>EAST WINAMAC-MONTICELLO 138kV</t>
  </si>
  <si>
    <t>J2724</t>
  </si>
  <si>
    <t>7NEOGA-7HOLLAND 345 kV</t>
  </si>
  <si>
    <t>J2725</t>
  </si>
  <si>
    <t>Marquette - North Belding 138kV</t>
  </si>
  <si>
    <t>J2726</t>
  </si>
  <si>
    <t>7Enon- 7Montgmry 345 KV</t>
  </si>
  <si>
    <t>J2727</t>
  </si>
  <si>
    <t>Holmes</t>
  </si>
  <si>
    <t>Pickens - Midway SS (CE) 115kV</t>
  </si>
  <si>
    <t>J2728</t>
  </si>
  <si>
    <t>Glenworth</t>
  </si>
  <si>
    <t>J2729</t>
  </si>
  <si>
    <t>ADDIS - BIG CAJUN #1 230.0kV</t>
  </si>
  <si>
    <t>J2730</t>
  </si>
  <si>
    <t>Jackson North 161kV Substation</t>
  </si>
  <si>
    <t>J2731</t>
  </si>
  <si>
    <t>Maple Leaf</t>
  </si>
  <si>
    <t>J2732</t>
  </si>
  <si>
    <t>Ogemaw</t>
  </si>
  <si>
    <t>Gallagher to Twinning 138kV</t>
  </si>
  <si>
    <t>J2733</t>
  </si>
  <si>
    <t>SWIFTON - AECC HOXIE SOUTH 161.0kV</t>
  </si>
  <si>
    <t>J2734</t>
  </si>
  <si>
    <t>GILMORE - WILSON 161.0kV</t>
  </si>
  <si>
    <t>J2735</t>
  </si>
  <si>
    <t>Selman Field 69 kV Substation</t>
  </si>
  <si>
    <t>J2736</t>
  </si>
  <si>
    <t>Rosedale to Stringtown 115kV</t>
  </si>
  <si>
    <t>J2737</t>
  </si>
  <si>
    <t>Sharing substation for J1890. POI for J1890 is not in the MTEP22 model yet. Reference bus A: 48904</t>
  </si>
  <si>
    <t>J2738</t>
  </si>
  <si>
    <t>SUB 17</t>
  </si>
  <si>
    <t>J2739</t>
  </si>
  <si>
    <t>WILSON</t>
  </si>
  <si>
    <t>J2740</t>
  </si>
  <si>
    <t>DELTA SWYD - SHELBY SS 115.0kV</t>
  </si>
  <si>
    <t>J2741</t>
  </si>
  <si>
    <t>DELTA SWYD - DREW [MS] 115.0kV</t>
  </si>
  <si>
    <t>J2742</t>
  </si>
  <si>
    <t>BEEBE - GARNER SS 115.0kV</t>
  </si>
  <si>
    <t>J2743</t>
  </si>
  <si>
    <t>J2744</t>
  </si>
  <si>
    <t>Wilkinson</t>
  </si>
  <si>
    <t>CENTREVILLE</t>
  </si>
  <si>
    <t>J2745</t>
  </si>
  <si>
    <t>Humphreys</t>
  </si>
  <si>
    <t>BELZONI - BELZONI TAP SS 115.0kV</t>
  </si>
  <si>
    <t>J2746</t>
  </si>
  <si>
    <t>Boyd - Sexton</t>
  </si>
  <si>
    <t>J2747</t>
  </si>
  <si>
    <t>Edwardsport IGCC - Amo 345.0kV</t>
  </si>
  <si>
    <t>J2748</t>
  </si>
  <si>
    <t>Clearwater</t>
  </si>
  <si>
    <t>Wilton - Winger 230.0kV</t>
  </si>
  <si>
    <t>J2749</t>
  </si>
  <si>
    <t>Winger 115kV</t>
  </si>
  <si>
    <t>J2750</t>
  </si>
  <si>
    <t>RITCHIE SWYD - TARLETON 230.0kV</t>
  </si>
  <si>
    <t>J2751</t>
  </si>
  <si>
    <t>STRINGTOWN</t>
  </si>
  <si>
    <t>J2752</t>
  </si>
  <si>
    <t>ELLIOTT SS - SAWYER SS (CE) 115.0kV</t>
  </si>
  <si>
    <t>J2753</t>
  </si>
  <si>
    <t>DARNELL - TALLULAH 115.0kV</t>
  </si>
  <si>
    <t>J2754</t>
  </si>
  <si>
    <t>138kV Bragg - SHECO Menard Line</t>
  </si>
  <si>
    <t>J2755</t>
  </si>
  <si>
    <t>AMITY SS-AECC MURFREESBORO EAST 115kV</t>
  </si>
  <si>
    <t>J2756</t>
  </si>
  <si>
    <t>Burna Tap - Joy 69.0kV</t>
  </si>
  <si>
    <t>J2757</t>
  </si>
  <si>
    <t>Cherokee</t>
  </si>
  <si>
    <t>LITTLE SIOUX - CLIPPER 161.0kV</t>
  </si>
  <si>
    <t>J2758</t>
  </si>
  <si>
    <t>Stuttgart Ricuskey to Woodward 230kV</t>
  </si>
  <si>
    <t>J2759</t>
  </si>
  <si>
    <t>J2760</t>
  </si>
  <si>
    <t>BADOURA4 (608610) 230 kV Substation</t>
  </si>
  <si>
    <t>J2761</t>
  </si>
  <si>
    <t>J2762</t>
  </si>
  <si>
    <t>4TAZEWELL-4FLINT 138kV</t>
  </si>
  <si>
    <t>J2763</t>
  </si>
  <si>
    <t>J2764</t>
  </si>
  <si>
    <t>JONESBORO (APL) - CASH 161.0kV</t>
  </si>
  <si>
    <t>J2765</t>
  </si>
  <si>
    <t>Darnell 115 kV</t>
  </si>
  <si>
    <t>J2766</t>
  </si>
  <si>
    <t>J2767</t>
  </si>
  <si>
    <t>Hightower - Rye 138kV</t>
  </si>
  <si>
    <t>J2768</t>
  </si>
  <si>
    <t>Shelby SS - Roundaway SS (CE) 115 kV Line</t>
  </si>
  <si>
    <t>J2769</t>
  </si>
  <si>
    <t>Amite - Gillsburg Tap 115 kV</t>
  </si>
  <si>
    <t>J2770</t>
  </si>
  <si>
    <t>Colfax-Montgomery (EES) 230 kV Line</t>
  </si>
  <si>
    <t>J2771</t>
  </si>
  <si>
    <t>6CROSSROADS! (337100) - 6MOONLAKE%  (337107) 230 kV</t>
  </si>
  <si>
    <t>J2772</t>
  </si>
  <si>
    <t>Coyote Switchyard 345 kV Substation</t>
  </si>
  <si>
    <t>J2773</t>
  </si>
  <si>
    <t>Newport - Fisher 161 kV Line</t>
  </si>
  <si>
    <t>J2774</t>
  </si>
  <si>
    <t>J2775</t>
  </si>
  <si>
    <t>J2776</t>
  </si>
  <si>
    <t>WINAMAC to BRUCE LAKE 69kV (Circuit ID 6913) NIPSCO AREA</t>
  </si>
  <si>
    <t>J2777</t>
  </si>
  <si>
    <t>Cadiz	Lapel Brockway Glass 69kV</t>
  </si>
  <si>
    <t>J2778</t>
  </si>
  <si>
    <t>Deedsville	North Manchester Switching Sta 69kV (Circuit Number 6974).</t>
  </si>
  <si>
    <t>J2779</t>
  </si>
  <si>
    <t>Lafayette	to Middlefork 69kV Line (Circuit 6909)</t>
  </si>
  <si>
    <t>J2780</t>
  </si>
  <si>
    <t>STARKE (Actual POI is on ASPHALTUM to MEDARYVILLE 69kV Circuit 6919 an appendix  G facility)</t>
  </si>
  <si>
    <t>J2781</t>
  </si>
  <si>
    <t>J2782</t>
  </si>
  <si>
    <t>KENTLAND-MOROCCO 69kV</t>
  </si>
  <si>
    <t>J2783</t>
  </si>
  <si>
    <t>Monticello 69kV (Acutal POI is a tap on GUERNSEY - Monon Circuit 6907 an appendix G  facility)</t>
  </si>
  <si>
    <t>J2784</t>
  </si>
  <si>
    <t>Turner 345kv Substation</t>
  </si>
  <si>
    <t>J2785</t>
  </si>
  <si>
    <t>El Dorado - Sheridan 500 kV</t>
  </si>
  <si>
    <t>J2786</t>
  </si>
  <si>
    <t>Allegan</t>
  </si>
  <si>
    <t>J2787</t>
  </si>
  <si>
    <t>BRINKLEY EAST-AECC AUBREY 230kV</t>
  </si>
  <si>
    <t>J2788</t>
  </si>
  <si>
    <t>Dayton 120kV Substation</t>
  </si>
  <si>
    <t>J2789</t>
  </si>
  <si>
    <t>4NEWTON-4ROBNSNAM 138kV</t>
  </si>
  <si>
    <t>J2790</t>
  </si>
  <si>
    <t>7Pana-7Austin 345kV</t>
  </si>
  <si>
    <t>J2791</t>
  </si>
  <si>
    <t>Doc Bonin 69kV</t>
  </si>
  <si>
    <t>J2792</t>
  </si>
  <si>
    <t>Persimmon Mill--Red Gum  115kV Line</t>
  </si>
  <si>
    <t>J2793</t>
  </si>
  <si>
    <t>Muddy</t>
  </si>
  <si>
    <t>J2794</t>
  </si>
  <si>
    <t>A Tap on Kinmundy-Otego 138kv line</t>
  </si>
  <si>
    <t>J2795</t>
  </si>
  <si>
    <t>DOWNSVILLE</t>
  </si>
  <si>
    <t>J2796</t>
  </si>
  <si>
    <t>Newport Ab-Cash 161kV</t>
  </si>
  <si>
    <t>J2797</t>
  </si>
  <si>
    <t>Norris City North</t>
  </si>
  <si>
    <t>J2798</t>
  </si>
  <si>
    <t>E. Winamac - Monticello 138 kV line</t>
  </si>
  <si>
    <t>J2799</t>
  </si>
  <si>
    <t>J2800</t>
  </si>
  <si>
    <t>EL DORADO EHV - SAREPTA 345/115KV SW STA 345kV</t>
  </si>
  <si>
    <t>J2801</t>
  </si>
  <si>
    <t>AECC HUNTER NORTH - MCCRORY 161.0kV</t>
  </si>
  <si>
    <t>J2802</t>
  </si>
  <si>
    <t>Singer J1424 to Penton 230 kV line</t>
  </si>
  <si>
    <t>J2803</t>
  </si>
  <si>
    <t>Winona (3WINONA!  337060) - Carrollton (3CARROLLTON+  337056) 115 kV</t>
  </si>
  <si>
    <t>J2804</t>
  </si>
  <si>
    <t>Oak Grove - Galion 115kV Tap</t>
  </si>
  <si>
    <t>J2805</t>
  </si>
  <si>
    <t>VEEDERSBURG WEST 230 Substation</t>
  </si>
  <si>
    <t>J2806</t>
  </si>
  <si>
    <t>J2807</t>
  </si>
  <si>
    <t>J2808</t>
  </si>
  <si>
    <t>Ramsey East 138 sub (co-located with Dressor and Switchgrass)</t>
  </si>
  <si>
    <t>J2809</t>
  </si>
  <si>
    <t>4GILMAN - 4PAXTON E 138 kV</t>
  </si>
  <si>
    <t>J2810</t>
  </si>
  <si>
    <t>Killdeer 345/161 sub (Emery station 161 outlet)</t>
  </si>
  <si>
    <t>J2811</t>
  </si>
  <si>
    <t>J2812</t>
  </si>
  <si>
    <t>MOORE ROAD</t>
  </si>
  <si>
    <t>J2813</t>
  </si>
  <si>
    <t>Slate Goss 345 KV Line</t>
  </si>
  <si>
    <t>J2814</t>
  </si>
  <si>
    <t>ARGENTA - MORROW 138.0kV</t>
  </si>
  <si>
    <t>J2815</t>
  </si>
  <si>
    <t>ARGENTA - VERONA 138.0kV</t>
  </si>
  <si>
    <t>J2816</t>
  </si>
  <si>
    <t>RILLA - RIVERTON 115.0kV</t>
  </si>
  <si>
    <t>J2817</t>
  </si>
  <si>
    <t>Batiste Creek 230kV Substation</t>
  </si>
  <si>
    <t>J2818</t>
  </si>
  <si>
    <t>AECC CAMDEN SOUTH - STEPHENS 115.0kV</t>
  </si>
  <si>
    <t>J2819</t>
  </si>
  <si>
    <t>RINGGOLD - CARROLL (CLECO) 115.0kV</t>
  </si>
  <si>
    <t>J2820</t>
  </si>
  <si>
    <t>Bon Harbor Tap-Stanley Tap 69kv</t>
  </si>
  <si>
    <t>J2821</t>
  </si>
  <si>
    <t>Sullivan - Marion Jct 69 kV</t>
  </si>
  <si>
    <t>J2822</t>
  </si>
  <si>
    <t>PALISADES - VERGENNES 345.0kV</t>
  </si>
  <si>
    <t>J2823</t>
  </si>
  <si>
    <t>Madison West 138kV Substation</t>
  </si>
  <si>
    <t>J2824</t>
  </si>
  <si>
    <t>Picken - Midway SS (CE) 115 kV</t>
  </si>
  <si>
    <t>J2825</t>
  </si>
  <si>
    <t>COMO - CRENSHAW 115kV</t>
  </si>
  <si>
    <t>J2826</t>
  </si>
  <si>
    <t>Sandborn Primary - Worthington Primary 161.0kV</t>
  </si>
  <si>
    <t>J2827</t>
  </si>
  <si>
    <t>Norrell 230kV Substation</t>
  </si>
  <si>
    <t>J2828</t>
  </si>
  <si>
    <t>L.R. 145th St - Wrightsville 115kV</t>
  </si>
  <si>
    <t>J2829</t>
  </si>
  <si>
    <t>Scottsburg - Speed 69kV</t>
  </si>
  <si>
    <t>J2830</t>
  </si>
  <si>
    <t>Jennings</t>
  </si>
  <si>
    <t>Brewersville - Dabney 69kV</t>
  </si>
  <si>
    <t>J2831</t>
  </si>
  <si>
    <t>Natchitoches</t>
  </si>
  <si>
    <t>Colfax-Rodemacher 230 kV</t>
  </si>
  <si>
    <t>J2832</t>
  </si>
  <si>
    <t>Darnell - Tallulah 115 kV</t>
  </si>
  <si>
    <t>J2833</t>
  </si>
  <si>
    <t>Sigel - Auburndale Tap (Y-107) 69kV</t>
  </si>
  <si>
    <t>J2834</t>
  </si>
  <si>
    <t>South Fond du Lac - North Fond du Lac 69kV</t>
  </si>
  <si>
    <t>J2835</t>
  </si>
  <si>
    <t>Madison - Scottsburg 138kV</t>
  </si>
  <si>
    <t>J2836</t>
  </si>
  <si>
    <t>Tap - Cumberland 69.0kV</t>
  </si>
  <si>
    <t>J2837</t>
  </si>
  <si>
    <t>North Vernon - Madison 138 kV</t>
  </si>
  <si>
    <t>J2838</t>
  </si>
  <si>
    <t>J2839</t>
  </si>
  <si>
    <t>Donaldsonville to Evergreen 230 kV line</t>
  </si>
  <si>
    <t>J2840</t>
  </si>
  <si>
    <t>J2841</t>
  </si>
  <si>
    <t>Independent - Holland Bottom 500kV</t>
  </si>
  <si>
    <t>J2842</t>
  </si>
  <si>
    <t>Mason 138kV</t>
  </si>
  <si>
    <t>J2843</t>
  </si>
  <si>
    <t>Qualitech 345kV - Amo 345kV</t>
  </si>
  <si>
    <t>J2844</t>
  </si>
  <si>
    <t>AB Brown 345 - Reid EHV (BREC Terminal) 345.0kV</t>
  </si>
  <si>
    <t>J2845</t>
  </si>
  <si>
    <t>Adams - Hayward 161kV</t>
  </si>
  <si>
    <t>J2846</t>
  </si>
  <si>
    <t>Reynolds--Burr Oak 345kV line</t>
  </si>
  <si>
    <t>J2847</t>
  </si>
  <si>
    <t>Reynolds--Burr Oak 345kV Line</t>
  </si>
  <si>
    <t>J2848</t>
  </si>
  <si>
    <t>Noblesville  - Fall Creek (AEP) 345.0kV</t>
  </si>
  <si>
    <t>J2849</t>
  </si>
  <si>
    <t>J2850</t>
  </si>
  <si>
    <t>Bagby to Gerald Andrus 230 kV</t>
  </si>
  <si>
    <t>J2851</t>
  </si>
  <si>
    <t>Rocky Creek</t>
  </si>
  <si>
    <t>J2852</t>
  </si>
  <si>
    <t>Roberts</t>
  </si>
  <si>
    <t>Browns Valley 230 kV Substation</t>
  </si>
  <si>
    <t>J2853</t>
  </si>
  <si>
    <t>Westchester 138 kV station - PSSE bus 343513</t>
  </si>
  <si>
    <t>J2854</t>
  </si>
  <si>
    <t>Griffithville - SERCY Price 115 kV</t>
  </si>
  <si>
    <t>J2855</t>
  </si>
  <si>
    <t>Bedford - Edwardsport 138 kV line</t>
  </si>
  <si>
    <t>J2856</t>
  </si>
  <si>
    <t>Franklin EHV - Grand Gulf Transmission 500 kV</t>
  </si>
  <si>
    <t>J2857</t>
  </si>
  <si>
    <t>Banks SS (CE) - Hambrick SS (CE) 115 kV</t>
  </si>
  <si>
    <t>J2858</t>
  </si>
  <si>
    <t>Bayou Cove - Richard 138 kV circuit 2</t>
  </si>
  <si>
    <t>J2859</t>
  </si>
  <si>
    <t>AECC KEO-BAUCUM 115 kV</t>
  </si>
  <si>
    <t>J2860</t>
  </si>
  <si>
    <t>Roy S Nelson - DeRidder Mill 138 kV</t>
  </si>
  <si>
    <t>J2861</t>
  </si>
  <si>
    <t>Rochester 161kV (A) to Adams 161kV (B)</t>
  </si>
  <si>
    <t>J2862</t>
  </si>
  <si>
    <t>AECC Hermitage South-Hilo 115kV</t>
  </si>
  <si>
    <t>J2863</t>
  </si>
  <si>
    <t>Fillmore</t>
  </si>
  <si>
    <t>J2864</t>
  </si>
  <si>
    <t>McNeil EHV to Etta EHV 500kV</t>
  </si>
  <si>
    <t>J2865</t>
  </si>
  <si>
    <t>El Dorado EHV - McNeil EHV 500kV</t>
  </si>
  <si>
    <t>J2866</t>
  </si>
  <si>
    <t>McNeil 500kV (A) to Etta 500kV (B)</t>
  </si>
  <si>
    <t>J2867</t>
  </si>
  <si>
    <t>Lake City (A) to Zumbro Falls (B)</t>
  </si>
  <si>
    <t>J2868</t>
  </si>
  <si>
    <t>Alma Center- Merrillan (DCP) 69 KV</t>
  </si>
  <si>
    <t>J2869</t>
  </si>
  <si>
    <t>GERALDANDRUS SES SWITCHYARD-INDIANOLA 230 KV</t>
  </si>
  <si>
    <t>J2870</t>
  </si>
  <si>
    <t>Sawyer</t>
  </si>
  <si>
    <t>STONE LAKE</t>
  </si>
  <si>
    <t>J2871</t>
  </si>
  <si>
    <t>AECC Dell 161kV - Nucor-Yamato 161kV Switching Station 161.0kV</t>
  </si>
  <si>
    <t>J2872</t>
  </si>
  <si>
    <t>Hampton 345kV</t>
  </si>
  <si>
    <t>J2873</t>
  </si>
  <si>
    <t>Simpson</t>
  </si>
  <si>
    <t>Magee 161 - White Oak 161.0kV</t>
  </si>
  <si>
    <t>J2874</t>
  </si>
  <si>
    <t>HAMPTON</t>
  </si>
  <si>
    <t>J2875</t>
  </si>
  <si>
    <t>Hagensville 138 kV Substation</t>
  </si>
  <si>
    <t>J2876</t>
  </si>
  <si>
    <t>J2877</t>
  </si>
  <si>
    <t>MURPHY - TITTABAWASSEE 345.0kV</t>
  </si>
  <si>
    <t>J2878</t>
  </si>
  <si>
    <t>J2879</t>
  </si>
  <si>
    <t>CHEMOLITE</t>
  </si>
  <si>
    <t>J2880</t>
  </si>
  <si>
    <t>J2881</t>
  </si>
  <si>
    <t>AECC PINEBERGEN - AECC GLENDALE 115.0kV</t>
  </si>
  <si>
    <t>J2882</t>
  </si>
  <si>
    <t>Cooper-Penton Road 230kV</t>
  </si>
  <si>
    <t>J2883</t>
  </si>
  <si>
    <t>J2884</t>
  </si>
  <si>
    <t>Cooper to Penton Road 230kV</t>
  </si>
  <si>
    <t>J2885</t>
  </si>
  <si>
    <t>Red Lake</t>
  </si>
  <si>
    <t>Plummer Pipe</t>
  </si>
  <si>
    <t>J2886</t>
  </si>
  <si>
    <t>4Auburn N-4Jacksnvl 138kV</t>
  </si>
  <si>
    <t>J2887</t>
  </si>
  <si>
    <t>J2888</t>
  </si>
  <si>
    <t>Baxter Wilson SES SWYD 500 kV</t>
  </si>
  <si>
    <t>J2889</t>
  </si>
  <si>
    <t>Argenta 138kV</t>
  </si>
  <si>
    <t>J2890</t>
  </si>
  <si>
    <t>Lake Charles Bulk 138kV Substation</t>
  </si>
  <si>
    <t>J2891</t>
  </si>
  <si>
    <t>J2892</t>
  </si>
  <si>
    <t>Blackhawk (MEC) - Quinn 345 kV</t>
  </si>
  <si>
    <t>J2893</t>
  </si>
  <si>
    <t>DURANT - BOWLING GREEN SS 115.0kV</t>
  </si>
  <si>
    <t>J2894</t>
  </si>
  <si>
    <t>Westland Jct - Westline 69kV Line</t>
  </si>
  <si>
    <t>J2895</t>
  </si>
  <si>
    <t>Bethlehem 138kV Substation</t>
  </si>
  <si>
    <t>J2896</t>
  </si>
  <si>
    <t>Gwinner 115kV Substation</t>
  </si>
  <si>
    <t>J2897</t>
  </si>
  <si>
    <t>RIVTRIN - SHECO CALVIN 138.0kV</t>
  </si>
  <si>
    <t>J2898</t>
  </si>
  <si>
    <t>FRANKLIN EHV - MCKNIGHT 500.0kV</t>
  </si>
  <si>
    <t>J2899</t>
  </si>
  <si>
    <t>GOOS FERRY - CHALKLEY CO 230.0kV</t>
  </si>
  <si>
    <t>J2900</t>
  </si>
  <si>
    <t>J2901</t>
  </si>
  <si>
    <t>MACEDONIA - TAYLOR 115.0kV</t>
  </si>
  <si>
    <t>J2902</t>
  </si>
  <si>
    <t>Beech Grove SS 115 kV Substation</t>
  </si>
  <si>
    <t>J2903</t>
  </si>
  <si>
    <t>BROOKHAVEN - BROOKHAVEN/SOUTH 115.0kV</t>
  </si>
  <si>
    <t>J2904</t>
  </si>
  <si>
    <t>PLANTATION</t>
  </si>
  <si>
    <t>J2905</t>
  </si>
  <si>
    <t>HOLLANDALE - NITTA YUMA SS (CE) 115.0kV</t>
  </si>
  <si>
    <t>J2906</t>
  </si>
  <si>
    <t>Jaguar 138kV substation</t>
  </si>
  <si>
    <t>J2907</t>
  </si>
  <si>
    <t>Sheridan 500 kV</t>
  </si>
  <si>
    <t>J2908</t>
  </si>
  <si>
    <t>Jacksonville North</t>
  </si>
  <si>
    <t>J2909</t>
  </si>
  <si>
    <t>Remington AECC to Lonoke E 115kV</t>
  </si>
  <si>
    <t>J2910</t>
  </si>
  <si>
    <t>Stowell 230kV</t>
  </si>
  <si>
    <t>J2911</t>
  </si>
  <si>
    <t>Penton 230KV Substation</t>
  </si>
  <si>
    <t>J2912</t>
  </si>
  <si>
    <t>J2913</t>
  </si>
  <si>
    <t>Forman 115kV Substation</t>
  </si>
  <si>
    <t>J2914</t>
  </si>
  <si>
    <t>J2915</t>
  </si>
  <si>
    <t>J2916</t>
  </si>
  <si>
    <t>East Leesville-Rodemacher 230 KV</t>
  </si>
  <si>
    <t>J2917</t>
  </si>
  <si>
    <t>PRAIRIE ROAD</t>
  </si>
  <si>
    <t>J2918</t>
  </si>
  <si>
    <t>4EFFINGHM N - 4NEWTON 138kV</t>
  </si>
  <si>
    <t>J2919</t>
  </si>
  <si>
    <t>Kokomo Webster St. to Walton 230 kV</t>
  </si>
  <si>
    <t>J2920</t>
  </si>
  <si>
    <t>1673  Interconnection Substation</t>
  </si>
  <si>
    <t>J2921</t>
  </si>
  <si>
    <t>J2922</t>
  </si>
  <si>
    <t>J2923</t>
  </si>
  <si>
    <t>EL DORADO EHV - SARPETA 345/115 KV SW STA 345kV</t>
  </si>
  <si>
    <t>J2924</t>
  </si>
  <si>
    <t>EL DORADO EHV - SAREPTA 345/115 SS 345.0kV</t>
  </si>
  <si>
    <t>J2925</t>
  </si>
  <si>
    <t>Gillett</t>
  </si>
  <si>
    <t>J2926</t>
  </si>
  <si>
    <t>Ashley to West Frankfort-1536</t>
  </si>
  <si>
    <t>J2927</t>
  </si>
  <si>
    <t>Tibbs</t>
  </si>
  <si>
    <t>J2928</t>
  </si>
  <si>
    <t>Harrisburg 161 kV Substation</t>
  </si>
  <si>
    <t>J2929</t>
  </si>
  <si>
    <t>Henderson 161kV</t>
  </si>
  <si>
    <t>J2930</t>
  </si>
  <si>
    <t>J2931</t>
  </si>
  <si>
    <t>J2932</t>
  </si>
  <si>
    <t>J2933</t>
  </si>
  <si>
    <t>J2934</t>
  </si>
  <si>
    <t>Thetford to Murphy 345 kV</t>
  </si>
  <si>
    <t>J2935</t>
  </si>
  <si>
    <t>J2936</t>
  </si>
  <si>
    <t>Independence (A)(500kV) to Powerline (B) (500 kV)</t>
  </si>
  <si>
    <t>J2937</t>
  </si>
  <si>
    <t>4PANA - 4OAKLEY 138.0kV</t>
  </si>
  <si>
    <t>J2938</t>
  </si>
  <si>
    <t>4MONM BLVD W - 4CASTRO_JCT 138.0kV</t>
  </si>
  <si>
    <t>J2939</t>
  </si>
  <si>
    <t>Hambrick Switching Station 115kV</t>
  </si>
  <si>
    <t>J2940</t>
  </si>
  <si>
    <t>Nitta Yuma SS (CE) - Rolling Fork 115 kV</t>
  </si>
  <si>
    <t>J2941</t>
  </si>
  <si>
    <t>Macon Lake SS - Lake Chicot Pump STA 115kV</t>
  </si>
  <si>
    <t>J2942</t>
  </si>
  <si>
    <t>Cooper to Penton Road 230 kV</t>
  </si>
  <si>
    <t>J2943</t>
  </si>
  <si>
    <t>J2944</t>
  </si>
  <si>
    <t>Rocky Run - Gardner Park 345.0kV</t>
  </si>
  <si>
    <t>J2945</t>
  </si>
  <si>
    <t>SUB T  3 - HILLS  3 345.0kV</t>
  </si>
  <si>
    <t>J2946</t>
  </si>
  <si>
    <t>Dubuque</t>
  </si>
  <si>
    <t>Salem - Hickory Creek 345 kV line</t>
  </si>
  <si>
    <t>J2947</t>
  </si>
  <si>
    <t>Rock River 138 kV Substations 1 (6 RICE) and 2 (5 RICE)</t>
  </si>
  <si>
    <t>J2948</t>
  </si>
  <si>
    <t>Marshalltown</t>
  </si>
  <si>
    <t>J2949</t>
  </si>
  <si>
    <t>Marshalltown 161 kV Substation</t>
  </si>
  <si>
    <t>J2950</t>
  </si>
  <si>
    <t>J2951</t>
  </si>
  <si>
    <t>Creston Roadhouse</t>
  </si>
  <si>
    <t>J2952</t>
  </si>
  <si>
    <t>Crooked Bayou to Stowell 138 kV Line</t>
  </si>
  <si>
    <t>J2953</t>
  </si>
  <si>
    <t>CHISHOLM RD - SABINE 230 kV</t>
  </si>
  <si>
    <t>J2954</t>
  </si>
  <si>
    <t>AECC CORNING NORTH √É¬¢?? DATTO 161 KV</t>
  </si>
  <si>
    <t>J2955</t>
  </si>
  <si>
    <t>WRIGHTSVILLE √É¬¢?? WHITE BLUFF EHV 115 KV</t>
  </si>
  <si>
    <t>J2956</t>
  </si>
  <si>
    <t>Galion 115 kV Substation</t>
  </si>
  <si>
    <t>J2957</t>
  </si>
  <si>
    <t>Como - Crenshaw 115 kV Line</t>
  </si>
  <si>
    <t>J2958</t>
  </si>
  <si>
    <t>Claiborne</t>
  </si>
  <si>
    <t>Haynesville South 115kV Substation</t>
  </si>
  <si>
    <t>J2959</t>
  </si>
  <si>
    <t>Rollin Schahfer (17SCHAHFER  255110) 345 kV</t>
  </si>
  <si>
    <t>J2960</t>
  </si>
  <si>
    <t>10CULY13 253500 (F.B. Culley ) - 10AEP_T  353586 (tap between Culley (10CULY13 253500) - Grandview (</t>
  </si>
  <si>
    <t>J2961</t>
  </si>
  <si>
    <t>Edwardsport Station (08EDWRDS  249722) - Whitefield (08WHTFLD  249876) 138 kV</t>
  </si>
  <si>
    <t>J2962</t>
  </si>
  <si>
    <t>Akin - Hamilton 138 kV</t>
  </si>
  <si>
    <t>J2963</t>
  </si>
  <si>
    <t>Puro</t>
  </si>
  <si>
    <t>J2964</t>
  </si>
  <si>
    <t>J2965</t>
  </si>
  <si>
    <t>OAK GROVE 115 SUB</t>
  </si>
  <si>
    <t>J2966</t>
  </si>
  <si>
    <t>Quitman</t>
  </si>
  <si>
    <t>Batesville to Moon Lake ss 230kV Line</t>
  </si>
  <si>
    <t>J2967</t>
  </si>
  <si>
    <t>Lowe Grout Rd to Jennings 138kV Line</t>
  </si>
  <si>
    <t>J2968</t>
  </si>
  <si>
    <t>LC Bulk to Henning 138kV Line (Circuit 28)</t>
  </si>
  <si>
    <t>J2969</t>
  </si>
  <si>
    <t>MICHIGAN PUBLIC POWER AGENCY MPPA</t>
  </si>
  <si>
    <t>Kalkaska</t>
  </si>
  <si>
    <t>Kalkaska Gen</t>
  </si>
  <si>
    <t>J2970</t>
  </si>
  <si>
    <t>Posey</t>
  </si>
  <si>
    <t>AB Brown 345 - Gibson (Duke Terminal) 345.0kV</t>
  </si>
  <si>
    <t>J2971</t>
  </si>
  <si>
    <t>Covington</t>
  </si>
  <si>
    <t>Southwest Lone Star 161 kV - Mississippi Hub 161 kV</t>
  </si>
  <si>
    <t>J2972</t>
  </si>
  <si>
    <t>4HULL     - 4HERLEMAN 138.0kV</t>
  </si>
  <si>
    <t>J2973</t>
  </si>
  <si>
    <t>7FARADAY - 7PANA 345.0kV</t>
  </si>
  <si>
    <t>J2974</t>
  </si>
  <si>
    <t>J2975</t>
  </si>
  <si>
    <t>Bevil Substation 230 kV</t>
  </si>
  <si>
    <t>J2976</t>
  </si>
  <si>
    <t>Mill Creek SW Station 138 kV</t>
  </si>
  <si>
    <t>J2977</t>
  </si>
  <si>
    <t>AECC Hermitage south- Hilo 115Kv</t>
  </si>
  <si>
    <t>J2978</t>
  </si>
  <si>
    <t>West Memphis EHV to Keo 500 kV</t>
  </si>
  <si>
    <t>J2979</t>
  </si>
  <si>
    <t>Mason City West 69 kV Substation</t>
  </si>
  <si>
    <t>J2980</t>
  </si>
  <si>
    <t>Hintonville 161/69 kV Substation</t>
  </si>
  <si>
    <t>J2981</t>
  </si>
  <si>
    <t>Audrain</t>
  </si>
  <si>
    <t>Ameren Centralia 69 kV Substation</t>
  </si>
  <si>
    <t>J2982</t>
  </si>
  <si>
    <t>Line 6629 Monmouth 69 kV Switching Station</t>
  </si>
  <si>
    <t>J2983</t>
  </si>
  <si>
    <t>WOODWARD 115 SUB - AECC GRAPEVINE 115.0kV</t>
  </si>
  <si>
    <t>J2984</t>
  </si>
  <si>
    <t>Corning North to Datto 161kV Line</t>
  </si>
  <si>
    <t>J2985</t>
  </si>
  <si>
    <t>AECC CHICOT - EUDORA 115.0kV</t>
  </si>
  <si>
    <t>J2986</t>
  </si>
  <si>
    <t>AECC DELUCE - GILLETT 115.0kV</t>
  </si>
  <si>
    <t>J2987</t>
  </si>
  <si>
    <t>Merom Primary - Worthington Primary 345.0kV</t>
  </si>
  <si>
    <t>J2988</t>
  </si>
  <si>
    <t>J2256 POI - Irvington 345kV line</t>
  </si>
  <si>
    <t>J2989</t>
  </si>
  <si>
    <t>Blackhawk (MEC)- Quinn 345 KV</t>
  </si>
  <si>
    <t>J2990</t>
  </si>
  <si>
    <t>Overland - J1859 POI 345kV Line Tap</t>
  </si>
  <si>
    <t>J2991</t>
  </si>
  <si>
    <t>J2992</t>
  </si>
  <si>
    <t>Hintonville 161kV Substation</t>
  </si>
  <si>
    <t>J2993</t>
  </si>
  <si>
    <t>Woodward-Grapevine 115kV line</t>
  </si>
  <si>
    <t>J2994</t>
  </si>
  <si>
    <t>Deluce 115kV</t>
  </si>
  <si>
    <t>J2995</t>
  </si>
  <si>
    <t>CHICOT115kV Substation</t>
  </si>
  <si>
    <t>J2996</t>
  </si>
  <si>
    <t>J2997</t>
  </si>
  <si>
    <t>COLFAX - MADRID 120.0kV</t>
  </si>
  <si>
    <t>J2998</t>
  </si>
  <si>
    <t>Fayetteville Bee Hollow Road 138kV Substation</t>
  </si>
  <si>
    <t>J2999</t>
  </si>
  <si>
    <t>Hintonville</t>
  </si>
  <si>
    <t>J3000</t>
  </si>
  <si>
    <t>Worthington - Merom 345kV Line</t>
  </si>
  <si>
    <t>J3001</t>
  </si>
  <si>
    <t>J2134 POI to White Bluff 115kV Line</t>
  </si>
  <si>
    <t>J3002</t>
  </si>
  <si>
    <t>Pine</t>
  </si>
  <si>
    <t>Arrowhead - Bear Creek (GRE) 230kV</t>
  </si>
  <si>
    <t>J3003</t>
  </si>
  <si>
    <t>4HAVANA2 - 4CINCINATTI 138.0kV</t>
  </si>
  <si>
    <t>J3004</t>
  </si>
  <si>
    <t>Cane</t>
  </si>
  <si>
    <t>J3005</t>
  </si>
  <si>
    <t>Havana-Shockey (138kV)</t>
  </si>
  <si>
    <t>J3006</t>
  </si>
  <si>
    <t>Milwaukee</t>
  </si>
  <si>
    <t>Granville345kV Substation</t>
  </si>
  <si>
    <t>J3007</t>
  </si>
  <si>
    <t>PERE MARQUETTE - LINDEMAN 138.0kV</t>
  </si>
  <si>
    <t>J3008</t>
  </si>
  <si>
    <t>Sheffield - Burnham 345 (Tie line between CE and NIPS, NIPS owns 1.87 miles)</t>
  </si>
  <si>
    <t>J3009</t>
  </si>
  <si>
    <t>VOYAGER</t>
  </si>
  <si>
    <t>J3010</t>
  </si>
  <si>
    <t>TAP ON THE CARBON TO BRAZIL 69KV LINE</t>
  </si>
  <si>
    <t>J3011</t>
  </si>
  <si>
    <t>Prairie State Plant Switchyard 345 kV</t>
  </si>
  <si>
    <t>J3012</t>
  </si>
  <si>
    <t>Mattoon East</t>
  </si>
  <si>
    <t>J3013</t>
  </si>
  <si>
    <t>J3014</t>
  </si>
  <si>
    <t>Cooper - Leesville 138.0kV</t>
  </si>
  <si>
    <t>J3015</t>
  </si>
  <si>
    <t>Gilman - Watseka 138kV</t>
  </si>
  <si>
    <t>J3016</t>
  </si>
  <si>
    <t>Walton</t>
  </si>
  <si>
    <t>J3017</t>
  </si>
  <si>
    <t>Big Stone South 345 kV Substation</t>
  </si>
  <si>
    <t>J3018</t>
  </si>
  <si>
    <t>Overland Trail - Fallow Avenue 345 kV</t>
  </si>
  <si>
    <t>J3019</t>
  </si>
  <si>
    <t>East Feliciana</t>
  </si>
  <si>
    <t>Fancy Point to Port Hudson 230 kV</t>
  </si>
  <si>
    <t>J3020</t>
  </si>
  <si>
    <t>Lyon</t>
  </si>
  <si>
    <t>Lake Yankton to Buffalo Ridge 115kV</t>
  </si>
  <si>
    <t>J3021</t>
  </si>
  <si>
    <t>Lake Yankton to Lyon County 115kV</t>
  </si>
  <si>
    <t>J3022</t>
  </si>
  <si>
    <t>Orient to Atchison County 345 kV</t>
  </si>
  <si>
    <t>J3023</t>
  </si>
  <si>
    <t>H.S. EHV 500 kV Substation</t>
  </si>
  <si>
    <t>J3024</t>
  </si>
  <si>
    <t>Newport 161 kV Bus High Side of T91 XFRMR 161/69 kV</t>
  </si>
  <si>
    <t>J3025</t>
  </si>
  <si>
    <t>Alexandria to Hudson 115 kV</t>
  </si>
  <si>
    <t>J3026</t>
  </si>
  <si>
    <t>Deridder Mill - Roy S Nelson 138 kV</t>
  </si>
  <si>
    <t>J3027</t>
  </si>
  <si>
    <t>Stark</t>
  </si>
  <si>
    <t>7FARGO - 7SANDBURG 345.0kV</t>
  </si>
  <si>
    <t>J3028</t>
  </si>
  <si>
    <t>Waynesboro 161 - Hintonville 161 161.0kV</t>
  </si>
  <si>
    <t>J3029</t>
  </si>
  <si>
    <t>J3030</t>
  </si>
  <si>
    <t>White Bluff to Sheridan 500kV</t>
  </si>
  <si>
    <t>J3031</t>
  </si>
  <si>
    <t>4WLTNVL TP 138 kV</t>
  </si>
  <si>
    <t>J3032</t>
  </si>
  <si>
    <t>Sarepta</t>
  </si>
  <si>
    <t>J3033</t>
  </si>
  <si>
    <t>Reid EHV 345 kV</t>
  </si>
  <si>
    <t>J3034</t>
  </si>
  <si>
    <t>BRINKLEY WEST - BRINKLEY EAST 115kV Line</t>
  </si>
  <si>
    <t>J3035</t>
  </si>
  <si>
    <t>Desha</t>
  </si>
  <si>
    <t>REED SS - ROHWER 115.0kV</t>
  </si>
  <si>
    <t>J3036</t>
  </si>
  <si>
    <t>REMINGTON SS - LONOKE EAST 115.0kV</t>
  </si>
  <si>
    <t>J3037</t>
  </si>
  <si>
    <t>Eldorado Upland SS 115kV</t>
  </si>
  <si>
    <t>J3038</t>
  </si>
  <si>
    <t>El Dorado Upland SS 115kV</t>
  </si>
  <si>
    <t>J3039</t>
  </si>
  <si>
    <t>J3040</t>
  </si>
  <si>
    <t>EL DORADO EHV - MCNEIL EHV 500.0kV</t>
  </si>
  <si>
    <t>J3041</t>
  </si>
  <si>
    <t>J3042</t>
  </si>
  <si>
    <t>WATERFORD 230 SWYD - VACHERIE 230.0kV</t>
  </si>
  <si>
    <t>J3043</t>
  </si>
  <si>
    <t>J3044</t>
  </si>
  <si>
    <t>J3045</t>
  </si>
  <si>
    <t>Chisholm RD- Hartburg 230kV</t>
  </si>
  <si>
    <t>J3046</t>
  </si>
  <si>
    <t>J3047</t>
  </si>
  <si>
    <t>ORIENT - NORTHBORO 345.0kV</t>
  </si>
  <si>
    <t>J3048</t>
  </si>
  <si>
    <t>Crawford</t>
  </si>
  <si>
    <t>MOSES SES to AECC HUNTER NORTH</t>
  </si>
  <si>
    <t>J3049</t>
  </si>
  <si>
    <t>LAKEOVER EHV - MCADAMS EHV 500.0kV</t>
  </si>
  <si>
    <t>J3050</t>
  </si>
  <si>
    <t>MAJESTIC - ONEIDA 345.0kV</t>
  </si>
  <si>
    <t>J3051</t>
  </si>
  <si>
    <t>Rush City 230 kV</t>
  </si>
  <si>
    <t>J3052</t>
  </si>
  <si>
    <t>MCV</t>
  </si>
  <si>
    <t>J3053</t>
  </si>
  <si>
    <t>J3054</t>
  </si>
  <si>
    <t>Bogslusa 500 kV - Franklin EHV 500 kV</t>
  </si>
  <si>
    <t>J3055</t>
  </si>
  <si>
    <t>BOGALUSA 500 SS - FRANKLIN EHV 500.0kV</t>
  </si>
  <si>
    <t>J3056</t>
  </si>
  <si>
    <t>J3057</t>
  </si>
  <si>
    <t>Richard (Bus #335366) to Colonial Academy (Bus #335375) 138kV</t>
  </si>
  <si>
    <t>J3058</t>
  </si>
  <si>
    <t>TARLETON</t>
  </si>
  <si>
    <t>J3059</t>
  </si>
  <si>
    <t>J3060</t>
  </si>
  <si>
    <t>7CMDR-7ASTER 345 kV</t>
  </si>
  <si>
    <t>J3061</t>
  </si>
  <si>
    <t>Walnut Ridge (Bus #338208) to Sedgewick (Bus #338206) 115kV</t>
  </si>
  <si>
    <t>J3062</t>
  </si>
  <si>
    <t>Edwards to Bolton 115 kV</t>
  </si>
  <si>
    <t>J3063</t>
  </si>
  <si>
    <t>7JORD - 7CMDR 345.0kV</t>
  </si>
  <si>
    <t>J3064</t>
  </si>
  <si>
    <t>J3065</t>
  </si>
  <si>
    <t>DONALDSON CREEK</t>
  </si>
  <si>
    <t>J3066</t>
  </si>
  <si>
    <t>Hersey Interconnection</t>
  </si>
  <si>
    <t>J3067</t>
  </si>
  <si>
    <t>BEEKMAN - NORTH BASTROP 115.0kV</t>
  </si>
  <si>
    <t>J3068</t>
  </si>
  <si>
    <t>Amite (A) - Gillsburg (B) 115kV TL</t>
  </si>
  <si>
    <t>J3069</t>
  </si>
  <si>
    <t>Tap on line Fayetteville 138kV (endpoint A) to HERZOG 138kV (endpoint B)</t>
  </si>
  <si>
    <t>J3070</t>
  </si>
  <si>
    <t>J3071</t>
  </si>
  <si>
    <t>Entergy Hughes - Forest City South 161 kV</t>
  </si>
  <si>
    <t>J3072</t>
  </si>
  <si>
    <t>Woodviille - Centreville 115 kV</t>
  </si>
  <si>
    <t>J3073</t>
  </si>
  <si>
    <t>INDEPENDENCE-ISES - POWERLINE ROAD 500 kV</t>
  </si>
  <si>
    <t>J3074</t>
  </si>
  <si>
    <t>4TIBBS - 4STEELEVLE N 138.0kV</t>
  </si>
  <si>
    <t>J3075</t>
  </si>
  <si>
    <t>J3076</t>
  </si>
  <si>
    <t>08GIBSON (PSI) - 7ALBION   345.0kV</t>
  </si>
  <si>
    <t>J3077</t>
  </si>
  <si>
    <t>Francisco 345/138kV</t>
  </si>
  <si>
    <t>J3078</t>
  </si>
  <si>
    <t>J3079</t>
  </si>
  <si>
    <t>Jasper-Holly Springs 138 kV line tap</t>
  </si>
  <si>
    <t>J3080</t>
  </si>
  <si>
    <t>Ameren owned Kelso - Joppa (Massac) 345 kV Tie-Line</t>
  </si>
  <si>
    <t>J3081</t>
  </si>
  <si>
    <t>DEGRAY DAM - H.S. EHV 115.0kV</t>
  </si>
  <si>
    <t>J3082</t>
  </si>
  <si>
    <t>Taping the 'Gilbert / 3GILBERT_LA (303322)' to 'Winnsboro / 3WINNSBORO! (337330)' 115kV line.</t>
  </si>
  <si>
    <t>J3083</t>
  </si>
  <si>
    <t>WATERLOO - FANCY POINT 230.0kV</t>
  </si>
  <si>
    <t>J3084</t>
  </si>
  <si>
    <t>Merom (HED) -  Dresser 345.0kV</t>
  </si>
  <si>
    <t>J3085</t>
  </si>
  <si>
    <t>Fredericktown 138 kV Substation</t>
  </si>
  <si>
    <t>J3086</t>
  </si>
  <si>
    <t>New 345kV switchyard, looping in the Fargo-Sandburg 345kV</t>
  </si>
  <si>
    <t>J3087</t>
  </si>
  <si>
    <t>Shockey</t>
  </si>
  <si>
    <t>J3088</t>
  </si>
  <si>
    <t>Raun to Sioux City</t>
  </si>
  <si>
    <t>J3089</t>
  </si>
  <si>
    <t>Reid EHV</t>
  </si>
  <si>
    <t>J3090</t>
  </si>
  <si>
    <t>West Memphis EHV</t>
  </si>
  <si>
    <t>J3091</t>
  </si>
  <si>
    <t>East Bismarck Junction to Wishek Junction</t>
  </si>
  <si>
    <t>J3092</t>
  </si>
  <si>
    <t>SHELBY SS</t>
  </si>
  <si>
    <t>J3093</t>
  </si>
  <si>
    <t>J3094</t>
  </si>
  <si>
    <t>Pumpkin Center 230kV</t>
  </si>
  <si>
    <t>J3095</t>
  </si>
  <si>
    <t>Ford</t>
  </si>
  <si>
    <t>4PAXTON - 4J845POI 138.0kV</t>
  </si>
  <si>
    <t>J3096</t>
  </si>
  <si>
    <t>Reid 161 kV to Henderson 161 kV</t>
  </si>
  <si>
    <t>J3097</t>
  </si>
  <si>
    <t>Entergy Mississippi Gillsburg Tap - Gillsburg on the Amite - Gillsburg115 kV Line</t>
  </si>
  <si>
    <t>J3098</t>
  </si>
  <si>
    <t>RED GUM - WINNSBORO 115 kV (122.5,122.6,122.7)</t>
  </si>
  <si>
    <t>J3099</t>
  </si>
  <si>
    <t>Hamlet to Gravel Ridge 161kV</t>
  </si>
  <si>
    <t>J310</t>
  </si>
  <si>
    <t>West Owatonna-AL Corn Dist-Byron 161kV Line</t>
  </si>
  <si>
    <t>J3100</t>
  </si>
  <si>
    <t>Higgins - Mio Dam 138 kV line</t>
  </si>
  <si>
    <t>J3101</t>
  </si>
  <si>
    <t>Shaw-Indianola 115kV</t>
  </si>
  <si>
    <t>J3102</t>
  </si>
  <si>
    <t>Pemiscot</t>
  </si>
  <si>
    <t>Dell to New Madrid 500kV line</t>
  </si>
  <si>
    <t>J3103</t>
  </si>
  <si>
    <t>Lafayette - Veedersburg West 230 kV</t>
  </si>
  <si>
    <t>J3104</t>
  </si>
  <si>
    <t>J3105</t>
  </si>
  <si>
    <t>Franklin EHV -  McKnight 500 kV</t>
  </si>
  <si>
    <t>J3106</t>
  </si>
  <si>
    <t>Dell to New Madrid 500 kV line</t>
  </si>
  <si>
    <t>J3107</t>
  </si>
  <si>
    <t>Enron Substation</t>
  </si>
  <si>
    <t>J3108</t>
  </si>
  <si>
    <t>Missionary 161kV Substation</t>
  </si>
  <si>
    <t>J3109</t>
  </si>
  <si>
    <t>Taping the 'Carlisle / 3CARISLE! (338003)' to 'Screeton / 3SCREETON (338005)' 115kV line</t>
  </si>
  <si>
    <t>J3110</t>
  </si>
  <si>
    <t>Powerline Road / 8POWERLN_RD% (338156) 500kV Substation</t>
  </si>
  <si>
    <t>J3111</t>
  </si>
  <si>
    <t>AECC TRUMANN WEST - POWERLINE ROAD 161kv</t>
  </si>
  <si>
    <t>J3112</t>
  </si>
  <si>
    <t>Barton - West Helena 115kV</t>
  </si>
  <si>
    <t>J3113</t>
  </si>
  <si>
    <t>Edwardsport IGCC - Amo 345kV</t>
  </si>
  <si>
    <t>J3114</t>
  </si>
  <si>
    <t>J3115</t>
  </si>
  <si>
    <t>Taping the 'Onward / 3ONWARD+ (336967)' to 'Rolling Fork / 3ROLING FRK! (336968)' 115kV line</t>
  </si>
  <si>
    <t>J3116</t>
  </si>
  <si>
    <t>Taping 'AECC Aubrey / 6AUBREY# (338885)' to 'Ritchie SES Switchyard / 6RITCHIE-2! (337991)' 230kV Li</t>
  </si>
  <si>
    <t>J3117</t>
  </si>
  <si>
    <t>Taping the 'Texas Eastern Station 8 / ST.E.P/ S-8 (338229)' to 'McDougal / 5MCDOUGAL# (338695)' 161k</t>
  </si>
  <si>
    <t>J3118</t>
  </si>
  <si>
    <t>Taping the 'Galion / 3GALION (337444)' to 'Oak Grove / 3OAK_GROVE! (337445)' 115kV line</t>
  </si>
  <si>
    <t>J3119</t>
  </si>
  <si>
    <t>Taping 'Reynolds / 17REYNOLDS (255205)' to 'Burr Oak / 17BURR_OAK (255101)' 22.4mi from Reynolds 345</t>
  </si>
  <si>
    <t>J3120</t>
  </si>
  <si>
    <t>Taping 'Newport AB / NEWPORTSOLAR (338177)' to 'Cash / 5CASH (338171)' 161kV Line.</t>
  </si>
  <si>
    <t>J3121</t>
  </si>
  <si>
    <t>Centerville 69 kV Substation</t>
  </si>
  <si>
    <t>J3122</t>
  </si>
  <si>
    <t>Marked Tree √¢‚Ç¨‚Äú Marion 161kV Tap at 35.3902, -90.3372</t>
  </si>
  <si>
    <t>J3123</t>
  </si>
  <si>
    <t>J3124</t>
  </si>
  <si>
    <t>Murphy 345 kV Substation</t>
  </si>
  <si>
    <t>J3125</t>
  </si>
  <si>
    <t>J3126</t>
  </si>
  <si>
    <t>Stringtown-Greenville/North 115kV Transmission Line</t>
  </si>
  <si>
    <t>J3127</t>
  </si>
  <si>
    <t>Brinkley East - Clarendon 115 kV</t>
  </si>
  <si>
    <t>J3128</t>
  </si>
  <si>
    <t>ELECTRIC AVENUE LLC</t>
  </si>
  <si>
    <t>Starhill Substation 138 kV</t>
  </si>
  <si>
    <t>J3129</t>
  </si>
  <si>
    <t>Starhill 138 kV Substation</t>
  </si>
  <si>
    <t>J3130</t>
  </si>
  <si>
    <t>Kinmundy to Salem 138 kV</t>
  </si>
  <si>
    <t>J3131</t>
  </si>
  <si>
    <t>El Dorado EHV - Sarepta 345/115KV SW STA 345 kV</t>
  </si>
  <si>
    <t>J3132</t>
  </si>
  <si>
    <t>J3133</t>
  </si>
  <si>
    <t>Murphy to Nelson Road 345 kV</t>
  </si>
  <si>
    <t>J3134</t>
  </si>
  <si>
    <t>Gaylord Interconnection</t>
  </si>
  <si>
    <t>J3135</t>
  </si>
  <si>
    <t>Commodore-Aster-4513</t>
  </si>
  <si>
    <t>J3136</t>
  </si>
  <si>
    <t>Hoosier's Sandborn - Grain Processing Center 161kV (GPC Primary - Sandborn Primary)</t>
  </si>
  <si>
    <t>J3137</t>
  </si>
  <si>
    <t>Sac - Pocahontas 161 kV</t>
  </si>
  <si>
    <t>J3138</t>
  </si>
  <si>
    <t>Rapides 230kV Substation</t>
  </si>
  <si>
    <t>J3139</t>
  </si>
  <si>
    <t>Pickens 230 kV Substation</t>
  </si>
  <si>
    <t>J3140</t>
  </si>
  <si>
    <t>J3141</t>
  </si>
  <si>
    <t>Ritchie Plant Substation 230kV</t>
  </si>
  <si>
    <t>J3142</t>
  </si>
  <si>
    <t>Circuit ID# 6950 - Columbus North (08COLNRT) - Franklin Forsythe St (08FRSYTH)</t>
  </si>
  <si>
    <t>J3143</t>
  </si>
  <si>
    <t>Jackson Township (08JCKSN_TWNS) - Heritage Lake (08HERITL)</t>
  </si>
  <si>
    <t>J3144</t>
  </si>
  <si>
    <t>J3145</t>
  </si>
  <si>
    <t>J3146</t>
  </si>
  <si>
    <t>Amo - Wheatland Line</t>
  </si>
  <si>
    <t>J3147</t>
  </si>
  <si>
    <t>Trafalgar Switchyard (08TRFLGJ)</t>
  </si>
  <si>
    <t>J3148</t>
  </si>
  <si>
    <t>Drager to Grand Junction</t>
  </si>
  <si>
    <t>J3149</t>
  </si>
  <si>
    <t>Hastings to Bunge</t>
  </si>
  <si>
    <t>J3150</t>
  </si>
  <si>
    <t>Crenshaw to Como</t>
  </si>
  <si>
    <t>J3151</t>
  </si>
  <si>
    <t>Sheboygan Falls</t>
  </si>
  <si>
    <t>J3152</t>
  </si>
  <si>
    <t>North Monroe</t>
  </si>
  <si>
    <t>J3153</t>
  </si>
  <si>
    <t>Beaver Channel 161 kV Substation</t>
  </si>
  <si>
    <t>J3154</t>
  </si>
  <si>
    <t>Blackhawk (MEC) - Quinn 345 (shared POI with J2892)</t>
  </si>
  <si>
    <t>J3155</t>
  </si>
  <si>
    <t>Neevin</t>
  </si>
  <si>
    <t>J3156</t>
  </si>
  <si>
    <t>Townline Road</t>
  </si>
  <si>
    <t>J3157</t>
  </si>
  <si>
    <t>Bison</t>
  </si>
  <si>
    <t>J3158</t>
  </si>
  <si>
    <t>Colby 345 kV Substation</t>
  </si>
  <si>
    <t>J3159</t>
  </si>
  <si>
    <t>Gardner 69 kV substation</t>
  </si>
  <si>
    <t>J3160</t>
  </si>
  <si>
    <t>South Fond du Lac 345 kV</t>
  </si>
  <si>
    <t>J3161</t>
  </si>
  <si>
    <t>Huebner 138 kV</t>
  </si>
  <si>
    <t>J3162</t>
  </si>
  <si>
    <t>Beloit Gateway</t>
  </si>
  <si>
    <t>J3163</t>
  </si>
  <si>
    <t>J3164</t>
  </si>
  <si>
    <t>McClellan 138 kV Substation</t>
  </si>
  <si>
    <t>J3165</t>
  </si>
  <si>
    <t>Breckinridge</t>
  </si>
  <si>
    <t>New Hardinsburg</t>
  </si>
  <si>
    <t>J3166</t>
  </si>
  <si>
    <t>Edwardsport Station IGCC</t>
  </si>
  <si>
    <t>J3167</t>
  </si>
  <si>
    <t>J3168</t>
  </si>
  <si>
    <t>REYNOLDS</t>
  </si>
  <si>
    <t>J3169</t>
  </si>
  <si>
    <t>Cypress 138 kV Substation</t>
  </si>
  <si>
    <t>J3170</t>
  </si>
  <si>
    <t>Eola-Marksville 138 kV</t>
  </si>
  <si>
    <t>J3171</t>
  </si>
  <si>
    <t>Monticello East-Reed SS 115 kV</t>
  </si>
  <si>
    <t>J3172</t>
  </si>
  <si>
    <t>GRE-NININGR7 115 kV</t>
  </si>
  <si>
    <t>J3173</t>
  </si>
  <si>
    <t>Swifton to Hoxie 161 kV</t>
  </si>
  <si>
    <t>J3174</t>
  </si>
  <si>
    <t>Jacksonville Industrial Pk-Winchester Switching Station 138 kV</t>
  </si>
  <si>
    <t>J3175</t>
  </si>
  <si>
    <t>Robinsonville 230kV</t>
  </si>
  <si>
    <t>J3176</t>
  </si>
  <si>
    <t>Plaquemines</t>
  </si>
  <si>
    <t>Derrick</t>
  </si>
  <si>
    <t>J3177</t>
  </si>
  <si>
    <t>Robinsonville 230kV Substation</t>
  </si>
  <si>
    <t>J3178</t>
  </si>
  <si>
    <t>Dolet Hills</t>
  </si>
  <si>
    <t>J3179</t>
  </si>
  <si>
    <t>J3180</t>
  </si>
  <si>
    <t>J3181</t>
  </si>
  <si>
    <t>4FOGARTY - 4LIMIT 138.0kV</t>
  </si>
  <si>
    <t>J3182</t>
  </si>
  <si>
    <t>Coyote</t>
  </si>
  <si>
    <t>J3183</t>
  </si>
  <si>
    <t>Big Stone South 230KV Substation</t>
  </si>
  <si>
    <t>J3184</t>
  </si>
  <si>
    <t>Turkey Hill 138 kV</t>
  </si>
  <si>
    <t>J3185</t>
  </si>
  <si>
    <t>Effingham</t>
  </si>
  <si>
    <t>Effingham - Newton 138KV (4EFFINGHM 347025 -4NEWTON 347831)</t>
  </si>
  <si>
    <t>J3186</t>
  </si>
  <si>
    <t>Rosedale - Delta 115 kV</t>
  </si>
  <si>
    <t>J3187</t>
  </si>
  <si>
    <t>Havana 138 kV Sub</t>
  </si>
  <si>
    <t>J3188</t>
  </si>
  <si>
    <t>Hallock 138 kV</t>
  </si>
  <si>
    <t>J3189</t>
  </si>
  <si>
    <t>St. Johns 138 kV Substation</t>
  </si>
  <si>
    <t>J3190</t>
  </si>
  <si>
    <t>Pike 161 kV Substation</t>
  </si>
  <si>
    <t>J3191</t>
  </si>
  <si>
    <t>AECC BALCH-FISHER 161kV</t>
  </si>
  <si>
    <t>J3192</t>
  </si>
  <si>
    <t>Mallory 161 kV Substation</t>
  </si>
  <si>
    <t>J3193</t>
  </si>
  <si>
    <t>POYEN-GIFFORD 115 kV</t>
  </si>
  <si>
    <t>J3194</t>
  </si>
  <si>
    <t>RYE CO-CYPRESS 138 kV</t>
  </si>
  <si>
    <t>J3195</t>
  </si>
  <si>
    <t>White Bluff EHV - Wrightsville 115 kV</t>
  </si>
  <si>
    <t>J3196</t>
  </si>
  <si>
    <t>Burr Oak to East Winamac 138 kV</t>
  </si>
  <si>
    <t>J3197</t>
  </si>
  <si>
    <t>EAST LEESVILLE -RODEMACHER 230</t>
  </si>
  <si>
    <t>J3198</t>
  </si>
  <si>
    <t>J3199</t>
  </si>
  <si>
    <t>Zachary 345kV</t>
  </si>
  <si>
    <t>J3200</t>
  </si>
  <si>
    <t>Turkey Hill 345kV</t>
  </si>
  <si>
    <t>J3201</t>
  </si>
  <si>
    <t>Walthall</t>
  </si>
  <si>
    <t>Tylertown-Bogalusa 115 kV</t>
  </si>
  <si>
    <t>J3202</t>
  </si>
  <si>
    <t>5CLARK    - 5PILTMA   161.0kV</t>
  </si>
  <si>
    <t>J3203</t>
  </si>
  <si>
    <t>Bingham - Lookng GL J 138kV</t>
  </si>
  <si>
    <t>J3204</t>
  </si>
  <si>
    <t>Stone Lake - Gardner Park 345.0kV</t>
  </si>
  <si>
    <t>J3205</t>
  </si>
  <si>
    <t>Arlington to Smithdale 115 kV</t>
  </si>
  <si>
    <t>J3206</t>
  </si>
  <si>
    <t>J3207</t>
  </si>
  <si>
    <t>J3578</t>
  </si>
  <si>
    <t>J3208</t>
  </si>
  <si>
    <t>Patoka Valley</t>
  </si>
  <si>
    <t>J3209</t>
  </si>
  <si>
    <t>Hineston</t>
  </si>
  <si>
    <t>J3210</t>
  </si>
  <si>
    <t>J2245 Substation</t>
  </si>
  <si>
    <t>J3211</t>
  </si>
  <si>
    <t>J1564 Substation</t>
  </si>
  <si>
    <t>J3212</t>
  </si>
  <si>
    <t>GLENWOOD</t>
  </si>
  <si>
    <t>J3213</t>
  </si>
  <si>
    <t>Hennepin</t>
  </si>
  <si>
    <t>Riverside 115kV Substation</t>
  </si>
  <si>
    <t>J3214</t>
  </si>
  <si>
    <t>Wever</t>
  </si>
  <si>
    <t>J3215</t>
  </si>
  <si>
    <t>Stillwell to Babcock 345kV Transmission Line</t>
  </si>
  <si>
    <t>J3216</t>
  </si>
  <si>
    <t>Bloomington Brokaw</t>
  </si>
  <si>
    <t>J3217</t>
  </si>
  <si>
    <t>Crandall 345kV Substation</t>
  </si>
  <si>
    <t>J3218</t>
  </si>
  <si>
    <t>Prescott (#337507) to Emmett (#337505)</t>
  </si>
  <si>
    <t>J3219</t>
  </si>
  <si>
    <t>CANNON FALLS TRANSM.</t>
  </si>
  <si>
    <t>J3220</t>
  </si>
  <si>
    <t>Peddler</t>
  </si>
  <si>
    <t>J3221</t>
  </si>
  <si>
    <t>LA_ORD_115</t>
  </si>
  <si>
    <t>J3222</t>
  </si>
  <si>
    <t>Moultrie</t>
  </si>
  <si>
    <t>Arland to Faraday 345 kV Line Tap</t>
  </si>
  <si>
    <t>J3223</t>
  </si>
  <si>
    <t>Olney (4JASPER 347868) - Albion (4ALBION N 346510) 138 kV</t>
  </si>
  <si>
    <t>J3224</t>
  </si>
  <si>
    <t>4KINMUNDY-4TANNER 138kv</t>
  </si>
  <si>
    <t>J3225</t>
  </si>
  <si>
    <t>BABCOCK-STILLWELL 345 kV</t>
  </si>
  <si>
    <t>J3226</t>
  </si>
  <si>
    <t>BURR OAK - PLYMOUTH 138.0kV</t>
  </si>
  <si>
    <t>J3227</t>
  </si>
  <si>
    <t>Gallagher to Livingston 345 kV Segment on the Livingston √¢‚Ç¨‚Äú Tittabawassee 345 kV Line</t>
  </si>
  <si>
    <t>J3228</t>
  </si>
  <si>
    <t>Redstone-Tittabawassee 138 kV Line</t>
  </si>
  <si>
    <t>J3229</t>
  </si>
  <si>
    <t>4DILLON - 4LKSIDE TP2 138.0kV</t>
  </si>
  <si>
    <t>J3230</t>
  </si>
  <si>
    <t>PARKIN - GILMORE 161.0kV</t>
  </si>
  <si>
    <t>J3231</t>
  </si>
  <si>
    <t>GLOSTER - LIBERTY 115.0kV</t>
  </si>
  <si>
    <t>J3232</t>
  </si>
  <si>
    <t>DPP-2023</t>
  </si>
  <si>
    <t>Study Not Started</t>
  </si>
  <si>
    <t>CAYUGA STATION</t>
  </si>
  <si>
    <t>J3233</t>
  </si>
  <si>
    <t>Canby 115 kV Substation</t>
  </si>
  <si>
    <t>J3234</t>
  </si>
  <si>
    <t>Carver</t>
  </si>
  <si>
    <t>ST BONIFACIUS</t>
  </si>
  <si>
    <t>J3235</t>
  </si>
  <si>
    <t>Cherry Park Substation</t>
  </si>
  <si>
    <t>J3236</t>
  </si>
  <si>
    <t>Chisago County 115kV Substation</t>
  </si>
  <si>
    <t>J3237</t>
  </si>
  <si>
    <t>Itasca</t>
  </si>
  <si>
    <t>National Tac Plant 115kV (Customer-owned)</t>
  </si>
  <si>
    <t>J3238</t>
  </si>
  <si>
    <t>Cocodrie - Ville Platte 230.0kV</t>
  </si>
  <si>
    <t>J3239</t>
  </si>
  <si>
    <t>Pana 138kV</t>
  </si>
  <si>
    <t>J3240</t>
  </si>
  <si>
    <t>J3241</t>
  </si>
  <si>
    <t>ARLINGTON GOAB</t>
  </si>
  <si>
    <t>J3242</t>
  </si>
  <si>
    <t>Flint 138 kv</t>
  </si>
  <si>
    <t>J3243</t>
  </si>
  <si>
    <t>Parke</t>
  </si>
  <si>
    <t>J3244</t>
  </si>
  <si>
    <t>Parke County REMC</t>
  </si>
  <si>
    <t>J3245</t>
  </si>
  <si>
    <t>Meade County - New Hardinsburg 161.0kV</t>
  </si>
  <si>
    <t>J3246</t>
  </si>
  <si>
    <t>Fancy Creek 138kV Substation</t>
  </si>
  <si>
    <t>J3247</t>
  </si>
  <si>
    <t>SPELTERVILLE</t>
  </si>
  <si>
    <t>J3248</t>
  </si>
  <si>
    <t>AB Brown - Farm Bureau 138.0kV</t>
  </si>
  <si>
    <t>J3249</t>
  </si>
  <si>
    <t>Vanderburgh</t>
  </si>
  <si>
    <t>Elliott - Francisco 138.0kV</t>
  </si>
  <si>
    <t>J3250</t>
  </si>
  <si>
    <t>FLOYD - EMERY (ITCM) 161.0kV</t>
  </si>
  <si>
    <t>J3251</t>
  </si>
  <si>
    <t>THETFORD</t>
  </si>
  <si>
    <t>J3252</t>
  </si>
  <si>
    <t>FITZ</t>
  </si>
  <si>
    <t>J3253</t>
  </si>
  <si>
    <t>Bailey</t>
  </si>
  <si>
    <t>J3254</t>
  </si>
  <si>
    <t>5CAPE GIR3 - 5JOPPA SR 161.0kV</t>
  </si>
  <si>
    <t>J3255</t>
  </si>
  <si>
    <t>INDIANOLA 230/115 SUB - MCADAMS EHV 230.0kV</t>
  </si>
  <si>
    <t>J3256</t>
  </si>
  <si>
    <t>4GALLATIN - 4KANSAS   138.0kV</t>
  </si>
  <si>
    <t>J3257</t>
  </si>
  <si>
    <t>EAST WINAMAC - MONTICELLO 138.0kV</t>
  </si>
  <si>
    <t>J3258</t>
  </si>
  <si>
    <t>TYLER</t>
  </si>
  <si>
    <t>J3259</t>
  </si>
  <si>
    <t>Cedar Mountain</t>
  </si>
  <si>
    <t>J3260</t>
  </si>
  <si>
    <t>4NLASALLE RB - 4WED_FOXR 138.0kV</t>
  </si>
  <si>
    <t>J3261</t>
  </si>
  <si>
    <t>Tunica 230 kV (337160)</t>
  </si>
  <si>
    <t>J3262</t>
  </si>
  <si>
    <t>Stowell</t>
  </si>
  <si>
    <t>J3263</t>
  </si>
  <si>
    <t>AK</t>
  </si>
  <si>
    <t>DUMAS - REED SS 115.0kV</t>
  </si>
  <si>
    <t>J3264</t>
  </si>
  <si>
    <t>LIVINGSTON CO</t>
  </si>
  <si>
    <t>J3265</t>
  </si>
  <si>
    <t>Brookings</t>
  </si>
  <si>
    <t>BROOKINGS COUNTY</t>
  </si>
  <si>
    <t>J3266</t>
  </si>
  <si>
    <t>J3267</t>
  </si>
  <si>
    <t>J3268</t>
  </si>
  <si>
    <t>J3269</t>
  </si>
  <si>
    <t>7W_FRFT_E - 7NORRIS   345.0kV</t>
  </si>
  <si>
    <t>J3270</t>
  </si>
  <si>
    <t>AECC AUBREY - RITCHIE SWYD 230.0kV</t>
  </si>
  <si>
    <t>J3271</t>
  </si>
  <si>
    <t>J3272</t>
  </si>
  <si>
    <t>VIDALIA</t>
  </si>
  <si>
    <t>J3273</t>
  </si>
  <si>
    <t>BAXTER WILSON SES SWYD - PERRYVILLE 500 SWYD 500.0kV</t>
  </si>
  <si>
    <t>J3274</t>
  </si>
  <si>
    <t>GALLAGHER - TWINING 138.0kV</t>
  </si>
  <si>
    <t>J3275</t>
  </si>
  <si>
    <t>Mud Lake - Benton County (GRE) 230kV</t>
  </si>
  <si>
    <t>J3276</t>
  </si>
  <si>
    <t>Mound City</t>
  </si>
  <si>
    <t>J3277</t>
  </si>
  <si>
    <t>J3278</t>
  </si>
  <si>
    <t>Swift</t>
  </si>
  <si>
    <t>SWENODA TAP - DUBLIN TAP - SS360 - 360WSM1 115.0kV</t>
  </si>
  <si>
    <t>J3279</t>
  </si>
  <si>
    <t>J3280</t>
  </si>
  <si>
    <t>Dickey</t>
  </si>
  <si>
    <t>Ellendale</t>
  </si>
  <si>
    <t>J3281</t>
  </si>
  <si>
    <t>Presque Isle - North Lake 138.0kV</t>
  </si>
  <si>
    <t>J3282</t>
  </si>
  <si>
    <t>KEYSTONE - LUDINGTON 345.0kV</t>
  </si>
  <si>
    <t>J3283</t>
  </si>
  <si>
    <t>KEYSTONE - WEXFORD 138.0kV</t>
  </si>
  <si>
    <t>J3284</t>
  </si>
  <si>
    <t>Woodford</t>
  </si>
  <si>
    <t>Spring Bay</t>
  </si>
  <si>
    <t>J3285</t>
  </si>
  <si>
    <t>J3286</t>
  </si>
  <si>
    <t>KILGORE - MICAH 120.0kV</t>
  </si>
  <si>
    <t>J3287</t>
  </si>
  <si>
    <t>J3288</t>
  </si>
  <si>
    <t>J3289</t>
  </si>
  <si>
    <t>ELK RIVER 14</t>
  </si>
  <si>
    <t>J3290</t>
  </si>
  <si>
    <t>MAGNETATION</t>
  </si>
  <si>
    <t>J3291</t>
  </si>
  <si>
    <t>LaGrange</t>
  </si>
  <si>
    <t>J3292</t>
  </si>
  <si>
    <t>J3293</t>
  </si>
  <si>
    <t>J3294</t>
  </si>
  <si>
    <t>GPC Primary - Sandborn Primary 161.0kV</t>
  </si>
  <si>
    <t>J3295</t>
  </si>
  <si>
    <t>Cole - Penton Road 230.0kV</t>
  </si>
  <si>
    <t>J3296</t>
  </si>
  <si>
    <t>J3297</t>
  </si>
  <si>
    <t>Herzog</t>
  </si>
  <si>
    <t>J3298</t>
  </si>
  <si>
    <t>Towerline</t>
  </si>
  <si>
    <t>J3299</t>
  </si>
  <si>
    <t>BEVIL</t>
  </si>
  <si>
    <t>J3300</t>
  </si>
  <si>
    <t>CASH - NEWPORT AB 161.0kV</t>
  </si>
  <si>
    <t>J3301</t>
  </si>
  <si>
    <t>DES ARC - COTTON PLANT 115.0kV</t>
  </si>
  <si>
    <t>J3302</t>
  </si>
  <si>
    <t>P.B. SOUTH - VARNER 115.0kV</t>
  </si>
  <si>
    <t>J3303</t>
  </si>
  <si>
    <t>J3304</t>
  </si>
  <si>
    <t>ETTA - MCNEIL EHV 500.0kV</t>
  </si>
  <si>
    <t>J3305</t>
  </si>
  <si>
    <t>J3306</t>
  </si>
  <si>
    <t>J3307</t>
  </si>
  <si>
    <t>J3308</t>
  </si>
  <si>
    <t>MOSES SWYD - AECC HUNTER NORTH 161.0kV</t>
  </si>
  <si>
    <t>J3309</t>
  </si>
  <si>
    <t>Copiah</t>
  </si>
  <si>
    <t>FRANKLIN EHV - RAY BRASWELL EHV 500.0kV</t>
  </si>
  <si>
    <t>J3310</t>
  </si>
  <si>
    <t>BROOKHAVEN</t>
  </si>
  <si>
    <t>J3311</t>
  </si>
  <si>
    <t>WELLS</t>
  </si>
  <si>
    <t>J3312</t>
  </si>
  <si>
    <t>RAPTOR</t>
  </si>
  <si>
    <t>J3313</t>
  </si>
  <si>
    <t>MOROCCO  - ALLEN JUNCTION 345.0kV</t>
  </si>
  <si>
    <t>J3314</t>
  </si>
  <si>
    <t>Clayton</t>
  </si>
  <si>
    <t>Postville</t>
  </si>
  <si>
    <t>J3315</t>
  </si>
  <si>
    <t>COLONIAL PIPELINE - FERNWOOD 115.0kV</t>
  </si>
  <si>
    <t>J3316</t>
  </si>
  <si>
    <t>Okawville 138 kV</t>
  </si>
  <si>
    <t>J3317</t>
  </si>
  <si>
    <t>J3318</t>
  </si>
  <si>
    <t>Merom 345 kV Substation</t>
  </si>
  <si>
    <t>J3319</t>
  </si>
  <si>
    <t>SAREPTA 345/115 SS</t>
  </si>
  <si>
    <t>J3320</t>
  </si>
  <si>
    <t>ROOSEVELT</t>
  </si>
  <si>
    <t>J3321</t>
  </si>
  <si>
    <t>J3322</t>
  </si>
  <si>
    <t>NELSON 500 SWYD - RICHARD 500.0kV</t>
  </si>
  <si>
    <t>J3323</t>
  </si>
  <si>
    <t>J3324</t>
  </si>
  <si>
    <t>Palo Alto</t>
  </si>
  <si>
    <t>PALO ALTO - KOSSUTH COUNTY 345.0kV</t>
  </si>
  <si>
    <t>J3325</t>
  </si>
  <si>
    <t>LITTLE SIOUX - LEMARS TAP 161.0kV</t>
  </si>
  <si>
    <t>J3326</t>
  </si>
  <si>
    <t>J3327</t>
  </si>
  <si>
    <t>Cato 138/69kV (facilities above 100kV)</t>
  </si>
  <si>
    <t>J3328</t>
  </si>
  <si>
    <t>Hoopeston West</t>
  </si>
  <si>
    <t>J3329</t>
  </si>
  <si>
    <t>J3330</t>
  </si>
  <si>
    <t>Pleasant Prairie - Arcadian 345.0kV</t>
  </si>
  <si>
    <t>J3331</t>
  </si>
  <si>
    <t>Petersburg - Sullivan (AEP/PJM) 345.0kV</t>
  </si>
  <si>
    <t>J3332</t>
  </si>
  <si>
    <t>Forest Junction - Cypress 345.0kV</t>
  </si>
  <si>
    <t>J3333</t>
  </si>
  <si>
    <t>MAJESTIC - MILAN 345.0kV</t>
  </si>
  <si>
    <t>J3334</t>
  </si>
  <si>
    <t>MAPLE</t>
  </si>
  <si>
    <t>J3335</t>
  </si>
  <si>
    <t>J3336</t>
  </si>
  <si>
    <t>RINGLE</t>
  </si>
  <si>
    <t>J3337</t>
  </si>
  <si>
    <t>5VANDUSER</t>
  </si>
  <si>
    <t>J3338</t>
  </si>
  <si>
    <t>J3339</t>
  </si>
  <si>
    <t>AMO</t>
  </si>
  <si>
    <t>J3340</t>
  </si>
  <si>
    <t>Rossville 138kV on the Hoopeston to Vermilion 138kV Line</t>
  </si>
  <si>
    <t>J3341</t>
  </si>
  <si>
    <t>J2192 POI</t>
  </si>
  <si>
    <t>J3342</t>
  </si>
  <si>
    <t>J3343</t>
  </si>
  <si>
    <t>J3344</t>
  </si>
  <si>
    <t>J3345</t>
  </si>
  <si>
    <t>J3346</t>
  </si>
  <si>
    <t>J3347</t>
  </si>
  <si>
    <t>Greenfield Hastings Park - Greensboro 138.0kV</t>
  </si>
  <si>
    <t>J3348</t>
  </si>
  <si>
    <t>PLYMOUTH - KOSCIUSKO &amp; LEESBURG &amp; KOSCIUSKO CO REMC - NORTHWEST 138.0kV</t>
  </si>
  <si>
    <t>J3349</t>
  </si>
  <si>
    <t>Ipava</t>
  </si>
  <si>
    <t>J3350</t>
  </si>
  <si>
    <t>5MOBERLY  - 5OVERTON  161.0kV</t>
  </si>
  <si>
    <t>J3351</t>
  </si>
  <si>
    <t>Hickok</t>
  </si>
  <si>
    <t>J3352</t>
  </si>
  <si>
    <t>Cape Girardeau</t>
  </si>
  <si>
    <t>LUTESVILLE</t>
  </si>
  <si>
    <t>J3353</t>
  </si>
  <si>
    <t>J3354</t>
  </si>
  <si>
    <t>Hanover</t>
  </si>
  <si>
    <t>J3355</t>
  </si>
  <si>
    <t>4IPAVA 3 - 4HAVANA2 138.0kV</t>
  </si>
  <si>
    <t>J3356</t>
  </si>
  <si>
    <t>RATTS - ALGIERS 69.0kV</t>
  </si>
  <si>
    <t>J3357</t>
  </si>
  <si>
    <t>LEESBURG</t>
  </si>
  <si>
    <t>J3358</t>
  </si>
  <si>
    <t>J3359</t>
  </si>
  <si>
    <t>Eastern Substation 138 kV</t>
  </si>
  <si>
    <t>J3360</t>
  </si>
  <si>
    <t>Meredosia</t>
  </si>
  <si>
    <t>J3361</t>
  </si>
  <si>
    <t>J3362</t>
  </si>
  <si>
    <t>Oakland</t>
  </si>
  <si>
    <t>J3363</t>
  </si>
  <si>
    <t>Tensas</t>
  </si>
  <si>
    <t>RED GUM</t>
  </si>
  <si>
    <t>J3364</t>
  </si>
  <si>
    <t>ST MARTINVILLE (L-625A) TAP - CADE SS 69.0kV</t>
  </si>
  <si>
    <t>J3365</t>
  </si>
  <si>
    <t>AMITE - KENTWOOD 115.0kV</t>
  </si>
  <si>
    <t>J3366</t>
  </si>
  <si>
    <t>INDIANOLA 230/115 SUB - TILLATOBA 230.0kV</t>
  </si>
  <si>
    <t>J3367</t>
  </si>
  <si>
    <t>Marksville - Yellow Bayou 138.0kV</t>
  </si>
  <si>
    <t>J3368</t>
  </si>
  <si>
    <t>Ville Platte - West Fork 230.0kV</t>
  </si>
  <si>
    <t>J3369</t>
  </si>
  <si>
    <t>J3370</t>
  </si>
  <si>
    <t>Kittson</t>
  </si>
  <si>
    <t>J3371</t>
  </si>
  <si>
    <t>J3372</t>
  </si>
  <si>
    <t>Macoupin</t>
  </si>
  <si>
    <t>Rezzy</t>
  </si>
  <si>
    <t>J3373</t>
  </si>
  <si>
    <t>HARRISBURG SS - HARRISBURG 161.0kV</t>
  </si>
  <si>
    <t>J3374</t>
  </si>
  <si>
    <t>J3375</t>
  </si>
  <si>
    <t>Gerald Andrus 230 kV Substation</t>
  </si>
  <si>
    <t>J3376</t>
  </si>
  <si>
    <t>Blytheville North</t>
  </si>
  <si>
    <t>J3377</t>
  </si>
  <si>
    <t>DELHI - TALLULAH 115.0kV</t>
  </si>
  <si>
    <t>J3378</t>
  </si>
  <si>
    <t>DANVILLE [LA]</t>
  </si>
  <si>
    <t>J3379</t>
  </si>
  <si>
    <t>J3380</t>
  </si>
  <si>
    <t>J3381</t>
  </si>
  <si>
    <t>FORREST CITY SOUTH - HUGHES 161.0kV</t>
  </si>
  <si>
    <t>J3382</t>
  </si>
  <si>
    <t>Piatt</t>
  </si>
  <si>
    <t>4WEEDMAN  - 4MAHOMET 1 138.0kV</t>
  </si>
  <si>
    <t>J3383</t>
  </si>
  <si>
    <t>DPP-2025</t>
  </si>
  <si>
    <t>Nucor  -  Whitestown 345.0kV</t>
  </si>
  <si>
    <t>J3384</t>
  </si>
  <si>
    <t>Big Stone</t>
  </si>
  <si>
    <t>Big Stone South - Alexandria 345kV</t>
  </si>
  <si>
    <t>J3385</t>
  </si>
  <si>
    <t>Pittsfield Trans. - Liberty 138.0kV</t>
  </si>
  <si>
    <t>J3386</t>
  </si>
  <si>
    <t>J3387</t>
  </si>
  <si>
    <t>Connersville  - New Castle 138.0kV</t>
  </si>
  <si>
    <t>J3388</t>
  </si>
  <si>
    <t>J3389</t>
  </si>
  <si>
    <t>4KINMUNDY S - 4TANNER 138.0kV</t>
  </si>
  <si>
    <t>J3390</t>
  </si>
  <si>
    <t>Kokomo East - Converse 69.0kV</t>
  </si>
  <si>
    <t>J3391</t>
  </si>
  <si>
    <t>7CASEY    - 7KANSAS   345.0kV</t>
  </si>
  <si>
    <t>J3392</t>
  </si>
  <si>
    <t>Murrayville Jct. W - Roodhouse 69.0kV</t>
  </si>
  <si>
    <t>J3393</t>
  </si>
  <si>
    <t>HMPL Sub No.4</t>
  </si>
  <si>
    <t>J3394</t>
  </si>
  <si>
    <t>J3395</t>
  </si>
  <si>
    <t>Andrew Bkr - Fancy Creek 69.0kV</t>
  </si>
  <si>
    <t>J3396</t>
  </si>
  <si>
    <t>Winchester - Hillview Tap 69.0kV</t>
  </si>
  <si>
    <t>J3397</t>
  </si>
  <si>
    <t>Magnolia</t>
  </si>
  <si>
    <t>J3398</t>
  </si>
  <si>
    <t>Walkerville - Eldred 69.0kV</t>
  </si>
  <si>
    <t>J3399</t>
  </si>
  <si>
    <t>Hampton - Prairie Island 345.0kV</t>
  </si>
  <si>
    <t>J3400</t>
  </si>
  <si>
    <t>Astoria 345kV substation</t>
  </si>
  <si>
    <t>J3401</t>
  </si>
  <si>
    <t>J3402</t>
  </si>
  <si>
    <t>New J1502 TO Switching Station (Emerson)</t>
  </si>
  <si>
    <t>J3403</t>
  </si>
  <si>
    <t>J3404</t>
  </si>
  <si>
    <t>J3405</t>
  </si>
  <si>
    <t>Shannon - Minntac 230kV</t>
  </si>
  <si>
    <t>J3406</t>
  </si>
  <si>
    <t>Nelson - Carlyss (J2154 POI)</t>
  </si>
  <si>
    <t>J3407</t>
  </si>
  <si>
    <t>Manistee</t>
  </si>
  <si>
    <t>LINDEMAN - TIPPY 138.0kV</t>
  </si>
  <si>
    <t>J3408</t>
  </si>
  <si>
    <t>J3409</t>
  </si>
  <si>
    <t>HARTBURG - CYPRESS 500.0kV</t>
  </si>
  <si>
    <t>J3410</t>
  </si>
  <si>
    <t>7PR STATE - 7MTVERNW 345.0kV</t>
  </si>
  <si>
    <t>J3411</t>
  </si>
  <si>
    <t>J3412</t>
  </si>
  <si>
    <t>J3413</t>
  </si>
  <si>
    <t>L.R. 145TH ST - L.R. PORT 115.0kV</t>
  </si>
  <si>
    <t>J3414</t>
  </si>
  <si>
    <t>J3415</t>
  </si>
  <si>
    <t>Coyote Switchyard</t>
  </si>
  <si>
    <t>J3416</t>
  </si>
  <si>
    <t>VAN TYLE</t>
  </si>
  <si>
    <t>J3417</t>
  </si>
  <si>
    <t>Oreana</t>
  </si>
  <si>
    <t>J3418</t>
  </si>
  <si>
    <t>7AUSTIN - 7TURNER 345.0kV</t>
  </si>
  <si>
    <t>J3419</t>
  </si>
  <si>
    <t>SEASIDE</t>
  </si>
  <si>
    <t>J3420</t>
  </si>
  <si>
    <t>J3421</t>
  </si>
  <si>
    <t>J3422</t>
  </si>
  <si>
    <t>J3423</t>
  </si>
  <si>
    <t>PECAN ST - AECC BALCH 161.0kV</t>
  </si>
  <si>
    <t>J3424</t>
  </si>
  <si>
    <t>J3425</t>
  </si>
  <si>
    <t>Peachtree Substation</t>
  </si>
  <si>
    <t>J3426</t>
  </si>
  <si>
    <t>MACON LAKE SS</t>
  </si>
  <si>
    <t>J3427</t>
  </si>
  <si>
    <t>DELL EHV - NEW MADRID (AECI) 500.0kV</t>
  </si>
  <si>
    <t>J3428</t>
  </si>
  <si>
    <t>J3429</t>
  </si>
  <si>
    <t>JIM HILL - HAYTI SOUTH 161.0kV</t>
  </si>
  <si>
    <t>J3430</t>
  </si>
  <si>
    <t>4LAWRNCVL - 4JASPER 138.0kV</t>
  </si>
  <si>
    <t>J3431</t>
  </si>
  <si>
    <t>J3432</t>
  </si>
  <si>
    <t>J3433</t>
  </si>
  <si>
    <t>BARRON  - WASHCO  161.0kV</t>
  </si>
  <si>
    <t>J3434</t>
  </si>
  <si>
    <t>Kandiyohi</t>
  </si>
  <si>
    <t>Willmar</t>
  </si>
  <si>
    <t>J3435</t>
  </si>
  <si>
    <t>J3436</t>
  </si>
  <si>
    <t>J3437</t>
  </si>
  <si>
    <t>LIVINGSTON - TITTABAWASSEE 345.0kV</t>
  </si>
  <si>
    <t>J3438</t>
  </si>
  <si>
    <t>J3439</t>
  </si>
  <si>
    <t>RICE LAKE SWITCH ELSM11 - ZIMMERMAN TAP - SS2858 - ELS1 69.0kV</t>
  </si>
  <si>
    <t>J3440</t>
  </si>
  <si>
    <t>J3441</t>
  </si>
  <si>
    <t>Houston</t>
  </si>
  <si>
    <t>ROCKY CREEK - CROCKETT (SWEPCO) 345.0kV</t>
  </si>
  <si>
    <t>J3442</t>
  </si>
  <si>
    <t>5STODDARD - 5MORLEY (AECI) 161.0kV</t>
  </si>
  <si>
    <t>J3443</t>
  </si>
  <si>
    <t>Big Stone South - Alexandira 345kV</t>
  </si>
  <si>
    <t>J3444</t>
  </si>
  <si>
    <t>AECC PINEBERGEN</t>
  </si>
  <si>
    <t>J3445</t>
  </si>
  <si>
    <t>GridUnity</t>
  </si>
  <si>
    <t>Westside</t>
  </si>
  <si>
    <t>J3446</t>
  </si>
  <si>
    <t>Gaines substation 138kV</t>
  </si>
  <si>
    <t>J3447</t>
  </si>
  <si>
    <t>Purvis Bulk 161 - Hintonville 161 161.0kV</t>
  </si>
  <si>
    <t>J3448</t>
  </si>
  <si>
    <t>NELSON DEWEY (ATC) - GRAN GRAE (ATC) 161.0kV</t>
  </si>
  <si>
    <t>J3449</t>
  </si>
  <si>
    <t>MORRILTON EAST - ATKINS 161.0kV</t>
  </si>
  <si>
    <t>J3450</t>
  </si>
  <si>
    <t>BATESVILLE [MS] - MOON LAKE SS 230.0kV</t>
  </si>
  <si>
    <t>J3451</t>
  </si>
  <si>
    <t>J3452</t>
  </si>
  <si>
    <t>J3453</t>
  </si>
  <si>
    <t>J3454</t>
  </si>
  <si>
    <t>J3455</t>
  </si>
  <si>
    <t>Trinity</t>
  </si>
  <si>
    <t>ONALASKA</t>
  </si>
  <si>
    <t>J3456</t>
  </si>
  <si>
    <t>San Jose Rail Switching Station</t>
  </si>
  <si>
    <t>J3457</t>
  </si>
  <si>
    <t>J3458</t>
  </si>
  <si>
    <t>TWIST - PARKIN 161.0kV</t>
  </si>
  <si>
    <t>J3459</t>
  </si>
  <si>
    <t>J3460</t>
  </si>
  <si>
    <t>J3461</t>
  </si>
  <si>
    <t>SUB 56 - SUB 89 161.0kV</t>
  </si>
  <si>
    <t>J3462</t>
  </si>
  <si>
    <t>Dysart - Traer 161kV</t>
  </si>
  <si>
    <t>J3463</t>
  </si>
  <si>
    <t>LORMAN SS (CE) - FAYETTE 115.0kV</t>
  </si>
  <si>
    <t>J3464</t>
  </si>
  <si>
    <t>J3465</t>
  </si>
  <si>
    <t>CAMBRIDGE</t>
  </si>
  <si>
    <t>J3466</t>
  </si>
  <si>
    <t>FTZGERLD</t>
  </si>
  <si>
    <t>J3467</t>
  </si>
  <si>
    <t>J3468</t>
  </si>
  <si>
    <t>Ellendale - Twin Brooks 345.0kV</t>
  </si>
  <si>
    <t>J3469</t>
  </si>
  <si>
    <t>Stratford - McMillan 115.0kV</t>
  </si>
  <si>
    <t>J3470</t>
  </si>
  <si>
    <t>J3471</t>
  </si>
  <si>
    <t>WAGNER - BATAVIA 138.0kV</t>
  </si>
  <si>
    <t>J3472</t>
  </si>
  <si>
    <t>J3473</t>
  </si>
  <si>
    <t>J3474</t>
  </si>
  <si>
    <t>BUCK CREEK - HAZELWOOD 138.0kV</t>
  </si>
  <si>
    <t>J3475</t>
  </si>
  <si>
    <t>Indian Creek</t>
  </si>
  <si>
    <t>J3476</t>
  </si>
  <si>
    <t>Pine Lake Tap - APPLE RIVER  (DPC) 161.0kV</t>
  </si>
  <si>
    <t>J3477</t>
  </si>
  <si>
    <t>J3478</t>
  </si>
  <si>
    <t>J3479</t>
  </si>
  <si>
    <t>J3480</t>
  </si>
  <si>
    <t>SCOTT LAKE</t>
  </si>
  <si>
    <t>J3481</t>
  </si>
  <si>
    <t>J1577 Sub (337689)</t>
  </si>
  <si>
    <t>J3482</t>
  </si>
  <si>
    <t>J3483</t>
  </si>
  <si>
    <t>4RANTOUL  - 4RISING   138.0kV</t>
  </si>
  <si>
    <t>J3484</t>
  </si>
  <si>
    <t>J3485</t>
  </si>
  <si>
    <t>J3486</t>
  </si>
  <si>
    <t>Rogers 138 kV Substation</t>
  </si>
  <si>
    <t>J3487</t>
  </si>
  <si>
    <t>CAYUGA 345</t>
  </si>
  <si>
    <t>J3488</t>
  </si>
  <si>
    <t>J3489</t>
  </si>
  <si>
    <t>J3490</t>
  </si>
  <si>
    <t>J3491</t>
  </si>
  <si>
    <t>J3492</t>
  </si>
  <si>
    <t>J3493</t>
  </si>
  <si>
    <t>J3494</t>
  </si>
  <si>
    <t>J3495</t>
  </si>
  <si>
    <t>J3496</t>
  </si>
  <si>
    <t>J3497</t>
  </si>
  <si>
    <t>J3498</t>
  </si>
  <si>
    <t>J3499</t>
  </si>
  <si>
    <t>LEESBURG - DEEDSVILLE (DUKE) 345.0kV</t>
  </si>
  <si>
    <t>J3500</t>
  </si>
  <si>
    <t>CHISAGO COUNTY</t>
  </si>
  <si>
    <t>J3501</t>
  </si>
  <si>
    <t>Wexford</t>
  </si>
  <si>
    <t>KEYSTONE - TIPPY 138.0kV</t>
  </si>
  <si>
    <t>J3502</t>
  </si>
  <si>
    <t>J3503</t>
  </si>
  <si>
    <t>Morrison Ditch 345 kV substation (LRTP projects 15 &amp; 16) - BUS #255210</t>
  </si>
  <si>
    <t>J3504</t>
  </si>
  <si>
    <t>5HERITAGE - 5FREDTN  161.0kV</t>
  </si>
  <si>
    <t>J3505</t>
  </si>
  <si>
    <t>J3506</t>
  </si>
  <si>
    <t>Hull 138kV</t>
  </si>
  <si>
    <t>J3507</t>
  </si>
  <si>
    <t>Coffeen North 138kV</t>
  </si>
  <si>
    <t>J3508</t>
  </si>
  <si>
    <t>Duck Creek 345kV</t>
  </si>
  <si>
    <t>J3509</t>
  </si>
  <si>
    <t>343505 Interstate</t>
  </si>
  <si>
    <t>J3510</t>
  </si>
  <si>
    <t>J3511</t>
  </si>
  <si>
    <t>J3512</t>
  </si>
  <si>
    <t>MONITOR</t>
  </si>
  <si>
    <t>J3513</t>
  </si>
  <si>
    <t>RICHARD - WELLS 500.0kV</t>
  </si>
  <si>
    <t>J3514</t>
  </si>
  <si>
    <t>Pine River 69 kV</t>
  </si>
  <si>
    <t>J3515</t>
  </si>
  <si>
    <t>J3516</t>
  </si>
  <si>
    <t>Makanda North</t>
  </si>
  <si>
    <t>J3517</t>
  </si>
  <si>
    <t>Ordill</t>
  </si>
  <si>
    <t>J3518</t>
  </si>
  <si>
    <t>BLAND</t>
  </si>
  <si>
    <t>J3519</t>
  </si>
  <si>
    <t>Quiver</t>
  </si>
  <si>
    <t>J3520</t>
  </si>
  <si>
    <t>J3521</t>
  </si>
  <si>
    <t>Neoga</t>
  </si>
  <si>
    <t>J3522</t>
  </si>
  <si>
    <t>J3523</t>
  </si>
  <si>
    <t>J3524</t>
  </si>
  <si>
    <t>Watonwan</t>
  </si>
  <si>
    <t>Crandall - Fieldon 345.0kV</t>
  </si>
  <si>
    <t>J3525</t>
  </si>
  <si>
    <t>SUB 47</t>
  </si>
  <si>
    <t>J3526</t>
  </si>
  <si>
    <t>J3527</t>
  </si>
  <si>
    <t>Lansing - Postville (DPC) 161kV</t>
  </si>
  <si>
    <t>J3528</t>
  </si>
  <si>
    <t>J3529</t>
  </si>
  <si>
    <t>Mahnomen</t>
  </si>
  <si>
    <t>Mahnomen - Winger 115.0kV</t>
  </si>
  <si>
    <t>J3530</t>
  </si>
  <si>
    <t>SHERIDAN EHV - MAGNET COVE 500.0kV</t>
  </si>
  <si>
    <t>J3531</t>
  </si>
  <si>
    <t>J3532</t>
  </si>
  <si>
    <t>Roseau</t>
  </si>
  <si>
    <t>Riel (MH) - Roseau County North 500.0kV</t>
  </si>
  <si>
    <t>J3533</t>
  </si>
  <si>
    <t>5MOBERLY  - SALSBRY5 (KCPL) 161.0kV</t>
  </si>
  <si>
    <t>J3534</t>
  </si>
  <si>
    <t>J3535</t>
  </si>
  <si>
    <t>J3536</t>
  </si>
  <si>
    <t>AECC TRUMANN WEST - TRUMANN 161.0kV</t>
  </si>
  <si>
    <t>J3537</t>
  </si>
  <si>
    <t>Weeds Lake 138kV substation (Bus Number 256510)</t>
  </si>
  <si>
    <t>J3538</t>
  </si>
  <si>
    <t>Baxter 115/34kV</t>
  </si>
  <si>
    <t>J3539</t>
  </si>
  <si>
    <t>ALPENA - SPRUCE ROAD 138.0kV</t>
  </si>
  <si>
    <t>J3540</t>
  </si>
  <si>
    <t>J3541</t>
  </si>
  <si>
    <t>CLEVELAND/SOUTH</t>
  </si>
  <si>
    <t>J3542</t>
  </si>
  <si>
    <t>J3543</t>
  </si>
  <si>
    <t>Chub Lake 115 kV</t>
  </si>
  <si>
    <t>J3544</t>
  </si>
  <si>
    <t>Abbott</t>
  </si>
  <si>
    <t>J3545</t>
  </si>
  <si>
    <t>BINGHAM - MARQUETTE 138.0kV</t>
  </si>
  <si>
    <t>J3546</t>
  </si>
  <si>
    <t>Yankee - Brookings CO. 115.0kV</t>
  </si>
  <si>
    <t>J3547</t>
  </si>
  <si>
    <t>LAKEFIELD</t>
  </si>
  <si>
    <t>J3548</t>
  </si>
  <si>
    <t>Laurel</t>
  </si>
  <si>
    <t>J3549</t>
  </si>
  <si>
    <t>NOT IN DROPDOWN MENU</t>
  </si>
  <si>
    <t>J3550</t>
  </si>
  <si>
    <t>Duff - Dubois 138.0 kV</t>
  </si>
  <si>
    <t>J3551</t>
  </si>
  <si>
    <t>Mahaska</t>
  </si>
  <si>
    <t>BEACON</t>
  </si>
  <si>
    <t>J3552</t>
  </si>
  <si>
    <t>McLeod</t>
  </si>
  <si>
    <t>Hutchinson Municipal - GRE Big Swan 115.0kV</t>
  </si>
  <si>
    <t>J3553</t>
  </si>
  <si>
    <t>Orient Energy Center Substation</t>
  </si>
  <si>
    <t>J3554</t>
  </si>
  <si>
    <t>SOUTHERN HILLS</t>
  </si>
  <si>
    <t>J3555</t>
  </si>
  <si>
    <t>BEAVER CREEK</t>
  </si>
  <si>
    <t>J3556</t>
  </si>
  <si>
    <t>J3557</t>
  </si>
  <si>
    <t>Heartland Crossing Tap - Eagle Valley 138.0kV</t>
  </si>
  <si>
    <t>J3558</t>
  </si>
  <si>
    <t>J3559</t>
  </si>
  <si>
    <t>Coleman EHV</t>
  </si>
  <si>
    <t>J3560</t>
  </si>
  <si>
    <t>Putnam 138kV</t>
  </si>
  <si>
    <t>J3561</t>
  </si>
  <si>
    <t>Jo Daviess</t>
  </si>
  <si>
    <t>Galena (DPC) - Savanna 161kV</t>
  </si>
  <si>
    <t>J3562</t>
  </si>
  <si>
    <t>4VERMILION - 4NCHAMPGN W 138.0kV</t>
  </si>
  <si>
    <t>J3563</t>
  </si>
  <si>
    <t>7W_FRFT_E - 7MTVERNW 345.0kV</t>
  </si>
  <si>
    <t>J3564</t>
  </si>
  <si>
    <t>J3565</t>
  </si>
  <si>
    <t>J3566</t>
  </si>
  <si>
    <t>J3567</t>
  </si>
  <si>
    <t>J3568</t>
  </si>
  <si>
    <t>SCHLATER</t>
  </si>
  <si>
    <t>J3569</t>
  </si>
  <si>
    <t>TRUMANN - HARRISBURG SS 161.0kV</t>
  </si>
  <si>
    <t>J3570</t>
  </si>
  <si>
    <t>AECC WYNNE EAST - PARKIN 161.0kV</t>
  </si>
  <si>
    <t>J3571</t>
  </si>
  <si>
    <t>MARKED TREE - TWIST 161.0kV</t>
  </si>
  <si>
    <t>J3572</t>
  </si>
  <si>
    <t>Catahoula</t>
  </si>
  <si>
    <t>METROPOLIS - RED GUM 115.0kV</t>
  </si>
  <si>
    <t>J3573</t>
  </si>
  <si>
    <t>GALION - OAK GROVE 115 SUB 115.0kV</t>
  </si>
  <si>
    <t>J3574</t>
  </si>
  <si>
    <t>J3575</t>
  </si>
  <si>
    <t>J3576</t>
  </si>
  <si>
    <t>J3577</t>
  </si>
  <si>
    <t>MAGEE - NEW HEBRON 115.0kV</t>
  </si>
  <si>
    <t>J3579</t>
  </si>
  <si>
    <t>MARIANNA WEST SS - MARIANNA 115.0kV</t>
  </si>
  <si>
    <t>J3580</t>
  </si>
  <si>
    <t>J3581</t>
  </si>
  <si>
    <t>Eola - Marksville 138.0kV</t>
  </si>
  <si>
    <t>J3582</t>
  </si>
  <si>
    <t>Longville - Nelson (EES) 138.0kV</t>
  </si>
  <si>
    <t>J3583</t>
  </si>
  <si>
    <t>HOLLAND BOTTOM - KEO EHV 500.0kV</t>
  </si>
  <si>
    <t>J3584</t>
  </si>
  <si>
    <t>J3585</t>
  </si>
  <si>
    <t>J3586</t>
  </si>
  <si>
    <t>JACINTO - PEACH CREEK 230.0kV</t>
  </si>
  <si>
    <t>J3587</t>
  </si>
  <si>
    <t>PORT ACRES BULK</t>
  </si>
  <si>
    <t>J3588</t>
  </si>
  <si>
    <t>J2733 Sub</t>
  </si>
  <si>
    <t>J3589</t>
  </si>
  <si>
    <t>FRANKLIN EHV - MCCOMB 115.0kV</t>
  </si>
  <si>
    <t>J3590</t>
  </si>
  <si>
    <t>J3591</t>
  </si>
  <si>
    <t>J3592</t>
  </si>
  <si>
    <t>J3593</t>
  </si>
  <si>
    <t>Wabash River  -  Staunton 230.0kV</t>
  </si>
  <si>
    <t>J3594</t>
  </si>
  <si>
    <t>ELTON - COMPTON TAP 69.0kV</t>
  </si>
  <si>
    <t>J3595</t>
  </si>
  <si>
    <t>J3596</t>
  </si>
  <si>
    <t>Harris</t>
  </si>
  <si>
    <t>BEVIL - CYPRESS 230.0kV</t>
  </si>
  <si>
    <t>J3597</t>
  </si>
  <si>
    <t>J3598</t>
  </si>
  <si>
    <t>J3599</t>
  </si>
  <si>
    <t>Lunsford</t>
  </si>
  <si>
    <t>J3600</t>
  </si>
  <si>
    <t>OAK RIDGE (LA) - SWARTZ 115.0kV</t>
  </si>
  <si>
    <t>J3601</t>
  </si>
  <si>
    <t>J3602</t>
  </si>
  <si>
    <t>J3603</t>
  </si>
  <si>
    <t>OAK RIDGE (LA) - STERLINGTON 115 SWYD 115.0kV</t>
  </si>
  <si>
    <t>J3604</t>
  </si>
  <si>
    <t>J3605</t>
  </si>
  <si>
    <t>JACINTO</t>
  </si>
  <si>
    <t>J3606</t>
  </si>
  <si>
    <t>PARKIN - KUHN ROAD 161.0kV</t>
  </si>
  <si>
    <t>J3607</t>
  </si>
  <si>
    <t>New Castle I Avenue</t>
  </si>
  <si>
    <t>J3608</t>
  </si>
  <si>
    <t>J3609</t>
  </si>
  <si>
    <t>NELSON 138 SWYD - LONGVILLE (CLECO) 138.0kV</t>
  </si>
  <si>
    <t>J3610</t>
  </si>
  <si>
    <t>DOUCETTE</t>
  </si>
  <si>
    <t>J3611</t>
  </si>
  <si>
    <t>J3612</t>
  </si>
  <si>
    <t>Fisher - Many 138.0kV</t>
  </si>
  <si>
    <t>J3613</t>
  </si>
  <si>
    <t>CROSSETT NORTH - HAMBURG 115.0kV</t>
  </si>
  <si>
    <t>J3614</t>
  </si>
  <si>
    <t>J3615</t>
  </si>
  <si>
    <t>STUTTGART NORTH SS - STUTTGART RICUSKEY 115.0kV</t>
  </si>
  <si>
    <t>J3616</t>
  </si>
  <si>
    <t>J3617</t>
  </si>
  <si>
    <t>DATTO</t>
  </si>
  <si>
    <t>J3618</t>
  </si>
  <si>
    <t>J3619</t>
  </si>
  <si>
    <t>MONETTE JUNCTION - PARAGOULD 161.0kV</t>
  </si>
  <si>
    <t>J3620</t>
  </si>
  <si>
    <t>J3621</t>
  </si>
  <si>
    <t>HERGETT - POWERLINE ROAD 161.0kV</t>
  </si>
  <si>
    <t>J3622</t>
  </si>
  <si>
    <t>J3623</t>
  </si>
  <si>
    <t>J3624</t>
  </si>
  <si>
    <t>MAGNOLIA SOUTH - SHULER 115.0kV</t>
  </si>
  <si>
    <t>J3625</t>
  </si>
  <si>
    <t>JELD WEN - WINNFIELD 115 SUB 115.0kV</t>
  </si>
  <si>
    <t>J3626</t>
  </si>
  <si>
    <t>J3627</t>
  </si>
  <si>
    <t>J3628</t>
  </si>
  <si>
    <t>FRANKLIN EHV - GRAND GULF TRANSMISSION 500.0kV</t>
  </si>
  <si>
    <t>J3629</t>
  </si>
  <si>
    <t>J3630</t>
  </si>
  <si>
    <t>J3631</t>
  </si>
  <si>
    <t>GUEYDAN TAP - MORSE 69.0kV</t>
  </si>
  <si>
    <t>J3632</t>
  </si>
  <si>
    <t>TEXAS EASTERN P.S. G SS - FORDYCE ORIENT SS 115.0kV</t>
  </si>
  <si>
    <t>J3633</t>
  </si>
  <si>
    <t>J3634</t>
  </si>
  <si>
    <t>NELSON ROAD</t>
  </si>
  <si>
    <t>J3635</t>
  </si>
  <si>
    <t>GAINES</t>
  </si>
  <si>
    <t>J3636</t>
  </si>
  <si>
    <t>BAUER</t>
  </si>
  <si>
    <t>J3637</t>
  </si>
  <si>
    <t>J3638</t>
  </si>
  <si>
    <t>Amberg - Plains 138.0kV</t>
  </si>
  <si>
    <t>J3639</t>
  </si>
  <si>
    <t>J3640</t>
  </si>
  <si>
    <t>NELSON ROAD - STYX 345.0kV</t>
  </si>
  <si>
    <t>J3641</t>
  </si>
  <si>
    <t>J3642</t>
  </si>
  <si>
    <t>J3643</t>
  </si>
  <si>
    <t>REDSTONE - TITTABAWASSEE 138.0kV</t>
  </si>
  <si>
    <t>J3644</t>
  </si>
  <si>
    <t>J3645</t>
  </si>
  <si>
    <t>J3646</t>
  </si>
  <si>
    <t>ST. CLAIR</t>
  </si>
  <si>
    <t>J3647</t>
  </si>
  <si>
    <t>J3648</t>
  </si>
  <si>
    <t>Baraga</t>
  </si>
  <si>
    <t>Silver River - Perch Lake 138.0kV</t>
  </si>
  <si>
    <t>J3649</t>
  </si>
  <si>
    <t>Winona</t>
  </si>
  <si>
    <t>J3650</t>
  </si>
  <si>
    <t>BEVERIDGE</t>
  </si>
  <si>
    <t>J3651</t>
  </si>
  <si>
    <t>BEECHER - KNOWLES 138.0kV</t>
  </si>
  <si>
    <t>J3652</t>
  </si>
  <si>
    <t>J3653</t>
  </si>
  <si>
    <t>Line tap on Superior-Wayne 120kV line at 42.275480, -83.628250</t>
  </si>
  <si>
    <t>J3654</t>
  </si>
  <si>
    <t>J3655</t>
  </si>
  <si>
    <t>Dallas</t>
  </si>
  <si>
    <t>OVERLAND TRAIL - FALLOW AVENUE 345.0kV</t>
  </si>
  <si>
    <t>J3656</t>
  </si>
  <si>
    <t>J3657</t>
  </si>
  <si>
    <t>Greer Solar substation J1458</t>
  </si>
  <si>
    <t>J3658</t>
  </si>
  <si>
    <t>GURDON - BEIRNE 115.0kV</t>
  </si>
  <si>
    <t>J3659</t>
  </si>
  <si>
    <t>Yellow Bayou</t>
  </si>
  <si>
    <t>J3660</t>
  </si>
  <si>
    <t>Oak Grove 161 kV sub</t>
  </si>
  <si>
    <t>J3661</t>
  </si>
  <si>
    <t>7MAYWOOD - 7SUB T  3 345.0kV</t>
  </si>
  <si>
    <t>J3662</t>
  </si>
  <si>
    <t>Valmeyer 138kV.</t>
  </si>
  <si>
    <t>J3663</t>
  </si>
  <si>
    <t>J3664</t>
  </si>
  <si>
    <t>J3665</t>
  </si>
  <si>
    <t>Redwood Falls Tap - Redwood Falls West 115.0kV</t>
  </si>
  <si>
    <t>J3666</t>
  </si>
  <si>
    <t>Petersburg - Thompson 345.0kV</t>
  </si>
  <si>
    <t>J3667</t>
  </si>
  <si>
    <t>J3668</t>
  </si>
  <si>
    <t>J3669</t>
  </si>
  <si>
    <t>Big Stone South - Alexandria 345.0kV</t>
  </si>
  <si>
    <t>J3670</t>
  </si>
  <si>
    <t>Corbin 138 kV</t>
  </si>
  <si>
    <t>J3671</t>
  </si>
  <si>
    <t>4NEOGA 2 - 4SHELBYVL E 138.0kV</t>
  </si>
  <si>
    <t>J3672</t>
  </si>
  <si>
    <t>J3673</t>
  </si>
  <si>
    <t>J3674</t>
  </si>
  <si>
    <t>4NEWTON   - 4WISEMAN 138.0kV</t>
  </si>
  <si>
    <t>J3675</t>
  </si>
  <si>
    <t>SEDGEWICK SS - AECC LIGHT 115.0kV</t>
  </si>
  <si>
    <t>J3676</t>
  </si>
  <si>
    <t>Gaylord - Atlanta 138.0kV</t>
  </si>
  <si>
    <t>J3677</t>
  </si>
  <si>
    <t>J3678</t>
  </si>
  <si>
    <t>J3679</t>
  </si>
  <si>
    <t>BABCOCK - STILLWELL 345.0kV</t>
  </si>
  <si>
    <t>J3680</t>
  </si>
  <si>
    <t>PELAHATCHIE</t>
  </si>
  <si>
    <t>J3681</t>
  </si>
  <si>
    <t>J3682</t>
  </si>
  <si>
    <t>FOUR MILE - WHITE ROAD 138.0kV</t>
  </si>
  <si>
    <t>J3683</t>
  </si>
  <si>
    <t>4BALLARD - 4MEREDOSA 138.0kV</t>
  </si>
  <si>
    <t>J3684</t>
  </si>
  <si>
    <t>4JACK_IND N - 4YATES  138.0kV</t>
  </si>
  <si>
    <t>J3685</t>
  </si>
  <si>
    <t>4HULL     - 4MEPPEN T 138.0kV</t>
  </si>
  <si>
    <t>J3686</t>
  </si>
  <si>
    <t>4AUSTIN - 4TAYLORVL 138.0kV</t>
  </si>
  <si>
    <t>J3687</t>
  </si>
  <si>
    <t>4OTEGO - 4KINMUNDY 138.0kV</t>
  </si>
  <si>
    <t>J3688</t>
  </si>
  <si>
    <t>Luse Road Substation</t>
  </si>
  <si>
    <t>J3689</t>
  </si>
  <si>
    <t>J3690</t>
  </si>
  <si>
    <t>J3691</t>
  </si>
  <si>
    <t>J3692</t>
  </si>
  <si>
    <t>J3693</t>
  </si>
  <si>
    <t>BURR OAK - LEESBURG 345.0kV</t>
  </si>
  <si>
    <t>J3694</t>
  </si>
  <si>
    <t>J3695</t>
  </si>
  <si>
    <t>7CASEY - 7SNYDER  345.0kV</t>
  </si>
  <si>
    <t>J3696</t>
  </si>
  <si>
    <t>NELSON ROAD - VERGENNES 345.0kV</t>
  </si>
  <si>
    <t>J3697</t>
  </si>
  <si>
    <t>J3698</t>
  </si>
  <si>
    <t>HIGGINS - MIO DAM 138.0kV</t>
  </si>
  <si>
    <t>J3699</t>
  </si>
  <si>
    <t>SUB 39 - OAK GROVE 345.0kV</t>
  </si>
  <si>
    <t>J3700</t>
  </si>
  <si>
    <t>J3701</t>
  </si>
  <si>
    <t>J3702</t>
  </si>
  <si>
    <t>Mitchell</t>
  </si>
  <si>
    <t>ADAMS</t>
  </si>
  <si>
    <t>J3703</t>
  </si>
  <si>
    <t>Blackberry 230/115kV</t>
  </si>
  <si>
    <t>J3704</t>
  </si>
  <si>
    <t>J3705</t>
  </si>
  <si>
    <t>J3706</t>
  </si>
  <si>
    <t>J3707</t>
  </si>
  <si>
    <t>J3708</t>
  </si>
  <si>
    <t>LEGEND</t>
  </si>
  <si>
    <t>J3709</t>
  </si>
  <si>
    <t>Georgetown</t>
  </si>
  <si>
    <t>J3710</t>
  </si>
  <si>
    <t>Jersey</t>
  </si>
  <si>
    <t>Jerseyville Northwest</t>
  </si>
  <si>
    <t>J3711</t>
  </si>
  <si>
    <t>J3712</t>
  </si>
  <si>
    <t>J3713</t>
  </si>
  <si>
    <t>Wapello</t>
  </si>
  <si>
    <t>Ottumwa Generation - Woody 161kV</t>
  </si>
  <si>
    <t>J3714</t>
  </si>
  <si>
    <t>Homewood 69 - Lake 69.0kV</t>
  </si>
  <si>
    <t>J3715</t>
  </si>
  <si>
    <t>J3716</t>
  </si>
  <si>
    <t>J3717</t>
  </si>
  <si>
    <t>Yalobusha</t>
  </si>
  <si>
    <t>ENID - TILLATOBA 230.0kV</t>
  </si>
  <si>
    <t>J3718</t>
  </si>
  <si>
    <t>Roodhouse West</t>
  </si>
  <si>
    <t>J3719</t>
  </si>
  <si>
    <t>J3720</t>
  </si>
  <si>
    <t>5SPALDNG (AECI) - 5PENOCRK  161.0kV</t>
  </si>
  <si>
    <t>J3721</t>
  </si>
  <si>
    <t>Culley - Dubois 138.0kV</t>
  </si>
  <si>
    <t>J3722</t>
  </si>
  <si>
    <t>J3723</t>
  </si>
  <si>
    <t>J3724</t>
  </si>
  <si>
    <t>Sandford</t>
  </si>
  <si>
    <t>J3725</t>
  </si>
  <si>
    <t>SUB 93 LOUISA - SUB T HASKINS 345.0kV</t>
  </si>
  <si>
    <t>J3726</t>
  </si>
  <si>
    <t>Skillman</t>
  </si>
  <si>
    <t>J3727</t>
  </si>
  <si>
    <t>J3728</t>
  </si>
  <si>
    <t>Ameren E. West Frankfort - Franklin 138.0kV</t>
  </si>
  <si>
    <t>J3729</t>
  </si>
  <si>
    <t>Benton Northwest</t>
  </si>
  <si>
    <t>J3730</t>
  </si>
  <si>
    <t>MORO 345 kV Substation</t>
  </si>
  <si>
    <t>J3731</t>
  </si>
  <si>
    <t>Edwardsport  - Vincennes 138.0kV</t>
  </si>
  <si>
    <t>J3732</t>
  </si>
  <si>
    <t>Niles 138 kV (J1208/J1209) to be built near existing Harco Tap</t>
  </si>
  <si>
    <t>J3733</t>
  </si>
  <si>
    <t>Oakland City  - Old Ben Coal 138.0kV</t>
  </si>
  <si>
    <t>J3734</t>
  </si>
  <si>
    <t>STRATFORD</t>
  </si>
  <si>
    <t>J3735</t>
  </si>
  <si>
    <t>BEVERIDGE 138kV</t>
  </si>
  <si>
    <t>J3736</t>
  </si>
  <si>
    <t>Osage</t>
  </si>
  <si>
    <t>LOOSE CREEK</t>
  </si>
  <si>
    <t>J3737</t>
  </si>
  <si>
    <t>HASTINGS</t>
  </si>
  <si>
    <t>J3738</t>
  </si>
  <si>
    <t>Gueydan Entergy Power Station 69kV</t>
  </si>
  <si>
    <t>J3739</t>
  </si>
  <si>
    <t>138kV Line Tap Between Galesburg Monmouth Boulevard (BUS 348956) and Castro JCT (BUS 348917). Distan</t>
  </si>
  <si>
    <t>J3740</t>
  </si>
  <si>
    <t>J3741</t>
  </si>
  <si>
    <t>WOODWARD 115 SUB - RISON 115.0kV</t>
  </si>
  <si>
    <t>J3742</t>
  </si>
  <si>
    <t>Otter Tail</t>
  </si>
  <si>
    <t>Wahpeton - Fergus Falls 230.0kV</t>
  </si>
  <si>
    <t>J3743</t>
  </si>
  <si>
    <t>ARROWHEAD</t>
  </si>
  <si>
    <t>J3744</t>
  </si>
  <si>
    <t>MICHIGAN POWER - PEREMARQUETTE 138.0kV</t>
  </si>
  <si>
    <t>J3745</t>
  </si>
  <si>
    <t>Dearborn</t>
  </si>
  <si>
    <t>Sunman Weisburg</t>
  </si>
  <si>
    <t>J3746</t>
  </si>
  <si>
    <t>Rodemacher - Sherwood 230.0kV</t>
  </si>
  <si>
    <t>J3747</t>
  </si>
  <si>
    <t>WHITE BLUFF EHV - KEO EHV 500.0kV</t>
  </si>
  <si>
    <t>J3748</t>
  </si>
  <si>
    <t>Gerald Andrus 230 kV</t>
  </si>
  <si>
    <t>J3749</t>
  </si>
  <si>
    <t>LYON COUNTY</t>
  </si>
  <si>
    <t>J3750</t>
  </si>
  <si>
    <t>OAK GROVE - SANDBURG (AMRN) 345.0kV</t>
  </si>
  <si>
    <t>J3751</t>
  </si>
  <si>
    <t>7COFFEEN  - 7ROXFORD  345.0kV</t>
  </si>
  <si>
    <t>J3752</t>
  </si>
  <si>
    <t>Aitkin</t>
  </si>
  <si>
    <t>Cromwell (GRE) - Riverton 115kV</t>
  </si>
  <si>
    <t>J3753</t>
  </si>
  <si>
    <t>J3754</t>
  </si>
  <si>
    <t>J3755</t>
  </si>
  <si>
    <t>J3756</t>
  </si>
  <si>
    <t>J3757</t>
  </si>
  <si>
    <t>Salem 161kv</t>
  </si>
  <si>
    <t>J3758</t>
  </si>
  <si>
    <t>J3759</t>
  </si>
  <si>
    <t>Newton Switchyard</t>
  </si>
  <si>
    <t>J3760</t>
  </si>
  <si>
    <t>J3761</t>
  </si>
  <si>
    <t>J3762</t>
  </si>
  <si>
    <t>ALEXANDRIA - BISON 345.0kV</t>
  </si>
  <si>
    <t>J3763</t>
  </si>
  <si>
    <t>DBGEN GIS</t>
  </si>
  <si>
    <t>J3764</t>
  </si>
  <si>
    <t>Andes Substation 230 kV</t>
  </si>
  <si>
    <t>J3765</t>
  </si>
  <si>
    <t>ST JAMES</t>
  </si>
  <si>
    <t>J3766</t>
  </si>
  <si>
    <t>ROLLING HILLS - PONY CREEK 345.0kV</t>
  </si>
  <si>
    <t>J3767</t>
  </si>
  <si>
    <t>ECKERTY - BUECHLER 69.0kV</t>
  </si>
  <si>
    <t>J3768</t>
  </si>
  <si>
    <t>ROCKY CREEK</t>
  </si>
  <si>
    <t>J3769</t>
  </si>
  <si>
    <t>MURPHY - NELSON ROAD 345.0kV</t>
  </si>
  <si>
    <t>J3770</t>
  </si>
  <si>
    <t>The Baldwin 345kV substation found in the drop down. But please note the POI is same as J1202. The p</t>
  </si>
  <si>
    <t>J3771</t>
  </si>
  <si>
    <t>J3772</t>
  </si>
  <si>
    <t>BATESVILLE [MS] - MARKS 115.0kV</t>
  </si>
  <si>
    <t>J3773</t>
  </si>
  <si>
    <t>MONTICELLO EAST - REED SS 115.0kV</t>
  </si>
  <si>
    <t>J3774</t>
  </si>
  <si>
    <t>J3775</t>
  </si>
  <si>
    <t>J3776</t>
  </si>
  <si>
    <t>TittabawASSEe</t>
  </si>
  <si>
    <t>J3777</t>
  </si>
  <si>
    <t>MC GULPIN - RIGGSVILLE (MILL CREEK) 138.0kV</t>
  </si>
  <si>
    <t>J3778</t>
  </si>
  <si>
    <t>Fergus Falls MRES/WMMPA</t>
  </si>
  <si>
    <t>J3779</t>
  </si>
  <si>
    <t>J3780</t>
  </si>
  <si>
    <t>Hazleton</t>
  </si>
  <si>
    <t>J3781</t>
  </si>
  <si>
    <t>HEBERT (SLEMCO) - HENNING 138.0kV</t>
  </si>
  <si>
    <t>J3782</t>
  </si>
  <si>
    <t>18MURPHY</t>
  </si>
  <si>
    <t>J3783</t>
  </si>
  <si>
    <t>J3784</t>
  </si>
  <si>
    <t>Ozaukee</t>
  </si>
  <si>
    <t>Saukville (Cedarsauk)</t>
  </si>
  <si>
    <t>J3785</t>
  </si>
  <si>
    <t>Pleasant Prairie</t>
  </si>
  <si>
    <t>J3786</t>
  </si>
  <si>
    <t>Coventry 230kV</t>
  </si>
  <si>
    <t>J3787</t>
  </si>
  <si>
    <t>Jamestown 345 kV Substation</t>
  </si>
  <si>
    <t>J3788</t>
  </si>
  <si>
    <t>AECC GRAPEVINE - CARTHAGE (AR) 115.0kV</t>
  </si>
  <si>
    <t>J3789</t>
  </si>
  <si>
    <t>FOUNTAINTOWN</t>
  </si>
  <si>
    <t>J3790</t>
  </si>
  <si>
    <t>MARIANNA - WEST HELENA 115.0kV</t>
  </si>
  <si>
    <t>J3791</t>
  </si>
  <si>
    <t>Caledonia</t>
  </si>
  <si>
    <t>J3792</t>
  </si>
  <si>
    <t>ALMA - VESTABURG 138.0kV</t>
  </si>
  <si>
    <t>J3793</t>
  </si>
  <si>
    <t>East Leesville - Rodemacher 230.0kV</t>
  </si>
  <si>
    <t>J3794</t>
  </si>
  <si>
    <t>Daviess County - Utica 69.0kV</t>
  </si>
  <si>
    <t>J3795</t>
  </si>
  <si>
    <t>7FABIUS - 7MAYWOOD 345.0kV</t>
  </si>
  <si>
    <t>J3796</t>
  </si>
  <si>
    <t>NELSON 230 SWYD</t>
  </si>
  <si>
    <t>J3797</t>
  </si>
  <si>
    <t>J3798</t>
  </si>
  <si>
    <t>Bison - Colby 345kV</t>
  </si>
  <si>
    <t>J3799</t>
  </si>
  <si>
    <t>J3800</t>
  </si>
  <si>
    <t>Silver River</t>
  </si>
  <si>
    <t>J3801</t>
  </si>
  <si>
    <t>J3802</t>
  </si>
  <si>
    <t>J3803</t>
  </si>
  <si>
    <t>LEMOYNE - MAJESTIC 345.0kV</t>
  </si>
  <si>
    <t>J3804</t>
  </si>
  <si>
    <t>J3805</t>
  </si>
  <si>
    <t>Coffeen North-Ramsey East-4557</t>
  </si>
  <si>
    <t>J3806</t>
  </si>
  <si>
    <t>STEINER (CE) - SHAW SS (CE) 115.0kV</t>
  </si>
  <si>
    <t>J3807</t>
  </si>
  <si>
    <t>J3808</t>
  </si>
  <si>
    <t>IRVINGTON - WEBSTER 345.0kV</t>
  </si>
  <si>
    <t>J3809</t>
  </si>
  <si>
    <t>J3810</t>
  </si>
  <si>
    <t>J3811</t>
  </si>
  <si>
    <t>J3812</t>
  </si>
  <si>
    <t>BALD KNOB T.E.T.C. P.S. #6 SS - AECC COFFEEVILLE 161.0kV</t>
  </si>
  <si>
    <t>J3813</t>
  </si>
  <si>
    <t>J3814</t>
  </si>
  <si>
    <t>J3815</t>
  </si>
  <si>
    <t>Waterford 3 SWYD</t>
  </si>
  <si>
    <t>Nuclear</t>
  </si>
  <si>
    <t>J3816</t>
  </si>
  <si>
    <t>BULLOCK - SAGINAW RIVER 138.0kV</t>
  </si>
  <si>
    <t>J3817</t>
  </si>
  <si>
    <t>J3818</t>
  </si>
  <si>
    <t>J3819</t>
  </si>
  <si>
    <t>CATLETT - TINNIN ROAD 230.0kV</t>
  </si>
  <si>
    <t>J3820</t>
  </si>
  <si>
    <t>LRTP Line</t>
  </si>
  <si>
    <t>J3821</t>
  </si>
  <si>
    <t>RIVTRIN</t>
  </si>
  <si>
    <t>J3822</t>
  </si>
  <si>
    <t>DEVIN - LIVONIA 138.0kV</t>
  </si>
  <si>
    <t>J3823</t>
  </si>
  <si>
    <t>J3824</t>
  </si>
  <si>
    <t>Twin Brooks 345 kV Substation</t>
  </si>
  <si>
    <t>J3825</t>
  </si>
  <si>
    <t>230kV Greenacres Substation</t>
  </si>
  <si>
    <t>J3826</t>
  </si>
  <si>
    <t>3Pickens</t>
  </si>
  <si>
    <t>J3827</t>
  </si>
  <si>
    <t>Mackinac</t>
  </si>
  <si>
    <t>Indian Lake - Hiawatha 138.0kV</t>
  </si>
  <si>
    <t>J3828</t>
  </si>
  <si>
    <t>J3829</t>
  </si>
  <si>
    <t>ETTA</t>
  </si>
  <si>
    <t>J3830</t>
  </si>
  <si>
    <t>J3831</t>
  </si>
  <si>
    <t>Noblesville (Duke) - Fall Creek (AEP/PJM) 345.0kV</t>
  </si>
  <si>
    <t>J3832</t>
  </si>
  <si>
    <t>Lenox 120kV Substation (Bus #264749)</t>
  </si>
  <si>
    <t>J3833</t>
  </si>
  <si>
    <t>Buffalo 115 kV</t>
  </si>
  <si>
    <t>J3834</t>
  </si>
  <si>
    <t>Gibson Sta - Francisco 345.0kV</t>
  </si>
  <si>
    <t>J3835</t>
  </si>
  <si>
    <t>J3836</t>
  </si>
  <si>
    <t>ONEIDA</t>
  </si>
  <si>
    <t>J3837</t>
  </si>
  <si>
    <t>J3838</t>
  </si>
  <si>
    <t>DELHI - TOMPKINS 138.0kV</t>
  </si>
  <si>
    <t>J3839</t>
  </si>
  <si>
    <t>MARION SS (LAGEN) - HUTTIG SS 115.0kV</t>
  </si>
  <si>
    <t>J3840</t>
  </si>
  <si>
    <t>Wells</t>
  </si>
  <si>
    <t>J3841</t>
  </si>
  <si>
    <t>Smalling 230kV Substation</t>
  </si>
  <si>
    <t>J3842</t>
  </si>
  <si>
    <t>J3843</t>
  </si>
  <si>
    <t>GOSS - SLATE 345.0kV</t>
  </si>
  <si>
    <t>J3844</t>
  </si>
  <si>
    <t>BATAVIA - MORROW  138.0kV</t>
  </si>
  <si>
    <t>J3845</t>
  </si>
  <si>
    <t>BROWNSTOWN - ENRICO FERMI #3 345.0kV</t>
  </si>
  <si>
    <t>J3846</t>
  </si>
  <si>
    <t>J3847</t>
  </si>
  <si>
    <t>Walton Shell Substation 138KV</t>
  </si>
  <si>
    <t>J3848</t>
  </si>
  <si>
    <t>Wabaco</t>
  </si>
  <si>
    <t>J3849</t>
  </si>
  <si>
    <t>J3850</t>
  </si>
  <si>
    <t>ROCK CREEK</t>
  </si>
  <si>
    <t>J3851</t>
  </si>
  <si>
    <t>Macomb West</t>
  </si>
  <si>
    <t>J3852</t>
  </si>
  <si>
    <t>KIRK</t>
  </si>
  <si>
    <t>J3853</t>
  </si>
  <si>
    <t>J3854</t>
  </si>
  <si>
    <t>J3855</t>
  </si>
  <si>
    <t>CANTON - PICKENS 230.0kV</t>
  </si>
  <si>
    <t>J3856</t>
  </si>
  <si>
    <t>J3857</t>
  </si>
  <si>
    <t>Iosco</t>
  </si>
  <si>
    <t>ALCONA - WHITTEMORE 138.0kV</t>
  </si>
  <si>
    <t>J3858</t>
  </si>
  <si>
    <t>Madrid Substation 120 kV - Bus number 265650</t>
  </si>
  <si>
    <t>J3859</t>
  </si>
  <si>
    <t>J3860</t>
  </si>
  <si>
    <t>J3861</t>
  </si>
  <si>
    <t>WAGNER</t>
  </si>
  <si>
    <t>J3862</t>
  </si>
  <si>
    <t>Astoria - Deuel County 345.0kV</t>
  </si>
  <si>
    <t>J3863</t>
  </si>
  <si>
    <t>Boswell 230 - Blackberry 230kV</t>
  </si>
  <si>
    <t>J3864</t>
  </si>
  <si>
    <t>GOSS - THETFORD 345.0kV</t>
  </si>
  <si>
    <t>J3865</t>
  </si>
  <si>
    <t>J3866</t>
  </si>
  <si>
    <t>BENNET - GREENWOOD 120.0kV</t>
  </si>
  <si>
    <t>J3867</t>
  </si>
  <si>
    <t>Watseka</t>
  </si>
  <si>
    <t>J3868</t>
  </si>
  <si>
    <t>Sharp</t>
  </si>
  <si>
    <t>CAVE CITY</t>
  </si>
  <si>
    <t>J3869</t>
  </si>
  <si>
    <t>5PIKE 1 - 5CALUMET 161.0kV</t>
  </si>
  <si>
    <t>J3870</t>
  </si>
  <si>
    <t>SUGAR CREEK</t>
  </si>
  <si>
    <t>J3871</t>
  </si>
  <si>
    <t>WATERFORD 500 SS</t>
  </si>
  <si>
    <t>J3872</t>
  </si>
  <si>
    <t>RIVER ROUGE</t>
  </si>
  <si>
    <t>J3873</t>
  </si>
  <si>
    <t>Owensville Primary</t>
  </si>
  <si>
    <t>J3874</t>
  </si>
  <si>
    <t>White Bluff EHV</t>
  </si>
  <si>
    <t>J3875</t>
  </si>
  <si>
    <t>J3876</t>
  </si>
  <si>
    <t>J3877</t>
  </si>
  <si>
    <t>J3878</t>
  </si>
  <si>
    <t>J3879</t>
  </si>
  <si>
    <t>Cayuga  - Hillsdale North 230.0kV</t>
  </si>
  <si>
    <t>J3880</t>
  </si>
  <si>
    <t>7NEWTON   - 7TANNER    345.0kV</t>
  </si>
  <si>
    <t>J3881</t>
  </si>
  <si>
    <t>J3882</t>
  </si>
  <si>
    <t>4HUTSONVL - 4HEATH 138.0kV</t>
  </si>
  <si>
    <t>J3883</t>
  </si>
  <si>
    <t>J3884</t>
  </si>
  <si>
    <t>BENTON COUNTY 345 - START DBL CKT W/EW LINE 345.0kV</t>
  </si>
  <si>
    <t>J3885</t>
  </si>
  <si>
    <t>STERLINGTON 115 SWYD - AECC MERIDIAN 115.0kV</t>
  </si>
  <si>
    <t>J3886</t>
  </si>
  <si>
    <t>J3887</t>
  </si>
  <si>
    <t>J3888</t>
  </si>
  <si>
    <t>J3889</t>
  </si>
  <si>
    <t>J3891</t>
  </si>
  <si>
    <t>ATKINS</t>
  </si>
  <si>
    <t>J3892</t>
  </si>
  <si>
    <t>343506 Eastdale</t>
  </si>
  <si>
    <t>J3893</t>
  </si>
  <si>
    <t>J3894</t>
  </si>
  <si>
    <t>Lyon County - Brookings County 345.0kV</t>
  </si>
  <si>
    <t>J3895</t>
  </si>
  <si>
    <t>J3896</t>
  </si>
  <si>
    <t>J3897</t>
  </si>
  <si>
    <t>J3898</t>
  </si>
  <si>
    <t>MITCHELL COUNTY (ITCM) - HAZLETON (ITCM) 345.0kV</t>
  </si>
  <si>
    <t>J3899</t>
  </si>
  <si>
    <t>J3900</t>
  </si>
  <si>
    <t>J3901</t>
  </si>
  <si>
    <t>4MATOONW S - 4NEOGA 3 138.0kV</t>
  </si>
  <si>
    <t>J3902</t>
  </si>
  <si>
    <t>STOWELL</t>
  </si>
  <si>
    <t>J3903</t>
  </si>
  <si>
    <t>North Austin - Adams (ITC) 161.0kV</t>
  </si>
  <si>
    <t>J3904</t>
  </si>
  <si>
    <t>J3905</t>
  </si>
  <si>
    <t>J3906</t>
  </si>
  <si>
    <t>J3907</t>
  </si>
  <si>
    <t>4BUREAU - 4EKEWANEE N 138.0kV</t>
  </si>
  <si>
    <t>J3908</t>
  </si>
  <si>
    <t>DPP-2026</t>
  </si>
  <si>
    <t>J3909</t>
  </si>
  <si>
    <t>J3910</t>
  </si>
  <si>
    <t>J3911</t>
  </si>
  <si>
    <t>J3912</t>
  </si>
  <si>
    <t>Red Cedar - Wheaton 56 161.0kV</t>
  </si>
  <si>
    <t>J3913</t>
  </si>
  <si>
    <t>J3914</t>
  </si>
  <si>
    <t>COMPTON CO</t>
  </si>
  <si>
    <t>J3915</t>
  </si>
  <si>
    <t>J3916</t>
  </si>
  <si>
    <t>4HARCO    - 4MUDDY    138.0kV</t>
  </si>
  <si>
    <t>J3917</t>
  </si>
  <si>
    <t>SPRINGHILL - TAYLOR 115.0kV</t>
  </si>
  <si>
    <t>J3918</t>
  </si>
  <si>
    <t>J3919</t>
  </si>
  <si>
    <t>J3920</t>
  </si>
  <si>
    <t>J3921</t>
  </si>
  <si>
    <t>BONDURANT - MONTEZUMA 345.0kV</t>
  </si>
  <si>
    <t>J3922</t>
  </si>
  <si>
    <t>J3923</t>
  </si>
  <si>
    <t>Majestic-Milan 345 kV Line</t>
  </si>
  <si>
    <t>J3924</t>
  </si>
  <si>
    <t>J3925</t>
  </si>
  <si>
    <t>J3926</t>
  </si>
  <si>
    <t>Grimes - Lehigh 345kV</t>
  </si>
  <si>
    <t>J3927</t>
  </si>
  <si>
    <t>SHEBOYGAN FALLS STATION 138 KV</t>
  </si>
  <si>
    <t>J3928</t>
  </si>
  <si>
    <t>TITTABAWASSEE 345kV- GALLEGHER 345kV</t>
  </si>
  <si>
    <t>J3929</t>
  </si>
  <si>
    <t>J3930</t>
  </si>
  <si>
    <t>Morbihan</t>
  </si>
  <si>
    <t>J3931</t>
  </si>
  <si>
    <t>J3932</t>
  </si>
  <si>
    <t>Duane Arnold 161 kV</t>
  </si>
  <si>
    <t>J3933</t>
  </si>
  <si>
    <t>Killdeer - Quinn 345kV</t>
  </si>
  <si>
    <t>J3934</t>
  </si>
  <si>
    <t>Blue Lake - MCLEOD (GRE) 230.0kV</t>
  </si>
  <si>
    <t>J3935</t>
  </si>
  <si>
    <t>J3936</t>
  </si>
  <si>
    <t>PARIS 345kV Substation</t>
  </si>
  <si>
    <t>J3937</t>
  </si>
  <si>
    <t>J3938</t>
  </si>
  <si>
    <t>BURR OAK - EAST WINAMAC 138.0 kV</t>
  </si>
  <si>
    <t>J3939</t>
  </si>
  <si>
    <t>COLE to PENTON 230.0 kV</t>
  </si>
  <si>
    <t>J3940</t>
  </si>
  <si>
    <t>SALT RIVER - WARREN 138.0kV</t>
  </si>
  <si>
    <t>J3941</t>
  </si>
  <si>
    <t>J3942</t>
  </si>
  <si>
    <t>J3943</t>
  </si>
  <si>
    <t>J3944</t>
  </si>
  <si>
    <t>4BUREAU - 4PRN_MUNI TP 138.0kV</t>
  </si>
  <si>
    <t>J3945</t>
  </si>
  <si>
    <t>J3946</t>
  </si>
  <si>
    <t>J3947</t>
  </si>
  <si>
    <t>J3948</t>
  </si>
  <si>
    <t>J3949</t>
  </si>
  <si>
    <t>7MEREDOSIA - 7TURNER 345.0kV</t>
  </si>
  <si>
    <t>J3950</t>
  </si>
  <si>
    <t>J3951</t>
  </si>
  <si>
    <t>J3952</t>
  </si>
  <si>
    <t>J3953</t>
  </si>
  <si>
    <t>BONO - GREENBRIER 161.0kV</t>
  </si>
  <si>
    <t>J3954</t>
  </si>
  <si>
    <t>7AUSTIN - 7PANA 345.0kV</t>
  </si>
  <si>
    <t>J3955</t>
  </si>
  <si>
    <t>Lac qui Parle</t>
  </si>
  <si>
    <t>Big Stone South - Deuel County 345.0kV</t>
  </si>
  <si>
    <t>J3956</t>
  </si>
  <si>
    <t>Hankinson 230 kV Substation</t>
  </si>
  <si>
    <t>J3957</t>
  </si>
  <si>
    <t>J3958</t>
  </si>
  <si>
    <t>J3959</t>
  </si>
  <si>
    <t>Grundy</t>
  </si>
  <si>
    <t>J3960</t>
  </si>
  <si>
    <t>J3961</t>
  </si>
  <si>
    <t>YANKEE</t>
  </si>
  <si>
    <t>J3962</t>
  </si>
  <si>
    <t>BAUER - HAMPTON 1 345.0kV</t>
  </si>
  <si>
    <t>J3963</t>
  </si>
  <si>
    <t>J3964</t>
  </si>
  <si>
    <t>Split Rock - White (WAPA) 345.0kV</t>
  </si>
  <si>
    <t>J3965</t>
  </si>
  <si>
    <t>7LATHAM - KINCAID  ; B 345.0kV</t>
  </si>
  <si>
    <t>J3966</t>
  </si>
  <si>
    <t>J3967</t>
  </si>
  <si>
    <t>MINDEN</t>
  </si>
  <si>
    <t>J3968</t>
  </si>
  <si>
    <t>J3969</t>
  </si>
  <si>
    <t>HARRISBURG</t>
  </si>
  <si>
    <t>J3970</t>
  </si>
  <si>
    <t>J3971</t>
  </si>
  <si>
    <t>STEIN</t>
  </si>
  <si>
    <t>J3972</t>
  </si>
  <si>
    <t>CHINA - STOWELL 230.0kV</t>
  </si>
  <si>
    <t>J3973</t>
  </si>
  <si>
    <t>J3974</t>
  </si>
  <si>
    <t>J3975</t>
  </si>
  <si>
    <t>Rusk</t>
  </si>
  <si>
    <t>J3976</t>
  </si>
  <si>
    <t>7COFFEN N - 7RAMSEY   345.0kV</t>
  </si>
  <si>
    <t>J3977</t>
  </si>
  <si>
    <t>J3978</t>
  </si>
  <si>
    <t>J3979</t>
  </si>
  <si>
    <t>J3980</t>
  </si>
  <si>
    <t>J3981</t>
  </si>
  <si>
    <t>J3982</t>
  </si>
  <si>
    <t>J3983</t>
  </si>
  <si>
    <t>MACKEY</t>
  </si>
  <si>
    <t>J3984</t>
  </si>
  <si>
    <t>J3985</t>
  </si>
  <si>
    <t>SAM HOUSTON ELECTRIC COOPERATIVE, INC.</t>
  </si>
  <si>
    <t>SHECO/ETEC, BUS#334130</t>
  </si>
  <si>
    <t>J3986</t>
  </si>
  <si>
    <t>J3987</t>
  </si>
  <si>
    <t>SMITHDALE SS (CE) - LIBERTY 115.0kV</t>
  </si>
  <si>
    <t>J3988</t>
  </si>
  <si>
    <t>NORTH BASTROP TAP - LOG CABIN (LAGEN) 115.0kV</t>
  </si>
  <si>
    <t>J3989</t>
  </si>
  <si>
    <t>Marion North</t>
  </si>
  <si>
    <t>J3990</t>
  </si>
  <si>
    <t>J3991</t>
  </si>
  <si>
    <t>J3992</t>
  </si>
  <si>
    <t>J3993</t>
  </si>
  <si>
    <t>Geff</t>
  </si>
  <si>
    <t>J3994</t>
  </si>
  <si>
    <t>18MOROCCO 256583</t>
  </si>
  <si>
    <t>J3995</t>
  </si>
  <si>
    <t>J3996</t>
  </si>
  <si>
    <t>SIOUX</t>
  </si>
  <si>
    <t>J3997</t>
  </si>
  <si>
    <t>Gibson Sta  - Petersburg - (IP&amp;L) 345.0kV</t>
  </si>
  <si>
    <t>J3998</t>
  </si>
  <si>
    <t>J3999</t>
  </si>
  <si>
    <t>J4000</t>
  </si>
  <si>
    <t>J4001</t>
  </si>
  <si>
    <t>7MAYWOOD - 7PALMYRA  345.0kV</t>
  </si>
  <si>
    <t>J4002</t>
  </si>
  <si>
    <t>J4003</t>
  </si>
  <si>
    <t>7KANSAS - 08SUGCRK 345.0kV</t>
  </si>
  <si>
    <t>J4004</t>
  </si>
  <si>
    <t>J4005</t>
  </si>
  <si>
    <t>J4006</t>
  </si>
  <si>
    <t>Ringgold</t>
  </si>
  <si>
    <t>Orient - Denny 345kV</t>
  </si>
  <si>
    <t>J4007</t>
  </si>
  <si>
    <t>J4008</t>
  </si>
  <si>
    <t>Greensboro  -  New Castle 138 138.0kV</t>
  </si>
  <si>
    <t>J4009</t>
  </si>
  <si>
    <t>Viking - Karlstad 115.0kV</t>
  </si>
  <si>
    <t>J4010</t>
  </si>
  <si>
    <t>Clinton 345kV Substation</t>
  </si>
  <si>
    <t>J4011</t>
  </si>
  <si>
    <t>Miller</t>
  </si>
  <si>
    <t>AECC LEWISVILLE WEST</t>
  </si>
  <si>
    <t>J4012</t>
  </si>
  <si>
    <t>J4014</t>
  </si>
  <si>
    <t>Forest Junction</t>
  </si>
  <si>
    <t>J4015</t>
  </si>
  <si>
    <t>J4016</t>
  </si>
  <si>
    <t>ATLANTA - THETFORD [KARN] 138.0kV</t>
  </si>
  <si>
    <t>J4017</t>
  </si>
  <si>
    <t>Blue Earth</t>
  </si>
  <si>
    <t>Wilmarth - Fieldon 345.0kV</t>
  </si>
  <si>
    <t>J4018</t>
  </si>
  <si>
    <t>J4019</t>
  </si>
  <si>
    <t>J4020</t>
  </si>
  <si>
    <t>J4021</t>
  </si>
  <si>
    <t>J4022</t>
  </si>
  <si>
    <t>STERLINGTON 500 SWYD</t>
  </si>
  <si>
    <t>J4023</t>
  </si>
  <si>
    <t>J4024</t>
  </si>
  <si>
    <t>J4025</t>
  </si>
  <si>
    <t>J4026</t>
  </si>
  <si>
    <t>J4027</t>
  </si>
  <si>
    <t>AECC MCDOUGAL - TEXAS EASTERN STA 8 161.0kV</t>
  </si>
  <si>
    <t>J4028</t>
  </si>
  <si>
    <t>North Creek 138kV</t>
  </si>
  <si>
    <t>J4029</t>
  </si>
  <si>
    <t>Hybar 230kV</t>
  </si>
  <si>
    <t>J4030</t>
  </si>
  <si>
    <t>MAYFLOWER115KV</t>
  </si>
  <si>
    <t>J4031</t>
  </si>
  <si>
    <t>J4032</t>
  </si>
  <si>
    <t>Astoria - Brookings County 345.0kV</t>
  </si>
  <si>
    <t>J4033</t>
  </si>
  <si>
    <t>J4034</t>
  </si>
  <si>
    <t>Sandford 345 kV</t>
  </si>
  <si>
    <t>J4035</t>
  </si>
  <si>
    <t>J4036</t>
  </si>
  <si>
    <t>WYNNE INDUSTRIAL</t>
  </si>
  <si>
    <t>J4037</t>
  </si>
  <si>
    <t>FRANKLIN - WALL LAKE 161.0kV</t>
  </si>
  <si>
    <t>J4038</t>
  </si>
  <si>
    <t>BRINKLEY EAST - AECC PALESTINE 161.0kV</t>
  </si>
  <si>
    <t>J4039</t>
  </si>
  <si>
    <t>J4040</t>
  </si>
  <si>
    <t>Palisades Switchyard</t>
  </si>
  <si>
    <t>J4041</t>
  </si>
  <si>
    <t>J4043</t>
  </si>
  <si>
    <t>Oneida</t>
  </si>
  <si>
    <t>J4044</t>
  </si>
  <si>
    <t>BEECHER - SEEMLESS EAST 138.0kV</t>
  </si>
  <si>
    <t>J4046</t>
  </si>
  <si>
    <t>CONEHOMA CREEK - CARTHAGE (MS) 115.0kV</t>
  </si>
  <si>
    <t>J4047</t>
  </si>
  <si>
    <t>J4048</t>
  </si>
  <si>
    <t>MEYER - LUDINGTON 345.0kV</t>
  </si>
  <si>
    <t>J4049</t>
  </si>
  <si>
    <t>RILLA</t>
  </si>
  <si>
    <t>J4050</t>
  </si>
  <si>
    <t>J4051</t>
  </si>
  <si>
    <t>J4052</t>
  </si>
  <si>
    <t>J4053</t>
  </si>
  <si>
    <t>J4054</t>
  </si>
  <si>
    <t>CLAREMONT - LAYTON 138.0kV</t>
  </si>
  <si>
    <t>J4055</t>
  </si>
  <si>
    <t>J4056</t>
  </si>
  <si>
    <t>THE MUNICIPAL ELECTRIC UTILITY OF THE CITY OF CEDAR FALLS, IOWA</t>
  </si>
  <si>
    <t>Lehigh - Marshalltown (Twinkle) 345kV</t>
  </si>
  <si>
    <t>J4057</t>
  </si>
  <si>
    <t>J4058</t>
  </si>
  <si>
    <t>WYATT</t>
  </si>
  <si>
    <t>J4059</t>
  </si>
  <si>
    <t>J4060</t>
  </si>
  <si>
    <t>J4061</t>
  </si>
  <si>
    <t>KNOWLES - MOORE ROAD 138.0kV</t>
  </si>
  <si>
    <t>J4062</t>
  </si>
  <si>
    <t>0MW GIA</t>
  </si>
  <si>
    <t>NA</t>
  </si>
  <si>
    <t>Rhodair</t>
  </si>
  <si>
    <t>J4063</t>
  </si>
  <si>
    <t>J4064</t>
  </si>
  <si>
    <t>WEBB</t>
  </si>
  <si>
    <t>J4065</t>
  </si>
  <si>
    <t>Nininger 115 kV</t>
  </si>
  <si>
    <t>J4066</t>
  </si>
  <si>
    <t>Weidman - Deerfield 69.0kV</t>
  </si>
  <si>
    <t>J4067</t>
  </si>
  <si>
    <t>Batesville</t>
  </si>
  <si>
    <t>J4068</t>
  </si>
  <si>
    <t>J4069</t>
  </si>
  <si>
    <t>Kelly - Ackley 115.0kV</t>
  </si>
  <si>
    <t>J4070</t>
  </si>
  <si>
    <t>Linton NW</t>
  </si>
  <si>
    <t>J4071</t>
  </si>
  <si>
    <t>COLY</t>
  </si>
  <si>
    <t>J4072</t>
  </si>
  <si>
    <t>MINNESOTA MUNICIPAL POWER AGENCY M2PA</t>
  </si>
  <si>
    <t>J4073</t>
  </si>
  <si>
    <t>LULA - JONESTOWN SS 115.0kV</t>
  </si>
  <si>
    <t>J4074</t>
  </si>
  <si>
    <t>TWIST</t>
  </si>
  <si>
    <t>J4075</t>
  </si>
  <si>
    <t>J4076</t>
  </si>
  <si>
    <t>J4077</t>
  </si>
  <si>
    <t>J4078</t>
  </si>
  <si>
    <t>J4079</t>
  </si>
  <si>
    <t>NELSON 230 SWYD - PENTON ROAD (CLECO) 230.0kV</t>
  </si>
  <si>
    <t>J4080</t>
  </si>
  <si>
    <t>J4081</t>
  </si>
  <si>
    <t>Big Stone South 345 kV substation</t>
  </si>
  <si>
    <t>J4082</t>
  </si>
  <si>
    <t>J4083</t>
  </si>
  <si>
    <t>J4084</t>
  </si>
  <si>
    <t>J4085</t>
  </si>
  <si>
    <t>J4086</t>
  </si>
  <si>
    <t>Ottumwa Generation - Tri-County 161kV</t>
  </si>
  <si>
    <t>J4087</t>
  </si>
  <si>
    <t>SOUTH BEND</t>
  </si>
  <si>
    <t>J4088</t>
  </si>
  <si>
    <t>Wheatley 500 kV Switching Station (being built by J1710 &amp; J1820)</t>
  </si>
  <si>
    <t>J4089</t>
  </si>
  <si>
    <t>Hayward</t>
  </si>
  <si>
    <t>J4090</t>
  </si>
  <si>
    <t>Schuyler</t>
  </si>
  <si>
    <t>J4091</t>
  </si>
  <si>
    <t>J4092</t>
  </si>
  <si>
    <t>Deridder - Longville 138.0kV</t>
  </si>
  <si>
    <t>J4093</t>
  </si>
  <si>
    <t>PERE MARQUETTE</t>
  </si>
  <si>
    <t>J4094</t>
  </si>
  <si>
    <t>J4095</t>
  </si>
  <si>
    <t>J4096</t>
  </si>
  <si>
    <t>J4097</t>
  </si>
  <si>
    <t>New J1377 ATC Switching Station</t>
  </si>
  <si>
    <t>J4098</t>
  </si>
  <si>
    <t>Rork - Sellers Road 230.0kV</t>
  </si>
  <si>
    <t>J4099</t>
  </si>
  <si>
    <t>Fox Lake - Jackson North 161kV</t>
  </si>
  <si>
    <t>J4100</t>
  </si>
  <si>
    <t>COLY - WILLOW GLEN 500 SWYD 500.0kV</t>
  </si>
  <si>
    <t>J4101</t>
  </si>
  <si>
    <t>University (UWW)</t>
  </si>
  <si>
    <t>J4102</t>
  </si>
  <si>
    <t>WEEDS LAKE - HIPLE 345.0kV</t>
  </si>
  <si>
    <t>J4103</t>
  </si>
  <si>
    <t>J4104</t>
  </si>
  <si>
    <t>J4105</t>
  </si>
  <si>
    <t>Buffalo 345 kV Substation</t>
  </si>
  <si>
    <t>J4106</t>
  </si>
  <si>
    <t>J4107</t>
  </si>
  <si>
    <t>Southwest Lone Star 161 - Mississippi Hub 161.0kV</t>
  </si>
  <si>
    <t>J4108</t>
  </si>
  <si>
    <t>SAREPTA</t>
  </si>
  <si>
    <t>J4109</t>
  </si>
  <si>
    <t>DONALDSONVILLE - EVERGREEN 230.0kV</t>
  </si>
  <si>
    <t>J4110</t>
  </si>
  <si>
    <t>J4111</t>
  </si>
  <si>
    <t>J4112</t>
  </si>
  <si>
    <t>OAK GROVE - SUB 93 LOUISA 345.0kV</t>
  </si>
  <si>
    <t>J4113</t>
  </si>
  <si>
    <t>J4114</t>
  </si>
  <si>
    <t>J4115</t>
  </si>
  <si>
    <t>J4116</t>
  </si>
  <si>
    <t>Sugar Creek 345 kV</t>
  </si>
  <si>
    <t>J4117</t>
  </si>
  <si>
    <t>North Rochester - Prairie Island 345.0kV</t>
  </si>
  <si>
    <t>J4118</t>
  </si>
  <si>
    <t>Radbourn 345kV (LRTP-41)</t>
  </si>
  <si>
    <t>J4119</t>
  </si>
  <si>
    <t>Rankin</t>
  </si>
  <si>
    <t>RANKIN</t>
  </si>
  <si>
    <t>J4120</t>
  </si>
  <si>
    <t>J4121</t>
  </si>
  <si>
    <t>GERALD ANDRUS SES SWYD - INDIANOLA 230/115 SUB 230.0kV</t>
  </si>
  <si>
    <t>J4122</t>
  </si>
  <si>
    <t>Goss</t>
  </si>
  <si>
    <t>J4123</t>
  </si>
  <si>
    <t>J4124</t>
  </si>
  <si>
    <t>MAGNOLIA GROVETON - KICKAPOO (L-111) TAP 138.0kV</t>
  </si>
  <si>
    <t>J4125</t>
  </si>
  <si>
    <t>J4126</t>
  </si>
  <si>
    <t>J4127</t>
  </si>
  <si>
    <t>Ridgeland</t>
  </si>
  <si>
    <t>J4128</t>
  </si>
  <si>
    <t>Clinton Interconnection</t>
  </si>
  <si>
    <t>J4129</t>
  </si>
  <si>
    <t>J4130</t>
  </si>
  <si>
    <t>Pepin</t>
  </si>
  <si>
    <t>ALMA  - ROCK ELM 161.0kV</t>
  </si>
  <si>
    <t>J4131</t>
  </si>
  <si>
    <t>J1347 TO Switchyard (115kV Entergy MS Switchyard)</t>
  </si>
  <si>
    <t>J4132</t>
  </si>
  <si>
    <t>J4133</t>
  </si>
  <si>
    <t>Dolet Hills Substation</t>
  </si>
  <si>
    <t>J4134</t>
  </si>
  <si>
    <t>J4135</t>
  </si>
  <si>
    <t>J4136</t>
  </si>
  <si>
    <t>Big Stone South 345kV</t>
  </si>
  <si>
    <t>J4137</t>
  </si>
  <si>
    <t>J4138</t>
  </si>
  <si>
    <t>WEBRE</t>
  </si>
  <si>
    <t>J4139</t>
  </si>
  <si>
    <t>EMMET SS - HOPE EAST SS 115.0kV</t>
  </si>
  <si>
    <t>J4140</t>
  </si>
  <si>
    <t>Cotton</t>
  </si>
  <si>
    <t>J4141</t>
  </si>
  <si>
    <t>J4142</t>
  </si>
  <si>
    <t>Gilbert 115 kV</t>
  </si>
  <si>
    <t>J4143</t>
  </si>
  <si>
    <t>DARNELL</t>
  </si>
  <si>
    <t>J4144</t>
  </si>
  <si>
    <t>J4145</t>
  </si>
  <si>
    <t>Emery</t>
  </si>
  <si>
    <t>J4146</t>
  </si>
  <si>
    <t>J4147</t>
  </si>
  <si>
    <t>J4148</t>
  </si>
  <si>
    <t>J4149</t>
  </si>
  <si>
    <t>J4150</t>
  </si>
  <si>
    <t>ATLANTIC - ADAIR 161.0kV</t>
  </si>
  <si>
    <t>J4151</t>
  </si>
  <si>
    <t>MINNESOTA MUNICIPAL POWER AGENCY</t>
  </si>
  <si>
    <t>J4152</t>
  </si>
  <si>
    <t>J4153</t>
  </si>
  <si>
    <t>J4154</t>
  </si>
  <si>
    <t>Andes Substation</t>
  </si>
  <si>
    <t>J4155</t>
  </si>
  <si>
    <t>Prairie Creek - Stony Point 115kV</t>
  </si>
  <si>
    <t>J4156</t>
  </si>
  <si>
    <t>J4157</t>
  </si>
  <si>
    <t>Iron Ridge - Benton 345kV</t>
  </si>
  <si>
    <t>J4158</t>
  </si>
  <si>
    <t>4TABOR - 4SCLINTON TP 138.0kV</t>
  </si>
  <si>
    <t>J4159</t>
  </si>
  <si>
    <t>J4160</t>
  </si>
  <si>
    <t>J4161</t>
  </si>
  <si>
    <t>Lakefield Generation SW - LAKEFIELD JCT 345.0kV</t>
  </si>
  <si>
    <t>J4162</t>
  </si>
  <si>
    <t>Stearns</t>
  </si>
  <si>
    <t>Quarry - Alexandria 345.0kV</t>
  </si>
  <si>
    <t>J4163</t>
  </si>
  <si>
    <t>Wilmar East</t>
  </si>
  <si>
    <t>Biomass</t>
  </si>
  <si>
    <t>J4164</t>
  </si>
  <si>
    <t>North Madison 345/138 kV</t>
  </si>
  <si>
    <t>J4165</t>
  </si>
  <si>
    <t>J4166</t>
  </si>
  <si>
    <t>Commodore 500 kV Substation,</t>
  </si>
  <si>
    <t>J4167</t>
  </si>
  <si>
    <t>ARGENTA</t>
  </si>
  <si>
    <t>J4168</t>
  </si>
  <si>
    <t>NROC 3 (601039) to PR ISLD3 (601003) 345 kV line</t>
  </si>
  <si>
    <t>J4169</t>
  </si>
  <si>
    <t>J4170</t>
  </si>
  <si>
    <t>Hankinson - Wahpeton 230.0kV</t>
  </si>
  <si>
    <t>J4171</t>
  </si>
  <si>
    <t>Racine</t>
  </si>
  <si>
    <t>138 kV Jupiter Substation (#50167)</t>
  </si>
  <si>
    <t>J4172</t>
  </si>
  <si>
    <t>Alliant Energy West</t>
  </si>
  <si>
    <t>Ottumwa Generating St. 161 kV</t>
  </si>
  <si>
    <t>J4173</t>
  </si>
  <si>
    <t>J4174</t>
  </si>
  <si>
    <t>MARKED TREE</t>
  </si>
  <si>
    <t>J4175</t>
  </si>
  <si>
    <t>J4176</t>
  </si>
  <si>
    <t>J4177</t>
  </si>
  <si>
    <t>J4178</t>
  </si>
  <si>
    <t>J4179</t>
  </si>
  <si>
    <t>J418</t>
  </si>
  <si>
    <t>Entergy</t>
  </si>
  <si>
    <t>Rich - Livingston 138kV Line</t>
  </si>
  <si>
    <t>J4180</t>
  </si>
  <si>
    <t>J4181</t>
  </si>
  <si>
    <t>J4182</t>
  </si>
  <si>
    <t>ERAS Study Cycle 2</t>
  </si>
  <si>
    <t>J4183</t>
  </si>
  <si>
    <t>J4184</t>
  </si>
  <si>
    <t>J4185</t>
  </si>
  <si>
    <t>J4186</t>
  </si>
  <si>
    <t>J4187</t>
  </si>
  <si>
    <t>J4188</t>
  </si>
  <si>
    <t>Cole - Cooper 230.0kV</t>
  </si>
  <si>
    <t>J4189</t>
  </si>
  <si>
    <t>ROUNDAWAY SS (CE) - CLARKSDALE 115.0kV</t>
  </si>
  <si>
    <t>J4190</t>
  </si>
  <si>
    <t>WILLOW GLEN 230 SWYD</t>
  </si>
  <si>
    <t>J4191</t>
  </si>
  <si>
    <t>J4192</t>
  </si>
  <si>
    <t>Bain - State Line 138.0kV</t>
  </si>
  <si>
    <t>J4193</t>
  </si>
  <si>
    <t>Meeker</t>
  </si>
  <si>
    <t>J4194</t>
  </si>
  <si>
    <t>J4195</t>
  </si>
  <si>
    <t>J4196</t>
  </si>
  <si>
    <t>GILLETT - ELAINE 115.0kV</t>
  </si>
  <si>
    <t>J4197</t>
  </si>
  <si>
    <t>J4198</t>
  </si>
  <si>
    <t>J4199</t>
  </si>
  <si>
    <t>Canton South</t>
  </si>
  <si>
    <t>J4200</t>
  </si>
  <si>
    <t>Ramsey</t>
  </si>
  <si>
    <t>Merriam Park</t>
  </si>
  <si>
    <t>J4201</t>
  </si>
  <si>
    <t>Cole</t>
  </si>
  <si>
    <t>J4203</t>
  </si>
  <si>
    <t>J4204</t>
  </si>
  <si>
    <t>South Belleville</t>
  </si>
  <si>
    <t>J4205</t>
  </si>
  <si>
    <t>ENTERGY NEW ORLEANS, LLC</t>
  </si>
  <si>
    <t>Suillivan Station (Entergy0</t>
  </si>
  <si>
    <t>J4206</t>
  </si>
  <si>
    <t>J4207</t>
  </si>
  <si>
    <t>J4208</t>
  </si>
  <si>
    <t>J4209</t>
  </si>
  <si>
    <t>J4210</t>
  </si>
  <si>
    <t>J4211</t>
  </si>
  <si>
    <t>J4212</t>
  </si>
  <si>
    <t>J4213</t>
  </si>
  <si>
    <t>J4214</t>
  </si>
  <si>
    <t>J4215</t>
  </si>
  <si>
    <t>J4216</t>
  </si>
  <si>
    <t>ENTERGY SERVICES, LLC.</t>
  </si>
  <si>
    <t>J4217</t>
  </si>
  <si>
    <t>J4218</t>
  </si>
  <si>
    <t>J4219</t>
  </si>
  <si>
    <t>J4220</t>
  </si>
  <si>
    <t>J4221</t>
  </si>
  <si>
    <t>J4222</t>
  </si>
  <si>
    <t>J4223</t>
  </si>
  <si>
    <t>J4224</t>
  </si>
  <si>
    <t>J4225</t>
  </si>
  <si>
    <t>J4226</t>
  </si>
  <si>
    <t>J4227</t>
  </si>
  <si>
    <t>J4228</t>
  </si>
  <si>
    <t>J4229</t>
  </si>
  <si>
    <t>J4230</t>
  </si>
  <si>
    <t>J4231</t>
  </si>
  <si>
    <t>J4232</t>
  </si>
  <si>
    <t>J4233</t>
  </si>
  <si>
    <t>J4234</t>
  </si>
  <si>
    <t>J4235</t>
  </si>
  <si>
    <t>J4236</t>
  </si>
  <si>
    <t>J4237</t>
  </si>
  <si>
    <t>J4238</t>
  </si>
  <si>
    <t>J4239</t>
  </si>
  <si>
    <t>J4240</t>
  </si>
  <si>
    <t>J4241</t>
  </si>
  <si>
    <t>J4242</t>
  </si>
  <si>
    <t>J4243</t>
  </si>
  <si>
    <t>J4244</t>
  </si>
  <si>
    <t>J4245</t>
  </si>
  <si>
    <t>J4246</t>
  </si>
  <si>
    <t>J4247</t>
  </si>
  <si>
    <t>J4248</t>
  </si>
  <si>
    <t>J4249</t>
  </si>
  <si>
    <t>J4250</t>
  </si>
  <si>
    <t>J4251</t>
  </si>
  <si>
    <t>J4252</t>
  </si>
  <si>
    <t>J4253</t>
  </si>
  <si>
    <t>J4254</t>
  </si>
  <si>
    <t>J4255</t>
  </si>
  <si>
    <t>J4256</t>
  </si>
  <si>
    <t>J4257</t>
  </si>
  <si>
    <t>J4258</t>
  </si>
  <si>
    <t>J441</t>
  </si>
  <si>
    <t>DPP-2017-FEB</t>
  </si>
  <si>
    <t>J444</t>
  </si>
  <si>
    <t>Waterman/Navarre 230kV</t>
  </si>
  <si>
    <t>J446</t>
  </si>
  <si>
    <t>J447</t>
  </si>
  <si>
    <t>Emery 161 kV Substation</t>
  </si>
  <si>
    <t>J458</t>
  </si>
  <si>
    <t>On proposed Big Stone-Ellendale 345 kV line approx. 76 miles west of Big Stone</t>
  </si>
  <si>
    <t>J467</t>
  </si>
  <si>
    <t>Sidnay-Kansas 345kV Line</t>
  </si>
  <si>
    <t>J478</t>
  </si>
  <si>
    <t>Thorntown - New London - Kokomo 230kV Line</t>
  </si>
  <si>
    <t>J502</t>
  </si>
  <si>
    <t>Orange County</t>
  </si>
  <si>
    <t>McLewis 230 kV Substation</t>
  </si>
  <si>
    <t>J508</t>
  </si>
  <si>
    <t>tap 115 kV line betwwen W Arkadelphia sub and Delarc sub at 3.85 miles from West Arkadelphia substat</t>
  </si>
  <si>
    <t>J522</t>
  </si>
  <si>
    <t>Adams substation at 69 kV</t>
  </si>
  <si>
    <t>J544</t>
  </si>
  <si>
    <t>J545</t>
  </si>
  <si>
    <t>Buffalo 115kV Substation</t>
  </si>
  <si>
    <t>J556</t>
  </si>
  <si>
    <t>Renville County</t>
  </si>
  <si>
    <t>J570</t>
  </si>
  <si>
    <t>Atchison County</t>
  </si>
  <si>
    <t>Cooper - Atchison 345kV Line</t>
  </si>
  <si>
    <t>J579</t>
  </si>
  <si>
    <t>Allegan County</t>
  </si>
  <si>
    <t>Argenta 345kV Substation</t>
  </si>
  <si>
    <t>J580</t>
  </si>
  <si>
    <t>Burleigh County</t>
  </si>
  <si>
    <t>Nepoleon Sub 230kV</t>
  </si>
  <si>
    <t>J584</t>
  </si>
  <si>
    <t>Blacksmith Tap - Spring Grove 69kV Line</t>
  </si>
  <si>
    <t>J625</t>
  </si>
  <si>
    <t>Blue Lake 345kV Substation</t>
  </si>
  <si>
    <t>J628</t>
  </si>
  <si>
    <t>Ramsey - Prairie 230kV Line Tap</t>
  </si>
  <si>
    <t>J632</t>
  </si>
  <si>
    <t>Argenta - Plaisades 345kV Line</t>
  </si>
  <si>
    <t>J635</t>
  </si>
  <si>
    <t>Concordia Parish</t>
  </si>
  <si>
    <t>Tap - Entergy 115kV T-line Natchez/South Plantation (ID:668) 1mile from Plantation Sub</t>
  </si>
  <si>
    <t>J636</t>
  </si>
  <si>
    <t>Shady Oaks - Coughlin 138kV Line</t>
  </si>
  <si>
    <t>J639</t>
  </si>
  <si>
    <t>Addis - Big Cajun 230kV Line</t>
  </si>
  <si>
    <t>J640</t>
  </si>
  <si>
    <t>St. Helena Parish</t>
  </si>
  <si>
    <t>Amite - Liberty 115kV Line</t>
  </si>
  <si>
    <t>J646</t>
  </si>
  <si>
    <t>Macomb County</t>
  </si>
  <si>
    <t>Carbon - connecting to ITC at Jewel, St-Clair and Spokane substations</t>
  </si>
  <si>
    <t>J647</t>
  </si>
  <si>
    <t>BC Cobb - Four Mile 138kV Line</t>
  </si>
  <si>
    <t>J657</t>
  </si>
  <si>
    <t>Kewaunee - Shoto 138kV Line (at the existing Mishicot Tap)</t>
  </si>
  <si>
    <t>J658</t>
  </si>
  <si>
    <t>J659</t>
  </si>
  <si>
    <t>Franklin Parish</t>
  </si>
  <si>
    <t>Winnsboro to Gilbert 115 kV line</t>
  </si>
  <si>
    <t>J662</t>
  </si>
  <si>
    <t>Marked Tree - Marion 161kV Line</t>
  </si>
  <si>
    <t>J663</t>
  </si>
  <si>
    <t>Phillips County</t>
  </si>
  <si>
    <t>Robert E Ritchie 230kV Substation</t>
  </si>
  <si>
    <t>J679</t>
  </si>
  <si>
    <t>Greenwood - Winona 115kV</t>
  </si>
  <si>
    <t>J680</t>
  </si>
  <si>
    <t>Crosset West 115kV Substation</t>
  </si>
  <si>
    <t>J683</t>
  </si>
  <si>
    <t>Wilbert - Livonia 138kV Substation (~1.5 mi from Wilbert)</t>
  </si>
  <si>
    <t>J687</t>
  </si>
  <si>
    <t>Orleans Parish</t>
  </si>
  <si>
    <t>Nasa 115kV Substation</t>
  </si>
  <si>
    <t>J697</t>
  </si>
  <si>
    <t>J698</t>
  </si>
  <si>
    <t>Chicot County</t>
  </si>
  <si>
    <t>Lake Village Bagby 115 kV Substation</t>
  </si>
  <si>
    <t>J701</t>
  </si>
  <si>
    <t>Rapson - Grasssmere - Bauer 345kV Line Tap (Kirk 345 kV Sub)</t>
  </si>
  <si>
    <t>J703</t>
  </si>
  <si>
    <t>DPP-2016 AUG/2017-FEB</t>
  </si>
  <si>
    <t>Huron 138kV Substation -looping Lines FREG11 (National to Freeman) &amp; Goose Lake (PI to Empire)</t>
  </si>
  <si>
    <t>J704</t>
  </si>
  <si>
    <t>M38 Substation 138kV</t>
  </si>
  <si>
    <t>J705</t>
  </si>
  <si>
    <t>Tri-county 230 kV substation</t>
  </si>
  <si>
    <t>J706</t>
  </si>
  <si>
    <t>Tri-county 230kV sub</t>
  </si>
  <si>
    <t>J707</t>
  </si>
  <si>
    <t>Barnes County</t>
  </si>
  <si>
    <t>Buffalo 345kV</t>
  </si>
  <si>
    <t>J708</t>
  </si>
  <si>
    <t>AB Brown 138 kV sub</t>
  </si>
  <si>
    <t>J709</t>
  </si>
  <si>
    <t>Green Substation 230kV</t>
  </si>
  <si>
    <t>J710</t>
  </si>
  <si>
    <t>Lafayette Parish</t>
  </si>
  <si>
    <t>Duson - Scott line 69kV</t>
  </si>
  <si>
    <t>J711</t>
  </si>
  <si>
    <t>Silver River 138kV</t>
  </si>
  <si>
    <t>J712</t>
  </si>
  <si>
    <t>Hill Valley 138kV Substation</t>
  </si>
  <si>
    <t>J713</t>
  </si>
  <si>
    <t>Oliver County</t>
  </si>
  <si>
    <t>Square Butte East 230kV Substation</t>
  </si>
  <si>
    <t>J714</t>
  </si>
  <si>
    <t>Frankfurt - Cayuga 230kV line</t>
  </si>
  <si>
    <t>J715</t>
  </si>
  <si>
    <t>Marshall County</t>
  </si>
  <si>
    <t>McLean County-Oglesby 138kV Line 1382</t>
  </si>
  <si>
    <t>J717</t>
  </si>
  <si>
    <t>Edenville Junction to Warren 138 kV Line</t>
  </si>
  <si>
    <t>J718</t>
  </si>
  <si>
    <t>Fillmore County</t>
  </si>
  <si>
    <t>Cherry Grove 69kV Substation</t>
  </si>
  <si>
    <t>J720</t>
  </si>
  <si>
    <t>Lakefield - Raun 345 kV line</t>
  </si>
  <si>
    <t>J721</t>
  </si>
  <si>
    <t>Big Stone South substation, Big Stone City</t>
  </si>
  <si>
    <t>J722</t>
  </si>
  <si>
    <t>Big Stone South 230kV Substation</t>
  </si>
  <si>
    <t>J725</t>
  </si>
  <si>
    <t>Cedar Mountain 345 kV Substation</t>
  </si>
  <si>
    <t>J726</t>
  </si>
  <si>
    <t>Cedar Mountain 345kV Substation</t>
  </si>
  <si>
    <t>J728</t>
  </si>
  <si>
    <t>J731</t>
  </si>
  <si>
    <t>Kossuth-O'Brien 345kV</t>
  </si>
  <si>
    <t>J732</t>
  </si>
  <si>
    <t>Arrowhead - Stone Lake 345kV Line</t>
  </si>
  <si>
    <t>J733</t>
  </si>
  <si>
    <t>Franklin County</t>
  </si>
  <si>
    <t>J416 345 kV Interconnection Facilitities to be Owned by ITCM</t>
  </si>
  <si>
    <t>J734</t>
  </si>
  <si>
    <t>Ford County</t>
  </si>
  <si>
    <t>Gibson City South Substation</t>
  </si>
  <si>
    <t>J739</t>
  </si>
  <si>
    <t>J740</t>
  </si>
  <si>
    <t>Reynold 345kV substation</t>
  </si>
  <si>
    <t>J741</t>
  </si>
  <si>
    <t>Wishek - Linton 115kV</t>
  </si>
  <si>
    <t>J743</t>
  </si>
  <si>
    <t>J745</t>
  </si>
  <si>
    <t>Nobles-Fenton 115kV</t>
  </si>
  <si>
    <t>J746</t>
  </si>
  <si>
    <t>Stanton-McHenry 230kV</t>
  </si>
  <si>
    <t>J747</t>
  </si>
  <si>
    <t>Brooking County - Big Stone South (J510 Tap - J630 Tap) 345kV Line</t>
  </si>
  <si>
    <t>J748</t>
  </si>
  <si>
    <t>Highland - Raun 345kV Line Tap</t>
  </si>
  <si>
    <t>J749</t>
  </si>
  <si>
    <t>Redstone 138 kV Substation</t>
  </si>
  <si>
    <t>J750</t>
  </si>
  <si>
    <t>City of Springfield, IL - CWLP</t>
  </si>
  <si>
    <t>Westchester 138kV Substation</t>
  </si>
  <si>
    <t>J752</t>
  </si>
  <si>
    <t>Ringle 345kV Switchyard</t>
  </si>
  <si>
    <t>J753</t>
  </si>
  <si>
    <t>Breckinridge County</t>
  </si>
  <si>
    <t>Hardinsburg Sub 161kV</t>
  </si>
  <si>
    <t>J754</t>
  </si>
  <si>
    <t>Cayuga - Nucor 345kV</t>
  </si>
  <si>
    <t>J756</t>
  </si>
  <si>
    <t>Mason City to Fogarty 138kV</t>
  </si>
  <si>
    <t>J757</t>
  </si>
  <si>
    <t>Austin-Meredosia 345kV line</t>
  </si>
  <si>
    <t>J758</t>
  </si>
  <si>
    <t>Verona-Foundry 138kV</t>
  </si>
  <si>
    <t>J759</t>
  </si>
  <si>
    <t>HOOSIER ENERGY REC, INC</t>
  </si>
  <si>
    <t>Troy 161kV Sub</t>
  </si>
  <si>
    <t>J760</t>
  </si>
  <si>
    <t>New Kitty Hawk 345kV substation</t>
  </si>
  <si>
    <t>J761</t>
  </si>
  <si>
    <t>Huntley 345 kV sub</t>
  </si>
  <si>
    <t>J762</t>
  </si>
  <si>
    <t>Meade County</t>
  </si>
  <si>
    <t>Meade Sub 161kV</t>
  </si>
  <si>
    <t>J766</t>
  </si>
  <si>
    <t>Square Butte 230kV Substation</t>
  </si>
  <si>
    <t>J767</t>
  </si>
  <si>
    <t>Lime Creek 161 kV substation</t>
  </si>
  <si>
    <t>J768</t>
  </si>
  <si>
    <t>Story County Substation</t>
  </si>
  <si>
    <t>J769</t>
  </si>
  <si>
    <t>Kingman Run-Bird Island 69kV</t>
  </si>
  <si>
    <t>J770</t>
  </si>
  <si>
    <t>Bird Island to Henryville Tap 69kV Line</t>
  </si>
  <si>
    <t>J771</t>
  </si>
  <si>
    <t>Stearns County</t>
  </si>
  <si>
    <t>Lake Koronis-Paynesville 69kV</t>
  </si>
  <si>
    <t>J776</t>
  </si>
  <si>
    <t>Black Hawk-Killdeer 345kV</t>
  </si>
  <si>
    <t>J777</t>
  </si>
  <si>
    <t>Whispering Willow 161kV substation</t>
  </si>
  <si>
    <t>J779</t>
  </si>
  <si>
    <t>Bismarck-Linton 115kV</t>
  </si>
  <si>
    <t>J780</t>
  </si>
  <si>
    <t>Harvey - Underwood 230kV Line</t>
  </si>
  <si>
    <t>J782</t>
  </si>
  <si>
    <t>Stoddart sub 161kV</t>
  </si>
  <si>
    <t>J783</t>
  </si>
  <si>
    <t>Grandview Sub</t>
  </si>
  <si>
    <t>J785</t>
  </si>
  <si>
    <t>Lakefield Junction - Huntley 345 kV line (Tap)</t>
  </si>
  <si>
    <t>J793</t>
  </si>
  <si>
    <t>Belle River - Fitz #2 345 kV Line Tap</t>
  </si>
  <si>
    <t>J794</t>
  </si>
  <si>
    <t>J589 138kV Substation (Regal - Summerton 138kV Line)</t>
  </si>
  <si>
    <t>J795</t>
  </si>
  <si>
    <t>Gallatin County</t>
  </si>
  <si>
    <t>Gallatin Junction 161 kV Substation</t>
  </si>
  <si>
    <t>J796</t>
  </si>
  <si>
    <t>Goss 138kV Substation</t>
  </si>
  <si>
    <t>J797</t>
  </si>
  <si>
    <t>J798</t>
  </si>
  <si>
    <t>University - Mukwanago UNIG52 Line Tap</t>
  </si>
  <si>
    <t>J799</t>
  </si>
  <si>
    <t>Milan - Pioneer 120kV Line Tap</t>
  </si>
  <si>
    <t>J800</t>
  </si>
  <si>
    <t>Crossville West Substation 138kV Bus - Albion South - Norris City 138 kV Line</t>
  </si>
  <si>
    <t>J801</t>
  </si>
  <si>
    <t>Pierce County</t>
  </si>
  <si>
    <t>Crystal Cave-Rock Elm 161kV line tap</t>
  </si>
  <si>
    <t>J802</t>
  </si>
  <si>
    <t>Cayuga 345 kV Substation</t>
  </si>
  <si>
    <t>J803</t>
  </si>
  <si>
    <t>Tracy 69 kV line</t>
  </si>
  <si>
    <t>J804</t>
  </si>
  <si>
    <t>Decatur 138kV Substation</t>
  </si>
  <si>
    <t>J805</t>
  </si>
  <si>
    <t>Shelby County</t>
  </si>
  <si>
    <t>J806</t>
  </si>
  <si>
    <t>Rice Creek - Vrooman 138kV Line Tap</t>
  </si>
  <si>
    <t>J807</t>
  </si>
  <si>
    <t>Lafayette County</t>
  </si>
  <si>
    <t>Darlington - Hillman 138kV Line (Falcon Substation J395)</t>
  </si>
  <si>
    <t>J808</t>
  </si>
  <si>
    <t>Aster Substation 138kV Bus</t>
  </si>
  <si>
    <t>J809</t>
  </si>
  <si>
    <t>Bass Creek - Black River 138 kV Line Tap</t>
  </si>
  <si>
    <t>J810</t>
  </si>
  <si>
    <t>Audubon County</t>
  </si>
  <si>
    <t>Atlantic to Adair 161 kV line</t>
  </si>
  <si>
    <t>J811</t>
  </si>
  <si>
    <t>J812</t>
  </si>
  <si>
    <t>Van Buren County</t>
  </si>
  <si>
    <t>Covert - Palisades 345kV Line</t>
  </si>
  <si>
    <t>J813</t>
  </si>
  <si>
    <t>Louisville South Substation 138kV Line</t>
  </si>
  <si>
    <t>J814</t>
  </si>
  <si>
    <t>Eau Claire - Arpin 345kV Line</t>
  </si>
  <si>
    <t>J815</t>
  </si>
  <si>
    <t>Christian County</t>
  </si>
  <si>
    <t>Taylorville South-Austin (formerly Pawnee)138kV Line</t>
  </si>
  <si>
    <t>J816</t>
  </si>
  <si>
    <t>J817</t>
  </si>
  <si>
    <t>J818</t>
  </si>
  <si>
    <t>Jefferson 138kV Substation</t>
  </si>
  <si>
    <t>J819</t>
  </si>
  <si>
    <t>Darlington 138kV Substation</t>
  </si>
  <si>
    <t>J820</t>
  </si>
  <si>
    <t>Oneida 345kV Substation</t>
  </si>
  <si>
    <t>J821</t>
  </si>
  <si>
    <t>Wein - Stratford 115 kV Line Tap</t>
  </si>
  <si>
    <t>J822</t>
  </si>
  <si>
    <t>Lynch SES Switchyard - Carlisle 115kV Line</t>
  </si>
  <si>
    <t>J823</t>
  </si>
  <si>
    <t>Twin Rivers - Twin Rivers Tap - Palmyra 161kV Line</t>
  </si>
  <si>
    <t>J824</t>
  </si>
  <si>
    <t>Vigo-Farmersburg Junction 138kV Line</t>
  </si>
  <si>
    <t>J825</t>
  </si>
  <si>
    <t>North Monroe - Albany 138kV Line</t>
  </si>
  <si>
    <t>J826</t>
  </si>
  <si>
    <t>J827</t>
  </si>
  <si>
    <t>Lafayette - Veedsburg West - Attica 230kV Line</t>
  </si>
  <si>
    <t>J828</t>
  </si>
  <si>
    <t>Crawfordsville - Linden Tap 138kV Line</t>
  </si>
  <si>
    <t>J829</t>
  </si>
  <si>
    <t>Sullivan County</t>
  </si>
  <si>
    <t>Dresser - Merom 345kV Line</t>
  </si>
  <si>
    <t>J830</t>
  </si>
  <si>
    <t>Canton South to Hoy Road 230 kV Line</t>
  </si>
  <si>
    <t>J831</t>
  </si>
  <si>
    <t>Ozaukee County</t>
  </si>
  <si>
    <t>Port Washington Generating Switchyard 138 kV</t>
  </si>
  <si>
    <t>J832</t>
  </si>
  <si>
    <t>Cheboygan County</t>
  </si>
  <si>
    <t>Port Calcite - Riggsville 138kV Line</t>
  </si>
  <si>
    <t>J833</t>
  </si>
  <si>
    <t>Milan-Pioneer 120kV line tap</t>
  </si>
  <si>
    <t>J834</t>
  </si>
  <si>
    <t>J835</t>
  </si>
  <si>
    <t>Meredosia - Austin 345kV Line</t>
  </si>
  <si>
    <t>J836</t>
  </si>
  <si>
    <t>Kossuth County</t>
  </si>
  <si>
    <t>Ledyard 345kV Substation</t>
  </si>
  <si>
    <t>J837</t>
  </si>
  <si>
    <t>J838</t>
  </si>
  <si>
    <t>J839</t>
  </si>
  <si>
    <t>Lapeer County</t>
  </si>
  <si>
    <t>Otsego Tap - Otsego 120 kV Line Tap</t>
  </si>
  <si>
    <t>J840</t>
  </si>
  <si>
    <t>Humboldt County</t>
  </si>
  <si>
    <t>Kossuth - Webster 345 kV Line</t>
  </si>
  <si>
    <t>J841</t>
  </si>
  <si>
    <t>Orr RD 138 kV Substation</t>
  </si>
  <si>
    <t>J842</t>
  </si>
  <si>
    <t>Gibson - Brown 345kV Line</t>
  </si>
  <si>
    <t>J843</t>
  </si>
  <si>
    <t>J844</t>
  </si>
  <si>
    <t>Sandburg Substation 138kV Bus</t>
  </si>
  <si>
    <t>J845</t>
  </si>
  <si>
    <t>Gibson City South - Paxton East 138kV Line</t>
  </si>
  <si>
    <t>J846</t>
  </si>
  <si>
    <t>Hillsdale County</t>
  </si>
  <si>
    <t>Moore Roadtyd - Coldwater Creek 138 kV Line Tap</t>
  </si>
  <si>
    <t>J847</t>
  </si>
  <si>
    <t>Schahfer Tap 138kV Substation</t>
  </si>
  <si>
    <t>J848</t>
  </si>
  <si>
    <t>Pana Substation 138kV Bus</t>
  </si>
  <si>
    <t>J849</t>
  </si>
  <si>
    <t>Chandler 138 kV Substation</t>
  </si>
  <si>
    <t>J850</t>
  </si>
  <si>
    <t>RCEC Bradford - W. Darien 138kV Line</t>
  </si>
  <si>
    <t>J851</t>
  </si>
  <si>
    <t>Fall Creek - New Castle 138kV Line</t>
  </si>
  <si>
    <t>J852</t>
  </si>
  <si>
    <t>Rilla - Riverton 115kV Line Tap</t>
  </si>
  <si>
    <t>J853</t>
  </si>
  <si>
    <t>Norris City North Substation 138kV Bus</t>
  </si>
  <si>
    <t>J854</t>
  </si>
  <si>
    <t>Baldwin 138KV Substation</t>
  </si>
  <si>
    <t>J855</t>
  </si>
  <si>
    <t>Lancaster - Eden 138 kV Line Tap</t>
  </si>
  <si>
    <t>J856</t>
  </si>
  <si>
    <t>Scott (TWP 138/69) 138 kV Substation</t>
  </si>
  <si>
    <t>J857</t>
  </si>
  <si>
    <t>Verona - Foundry 138 kV Line Tap</t>
  </si>
  <si>
    <t>J858</t>
  </si>
  <si>
    <t>Bradley County</t>
  </si>
  <si>
    <t>Hilo 115 kV Switch</t>
  </si>
  <si>
    <t>J859</t>
  </si>
  <si>
    <t>Frederick North - Meredosia East 138kV Line</t>
  </si>
  <si>
    <t>J860</t>
  </si>
  <si>
    <t>New Jefferson Davis 138 kV Substation</t>
  </si>
  <si>
    <t>J861</t>
  </si>
  <si>
    <t>Dead River - Arnold 345 kV Line</t>
  </si>
  <si>
    <t>J862</t>
  </si>
  <si>
    <t>NASA-Michoud 115 kV Line</t>
  </si>
  <si>
    <t>J863</t>
  </si>
  <si>
    <t>Rosemount  - Nininger 115kV Line</t>
  </si>
  <si>
    <t>J864</t>
  </si>
  <si>
    <t>Richland County</t>
  </si>
  <si>
    <t>Lone Rock 69kV Substation</t>
  </si>
  <si>
    <t>J865</t>
  </si>
  <si>
    <t>Lee - Menlo 120kV Line</t>
  </si>
  <si>
    <t>J866</t>
  </si>
  <si>
    <t>Batesville - Robert E. Ritchie 230 kV line</t>
  </si>
  <si>
    <t>J867</t>
  </si>
  <si>
    <t>Gulf Livingston - SHECO Menard</t>
  </si>
  <si>
    <t>J868</t>
  </si>
  <si>
    <t>Plantation 115 kV Substation</t>
  </si>
  <si>
    <t>J869</t>
  </si>
  <si>
    <t>Cable - Cable Tap 69kV Substation</t>
  </si>
  <si>
    <t>J870</t>
  </si>
  <si>
    <t>Eden - Wyoming Valley 138kV Line Tap</t>
  </si>
  <si>
    <t>J871</t>
  </si>
  <si>
    <t>J872</t>
  </si>
  <si>
    <t>Blue Mount tap on the Pana-Route 51D-1462 138kV line</t>
  </si>
  <si>
    <t>J873</t>
  </si>
  <si>
    <t>Killdeer- Blackhawk 345kV Line</t>
  </si>
  <si>
    <t>J874</t>
  </si>
  <si>
    <t>Fenton - Chanarambie 115kV Line</t>
  </si>
  <si>
    <t>J875</t>
  </si>
  <si>
    <t>Par - Raisin Road 138kV Line</t>
  </si>
  <si>
    <t>J876</t>
  </si>
  <si>
    <t>Huntley 345kV sub</t>
  </si>
  <si>
    <t>J877</t>
  </si>
  <si>
    <t>Obrien - Kossuth 345kV Line (J529 &amp; J590 New Substation)</t>
  </si>
  <si>
    <t>J878</t>
  </si>
  <si>
    <t>Paris 138kV Substation</t>
  </si>
  <si>
    <t>J879</t>
  </si>
  <si>
    <t>North Lake 138 kV Substation</t>
  </si>
  <si>
    <t>J880</t>
  </si>
  <si>
    <t>Ward County</t>
  </si>
  <si>
    <t>Magic City 230kV sub</t>
  </si>
  <si>
    <t>J881</t>
  </si>
  <si>
    <t>J882</t>
  </si>
  <si>
    <t>Coffeen North 138kV Substation</t>
  </si>
  <si>
    <t>J883</t>
  </si>
  <si>
    <t>Monticello-East Winamac</t>
  </si>
  <si>
    <t>J884</t>
  </si>
  <si>
    <t>Brokaw - Gibson City South 138 kV Line</t>
  </si>
  <si>
    <t>J885</t>
  </si>
  <si>
    <t>J407 Glenworth 161kV Substation</t>
  </si>
  <si>
    <t>J886</t>
  </si>
  <si>
    <t>Kewaunee 138 kV Substation</t>
  </si>
  <si>
    <t>J887</t>
  </si>
  <si>
    <t>G545 138kV Substation</t>
  </si>
  <si>
    <t>J888</t>
  </si>
  <si>
    <t>George County</t>
  </si>
  <si>
    <t>Benndale 69kV Substation</t>
  </si>
  <si>
    <t>J889</t>
  </si>
  <si>
    <t>Nelson County</t>
  </si>
  <si>
    <t>Ramsey - Prairie 230KV Line Tap</t>
  </si>
  <si>
    <t>J890</t>
  </si>
  <si>
    <t>Presque Isle County</t>
  </si>
  <si>
    <t>J891</t>
  </si>
  <si>
    <t>Pipestone County</t>
  </si>
  <si>
    <t>Buffalo Ridge - Pipestone 115kV Line Tap</t>
  </si>
  <si>
    <t>J892</t>
  </si>
  <si>
    <t>Bluff Creek (Tap) to Sugar Creek 138 kV line tap</t>
  </si>
  <si>
    <t>J893</t>
  </si>
  <si>
    <t>Searcy Price Sub 161kV</t>
  </si>
  <si>
    <t>J894</t>
  </si>
  <si>
    <t>Woodruff County</t>
  </si>
  <si>
    <t>McCrory - Moses 161kV Substation</t>
  </si>
  <si>
    <t>J895</t>
  </si>
  <si>
    <t>Carlisle - Lonoke East 115kV Line Tap</t>
  </si>
  <si>
    <t>J896</t>
  </si>
  <si>
    <t>Crawford County</t>
  </si>
  <si>
    <t>Victory 161 kV Substation</t>
  </si>
  <si>
    <t>J897</t>
  </si>
  <si>
    <t>Grand Forks County</t>
  </si>
  <si>
    <t>Prairie - Ramsey 230 kV line</t>
  </si>
  <si>
    <t>J898</t>
  </si>
  <si>
    <t>Rice - Beaver Creek 161kV line tap</t>
  </si>
  <si>
    <t>J899</t>
  </si>
  <si>
    <t>Green Forest South - Harrison West 161kV</t>
  </si>
  <si>
    <t>J900</t>
  </si>
  <si>
    <t>Livingston Parish</t>
  </si>
  <si>
    <t>Coly - Vignes 230kV Line</t>
  </si>
  <si>
    <t>J901</t>
  </si>
  <si>
    <t>Lyon County - Cedar Mountain Line</t>
  </si>
  <si>
    <t>J902</t>
  </si>
  <si>
    <t>AECC Mist to Montrose 115 kV line</t>
  </si>
  <si>
    <t>J903</t>
  </si>
  <si>
    <t>Greensboro 138 kV Substation</t>
  </si>
  <si>
    <t>J904</t>
  </si>
  <si>
    <t>Hamburg - Mist 115kV Line</t>
  </si>
  <si>
    <t>J905</t>
  </si>
  <si>
    <t>J906</t>
  </si>
  <si>
    <t>J907</t>
  </si>
  <si>
    <t>J908</t>
  </si>
  <si>
    <t>Tallahatchie County</t>
  </si>
  <si>
    <t>Webb 115kV Substation</t>
  </si>
  <si>
    <t>J909</t>
  </si>
  <si>
    <t>Amite 115 kV Substation</t>
  </si>
  <si>
    <t>J910</t>
  </si>
  <si>
    <t>Clinton Industrial 230kV Substation</t>
  </si>
  <si>
    <t>J911</t>
  </si>
  <si>
    <t>Porter 230kV Substation</t>
  </si>
  <si>
    <t>J912</t>
  </si>
  <si>
    <t>J913</t>
  </si>
  <si>
    <t>J914</t>
  </si>
  <si>
    <t>Filer City 138 kV Substation</t>
  </si>
  <si>
    <t>J915</t>
  </si>
  <si>
    <t>Parkway - East Gate 138kV line</t>
  </si>
  <si>
    <t>J916</t>
  </si>
  <si>
    <t>Mountain Lake 69kV Substation</t>
  </si>
  <si>
    <t>J917</t>
  </si>
  <si>
    <t>Tarkington - New Long John 138kV line tap</t>
  </si>
  <si>
    <t>J919</t>
  </si>
  <si>
    <t>Cash - Newport AB 161 kV Line Tap</t>
  </si>
  <si>
    <t>J920</t>
  </si>
  <si>
    <t>Joppa 161 kV Substation</t>
  </si>
  <si>
    <t>J921</t>
  </si>
  <si>
    <t>Thompson Road 138 kV Substation</t>
  </si>
  <si>
    <t>J922</t>
  </si>
  <si>
    <t>Lake Village Bagby - Chicot 115kV Line</t>
  </si>
  <si>
    <t>J923</t>
  </si>
  <si>
    <t>J924</t>
  </si>
  <si>
    <t>Brinkley East - Aubrey 230 kV line</t>
  </si>
  <si>
    <t>J925</t>
  </si>
  <si>
    <t>North Cournna - Bell Road 138 kV line</t>
  </si>
  <si>
    <t>J926</t>
  </si>
  <si>
    <t>Pine Lake - Apple River 161 kV Line</t>
  </si>
  <si>
    <t>J927</t>
  </si>
  <si>
    <t>Walters 69 kV Substation</t>
  </si>
  <si>
    <t>J928</t>
  </si>
  <si>
    <t>Garden Corners 138 kV Substation</t>
  </si>
  <si>
    <t>J929</t>
  </si>
  <si>
    <t>Wishek 41.6 kV Substation</t>
  </si>
  <si>
    <t>J930</t>
  </si>
  <si>
    <t>Sioux County</t>
  </si>
  <si>
    <t>Boyden - Sheldon 69kV line</t>
  </si>
  <si>
    <t>J931</t>
  </si>
  <si>
    <t>Kenowa 345kV Substation</t>
  </si>
  <si>
    <t>J932</t>
  </si>
  <si>
    <t>Porter - China 230 kV Line</t>
  </si>
  <si>
    <t>J933</t>
  </si>
  <si>
    <t>Day County</t>
  </si>
  <si>
    <t>Ellendale - Big Stone South 345kV Line</t>
  </si>
  <si>
    <t>J934</t>
  </si>
  <si>
    <t>Kuhn 161kV Substation</t>
  </si>
  <si>
    <t>J935</t>
  </si>
  <si>
    <t>Hubbard County</t>
  </si>
  <si>
    <t>Hubbard - Badoura 230kV Line</t>
  </si>
  <si>
    <t>J936</t>
  </si>
  <si>
    <t>Argenta - Tompkins 345kV Line Tap</t>
  </si>
  <si>
    <t>J937</t>
  </si>
  <si>
    <t>J938</t>
  </si>
  <si>
    <t>Emmestburg - Freedom 69kV Line</t>
  </si>
  <si>
    <t>J939</t>
  </si>
  <si>
    <t>Clarion-Eagle Grove 69kV line</t>
  </si>
  <si>
    <t>J940</t>
  </si>
  <si>
    <t>Jamestown - Center 345kV Line</t>
  </si>
  <si>
    <t>J941</t>
  </si>
  <si>
    <t>Big Stone-Brookings County 345KV Line</t>
  </si>
  <si>
    <t>J942</t>
  </si>
  <si>
    <t>Cash - Newport AB 161kV Line Tap</t>
  </si>
  <si>
    <t>J943</t>
  </si>
  <si>
    <t>J460 substation on the Brookings - H081 345kV Line</t>
  </si>
  <si>
    <t>J944</t>
  </si>
  <si>
    <t>New Madrid County</t>
  </si>
  <si>
    <t>Portageville - New Madrid 161kV Line</t>
  </si>
  <si>
    <t>J945</t>
  </si>
  <si>
    <t>Gerald Andrus - Clinton Industrial 230 kV Line</t>
  </si>
  <si>
    <t>J946</t>
  </si>
  <si>
    <t>J947</t>
  </si>
  <si>
    <t>Potosis - Hillman 138kV Line</t>
  </si>
  <si>
    <t>J948</t>
  </si>
  <si>
    <t>Poinsett County</t>
  </si>
  <si>
    <t>Harrisburg Tap - Harrisburg 161kV Line</t>
  </si>
  <si>
    <t>J949</t>
  </si>
  <si>
    <t>Kansas Substation 138kV Bus #3</t>
  </si>
  <si>
    <t>J951</t>
  </si>
  <si>
    <t>Kittson County</t>
  </si>
  <si>
    <t>Donaldson - Warsaw 115 kV Line Tap</t>
  </si>
  <si>
    <t>J952</t>
  </si>
  <si>
    <t>Corson County</t>
  </si>
  <si>
    <t>McLaughlin - McIntosh Junction 115 kV Line Tap</t>
  </si>
  <si>
    <t>J953</t>
  </si>
  <si>
    <t>Johnson County</t>
  </si>
  <si>
    <t>AMIL.IOW_AFRYT</t>
  </si>
  <si>
    <t>J954</t>
  </si>
  <si>
    <t>J955</t>
  </si>
  <si>
    <t>Sangamon County</t>
  </si>
  <si>
    <t>Austin Substation 345kV Bus</t>
  </si>
  <si>
    <t>J956</t>
  </si>
  <si>
    <t>J957</t>
  </si>
  <si>
    <t>Maywood 345kV Substation</t>
  </si>
  <si>
    <t>J958</t>
  </si>
  <si>
    <t>J959</t>
  </si>
  <si>
    <t>Windsor 161kV Substation</t>
  </si>
  <si>
    <t>J960</t>
  </si>
  <si>
    <t>Livingston 345kV Substation</t>
  </si>
  <si>
    <t>J961</t>
  </si>
  <si>
    <t>Livonia - Wilbert 138 kV Line Tap</t>
  </si>
  <si>
    <t>J962</t>
  </si>
  <si>
    <t>Twinkletown 230 kV Substation</t>
  </si>
  <si>
    <t>J963</t>
  </si>
  <si>
    <t>Cedar County</t>
  </si>
  <si>
    <t>Bennett (CIPCO) - Graham 69 Kv Line Tap</t>
  </si>
  <si>
    <t>J964</t>
  </si>
  <si>
    <t>Edwards - Bolton 115kV Line Tap</t>
  </si>
  <si>
    <t>J965</t>
  </si>
  <si>
    <t>J966</t>
  </si>
  <si>
    <t>Zachary 345kV Substation</t>
  </si>
  <si>
    <t>J967</t>
  </si>
  <si>
    <t>Adams 345kV Substation</t>
  </si>
  <si>
    <t>J968</t>
  </si>
  <si>
    <t>J969</t>
  </si>
  <si>
    <t>Kirk 345kV Substation</t>
  </si>
  <si>
    <t>J970</t>
  </si>
  <si>
    <t>Oscoda County</t>
  </si>
  <si>
    <t>Mio Dam - Gaylord 138 kV Line Tap</t>
  </si>
  <si>
    <t>J971</t>
  </si>
  <si>
    <t>Nobles Co - Fenton 115 kV Line Tap</t>
  </si>
  <si>
    <t>J972</t>
  </si>
  <si>
    <t>Hughes-Forest City South 161kv line</t>
  </si>
  <si>
    <t>J973</t>
  </si>
  <si>
    <t>Kansas West 345kV Substation</t>
  </si>
  <si>
    <t>J974</t>
  </si>
  <si>
    <t>Mapleridge 345kV Switching Station</t>
  </si>
  <si>
    <t>J975</t>
  </si>
  <si>
    <t>J976</t>
  </si>
  <si>
    <t>Montgomery - Enon 345kV Line Tap</t>
  </si>
  <si>
    <t>J977</t>
  </si>
  <si>
    <t>J978</t>
  </si>
  <si>
    <t>Eureka - Vestaburg 138kV Line Tap</t>
  </si>
  <si>
    <t>J979</t>
  </si>
  <si>
    <t>Pana Substation 345kV Bus</t>
  </si>
  <si>
    <t>J980</t>
  </si>
  <si>
    <t>J981</t>
  </si>
  <si>
    <t>Sub T 345kV Substation</t>
  </si>
  <si>
    <t>J982</t>
  </si>
  <si>
    <t>Obrien County - Kossuth 345 kV Line Tap</t>
  </si>
  <si>
    <t>J983</t>
  </si>
  <si>
    <t>Oglesby - Minonk Tap 138kV Line Tap</t>
  </si>
  <si>
    <t>J984</t>
  </si>
  <si>
    <t>Nelson Road ‚Äì Murphy 345kV line</t>
  </si>
  <si>
    <t>J985</t>
  </si>
  <si>
    <t>Miner - Kelso 161kV Line Tap</t>
  </si>
  <si>
    <t>J986</t>
  </si>
  <si>
    <t>Wood County</t>
  </si>
  <si>
    <t>Port Edwards - Sand Lake 138kV</t>
  </si>
  <si>
    <t>J987</t>
  </si>
  <si>
    <t>Montgomery 161kV Substation</t>
  </si>
  <si>
    <t>J988</t>
  </si>
  <si>
    <t>W Waynesboro 230kV Substation</t>
  </si>
  <si>
    <t>J989</t>
  </si>
  <si>
    <t>Oakland County</t>
  </si>
  <si>
    <t>Halsey 138kV Substation</t>
  </si>
  <si>
    <t>J990</t>
  </si>
  <si>
    <t>Salem 345kV Substation</t>
  </si>
  <si>
    <t>J991</t>
  </si>
  <si>
    <t>Xenia 345kV Switching Station</t>
  </si>
  <si>
    <t>J992</t>
  </si>
  <si>
    <t>Walton 230kV Substation</t>
  </si>
  <si>
    <t>J993</t>
  </si>
  <si>
    <t>Hortonville - Whitestown 345kV Line Tap</t>
  </si>
  <si>
    <t>J994</t>
  </si>
  <si>
    <t>Guthrie 161 kV Substation</t>
  </si>
  <si>
    <t>J995</t>
  </si>
  <si>
    <t>NW Jerseyville Northwest Substation 138kV Bus</t>
  </si>
  <si>
    <t>J996</t>
  </si>
  <si>
    <t>Beecher - Moraco 138kV Line</t>
  </si>
  <si>
    <t>J997</t>
  </si>
  <si>
    <t>LaMoure County</t>
  </si>
  <si>
    <t>Ellendale 345 kV Sub, 230 kV Bus - 661098</t>
  </si>
  <si>
    <t>J998</t>
  </si>
  <si>
    <t>Dallas County</t>
  </si>
  <si>
    <t>Adel - Waukee 69kV Line Tap</t>
  </si>
  <si>
    <t>J999</t>
  </si>
  <si>
    <t>Fairfax 161kV Substation</t>
  </si>
  <si>
    <t>R1000</t>
  </si>
  <si>
    <t>R.M. Heskett Station</t>
  </si>
  <si>
    <t>R1001</t>
  </si>
  <si>
    <t>Hoot Lake 115KV</t>
  </si>
  <si>
    <t>R1002</t>
  </si>
  <si>
    <t>Lake Front 69KV</t>
  </si>
  <si>
    <t>R1003</t>
  </si>
  <si>
    <t>Sabine 138 &amp; 230 kV (bus #334440, #334431, #334433</t>
  </si>
  <si>
    <t>R1004</t>
  </si>
  <si>
    <t>De Soto Parish</t>
  </si>
  <si>
    <t>Dolet Hills 345 kV (Bus #500260)</t>
  </si>
  <si>
    <t>R1005</t>
  </si>
  <si>
    <t>Elk River Station: S6 69 kV</t>
  </si>
  <si>
    <t>R1006</t>
  </si>
  <si>
    <t>Lima</t>
  </si>
  <si>
    <t>R1007</t>
  </si>
  <si>
    <t>ITC DAEC Substation 161kV</t>
  </si>
  <si>
    <t>R1008</t>
  </si>
  <si>
    <t>J499 Arbor Hills</t>
  </si>
  <si>
    <t>R1009</t>
  </si>
  <si>
    <t>Montmorency</t>
  </si>
  <si>
    <t>Consumers Energy 138kV Progress St. Substation</t>
  </si>
  <si>
    <t>R1010</t>
  </si>
  <si>
    <t>R1011</t>
  </si>
  <si>
    <t>Petersburg 345kV Substation</t>
  </si>
  <si>
    <t>R1012</t>
  </si>
  <si>
    <t>R1013</t>
  </si>
  <si>
    <t>AB Brown 138kV Substation</t>
  </si>
  <si>
    <t>R1014</t>
  </si>
  <si>
    <t>Alliant Energy East</t>
  </si>
  <si>
    <t>Edgewater 345kV</t>
  </si>
  <si>
    <t>R1015</t>
  </si>
  <si>
    <t>R1016</t>
  </si>
  <si>
    <t>ENTERGY ARKANSAS INC.</t>
  </si>
  <si>
    <t>Bailey 161kV substation(338879)</t>
  </si>
  <si>
    <t>R1017</t>
  </si>
  <si>
    <t>Burlington 161kV</t>
  </si>
  <si>
    <t>R1018</t>
  </si>
  <si>
    <t>Lansing 161 kV substation</t>
  </si>
  <si>
    <t>R1019</t>
  </si>
  <si>
    <t>R1020</t>
  </si>
  <si>
    <t>R1021</t>
  </si>
  <si>
    <t>R1022</t>
  </si>
  <si>
    <t>R1023</t>
  </si>
  <si>
    <t>R1024</t>
  </si>
  <si>
    <t>A.B. Brown 138kV Substation</t>
  </si>
  <si>
    <t>R1025</t>
  </si>
  <si>
    <t>Marion Unit 4 -Main Bus</t>
  </si>
  <si>
    <t>R1026</t>
  </si>
  <si>
    <t>R1027</t>
  </si>
  <si>
    <t>R1028</t>
  </si>
  <si>
    <t>R1029</t>
  </si>
  <si>
    <t>Joppa 161kV Switchyard</t>
  </si>
  <si>
    <t>R1030</t>
  </si>
  <si>
    <t>Slocum (PSSE Bus #264511)</t>
  </si>
  <si>
    <t>R1031</t>
  </si>
  <si>
    <t>Edwards 138 kV</t>
  </si>
  <si>
    <t>R1032</t>
  </si>
  <si>
    <t>Wheaton Substation</t>
  </si>
  <si>
    <t>R1033</t>
  </si>
  <si>
    <t>R1034</t>
  </si>
  <si>
    <t>ITCM Lansing</t>
  </si>
  <si>
    <t>R1035</t>
  </si>
  <si>
    <t>Massac</t>
  </si>
  <si>
    <t>JOPPA 161 kV</t>
  </si>
  <si>
    <t>R1036</t>
  </si>
  <si>
    <t>Sherburne County 345kV Substation</t>
  </si>
  <si>
    <t>R1037</t>
  </si>
  <si>
    <t>ITCM Lansing 161kV</t>
  </si>
  <si>
    <t>R1038</t>
  </si>
  <si>
    <t>Mayhew Lake 115kV</t>
  </si>
  <si>
    <t>R1039</t>
  </si>
  <si>
    <t>Sterlington 115kV</t>
  </si>
  <si>
    <t>R1040</t>
  </si>
  <si>
    <t>Campbell Substation 345kV</t>
  </si>
  <si>
    <t>R1041</t>
  </si>
  <si>
    <t>TCHPP Position JC 120kV</t>
  </si>
  <si>
    <t>R1042</t>
  </si>
  <si>
    <t>Duane Arnold 161kV</t>
  </si>
  <si>
    <t>R1043</t>
  </si>
  <si>
    <t>ITCM Burlington 161kV</t>
  </si>
  <si>
    <t>R1044</t>
  </si>
  <si>
    <t>Cayuga Steam Station Switchyards 230kV and 345kV</t>
  </si>
  <si>
    <t>R1045</t>
  </si>
  <si>
    <t>Wheaton 161kV</t>
  </si>
  <si>
    <t>R1046</t>
  </si>
  <si>
    <t>Madison Substation 138kV</t>
  </si>
  <si>
    <t>R1047</t>
  </si>
  <si>
    <t>Meramec Substation 138kV</t>
  </si>
  <si>
    <t>R1048</t>
  </si>
  <si>
    <t>Dow Meter Point</t>
  </si>
  <si>
    <t>R1049</t>
  </si>
  <si>
    <t>R1050</t>
  </si>
  <si>
    <t>Blue Lake 115kV</t>
  </si>
  <si>
    <t>R1051</t>
  </si>
  <si>
    <t>R1052</t>
  </si>
  <si>
    <t>"18CAMPBELLW‚Äù, ‚Äú18CAMPBELLB</t>
  </si>
  <si>
    <t>R1053</t>
  </si>
  <si>
    <t>Elm Road</t>
  </si>
  <si>
    <t>R1054</t>
  </si>
  <si>
    <t>E.D. Edwards 69kV</t>
  </si>
  <si>
    <t>R1055</t>
  </si>
  <si>
    <t>E.D. Edwards 138kV</t>
  </si>
  <si>
    <t>R1056</t>
  </si>
  <si>
    <t>R1057</t>
  </si>
  <si>
    <t>Rush Island Plant ‚Äì 345KV Switchyard (Existing)</t>
  </si>
  <si>
    <t>R1058</t>
  </si>
  <si>
    <t>Rush Island Plant ‚Äì 345kV Switchyard (Existing) Bus Number in Power Flow</t>
  </si>
  <si>
    <t>R1059</t>
  </si>
  <si>
    <t>Meramec Plant ‚Äì 138KV Switchyard</t>
  </si>
  <si>
    <t>R1060</t>
  </si>
  <si>
    <t>R5061</t>
  </si>
  <si>
    <t>Edgewater 5 - 345kV</t>
  </si>
  <si>
    <t>R5062</t>
  </si>
  <si>
    <t>SCHAHFER GEN STA</t>
  </si>
  <si>
    <t>R5063</t>
  </si>
  <si>
    <t>BELL ROAD - CORNELL 138.0kV</t>
  </si>
  <si>
    <t>R5064</t>
  </si>
  <si>
    <t>Lansing</t>
  </si>
  <si>
    <t>R5065</t>
  </si>
  <si>
    <t>R5066</t>
  </si>
  <si>
    <t>Compressed Air Storage</t>
  </si>
  <si>
    <t>R5067</t>
  </si>
  <si>
    <t>NIPSCO Green Acres 138kV Sub</t>
  </si>
  <si>
    <t>R5068</t>
  </si>
  <si>
    <t>R5069</t>
  </si>
  <si>
    <t>Duane Arnold (ARNOLD 5)</t>
  </si>
  <si>
    <t>R5070</t>
  </si>
  <si>
    <t>R5071</t>
  </si>
  <si>
    <t>R5072</t>
  </si>
  <si>
    <t>R5073</t>
  </si>
  <si>
    <t>R5074</t>
  </si>
  <si>
    <t>R5075</t>
  </si>
  <si>
    <t>R5076</t>
  </si>
  <si>
    <t>R5077</t>
  </si>
  <si>
    <t>R5078</t>
  </si>
  <si>
    <t>R5079</t>
  </si>
  <si>
    <t>R5080</t>
  </si>
  <si>
    <t>Crooked Lake</t>
  </si>
  <si>
    <t>R5081</t>
  </si>
  <si>
    <t>R5082</t>
  </si>
  <si>
    <t>R5083</t>
  </si>
  <si>
    <t>CHACKBAY - VACHERIE 230.0kV</t>
  </si>
  <si>
    <t>R5084</t>
  </si>
  <si>
    <t>R5085</t>
  </si>
  <si>
    <t>R5086</t>
  </si>
  <si>
    <t>Big Cajun II 500kV Substation</t>
  </si>
  <si>
    <t>R5087</t>
  </si>
  <si>
    <t>4JORD - 4ASHLEY 138.0kV</t>
  </si>
  <si>
    <t>R5088</t>
  </si>
  <si>
    <t>R5089</t>
  </si>
  <si>
    <t>R5090</t>
  </si>
  <si>
    <t>R5091</t>
  </si>
  <si>
    <t>R5092</t>
  </si>
  <si>
    <t>NO_CYCLE</t>
  </si>
  <si>
    <t>NO_GROUP</t>
  </si>
  <si>
    <t>R5093</t>
  </si>
  <si>
    <t>VACHERIE</t>
  </si>
  <si>
    <t>R5094</t>
  </si>
  <si>
    <t>R5095</t>
  </si>
  <si>
    <t>R5096</t>
  </si>
  <si>
    <t>AECC Dell East - Blytheville Elm St 161 kV</t>
  </si>
  <si>
    <t>R5097</t>
  </si>
  <si>
    <t>Sterlington - Bastrop 115 kV</t>
  </si>
  <si>
    <t>R5098</t>
  </si>
  <si>
    <t>R5099</t>
  </si>
  <si>
    <t>Colony - Plum Grove 230 kV</t>
  </si>
  <si>
    <t>S1000</t>
  </si>
  <si>
    <t>SIS</t>
  </si>
  <si>
    <t>S1001</t>
  </si>
  <si>
    <t>S1002</t>
  </si>
  <si>
    <t>S1003</t>
  </si>
  <si>
    <t>Reynolds 345KV substation</t>
  </si>
  <si>
    <t>S1004</t>
  </si>
  <si>
    <t>S1005</t>
  </si>
  <si>
    <t>S1006</t>
  </si>
  <si>
    <t>REC Bradford - W. Darien 138kV Line</t>
  </si>
  <si>
    <t>S1007</t>
  </si>
  <si>
    <t>Atlanta ‚Äì Tuscola 120 kV line(265183)</t>
  </si>
  <si>
    <t>S1008</t>
  </si>
  <si>
    <t>Line Tap between Edwardsport and Amo 345kV</t>
  </si>
  <si>
    <t>S1009</t>
  </si>
  <si>
    <t>Pleasant Valley 161kV Substation</t>
  </si>
  <si>
    <t>S1010</t>
  </si>
  <si>
    <t>Redstone138 kV Sub(256542)</t>
  </si>
  <si>
    <t>S1011</t>
  </si>
  <si>
    <t>Slate 345 kV Sub (256573)</t>
  </si>
  <si>
    <t>S1012</t>
  </si>
  <si>
    <t>Luce 138 kV Sub(256594)</t>
  </si>
  <si>
    <t>S1013</t>
  </si>
  <si>
    <t>Lakefield Junction 345kV</t>
  </si>
  <si>
    <t>S1014</t>
  </si>
  <si>
    <t>Merricourt Wind 230kV</t>
  </si>
  <si>
    <t>S1015</t>
  </si>
  <si>
    <t>Garden Corners 138kV</t>
  </si>
  <si>
    <t>S1016</t>
  </si>
  <si>
    <t>Lone Rock 69kV</t>
  </si>
  <si>
    <t>S1017</t>
  </si>
  <si>
    <t>Tennyson 138kV</t>
  </si>
  <si>
    <t>S1018</t>
  </si>
  <si>
    <t>7 Mile Creek 138kV</t>
  </si>
  <si>
    <t>S1019</t>
  </si>
  <si>
    <t>Redstone 138kV</t>
  </si>
  <si>
    <t>S1020</t>
  </si>
  <si>
    <t>Slate Substation 345kV</t>
  </si>
  <si>
    <t>S1021</t>
  </si>
  <si>
    <t>Luce Substation</t>
  </si>
  <si>
    <t>S1022</t>
  </si>
  <si>
    <t>PETEUA31 4.14kV</t>
  </si>
  <si>
    <t>S1023</t>
  </si>
  <si>
    <t>Nelson Dewey - Lancaster 138kV</t>
  </si>
  <si>
    <t>S1024</t>
  </si>
  <si>
    <t>Wautoma 138kV</t>
  </si>
  <si>
    <t>S1025</t>
  </si>
  <si>
    <t>Sheepskin 69kV</t>
  </si>
  <si>
    <t>S1026</t>
  </si>
  <si>
    <t>S1027</t>
  </si>
  <si>
    <t>S1028</t>
  </si>
  <si>
    <t>S1029</t>
  </si>
  <si>
    <t>Mclean</t>
  </si>
  <si>
    <t>Aster Substation</t>
  </si>
  <si>
    <t>S1030</t>
  </si>
  <si>
    <t>S1031</t>
  </si>
  <si>
    <t>Salt River Substation 138kV</t>
  </si>
  <si>
    <t>S1032</t>
  </si>
  <si>
    <t>S1033</t>
  </si>
  <si>
    <t>Bass Creek ‚Äì Albany ‚Äì North Monroe 138 kV</t>
  </si>
  <si>
    <t>S1034</t>
  </si>
  <si>
    <t>Dodge</t>
  </si>
  <si>
    <t>North Beaver Dam 69kV - Bus 698222</t>
  </si>
  <si>
    <t>S1035</t>
  </si>
  <si>
    <t>Townline Rd. - Paddock 138kV</t>
  </si>
  <si>
    <t>S1036</t>
  </si>
  <si>
    <t>Dickinson 345 kV, Buffalo, MN</t>
  </si>
  <si>
    <t>S1037</t>
  </si>
  <si>
    <t>S1038</t>
  </si>
  <si>
    <t>Gross 138kV</t>
  </si>
  <si>
    <t>S1039</t>
  </si>
  <si>
    <t>Apple River 161kV</t>
  </si>
  <si>
    <t>S1040</t>
  </si>
  <si>
    <t>Gibson City South (347114)</t>
  </si>
  <si>
    <t>S1041</t>
  </si>
  <si>
    <t>S1042</t>
  </si>
  <si>
    <t>S1043</t>
  </si>
  <si>
    <t>Culley to Dubois 138kV tap</t>
  </si>
  <si>
    <t>S1044</t>
  </si>
  <si>
    <t>Green Acres 138 kV Substation (43684)</t>
  </si>
  <si>
    <t>S1045</t>
  </si>
  <si>
    <t>Napoleon SW 230 kV (661091)</t>
  </si>
  <si>
    <t>S1046</t>
  </si>
  <si>
    <t>Codington</t>
  </si>
  <si>
    <t>Big Stone South 230kV</t>
  </si>
  <si>
    <t>S1047</t>
  </si>
  <si>
    <t>S1048</t>
  </si>
  <si>
    <t>Fogarty Substation 138kV</t>
  </si>
  <si>
    <t>S1049</t>
  </si>
  <si>
    <t>Shaw to Indianola 115kV Line Tap</t>
  </si>
  <si>
    <t>S1050</t>
  </si>
  <si>
    <t>Jefferson Davies</t>
  </si>
  <si>
    <t>Lake Charles Bulk 38kV Tap</t>
  </si>
  <si>
    <t>S1051</t>
  </si>
  <si>
    <t>Worth County Substation 161kV</t>
  </si>
  <si>
    <t>S1052</t>
  </si>
  <si>
    <t>Neoga South 138kV</t>
  </si>
  <si>
    <t>S1053</t>
  </si>
  <si>
    <t>Chisago County Substation</t>
  </si>
  <si>
    <t>S1054</t>
  </si>
  <si>
    <t>S1055</t>
  </si>
  <si>
    <t>Beltrami</t>
  </si>
  <si>
    <t>Wilton (endpoint 1) to Bagley (endpoint 2) 115kV</t>
  </si>
  <si>
    <t>S1056</t>
  </si>
  <si>
    <t>Columbia 345kV</t>
  </si>
  <si>
    <t>S1057</t>
  </si>
  <si>
    <t>Cumberland and Coles</t>
  </si>
  <si>
    <t>Neoga South</t>
  </si>
  <si>
    <t>S1058</t>
  </si>
  <si>
    <t>Stonehill Substation 138kV</t>
  </si>
  <si>
    <t>S1059</t>
  </si>
  <si>
    <t>Dixon 120kV - Bus # 265182</t>
  </si>
  <si>
    <t>S1060</t>
  </si>
  <si>
    <t>Shiawasse</t>
  </si>
  <si>
    <t>Gross 138kV - Bus #256155</t>
  </si>
  <si>
    <t>S1061</t>
  </si>
  <si>
    <t>Redstone 138 kV - Bus #256543</t>
  </si>
  <si>
    <t>S1062</t>
  </si>
  <si>
    <t>New Byers 138kV</t>
  </si>
  <si>
    <t>S1063</t>
  </si>
  <si>
    <t>Verona - Foundry 138kV</t>
  </si>
  <si>
    <t>S1064</t>
  </si>
  <si>
    <t>EDGE SS9 41.6 kV</t>
  </si>
  <si>
    <t>S1065</t>
  </si>
  <si>
    <t>Majestic 345kV to Milan 345kV</t>
  </si>
  <si>
    <t>S1066</t>
  </si>
  <si>
    <t>S1067</t>
  </si>
  <si>
    <t>Majestic- Lemoyne 345 kV</t>
  </si>
  <si>
    <t>S1068</t>
  </si>
  <si>
    <t>Cronk Road</t>
  </si>
  <si>
    <t>S1069</t>
  </si>
  <si>
    <t>Eureka to Vestaburg 138kV</t>
  </si>
  <si>
    <t>S1070</t>
  </si>
  <si>
    <t>ROUNDHOUSEJ1</t>
  </si>
  <si>
    <t>S1071</t>
  </si>
  <si>
    <t>Wever - Burlington 161 kV</t>
  </si>
  <si>
    <t>S1072</t>
  </si>
  <si>
    <t>Sherburne 345kV</t>
  </si>
  <si>
    <t>S1073</t>
  </si>
  <si>
    <t>Hopkins to Reid EVH 161kV</t>
  </si>
  <si>
    <t>S1074</t>
  </si>
  <si>
    <t>Ritchie Plant 230 kV Substation</t>
  </si>
  <si>
    <t>S1075</t>
  </si>
  <si>
    <t>Jasper and Starke</t>
  </si>
  <si>
    <t>Hinshaw 345 kV</t>
  </si>
  <si>
    <t>S1076</t>
  </si>
  <si>
    <t>Amite 115kV</t>
  </si>
  <si>
    <t>S1077</t>
  </si>
  <si>
    <t>Fayetteville Bee Hollow Road</t>
  </si>
  <si>
    <t>S1078</t>
  </si>
  <si>
    <t>S1079</t>
  </si>
  <si>
    <t>S1080</t>
  </si>
  <si>
    <t>S1081</t>
  </si>
  <si>
    <t>DU PONT - WHITE LAKE 138.0kV</t>
  </si>
  <si>
    <t>S1082</t>
  </si>
  <si>
    <t>S1083</t>
  </si>
  <si>
    <t>S1084</t>
  </si>
  <si>
    <t>Worthington</t>
  </si>
  <si>
    <t>S1085</t>
  </si>
  <si>
    <t>S1086</t>
  </si>
  <si>
    <t>Stoddard - Morley 161kV</t>
  </si>
  <si>
    <t>S1087</t>
  </si>
  <si>
    <t>Rock Creek 345 kV</t>
  </si>
  <si>
    <t>S1088</t>
  </si>
  <si>
    <t>GRE-BENTON 7 115kV</t>
  </si>
  <si>
    <t>S1090</t>
  </si>
  <si>
    <t>EAST PARIS</t>
  </si>
  <si>
    <t>S1091</t>
  </si>
  <si>
    <t>Adna 345 kV</t>
  </si>
  <si>
    <t>S1092</t>
  </si>
  <si>
    <t>Falcon</t>
  </si>
  <si>
    <t>S1093</t>
  </si>
  <si>
    <t>Mitchell County</t>
  </si>
  <si>
    <t>S1094</t>
  </si>
  <si>
    <t>BOB WHITE</t>
  </si>
  <si>
    <t>S1095</t>
  </si>
  <si>
    <t>S1096</t>
  </si>
  <si>
    <t>S1097</t>
  </si>
  <si>
    <t>Tilton Switchyard</t>
  </si>
  <si>
    <t>S1098</t>
  </si>
  <si>
    <t>Boswell 230kV</t>
  </si>
  <si>
    <t>S1100</t>
  </si>
  <si>
    <t>S1101</t>
  </si>
  <si>
    <t>S1102</t>
  </si>
  <si>
    <t>Walton 230</t>
  </si>
  <si>
    <t>S1103</t>
  </si>
  <si>
    <t>Aster 138kV Station</t>
  </si>
  <si>
    <t>S1104</t>
  </si>
  <si>
    <t>S1105</t>
  </si>
  <si>
    <t>S1107</t>
  </si>
  <si>
    <t>S1108</t>
  </si>
  <si>
    <t>LAGRANGE</t>
  </si>
  <si>
    <t>S1109</t>
  </si>
  <si>
    <t>Kossuth</t>
  </si>
  <si>
    <t>S1110</t>
  </si>
  <si>
    <t>S1111</t>
  </si>
  <si>
    <t>ORIENT</t>
  </si>
  <si>
    <t>S1112</t>
  </si>
  <si>
    <t>S1113</t>
  </si>
  <si>
    <t>S1114</t>
  </si>
  <si>
    <t>Alsey Generation Station</t>
  </si>
  <si>
    <t>S1116</t>
  </si>
  <si>
    <t>S1117</t>
  </si>
  <si>
    <t>Marston 161 kV</t>
  </si>
  <si>
    <t>S1120</t>
  </si>
  <si>
    <t>Edwardsport  - Washington Mun</t>
  </si>
  <si>
    <t>S1123</t>
  </si>
  <si>
    <t>S1125</t>
  </si>
  <si>
    <t>S1126</t>
  </si>
  <si>
    <t>S1127</t>
  </si>
  <si>
    <t>GERALD ANDRUS SES SWYD - TINNIN ROAD 230.0kV</t>
  </si>
  <si>
    <t>S1128</t>
  </si>
  <si>
    <t>343515 Chatham Main - 346555 North Aurburn (Ameren) 138.0kV</t>
  </si>
  <si>
    <t>S1129</t>
  </si>
  <si>
    <t>S1130</t>
  </si>
  <si>
    <t>S1131</t>
  </si>
  <si>
    <t>S1132</t>
  </si>
  <si>
    <t>North Creek 138kV Station</t>
  </si>
  <si>
    <t>S1133</t>
  </si>
  <si>
    <t>S1134</t>
  </si>
  <si>
    <t>TWINKLETOWN</t>
  </si>
  <si>
    <t>S1135</t>
  </si>
  <si>
    <t>S1136</t>
  </si>
  <si>
    <t>S1137</t>
  </si>
  <si>
    <t>S1138</t>
  </si>
  <si>
    <t>S1139</t>
  </si>
  <si>
    <t>S1140</t>
  </si>
  <si>
    <t>S1141</t>
  </si>
  <si>
    <t>TINNIN ROAD</t>
  </si>
  <si>
    <t>S1142</t>
  </si>
  <si>
    <t>S1143</t>
  </si>
  <si>
    <t>S1144</t>
  </si>
  <si>
    <t>S1145</t>
  </si>
  <si>
    <t>Harvest Wind Point Tap 120 kV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</si>
  <si>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</si>
  <si>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</si>
  <si>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</si>
  <si>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</si>
  <si>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</si>
  <si>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</si>
  <si>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</si>
  <si>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</si>
  <si>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</si>
  <si>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</si>
  <si>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</si>
  <si>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</si>
  <si>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</si>
  <si>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</si>
  <si>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</si>
  <si>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</si>
  <si>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</si>
  <si>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</si>
  <si>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</si>
  <si>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MIssissippi</t>
  </si>
  <si>
    <t>Dell - Manila 161 kV</t>
  </si>
  <si>
    <t>S1165</t>
  </si>
  <si>
    <t>S1166</t>
  </si>
  <si>
    <t>S1167</t>
  </si>
  <si>
    <t>Greenway 138 kV</t>
  </si>
  <si>
    <t>S1168</t>
  </si>
  <si>
    <t>Finks 138 kV</t>
  </si>
  <si>
    <t>S1169</t>
  </si>
  <si>
    <t>BOGALUSA - TALISHEEK (LAGEN) 230.0kV</t>
  </si>
  <si>
    <t>S1170</t>
  </si>
  <si>
    <t>HUTTIG SS - STRONG SS 115.0kV</t>
  </si>
  <si>
    <t>S1171</t>
  </si>
  <si>
    <t>White Bluff EHV 500MW</t>
  </si>
  <si>
    <t>Fuel Types</t>
  </si>
  <si>
    <t>Row Labels</t>
  </si>
  <si>
    <t>(blank)</t>
  </si>
  <si>
    <t>Grand Total</t>
  </si>
  <si>
    <t>Count of Project #</t>
  </si>
  <si>
    <t>Count of Fuel</t>
  </si>
  <si>
    <t>Mecosta County</t>
  </si>
  <si>
    <t>Midland County</t>
  </si>
  <si>
    <t>Racine County</t>
  </si>
  <si>
    <t>Hamilton County</t>
  </si>
  <si>
    <t>DeWitt County</t>
  </si>
  <si>
    <t>Grundy County</t>
  </si>
  <si>
    <t>Taylor County</t>
  </si>
  <si>
    <t>Drew County</t>
  </si>
  <si>
    <t>Waukesha County</t>
  </si>
  <si>
    <t>Covington County</t>
  </si>
  <si>
    <t>Adams County</t>
  </si>
  <si>
    <t>Quitman County</t>
  </si>
  <si>
    <t>Brown County</t>
  </si>
  <si>
    <t>St. Mary Parish</t>
  </si>
  <si>
    <t>Pointe Coupee Parish</t>
  </si>
  <si>
    <t>Steele County</t>
  </si>
  <si>
    <t>Meeker County</t>
  </si>
  <si>
    <t>Berrien County</t>
  </si>
  <si>
    <t>Codington County</t>
  </si>
  <si>
    <t>Emmons County</t>
  </si>
  <si>
    <t>McHenry County</t>
  </si>
  <si>
    <t>Vigo County</t>
  </si>
  <si>
    <t>Tippecanoe County</t>
  </si>
  <si>
    <t>Edgar County</t>
  </si>
  <si>
    <t>Peoria County</t>
  </si>
  <si>
    <t>Dickinson County</t>
  </si>
  <si>
    <t>Emmet County</t>
  </si>
  <si>
    <t>Jersey County</t>
  </si>
  <si>
    <t>County 3</t>
  </si>
  <si>
    <t>County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</si>
</sst>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8" formatCode="yyyy\-mm\-dd;@"/>
  </numFmts>
  <fonts count="20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7" fillId="33" borderId="0" xfId="0" applyFont="1" applyFill="1"/>
    <xf numFmtId="164" fontId="17" fillId="33" borderId="0" xfId="0" applyNumberFormat="1" applyFont="1" applyFill="1"/>
    <xf numFmtId="168" fontId="17" fillId="33" borderId="0" xfId="0" applyNumberFormat="1" applyFont="1" applyFill="1"/>
    <xf numFmtId="168" fontId="0" fillId="0" borderId="0" xfId="0" applyNumberFormat="1"/>
    <xf numFmtId="0" fontId="18" fillId="0" borderId="1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0" formatCode="General"/>
    </dxf>
    <dxf>
      <numFmt numFmtId="168" formatCode="yyyy\-mm\-dd;@"/>
    </dxf>
    <dxf>
      <numFmt numFmtId="168" formatCode="yyyy\-mm\-dd;@"/>
    </dxf>
    <dxf>
      <numFmt numFmtId="168" formatCode="yyyy\-mm\-dd;@"/>
    </dxf>
    <dxf>
      <numFmt numFmtId="168" formatCode="yyyy\-mm\-dd;@"/>
    </dxf>
    <dxf>
      <numFmt numFmtId="168" formatCode="yyyy\-mm\-dd;@"/>
    </dxf>
    <dxf>
      <numFmt numFmtId="168" formatCode="yyyy\-mm\-dd;@"/>
    </dxf>
    <dxf>
      <numFmt numFmtId="168" formatCode="yyyy\-mm\-dd;@"/>
    </dxf>
    <dxf>
      <numFmt numFmtId="168" formatCode="yyyy\-mm\-dd;@"/>
    </dxf>
    <dxf>
      <numFmt numFmtId="168" formatCode="yyyy\-mm\-dd;@"/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 Interactive Queue (1).xlsx]Fuel Types!PivotTable1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'Fuel Types'!$B$3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'Fuel Types'!$A$4:$A$64</c:f>
              <c:multiLvlStrCache>
                <c:ptCount val="45"/>
                <c:lvl>
                  <c:pt idx="0">
                    <c:v>Active</c:v>
                  </c:pt>
                  <c:pt idx="1">
                    <c:v>Done</c:v>
                  </c:pt>
                  <c:pt idx="2">
                    <c:v>Pending Revision Approval</c:v>
                  </c:pt>
                  <c:pt idx="3">
                    <c:v>Pending Transfer</c:v>
                  </c:pt>
                  <c:pt idx="4">
                    <c:v>Withdrawn</c:v>
                  </c:pt>
                  <c:pt idx="5">
                    <c:v>Active</c:v>
                  </c:pt>
                  <c:pt idx="6">
                    <c:v>Done</c:v>
                  </c:pt>
                  <c:pt idx="7">
                    <c:v>Withdrawn</c:v>
                  </c:pt>
                  <c:pt idx="8">
                    <c:v>Done</c:v>
                  </c:pt>
                  <c:pt idx="9">
                    <c:v>Withdrawn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Done</c:v>
                  </c:pt>
                  <c:pt idx="13">
                    <c:v>Withdrawn</c:v>
                  </c:pt>
                  <c:pt idx="14">
                    <c:v>Active</c:v>
                  </c:pt>
                  <c:pt idx="15">
                    <c:v>Done</c:v>
                  </c:pt>
                  <c:pt idx="16">
                    <c:v>Pending Revision Approval</c:v>
                  </c:pt>
                  <c:pt idx="17">
                    <c:v>Pending Transfer</c:v>
                  </c:pt>
                  <c:pt idx="18">
                    <c:v>Withdrawn</c:v>
                  </c:pt>
                  <c:pt idx="19">
                    <c:v>Withdrawn</c:v>
                  </c:pt>
                  <c:pt idx="20">
                    <c:v>Active</c:v>
                  </c:pt>
                  <c:pt idx="21">
                    <c:v>Done</c:v>
                  </c:pt>
                  <c:pt idx="22">
                    <c:v>Pending Revision Approval</c:v>
                  </c:pt>
                  <c:pt idx="23">
                    <c:v>Pending Transfer</c:v>
                  </c:pt>
                  <c:pt idx="24">
                    <c:v>Withdrawn</c:v>
                  </c:pt>
                  <c:pt idx="25">
                    <c:v>Active</c:v>
                  </c:pt>
                  <c:pt idx="26">
                    <c:v>Done</c:v>
                  </c:pt>
                  <c:pt idx="27">
                    <c:v>Withdrawn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Done</c:v>
                  </c:pt>
                  <c:pt idx="31">
                    <c:v>Pending Revision Approval</c:v>
                  </c:pt>
                  <c:pt idx="32">
                    <c:v>Withdrawn</c:v>
                  </c:pt>
                  <c:pt idx="33">
                    <c:v>Active</c:v>
                  </c:pt>
                  <c:pt idx="34">
                    <c:v>Done</c:v>
                  </c:pt>
                  <c:pt idx="35">
                    <c:v>Withdrawn</c:v>
                  </c:pt>
                  <c:pt idx="36">
                    <c:v>Active</c:v>
                  </c:pt>
                  <c:pt idx="37">
                    <c:v>Done</c:v>
                  </c:pt>
                  <c:pt idx="38">
                    <c:v>Pending Revision Approval</c:v>
                  </c:pt>
                  <c:pt idx="39">
                    <c:v>Withdrawn</c:v>
                  </c:pt>
                  <c:pt idx="40">
                    <c:v>Active</c:v>
                  </c:pt>
                  <c:pt idx="41">
                    <c:v>Done</c:v>
                  </c:pt>
                  <c:pt idx="42">
                    <c:v>Pending Transfer</c:v>
                  </c:pt>
                  <c:pt idx="43">
                    <c:v>Withdrawn</c:v>
                  </c:pt>
                  <c:pt idx="44">
                    <c:v>(blank)</c:v>
                  </c:pt>
                </c:lvl>
                <c:lvl>
                  <c:pt idx="0">
                    <c:v>Battery Storage</c:v>
                  </c:pt>
                  <c:pt idx="5">
                    <c:v>Biomass</c:v>
                  </c:pt>
                  <c:pt idx="6">
                    <c:v>Coal</c:v>
                  </c:pt>
                  <c:pt idx="8">
                    <c:v>Combined Cycle</c:v>
                  </c:pt>
                  <c:pt idx="10">
                    <c:v>Compressed Air Storage</c:v>
                  </c:pt>
                  <c:pt idx="11">
                    <c:v>Diesel</c:v>
                  </c:pt>
                  <c:pt idx="14">
                    <c:v>Gas</c:v>
                  </c:pt>
                  <c:pt idx="19">
                    <c:v>High Voltage DC</c:v>
                  </c:pt>
                  <c:pt idx="20">
                    <c:v>Hybrid</c:v>
                  </c:pt>
                  <c:pt idx="25">
                    <c:v>Hydro</c:v>
                  </c:pt>
                  <c:pt idx="28">
                    <c:v>Nuclear</c:v>
                  </c:pt>
                  <c:pt idx="29">
                    <c:v>Solar</c:v>
                  </c:pt>
                  <c:pt idx="33">
                    <c:v>Waste Heat Recovery</c:v>
                  </c:pt>
                  <c:pt idx="36">
                    <c:v>Wind</c:v>
                  </c:pt>
                  <c:pt idx="40">
                    <c:v>(blank)</c:v>
                  </c:pt>
                </c:lvl>
              </c:multiLvlStrCache>
            </c:multiLvlStrRef>
          </c:cat>
          <c:val>
            <c:numRef>
              <c:f>'Fuel Types'!$B$4:$B$64</c:f>
              <c:numCache>
                <c:formatCode>General</c:formatCode>
                <c:ptCount val="45"/>
                <c:pt idx="0">
                  <c:v>248</c:v>
                </c:pt>
                <c:pt idx="1">
                  <c:v>27</c:v>
                </c:pt>
                <c:pt idx="2">
                  <c:v>18</c:v>
                </c:pt>
                <c:pt idx="3">
                  <c:v>5</c:v>
                </c:pt>
                <c:pt idx="4">
                  <c:v>440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49</c:v>
                </c:pt>
                <c:pt idx="15">
                  <c:v>17</c:v>
                </c:pt>
                <c:pt idx="16">
                  <c:v>3</c:v>
                </c:pt>
                <c:pt idx="17">
                  <c:v>1</c:v>
                </c:pt>
                <c:pt idx="18">
                  <c:v>51</c:v>
                </c:pt>
                <c:pt idx="19">
                  <c:v>3</c:v>
                </c:pt>
                <c:pt idx="20">
                  <c:v>105</c:v>
                </c:pt>
                <c:pt idx="21">
                  <c:v>31</c:v>
                </c:pt>
                <c:pt idx="22">
                  <c:v>10</c:v>
                </c:pt>
                <c:pt idx="23">
                  <c:v>2</c:v>
                </c:pt>
                <c:pt idx="24">
                  <c:v>224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8</c:v>
                </c:pt>
                <c:pt idx="29">
                  <c:v>337</c:v>
                </c:pt>
                <c:pt idx="30">
                  <c:v>335</c:v>
                </c:pt>
                <c:pt idx="31">
                  <c:v>39</c:v>
                </c:pt>
                <c:pt idx="32">
                  <c:v>1052</c:v>
                </c:pt>
                <c:pt idx="33">
                  <c:v>2</c:v>
                </c:pt>
                <c:pt idx="34">
                  <c:v>1</c:v>
                </c:pt>
                <c:pt idx="35">
                  <c:v>3</c:v>
                </c:pt>
                <c:pt idx="36">
                  <c:v>134</c:v>
                </c:pt>
                <c:pt idx="37">
                  <c:v>62</c:v>
                </c:pt>
                <c:pt idx="38">
                  <c:v>7</c:v>
                </c:pt>
                <c:pt idx="39">
                  <c:v>318</c:v>
                </c:pt>
                <c:pt idx="40">
                  <c:v>143</c:v>
                </c:pt>
                <c:pt idx="41">
                  <c:v>82</c:v>
                </c:pt>
                <c:pt idx="42">
                  <c:v>1</c:v>
                </c:pt>
                <c:pt idx="4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1-174B-AC56-8ADB195E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68913407"/>
        <c:axId val="435180800"/>
      </c:barChart>
      <c:catAx>
        <c:axId val="156891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80800"/>
        <c:crosses val="autoZero"/>
        <c:auto val="1"/>
        <c:lblAlgn val="ctr"/>
        <c:lblOffset val="100"/>
        <c:noMultiLvlLbl val="0"/>
      </c:catAx>
      <c:valAx>
        <c:axId val="4351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1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</a:t>
            </a:r>
            <a:r>
              <a:rPr lang="en-US" baseline="0"/>
              <a:t> </a:t>
            </a:r>
            <a:r>
              <a:rPr lang="en-US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B8-B245-8502-0F958B081758}"/>
              </c:ext>
            </c:extLst>
          </c:dPt>
          <c:dPt>
            <c:idx val="1"/>
            <c:bubble3D val="0"/>
            <c:explosion val="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B8-B245-8502-0F958B081758}"/>
              </c:ext>
            </c:extLst>
          </c:dPt>
          <c:dPt>
            <c:idx val="2"/>
            <c:bubble3D val="0"/>
            <c:explosion val="6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8-B245-8502-0F958B08175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FB8-B245-8502-0F958B081758}"/>
              </c:ext>
            </c:extLst>
          </c:dPt>
          <c:dPt>
            <c:idx val="4"/>
            <c:bubble3D val="0"/>
            <c:explosion val="6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B8-B245-8502-0F958B081758}"/>
              </c:ext>
            </c:extLst>
          </c:dPt>
          <c:dLbls>
            <c:dLbl>
              <c:idx val="0"/>
              <c:layout>
                <c:manualLayout>
                  <c:x val="2.2904692832091685E-2"/>
                  <c:y val="-2.3315840846726048E-2"/>
                </c:manualLayout>
              </c:layout>
              <c:tx>
                <c:rich>
                  <a:bodyPr/>
                  <a:lstStyle/>
                  <a:p>
                    <a:fld id="{7994FAD0-92E8-0E4D-B028-499E02DF332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AF28DE0B-EFF0-9C4F-A1C8-11F6BCFB97D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FB8-B245-8502-0F958B081758}"/>
                </c:ext>
              </c:extLst>
            </c:dLbl>
            <c:dLbl>
              <c:idx val="1"/>
              <c:layout>
                <c:manualLayout>
                  <c:x val="4.3224687999232306E-2"/>
                  <c:y val="-4.19699219667196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B8-B245-8502-0F958B081758}"/>
                </c:ext>
              </c:extLst>
            </c:dLbl>
            <c:dLbl>
              <c:idx val="2"/>
              <c:layout>
                <c:manualLayout>
                  <c:x val="6.3615451945192483E-2"/>
                  <c:y val="-6.66365704718894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B8-B245-8502-0F958B081758}"/>
                </c:ext>
              </c:extLst>
            </c:dLbl>
            <c:dLbl>
              <c:idx val="4"/>
              <c:layout>
                <c:manualLayout>
                  <c:x val="-1.5102752390935555E-2"/>
                  <c:y val="-3.93229764617734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B8-B245-8502-0F958B08175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Status!$A$4:$A$8</c:f>
              <c:strCache>
                <c:ptCount val="5"/>
                <c:pt idx="0">
                  <c:v>Active</c:v>
                </c:pt>
                <c:pt idx="1">
                  <c:v>Done</c:v>
                </c:pt>
                <c:pt idx="2">
                  <c:v>Pending Revision Approval</c:v>
                </c:pt>
                <c:pt idx="3">
                  <c:v>Pending Transfer</c:v>
                </c:pt>
                <c:pt idx="4">
                  <c:v>Withdrawn</c:v>
                </c:pt>
              </c:strCache>
            </c:strRef>
          </c:cat>
          <c:val>
            <c:numRef>
              <c:f>Status!$F$4:$F$8</c:f>
              <c:numCache>
                <c:formatCode>0%</c:formatCode>
                <c:ptCount val="5"/>
                <c:pt idx="0">
                  <c:v>0.24957794034890265</c:v>
                </c:pt>
                <c:pt idx="1">
                  <c:v>0.13534046145188519</c:v>
                </c:pt>
                <c:pt idx="2">
                  <c:v>2.1665728756330896E-2</c:v>
                </c:pt>
                <c:pt idx="3">
                  <c:v>2.2509848058525606E-3</c:v>
                </c:pt>
                <c:pt idx="4">
                  <c:v>0.59116488463702865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Status!$A$4:$A$8</c15:f>
                <c15:dlblRangeCache>
                  <c:ptCount val="5"/>
                  <c:pt idx="0">
                    <c:v>Active</c:v>
                  </c:pt>
                  <c:pt idx="1">
                    <c:v>Done</c:v>
                  </c:pt>
                  <c:pt idx="2">
                    <c:v>Pending Revision Approval</c:v>
                  </c:pt>
                  <c:pt idx="3">
                    <c:v>Pending Transfer</c:v>
                  </c:pt>
                  <c:pt idx="4">
                    <c:v>Withdrawn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FB8-B245-8502-0F958B0817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817218</xdr:colOff>
      <xdr:row>2</xdr:row>
      <xdr:rowOff>132522</xdr:rowOff>
    </xdr:from>
    <xdr:to>
      <xdr:col>11</xdr:col>
      <xdr:colOff>640522</xdr:colOff>
      <xdr:row>33</xdr:row>
      <xdr:rowOff>110435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388A4-2EB3-7CF4-4678-61DF64D5D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754743</xdr:colOff>
      <xdr:row>2</xdr:row>
      <xdr:rowOff>155682</xdr:rowOff>
    </xdr:from>
    <xdr:to>
      <xdr:col>20</xdr:col>
      <xdr:colOff>176389</xdr:colOff>
      <xdr:row>40</xdr:row>
      <xdr:rowOff>47037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CD8B2-9CFC-EE7B-F4E4-9C8B90C1C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eline Frank" refreshedDate="46275.396205324076" createdVersion="8" refreshedVersion="8" minRefreshableVersion="3" recordCount="3827" xr:uid="{165D3C5C-3044-D74F-B7C4-7403351972B6}">
  <cacheSource type="worksheet">
    <worksheetSource name="Table1"/>
  </cacheSource>
  <cacheFields count="26">
    <cacheField name="Project #" numFmtId="0">
      <sharedItems containsBlank="1"/>
    </cacheField>
    <cacheField name="Request Status" numFmtId="0">
      <sharedItems containsBlank="1" count="7">
        <s v="Done"/>
        <s v="Withdrawn"/>
        <s v="Active"/>
        <s v="Pending Transfer"/>
        <s v="Pending Revision Approval"/>
        <m/>
        <s v="LEGACY: Done" u="1"/>
      </sharedItems>
    </cacheField>
    <cacheField name="Queue Date" numFmtId="168">
      <sharedItems containsNonDate="0" containsDate="1" containsString="0" containsBlank="1" minDate="2015-04-15T00:00:00" maxDate="2026-08-18T00:00:00"/>
    </cacheField>
    <cacheField name="Withdrawn Date" numFmtId="168">
      <sharedItems containsNonDate="0" containsDate="1" containsString="0" containsBlank="1" minDate="2017-02-17T00:00:00" maxDate="2026-08-26T00:00:00"/>
    </cacheField>
    <cacheField name="Done Date" numFmtId="168">
      <sharedItems containsNonDate="0" containsDate="1" containsString="0" containsBlank="1" minDate="2018-01-24T00:00:00" maxDate="2023-03-08T00:00:00"/>
    </cacheField>
    <cacheField name="Appl In Service Date" numFmtId="168">
      <sharedItems containsNonDate="0" containsDate="1" containsString="0" containsBlank="1" minDate="1990-03-01T00:00:00" maxDate="2032-11-01T00:00:00"/>
    </cacheField>
    <cacheField name="Transmission Owner" numFmtId="0">
      <sharedItems containsBlank="1"/>
    </cacheField>
    <cacheField name="County" numFmtId="0">
      <sharedItems containsBlank="1"/>
    </cacheField>
    <cacheField name="County 2" numFmtId="0">
      <sharedItems containsBlank="1"/>
    </cacheField>
    <cacheField name="County 3" numFmtId="0">
      <sharedItems containsBlank="1"/>
    </cacheField>
    <cacheField name="State" numFmtId="0">
      <sharedItems containsBlank="1"/>
    </cacheField>
    <cacheField name="Study Cycle" numFmtId="0">
      <sharedItems containsBlank="1"/>
    </cacheField>
    <cacheField name="Study Group" numFmtId="0">
      <sharedItems containsBlank="1"/>
    </cacheField>
    <cacheField name="Study Phase" numFmtId="0">
      <sharedItems containsBlank="1"/>
    </cacheField>
    <cacheField name="Service Type" numFmtId="0">
      <sharedItems containsBlank="1"/>
    </cacheField>
    <cacheField name="POI Name" numFmtId="0">
      <sharedItems containsBlank="1"/>
    </cacheField>
    <cacheField name="Summer MW" numFmtId="0">
      <sharedItems containsString="0" containsBlank="1" containsNumber="1" minValue="0" maxValue="2220"/>
    </cacheField>
    <cacheField name="Winter MW" numFmtId="0">
      <sharedItems containsString="0" containsBlank="1" containsNumber="1" minValue="0" maxValue="2220"/>
    </cacheField>
    <cacheField name="Fuel" numFmtId="0">
      <sharedItems containsBlank="1" count="15">
        <s v="Solar"/>
        <s v="Wind"/>
        <s v="Battery Storage"/>
        <s v="Gas"/>
        <s v="Coal"/>
        <s v="Hybrid"/>
        <s v="Hydro"/>
        <s v="Waste Heat Recovery"/>
        <m/>
        <s v="Diesel"/>
        <s v="High Voltage DC"/>
        <s v="Nuclear"/>
        <s v="Biomass"/>
        <s v="Combined Cycle"/>
        <s v="Compressed Air Storage"/>
      </sharedItems>
    </cacheField>
    <cacheField name="Generating Facility" numFmtId="0">
      <sharedItems containsBlank="1"/>
    </cacheField>
    <cacheField name="Post GIA Status" numFmtId="0">
      <sharedItems containsBlank="1"/>
    </cacheField>
    <cacheField name="Negotiated In Service Date" numFmtId="168">
      <sharedItems containsNonDate="0" containsDate="1" containsString="0" containsBlank="1" minDate="1990-12-03T00:00:00" maxDate="2030-06-02T00:00:00"/>
    </cacheField>
    <cacheField name="Decision Point 1 ERIS MW" numFmtId="0">
      <sharedItems containsString="0" containsBlank="1" containsNumber="1" minValue="0" maxValue="2200"/>
    </cacheField>
    <cacheField name="Decision Point 1 NRIS MW" numFmtId="0">
      <sharedItems containsString="0" containsBlank="1" containsNumber="1" minValue="0" maxValue="2200"/>
    </cacheField>
    <cacheField name="Decision Point 2 ERIS MW" numFmtId="0">
      <sharedItems containsString="0" containsBlank="1" containsNumber="1" minValue="0" maxValue="1209"/>
    </cacheField>
    <cacheField name="Decision Point 2 NRIS MW" numFmtId="0">
      <sharedItems containsString="0" containsBlank="1" containsNumber="1" minValue="0" maxValue="1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7">
  <r>
    <s v="J1000"/>
    <x v="0"/>
    <d v="2018-03-12T00:00:00"/>
    <m/>
    <d v="2021-04-02T00:00:00"/>
    <d v="2021-10-01T00:00:00"/>
    <s v="American Transmission Co. LLC"/>
    <s v="Grant County"/>
    <m/>
    <m/>
    <s v="WI"/>
    <s v="DPP-2018-APR"/>
    <s v="East (ATC)"/>
    <s v="GIA"/>
    <s v="NRIS"/>
    <s v="Nelson Dewey - Lancaster 138kV Line"/>
    <n v="50"/>
    <n v="50"/>
    <x v="0"/>
    <s v="Photovoltaic"/>
    <s v="In Service"/>
    <d v="2023-03-27T00:00:00"/>
    <n v="50"/>
    <n v="50"/>
    <n v="50"/>
    <n v="50"/>
  </r>
  <r>
    <s v="J1001"/>
    <x v="1"/>
    <d v="2018-03-12T00:00:00"/>
    <d v="2021-03-09T00:00:00"/>
    <m/>
    <d v="2020-09-01T00:00:00"/>
    <s v="NORTHERN STATES POWER COMPANY"/>
    <s v="Lincoln County"/>
    <m/>
    <m/>
    <s v="MN"/>
    <s v="DPP-2018-APR"/>
    <s v="West"/>
    <s v="GIA"/>
    <s v="NRIS"/>
    <s v="Buffalo Ridge 115kV Substation"/>
    <n v="40"/>
    <n v="40"/>
    <x v="0"/>
    <s v="Photovoltaic"/>
    <s v="Not Started"/>
    <m/>
    <n v="40"/>
    <n v="40"/>
    <n v="0"/>
    <n v="0"/>
  </r>
  <r>
    <s v="J1002"/>
    <x v="0"/>
    <d v="2018-03-12T00:00:00"/>
    <m/>
    <d v="2021-05-05T00:00:00"/>
    <d v="2021-10-01T00:00:00"/>
    <s v="American Transmission Co. LLC"/>
    <s v="Waushara County"/>
    <m/>
    <m/>
    <s v="WI"/>
    <s v="DPP-2018-APR"/>
    <s v="East (ATC)"/>
    <s v="GIA"/>
    <s v="NRIS"/>
    <s v="Wautoma 138kV Switchyard"/>
    <n v="99"/>
    <n v="99"/>
    <x v="0"/>
    <s v="Photovoltaic"/>
    <s v="In Service"/>
    <d v="2023-01-26T00:00:00"/>
    <n v="99"/>
    <n v="99"/>
    <n v="99"/>
    <n v="99"/>
  </r>
  <r>
    <s v="J1003"/>
    <x v="0"/>
    <d v="2018-03-12T00:00:00"/>
    <m/>
    <d v="2021-05-05T00:00:00"/>
    <d v="2021-10-01T00:00:00"/>
    <s v="American Transmission Co. LLC"/>
    <s v="Dodge County"/>
    <m/>
    <m/>
    <s v="WI"/>
    <s v="DPP-2018-APR"/>
    <s v="East (ATC)"/>
    <s v="GIA"/>
    <s v="NRIS"/>
    <s v="North Beaver Dam 69 kV Substation"/>
    <n v="50"/>
    <n v="50"/>
    <x v="0"/>
    <s v="Photovoltaic"/>
    <s v="In Service"/>
    <d v="2023-06-06T00:00:00"/>
    <n v="50"/>
    <n v="50"/>
    <n v="50"/>
    <n v="50"/>
  </r>
  <r>
    <s v="J1004"/>
    <x v="1"/>
    <d v="2018-03-12T00:00:00"/>
    <d v="2018-11-01T00:00:00"/>
    <m/>
    <d v="2020-09-01T00:00:00"/>
    <s v="METC"/>
    <s v="Mecosta County"/>
    <s v="Montcalm County"/>
    <m/>
    <s v="MI"/>
    <s v="DPP-2018-APR"/>
    <s v="East (ITC)"/>
    <s v="GIA"/>
    <s v="NRIS"/>
    <s v="Kenowa - Nelson Road 345kV Line Tap"/>
    <n v="800"/>
    <n v="800"/>
    <x v="1"/>
    <s v="Wind Turbine"/>
    <s v="Not Started"/>
    <m/>
    <n v="0"/>
    <n v="0"/>
    <n v="0"/>
    <n v="0"/>
  </r>
  <r>
    <s v="J1005"/>
    <x v="1"/>
    <d v="2018-03-12T00:00:00"/>
    <d v="2020-06-30T00:00:00"/>
    <m/>
    <d v="2021-09-01T00:00:00"/>
    <s v="METC"/>
    <s v="Midland County"/>
    <s v="Saginaw County"/>
    <m/>
    <s v="MI"/>
    <s v="DPP-2018-APR"/>
    <s v="East (ITC)"/>
    <s v="GIA"/>
    <s v="NRIS"/>
    <s v="Murphy 345kV Substation"/>
    <n v="200"/>
    <n v="200"/>
    <x v="0"/>
    <s v="Photovoltaic"/>
    <s v="Not Started"/>
    <m/>
    <n v="200"/>
    <n v="200"/>
    <n v="0"/>
    <n v="0"/>
  </r>
  <r>
    <s v="J1006"/>
    <x v="1"/>
    <d v="2018-03-12T00:00:00"/>
    <d v="2020-03-25T00:00:00"/>
    <m/>
    <d v="2020-09-01T00:00:00"/>
    <s v="NORTHERN STATES POWER COMPANY"/>
    <s v="Brookings County"/>
    <m/>
    <m/>
    <s v="SD"/>
    <s v="DPP-2018-APR"/>
    <s v="West"/>
    <s v="GIA"/>
    <s v="NRIS"/>
    <s v="Brookings - Yankee 115kV Line Tap"/>
    <n v="100"/>
    <n v="100"/>
    <x v="0"/>
    <s v="Photovoltaic"/>
    <s v="Not Started"/>
    <m/>
    <n v="0"/>
    <n v="0"/>
    <n v="0"/>
    <n v="0"/>
  </r>
  <r>
    <s v="J1007"/>
    <x v="0"/>
    <d v="2018-03-12T00:00:00"/>
    <m/>
    <d v="2020-08-12T00:00:00"/>
    <d v="2021-09-01T00:00:00"/>
    <s v="ENTERGY ARKANSAS, LLC"/>
    <s v="Crittenden County"/>
    <m/>
    <m/>
    <s v="AR"/>
    <s v="DPP-2018-APR"/>
    <s v="South"/>
    <s v="GIA"/>
    <s v="NRIS"/>
    <s v="Marion - Marked Tree 161kV Line Tap"/>
    <n v="200"/>
    <n v="200"/>
    <x v="0"/>
    <s v="Photovoltaic"/>
    <s v="Under Construction"/>
    <d v="2023-06-01T00:00:00"/>
    <n v="200"/>
    <n v="200"/>
    <n v="180"/>
    <n v="180"/>
  </r>
  <r>
    <s v="J1008"/>
    <x v="1"/>
    <d v="2018-03-12T00:00:00"/>
    <d v="2020-03-25T00:00:00"/>
    <m/>
    <d v="2020-09-01T00:00:00"/>
    <s v="ITC MIDWEST"/>
    <s v="Faribault County"/>
    <m/>
    <m/>
    <s v="MN"/>
    <s v="DPP-2018-APR"/>
    <s v="West"/>
    <s v="GIA"/>
    <s v="NRIS"/>
    <s v="Blue Earth IPL - Blue Earth 69kV Line Tap"/>
    <n v="50"/>
    <n v="50"/>
    <x v="0"/>
    <s v="Photovoltaic"/>
    <s v="Not Started"/>
    <m/>
    <n v="0"/>
    <n v="0"/>
    <n v="0"/>
    <n v="0"/>
  </r>
  <r>
    <s v="J1009"/>
    <x v="1"/>
    <d v="2018-03-12T00:00:00"/>
    <d v="2020-05-19T00:00:00"/>
    <m/>
    <d v="2020-09-01T00:00:00"/>
    <s v="American Transmission Co. LLC"/>
    <s v="Kenosha County"/>
    <s v="Racine County"/>
    <m/>
    <s v="WI"/>
    <s v="DPP-2018-APR"/>
    <s v="East (ATC)"/>
    <s v="GIA"/>
    <s v="NRIS"/>
    <s v="Pleasant Prairie - Racine 345kV Line Tap"/>
    <n v="400"/>
    <n v="400"/>
    <x v="0"/>
    <s v="Photovoltaic"/>
    <s v="Not Started"/>
    <m/>
    <n v="400"/>
    <n v="400"/>
    <n v="0"/>
    <n v="0"/>
  </r>
  <r>
    <s v="J1010"/>
    <x v="1"/>
    <d v="2018-03-12T00:00:00"/>
    <d v="2020-05-19T00:00:00"/>
    <m/>
    <d v="2020-09-01T00:00:00"/>
    <s v="American Transmission Co. LLC"/>
    <s v="Kenosha County"/>
    <s v="Racine County"/>
    <m/>
    <s v="WI"/>
    <s v="DPP-2018-APR"/>
    <s v="East (ATC)"/>
    <s v="GIA"/>
    <s v="NRIS"/>
    <s v="Arcadian - Zion 345kV Line Tap"/>
    <n v="400"/>
    <n v="400"/>
    <x v="0"/>
    <s v="Photovoltaic"/>
    <s v="Not Started"/>
    <m/>
    <n v="400"/>
    <n v="400"/>
    <n v="0"/>
    <n v="0"/>
  </r>
  <r>
    <s v="J1011"/>
    <x v="1"/>
    <d v="2018-03-12T00:00:00"/>
    <d v="2020-05-19T00:00:00"/>
    <m/>
    <d v="2022-09-01T00:00:00"/>
    <s v="American Transmission Co. LLC"/>
    <s v="Kenosha County"/>
    <s v="Racine County"/>
    <m/>
    <s v="WI"/>
    <s v="DPP-2018-APR"/>
    <s v="East (ATC)"/>
    <s v="GIA"/>
    <s v="NRIS"/>
    <s v="Arcadian - Zion 345kV Line Tap"/>
    <n v="400"/>
    <n v="400"/>
    <x v="0"/>
    <s v="Photovoltaic"/>
    <s v="Not Started"/>
    <m/>
    <n v="400"/>
    <n v="400"/>
    <n v="0"/>
    <n v="0"/>
  </r>
  <r>
    <s v="J1012"/>
    <x v="1"/>
    <d v="2018-03-12T00:00:00"/>
    <d v="2019-03-28T00:00:00"/>
    <m/>
    <d v="2021-09-01T00:00:00"/>
    <s v="PRAIRIE POWER, INC."/>
    <s v="Scott County"/>
    <m/>
    <m/>
    <s v="IL"/>
    <s v="DPP-2018-APR"/>
    <s v="Central"/>
    <s v="GIA"/>
    <s v="NRIS"/>
    <s v="Jacksonville Ind. Park - Winchester 138kV Line Tap"/>
    <n v="100"/>
    <n v="100"/>
    <x v="0"/>
    <s v="Photovoltaic"/>
    <s v="Not Started"/>
    <m/>
    <n v="0"/>
    <n v="0"/>
    <n v="0"/>
    <n v="0"/>
  </r>
  <r>
    <s v="J1013"/>
    <x v="1"/>
    <d v="2018-03-12T00:00:00"/>
    <d v="2019-12-02T00:00:00"/>
    <m/>
    <d v="2021-09-01T00:00:00"/>
    <s v="METC"/>
    <s v="Branch County"/>
    <m/>
    <m/>
    <s v="MI"/>
    <s v="DPP-2018-APR"/>
    <s v="East (ITC)"/>
    <s v="GIA"/>
    <s v="NRIS"/>
    <s v="Batavia 138kV Substation"/>
    <n v="80"/>
    <n v="80"/>
    <x v="0"/>
    <s v="Photovoltaic"/>
    <s v="Not Started"/>
    <m/>
    <n v="0"/>
    <n v="0"/>
    <n v="0"/>
    <n v="0"/>
  </r>
  <r>
    <s v="J1014"/>
    <x v="1"/>
    <d v="2018-03-12T00:00:00"/>
    <d v="2019-12-02T00:00:00"/>
    <m/>
    <d v="2021-09-01T00:00:00"/>
    <s v="METC"/>
    <s v="Jackson County"/>
    <m/>
    <m/>
    <s v="MI"/>
    <s v="DPP-2018-APR"/>
    <s v="East (ITC)"/>
    <s v="GIA"/>
    <s v="NRIS"/>
    <s v="Tompkins - Blackstone 138kV Line"/>
    <n v="80"/>
    <n v="80"/>
    <x v="0"/>
    <s v="Photovoltaic"/>
    <s v="Not Started"/>
    <m/>
    <n v="0"/>
    <n v="0"/>
    <n v="0"/>
    <n v="0"/>
  </r>
  <r>
    <s v="J1015"/>
    <x v="1"/>
    <d v="2018-03-12T00:00:00"/>
    <d v="2019-03-27T00:00:00"/>
    <m/>
    <d v="2020-09-01T00:00:00"/>
    <s v="METC"/>
    <s v="Otsego County"/>
    <m/>
    <m/>
    <s v="MI"/>
    <s v="DPP-2018-APR"/>
    <s v="East (ITC)"/>
    <s v="GIA"/>
    <s v="NRIS"/>
    <s v="Gaylord 138kV Substation"/>
    <n v="80"/>
    <n v="80"/>
    <x v="0"/>
    <s v="Photovoltaic"/>
    <s v="Not Started"/>
    <m/>
    <n v="0"/>
    <n v="0"/>
    <n v="0"/>
    <n v="0"/>
  </r>
  <r>
    <s v="J1016"/>
    <x v="1"/>
    <d v="2018-03-12T00:00:00"/>
    <d v="2020-01-06T00:00:00"/>
    <m/>
    <d v="2021-09-01T00:00:00"/>
    <s v="Southern Indiana Gas &amp; Electric Company d/b/a Vectren Energy Delivery of Indiana, Inc."/>
    <s v="Gibson County"/>
    <m/>
    <m/>
    <s v="IN"/>
    <s v="DPP-2018-APR"/>
    <s v="Central"/>
    <s v="GIA"/>
    <s v="NRIS"/>
    <s v="Francisco - Toyota Z75 138kV Line Tap"/>
    <n v="50"/>
    <n v="50"/>
    <x v="0"/>
    <s v="Photovoltaic"/>
    <s v="Not Started"/>
    <m/>
    <n v="0"/>
    <n v="0"/>
    <n v="0"/>
    <n v="0"/>
  </r>
  <r>
    <s v="J1017"/>
    <x v="1"/>
    <d v="2018-03-12T00:00:00"/>
    <d v="2018-10-03T00:00:00"/>
    <m/>
    <d v="2021-09-01T00:00:00"/>
    <s v="DUKE ENERGY INDIANA, LLC"/>
    <s v="Carroll County"/>
    <s v="White County"/>
    <m/>
    <s v="IN"/>
    <s v="DPP-2018-APR"/>
    <s v="Central"/>
    <s v="GIA"/>
    <s v="NRIS"/>
    <s v="Springboro 138 kV Substation"/>
    <n v="125"/>
    <n v="125"/>
    <x v="1"/>
    <s v="Wind Turbine"/>
    <s v="Not Started"/>
    <m/>
    <n v="0"/>
    <n v="0"/>
    <n v="0"/>
    <n v="0"/>
  </r>
  <r>
    <s v="J1018"/>
    <x v="1"/>
    <d v="2018-03-12T00:00:00"/>
    <d v="2018-10-03T00:00:00"/>
    <m/>
    <d v="2021-09-01T00:00:00"/>
    <s v="DUKE ENERGY INDIANA, LLC"/>
    <s v="Miami County"/>
    <m/>
    <m/>
    <s v="IN"/>
    <s v="DPP-2018-APR"/>
    <s v="Central"/>
    <s v="GIA"/>
    <s v="NRIS"/>
    <s v="Peru South East - Greentown 230 kV Line Tap"/>
    <n v="150"/>
    <n v="150"/>
    <x v="1"/>
    <s v="Wind Turbine"/>
    <s v="Not Started"/>
    <m/>
    <n v="0"/>
    <n v="0"/>
    <n v="0"/>
    <n v="0"/>
  </r>
  <r>
    <s v="J1019"/>
    <x v="1"/>
    <d v="2018-03-12T00:00:00"/>
    <d v="2018-10-03T00:00:00"/>
    <m/>
    <d v="2021-09-01T00:00:00"/>
    <s v="Ameren Missouri"/>
    <s v="Boone County"/>
    <m/>
    <m/>
    <s v="MO"/>
    <s v="DPP-2018-APR"/>
    <s v="Central"/>
    <s v="GIA"/>
    <s v="NRIS"/>
    <s v="Overton - McCredie 345 kV Line Tap"/>
    <n v="150"/>
    <n v="150"/>
    <x v="1"/>
    <s v="Wind Turbine"/>
    <s v="Not Started"/>
    <m/>
    <n v="0"/>
    <n v="0"/>
    <n v="0"/>
    <n v="0"/>
  </r>
  <r>
    <s v="J1020"/>
    <x v="1"/>
    <d v="2018-03-12T00:00:00"/>
    <d v="2020-01-24T00:00:00"/>
    <m/>
    <d v="2022-09-01T00:00:00"/>
    <s v="COOPERATIVE ENERGY"/>
    <s v="Jasper County"/>
    <m/>
    <m/>
    <s v="MS"/>
    <s v="DPP-2018-APR"/>
    <s v="South"/>
    <s v="GIA"/>
    <s v="NRIS"/>
    <s v="Missionary 230kV Substation"/>
    <n v="250"/>
    <n v="250"/>
    <x v="0"/>
    <s v="Photovoltaic"/>
    <s v="Not Started"/>
    <m/>
    <n v="250"/>
    <n v="250"/>
    <n v="0"/>
    <n v="0"/>
  </r>
  <r>
    <s v="J1021"/>
    <x v="1"/>
    <d v="2018-03-12T00:00:00"/>
    <d v="2020-01-02T00:00:00"/>
    <m/>
    <d v="2021-09-01T00:00:00"/>
    <s v="AMEREN ILLINOIS"/>
    <s v="Piatt County"/>
    <m/>
    <m/>
    <s v="IL"/>
    <s v="DPP-2018-APR"/>
    <s v="Central"/>
    <s v="GIA"/>
    <s v="NRIS"/>
    <s v="Goose Creek 345kV Switchyard"/>
    <n v="200"/>
    <n v="200"/>
    <x v="1"/>
    <s v="Wind Turbine"/>
    <s v="Not Started"/>
    <m/>
    <n v="0"/>
    <n v="0"/>
    <n v="0"/>
    <n v="0"/>
  </r>
  <r>
    <s v="J1022"/>
    <x v="0"/>
    <d v="2018-03-12T00:00:00"/>
    <m/>
    <d v="2021-10-12T00:00:00"/>
    <d v="2021-08-01T00:00:00"/>
    <s v="AMEREN ILLINOIS"/>
    <s v="McLean County"/>
    <m/>
    <m/>
    <s v="IL"/>
    <s v="DPP-2018-APR"/>
    <s v="Central"/>
    <s v="GIA"/>
    <s v="ERIS"/>
    <s v="Weedman Substation 138kV Bus"/>
    <n v="150"/>
    <n v="150"/>
    <x v="1"/>
    <s v="Wind Turbine"/>
    <s v="In Service"/>
    <d v="2022-05-27T00:00:00"/>
    <n v="150"/>
    <n v="150"/>
    <n v="150"/>
    <n v="0"/>
  </r>
  <r>
    <s v="J1023"/>
    <x v="1"/>
    <d v="2018-03-12T00:00:00"/>
    <d v="2019-08-29T00:00:00"/>
    <m/>
    <d v="2021-07-31T00:00:00"/>
    <s v="ENTERGY ARKANSAS, LLC"/>
    <s v="Mississippi County"/>
    <m/>
    <m/>
    <s v="AR"/>
    <s v="DPP-2018-APR"/>
    <s v="South"/>
    <s v="GIA"/>
    <s v="NRIS"/>
    <s v="Osceola - Wilson 161 kV Line Tap"/>
    <n v="82"/>
    <n v="82"/>
    <x v="0"/>
    <s v="Photovoltaic"/>
    <s v="Not Started"/>
    <m/>
    <n v="0"/>
    <n v="0"/>
    <n v="0"/>
    <n v="0"/>
  </r>
  <r>
    <s v="J1024"/>
    <x v="1"/>
    <d v="2018-03-12T00:00:00"/>
    <d v="2021-03-09T00:00:00"/>
    <m/>
    <d v="2022-09-30T00:00:00"/>
    <s v="MIDAMERICAN ENERGY COMPANY"/>
    <s v="Nodaway County"/>
    <m/>
    <m/>
    <s v="MO"/>
    <s v="DPP-2018-APR"/>
    <s v="West"/>
    <s v="GIA"/>
    <s v="NRIS"/>
    <s v="Maryville - Clarinda 161 kV Line Tap"/>
    <n v="200"/>
    <n v="200"/>
    <x v="1"/>
    <s v="Wind Turbine"/>
    <s v="Not Started"/>
    <m/>
    <n v="200"/>
    <n v="200"/>
    <n v="0"/>
    <n v="0"/>
  </r>
  <r>
    <s v="J1025"/>
    <x v="0"/>
    <d v="2018-03-12T00:00:00"/>
    <m/>
    <d v="2022-04-04T00:00:00"/>
    <d v="2023-04-01T00:00:00"/>
    <s v="AMEREN TRANSMISSION COMPANY OF ILLINOIS"/>
    <s v="Knox County"/>
    <m/>
    <m/>
    <s v="MO"/>
    <s v="DPP-2018-APR"/>
    <s v="Central"/>
    <s v="GIA"/>
    <s v="NRIS"/>
    <s v="Zachary - Maywood 345 kV Line Tap"/>
    <n v="300"/>
    <n v="300"/>
    <x v="1"/>
    <s v="Wind Turbine"/>
    <s v="Not Started"/>
    <d v="2025-06-01T00:00:00"/>
    <n v="300"/>
    <n v="300"/>
    <n v="290"/>
    <n v="290"/>
  </r>
  <r>
    <s v="J1026"/>
    <x v="0"/>
    <d v="2018-03-12T00:00:00"/>
    <m/>
    <d v="2022-04-01T00:00:00"/>
    <d v="2020-09-30T00:00:00"/>
    <s v="Ameren Missouri"/>
    <s v="Audrain County"/>
    <s v="Ralls County"/>
    <m/>
    <s v="MO"/>
    <s v="DPP-2018-APR"/>
    <s v="Central"/>
    <s v="GIA"/>
    <s v="NRIS"/>
    <s v="Spencer Creek 345 kV Substation"/>
    <n v="400"/>
    <n v="400"/>
    <x v="1"/>
    <s v="Wind Turbine"/>
    <s v="Not Started"/>
    <d v="2023-06-01T00:00:00"/>
    <n v="400"/>
    <n v="350"/>
    <n v="380"/>
    <n v="265"/>
  </r>
  <r>
    <s v="J1027"/>
    <x v="0"/>
    <d v="2018-03-12T00:00:00"/>
    <m/>
    <m/>
    <d v="2021-01-02T00:00:00"/>
    <s v="HOOSIER ENERGY"/>
    <s v="Pike County"/>
    <m/>
    <m/>
    <s v="IN"/>
    <s v="DPP-2018-APR"/>
    <s v="Central"/>
    <s v="GIA"/>
    <s v="NRIS"/>
    <s v="Ratts 161 kV Substation"/>
    <n v="150"/>
    <n v="150"/>
    <x v="0"/>
    <s v="Photovoltaic"/>
    <s v="Not Started"/>
    <d v="2022-11-15T00:00:00"/>
    <n v="150"/>
    <n v="150"/>
    <n v="150"/>
    <n v="150"/>
  </r>
  <r>
    <s v="J1028"/>
    <x v="0"/>
    <d v="2018-03-12T00:00:00"/>
    <m/>
    <m/>
    <d v="2021-01-02T00:00:00"/>
    <s v="HOOSIER ENERGY"/>
    <s v="Pike County"/>
    <m/>
    <m/>
    <s v="IN"/>
    <s v="DPP-2018-APR"/>
    <s v="Central"/>
    <s v="GIA"/>
    <s v="NRIS"/>
    <s v="Ratts - Victory 161 kV Line Tap"/>
    <n v="150"/>
    <n v="150"/>
    <x v="0"/>
    <s v="Photovoltaic"/>
    <s v="Not Started"/>
    <d v="2022-06-01T00:00:00"/>
    <n v="150"/>
    <n v="150"/>
    <n v="150"/>
    <n v="150"/>
  </r>
  <r>
    <s v="J1029"/>
    <x v="1"/>
    <d v="2018-03-12T00:00:00"/>
    <d v="2019-03-13T00:00:00"/>
    <m/>
    <d v="2020-09-28T00:00:00"/>
    <s v="ENTERGY LOUISIANA, LLC"/>
    <s v="East Feliciana Parish"/>
    <m/>
    <m/>
    <s v="LA"/>
    <s v="DPP-2018-APR"/>
    <s v="South"/>
    <s v="GIA"/>
    <s v="NRIS"/>
    <s v="Fancy Point 230 kV Substation"/>
    <n v="200"/>
    <n v="200"/>
    <x v="0"/>
    <s v="Photovoltaic"/>
    <s v="Not Started"/>
    <m/>
    <n v="0"/>
    <n v="0"/>
    <n v="0"/>
    <n v="0"/>
  </r>
  <r>
    <s v="J1030"/>
    <x v="0"/>
    <d v="2018-03-12T00:00:00"/>
    <m/>
    <d v="2020-10-22T00:00:00"/>
    <d v="2021-09-01T00:00:00"/>
    <s v="ENTERGY TEXAS, INC."/>
    <s v="Polk County"/>
    <m/>
    <m/>
    <s v="TX"/>
    <s v="DPP-2018-APR"/>
    <s v="South"/>
    <s v="GIA"/>
    <s v="ERIS"/>
    <s v="Poco - Menard 138kV Line Tao"/>
    <n v="150"/>
    <n v="150"/>
    <x v="0"/>
    <s v="Photovoltaic"/>
    <s v="In Service"/>
    <d v="2023-01-23T00:00:00"/>
    <n v="150"/>
    <n v="0"/>
    <n v="150"/>
    <n v="0"/>
  </r>
  <r>
    <s v="J1031"/>
    <x v="1"/>
    <d v="2018-03-12T00:00:00"/>
    <d v="2020-01-07T00:00:00"/>
    <m/>
    <d v="2020-10-01T00:00:00"/>
    <s v="DUKE ENERGY INDIANA, LLC"/>
    <s v="Henry County"/>
    <m/>
    <m/>
    <s v="IN"/>
    <s v="DPP-2018-APR"/>
    <s v="Central"/>
    <s v="GIA"/>
    <s v="NRIS"/>
    <s v="Fall Creek - New Castle 138 kV Line Tap"/>
    <n v="150"/>
    <n v="150"/>
    <x v="1"/>
    <s v="Wind Turbine"/>
    <s v="Not Started"/>
    <m/>
    <n v="0"/>
    <n v="0"/>
    <n v="0"/>
    <n v="0"/>
  </r>
  <r>
    <s v="J1032"/>
    <x v="1"/>
    <d v="2018-03-12T00:00:00"/>
    <d v="2020-03-25T00:00:00"/>
    <m/>
    <d v="2021-10-31T00:00:00"/>
    <s v="NORTHERN STATES POWER COMPANY"/>
    <s v="Wabasha County"/>
    <m/>
    <m/>
    <s v="MN"/>
    <s v="DPP-2018-APR"/>
    <s v="West"/>
    <s v="GIA"/>
    <s v="NRIS"/>
    <s v="Briggs Rd. - N. Rochester 345 kV Line Tap"/>
    <n v="50"/>
    <n v="50"/>
    <x v="2"/>
    <s v="Battery Storage"/>
    <s v="Not Started"/>
    <m/>
    <n v="0"/>
    <n v="0"/>
    <n v="0"/>
    <n v="0"/>
  </r>
  <r>
    <s v="J1033"/>
    <x v="1"/>
    <d v="2018-03-12T00:00:00"/>
    <d v="2021-03-10T00:00:00"/>
    <m/>
    <d v="2021-10-31T00:00:00"/>
    <s v="Ameren Missouri"/>
    <s v="Stoddard County"/>
    <m/>
    <m/>
    <s v="MO"/>
    <s v="DPP-2018-APR"/>
    <s v="Central"/>
    <s v="GIA"/>
    <s v="NRIS"/>
    <s v="Stoddard - Morely 161 kV Line Tap"/>
    <n v="50"/>
    <n v="50"/>
    <x v="2"/>
    <s v="Battery Storage"/>
    <s v="Not Started"/>
    <m/>
    <n v="50"/>
    <n v="50"/>
    <n v="0"/>
    <n v="0"/>
  </r>
  <r>
    <s v="J1034"/>
    <x v="0"/>
    <d v="2018-03-12T00:00:00"/>
    <m/>
    <d v="2021-10-12T00:00:00"/>
    <d v="2021-10-31T00:00:00"/>
    <s v="Ameren Missouri"/>
    <s v="Stoddard County"/>
    <m/>
    <m/>
    <s v="MO"/>
    <s v="DPP-2018-APR"/>
    <s v="Central"/>
    <s v="GIA"/>
    <s v="NRIS"/>
    <s v="Stoddard - Morley 161kV Line Tap"/>
    <n v="225"/>
    <n v="225"/>
    <x v="0"/>
    <s v="Photovoltaic"/>
    <s v="Under Construction"/>
    <d v="2024-06-01T00:00:00"/>
    <n v="225"/>
    <n v="225"/>
    <n v="225"/>
    <n v="225"/>
  </r>
  <r>
    <s v="J1035"/>
    <x v="1"/>
    <d v="2018-03-12T00:00:00"/>
    <d v="2018-10-15T00:00:00"/>
    <m/>
    <d v="2021-07-01T00:00:00"/>
    <s v="AMEREN ILLINOIS"/>
    <s v="Washington County"/>
    <m/>
    <m/>
    <s v="IL"/>
    <s v="DPP-2018-APR"/>
    <s v="Central"/>
    <s v="GIA"/>
    <s v="NRIS"/>
    <s v="Fayetteville - Marigold 138 kV Line Tap"/>
    <n v="75"/>
    <n v="75"/>
    <x v="0"/>
    <s v="Photovoltaic"/>
    <s v="Not Started"/>
    <m/>
    <n v="0"/>
    <n v="0"/>
    <n v="0"/>
    <n v="0"/>
  </r>
  <r>
    <s v="J1036"/>
    <x v="1"/>
    <d v="2018-03-12T00:00:00"/>
    <d v="2019-02-15T00:00:00"/>
    <m/>
    <d v="2020-09-01T00:00:00"/>
    <s v="Xcel Energy"/>
    <s v="Cottonwood County"/>
    <m/>
    <m/>
    <s v="MN"/>
    <s v="DPP-2018-APR"/>
    <s v="West"/>
    <s v="GIA"/>
    <s v="NRIS"/>
    <s v="Lakefield Generation SW 345kV Substation"/>
    <n v="130"/>
    <n v="130"/>
    <x v="0"/>
    <s v="Photovoltaic"/>
    <s v="Not Started"/>
    <m/>
    <n v="0"/>
    <n v="0"/>
    <n v="0"/>
    <n v="0"/>
  </r>
  <r>
    <s v="J1037"/>
    <x v="1"/>
    <d v="2018-03-12T00:00:00"/>
    <d v="2019-08-15T00:00:00"/>
    <m/>
    <d v="2021-10-01T00:00:00"/>
    <s v="GREAT RIVER ENERGY"/>
    <s v="Murray County"/>
    <m/>
    <m/>
    <s v="MN"/>
    <s v="DPP-2018-APR"/>
    <s v="West"/>
    <s v="GIA"/>
    <s v="NRIS"/>
    <s v="Moon Lake 69kV Substation"/>
    <n v="15"/>
    <n v="15"/>
    <x v="2"/>
    <s v="Battery Storage"/>
    <s v="Not Started"/>
    <m/>
    <n v="0"/>
    <n v="0"/>
    <n v="0"/>
    <n v="0"/>
  </r>
  <r>
    <s v="J1038"/>
    <x v="1"/>
    <d v="2018-03-12T00:00:00"/>
    <d v="2020-03-25T00:00:00"/>
    <m/>
    <d v="2020-09-01T00:00:00"/>
    <s v="OTTER TAIL POWER COMPANY"/>
    <s v="Grant County"/>
    <m/>
    <m/>
    <s v="MN"/>
    <s v="DPP-2018-APR"/>
    <s v="West"/>
    <s v="GIA"/>
    <s v="ERIS"/>
    <s v="Grant Co. - E. Fergus Falls - Hoot Lake 115 kV Line Tap"/>
    <n v="32.5"/>
    <n v="32.5"/>
    <x v="0"/>
    <s v="Photovoltaic"/>
    <s v="Not Started"/>
    <m/>
    <n v="0"/>
    <n v="0"/>
    <n v="0"/>
    <n v="0"/>
  </r>
  <r>
    <s v="J1039"/>
    <x v="1"/>
    <d v="2018-03-12T00:00:00"/>
    <d v="2021-03-10T00:00:00"/>
    <m/>
    <d v="2021-10-31T00:00:00"/>
    <s v="Ameren Missouri"/>
    <s v="Warren County"/>
    <m/>
    <m/>
    <s v="MO"/>
    <s v="DPP-2018-APR"/>
    <s v="Central"/>
    <s v="GIA"/>
    <s v="NRIS"/>
    <s v="Enon - Montogomery 345kV Line Tap"/>
    <n v="50"/>
    <n v="50"/>
    <x v="2"/>
    <s v="Battery Storage"/>
    <s v="Not Started"/>
    <m/>
    <n v="50"/>
    <n v="50"/>
    <n v="0"/>
    <n v="0"/>
  </r>
  <r>
    <s v="J1040"/>
    <x v="0"/>
    <d v="2018-03-12T00:00:00"/>
    <m/>
    <d v="2022-02-07T00:00:00"/>
    <d v="2021-09-01T00:00:00"/>
    <s v="MONTANA-DAKOTA UTILITIES CO."/>
    <s v="McIntosh County"/>
    <m/>
    <m/>
    <s v="ND"/>
    <s v="DPP-2018-APR"/>
    <s v="West"/>
    <s v="GIA"/>
    <s v="NRIS"/>
    <s v="Wishek Junction 230 kV Substation"/>
    <n v="250"/>
    <n v="250"/>
    <x v="1"/>
    <s v="Wind Turbine"/>
    <s v="Under Construction"/>
    <d v="2023-05-14T00:00:00"/>
    <n v="250"/>
    <n v="250"/>
    <n v="250"/>
    <n v="250"/>
  </r>
  <r>
    <s v="J1041"/>
    <x v="1"/>
    <d v="2018-03-12T00:00:00"/>
    <d v="2020-03-25T00:00:00"/>
    <m/>
    <d v="2021-10-31T00:00:00"/>
    <s v="ITC MIDWEST"/>
    <s v="Jackson County"/>
    <m/>
    <m/>
    <s v="MN"/>
    <s v="DPP-2018-APR"/>
    <s v="West"/>
    <s v="GIA"/>
    <s v="NRIS"/>
    <s v="Brewster - Heron Lake 161 kV Line"/>
    <n v="20"/>
    <n v="20"/>
    <x v="2"/>
    <s v="Battery Storage"/>
    <s v="Not Started"/>
    <m/>
    <n v="0"/>
    <n v="0"/>
    <n v="0"/>
    <n v="0"/>
  </r>
  <r>
    <s v="J1042"/>
    <x v="1"/>
    <d v="2018-03-09T00:00:00"/>
    <d v="2023-08-09T00:00:00"/>
    <d v="2021-05-18T00:00:00"/>
    <d v="2021-09-01T00:00:00"/>
    <s v="American Transmission Co. LLC"/>
    <s v="Walworth County"/>
    <m/>
    <m/>
    <s v="WI"/>
    <s v="DPP-2018-APR"/>
    <s v="East (ATC)"/>
    <s v="GIA"/>
    <s v="NRIS"/>
    <s v="North Lake Geneva 138kV Substation"/>
    <n v="200"/>
    <n v="200"/>
    <x v="0"/>
    <s v="Photovoltaic"/>
    <s v="Withdrawn"/>
    <d v="2023-09-15T00:00:00"/>
    <n v="200"/>
    <n v="200"/>
    <n v="180"/>
    <n v="180"/>
  </r>
  <r>
    <s v="J1043"/>
    <x v="1"/>
    <d v="2018-03-12T00:00:00"/>
    <d v="2023-02-09T00:00:00"/>
    <d v="2021-05-03T00:00:00"/>
    <d v="2021-06-13T00:00:00"/>
    <s v="METC"/>
    <s v="Montcalm County"/>
    <m/>
    <m/>
    <s v="MI"/>
    <s v="DPP-2018-APR"/>
    <s v="East (ITC)"/>
    <s v="GIA"/>
    <s v="NRIS"/>
    <s v="Vergennes - Nelson Rd 345 kV Line Tap"/>
    <n v="374.4"/>
    <n v="374.4"/>
    <x v="1"/>
    <s v="Wind Turbine"/>
    <s v="Withdrawn"/>
    <d v="2024-05-31T00:00:00"/>
    <n v="374.4"/>
    <n v="374.4"/>
    <n v="374.4"/>
    <n v="374.4"/>
  </r>
  <r>
    <s v="J1044"/>
    <x v="1"/>
    <d v="2018-03-12T00:00:00"/>
    <d v="2019-10-24T00:00:00"/>
    <m/>
    <d v="2022-09-01T00:00:00"/>
    <s v="American Transmission Co. LLC"/>
    <s v="Walworth County"/>
    <m/>
    <m/>
    <s v="WI"/>
    <s v="DPP-2018-APR"/>
    <s v="East (ATC)"/>
    <s v="GIA"/>
    <s v="NRIS"/>
    <s v="North Lake Geneva - Sugar Creek - Burlington 138kV Line Tap"/>
    <n v="200"/>
    <n v="200"/>
    <x v="0"/>
    <s v="Photovoltaic"/>
    <s v="Not Started"/>
    <m/>
    <n v="0"/>
    <n v="0"/>
    <n v="0"/>
    <n v="0"/>
  </r>
  <r>
    <s v="J1045"/>
    <x v="0"/>
    <d v="2018-03-12T00:00:00"/>
    <m/>
    <d v="2022-02-07T00:00:00"/>
    <d v="2021-10-31T00:00:00"/>
    <s v="NORTHERN STATES POWER COMPANY"/>
    <s v="Murray County"/>
    <m/>
    <m/>
    <s v="MN"/>
    <s v="DPP-2018-APR"/>
    <s v="West"/>
    <s v="GIA"/>
    <s v="NRIS"/>
    <s v="Fenton - Chanarambie 115kV Line Tap"/>
    <n v="20"/>
    <n v="20"/>
    <x v="2"/>
    <s v="Battery Storage"/>
    <s v="Under Construction"/>
    <d v="2024-07-30T00:00:00"/>
    <n v="20"/>
    <n v="20"/>
    <n v="20"/>
    <n v="20"/>
  </r>
  <r>
    <s v="J1046"/>
    <x v="1"/>
    <d v="2018-03-12T00:00:00"/>
    <d v="2019-11-21T00:00:00"/>
    <m/>
    <d v="2020-10-31T00:00:00"/>
    <s v="ITC MIDWEST"/>
    <s v="Washtenaw County"/>
    <m/>
    <m/>
    <s v="MI"/>
    <s v="DPP-2018-APR"/>
    <s v="East (ITC)"/>
    <s v="GIA"/>
    <s v="NRIS"/>
    <s v="Majestic - Lemoyne 345 kV Line Tap"/>
    <n v="50"/>
    <n v="50"/>
    <x v="2"/>
    <s v="Battery Storage"/>
    <s v="Not Started"/>
    <m/>
    <n v="0"/>
    <n v="0"/>
    <n v="0"/>
    <n v="0"/>
  </r>
  <r>
    <s v="J1047"/>
    <x v="1"/>
    <d v="2018-03-12T00:00:00"/>
    <d v="2019-10-24T00:00:00"/>
    <m/>
    <d v="2022-09-01T00:00:00"/>
    <s v="American Transmission Co. LLC"/>
    <s v="Walworth County"/>
    <m/>
    <m/>
    <s v="WI"/>
    <s v="DPP-2018-APR"/>
    <s v="East (ATC)"/>
    <s v="GIA"/>
    <s v="NRIS"/>
    <s v="North Lake Geneva - Sugar Creek - Burlington 138kV Line Tap"/>
    <n v="200"/>
    <n v="200"/>
    <x v="0"/>
    <s v="Photovoltaic"/>
    <s v="Not Started"/>
    <m/>
    <n v="0"/>
    <n v="0"/>
    <n v="0"/>
    <n v="0"/>
  </r>
  <r>
    <s v="J1048"/>
    <x v="1"/>
    <d v="2018-03-12T00:00:00"/>
    <d v="2019-03-28T00:00:00"/>
    <m/>
    <d v="2020-09-01T00:00:00"/>
    <s v="METC"/>
    <s v="Mecosta County"/>
    <s v="Montcalm County"/>
    <m/>
    <s v="MI"/>
    <s v="DPP-2018-APR"/>
    <s v="East (ITC)"/>
    <s v="GIA"/>
    <s v="NRIS"/>
    <s v="Vergennes - Nelson Road 345kV Line Tap"/>
    <n v="250"/>
    <n v="250"/>
    <x v="1"/>
    <s v="Wind Turbine"/>
    <s v="Not Started"/>
    <m/>
    <n v="0"/>
    <n v="0"/>
    <n v="0"/>
    <n v="0"/>
  </r>
  <r>
    <s v="J1049"/>
    <x v="1"/>
    <d v="2018-03-12T00:00:00"/>
    <d v="2019-08-29T00:00:00"/>
    <m/>
    <d v="2022-09-01T00:00:00"/>
    <s v="COOPERATIVE ENERGY"/>
    <s v="Forrest County"/>
    <m/>
    <m/>
    <s v="MS"/>
    <s v="DPP-2018-APR"/>
    <s v="South"/>
    <s v="GIA"/>
    <s v="NRIS"/>
    <s v="Purvis 161 kV Substation"/>
    <n v="250"/>
    <n v="250"/>
    <x v="0"/>
    <s v="Photovoltaic"/>
    <s v="Not Started"/>
    <m/>
    <n v="0"/>
    <n v="0"/>
    <n v="0"/>
    <n v="0"/>
  </r>
  <r>
    <s v="J1050"/>
    <x v="0"/>
    <d v="2018-03-12T00:00:00"/>
    <m/>
    <d v="2022-01-17T00:00:00"/>
    <d v="2022-06-03T00:00:00"/>
    <s v="ITC MIDWEST"/>
    <s v="Boone County"/>
    <s v="Hamilton County"/>
    <m/>
    <s v="IA"/>
    <s v="DPP-2018-APR"/>
    <s v="West"/>
    <s v="GIA"/>
    <s v="NRIS"/>
    <s v="Doud Tap 161 kV Substation"/>
    <n v="225"/>
    <n v="225"/>
    <x v="1"/>
    <s v="Wind Turbine"/>
    <s v="In Service"/>
    <d v="2022-07-01T00:00:00"/>
    <n v="225"/>
    <n v="225"/>
    <n v="225"/>
    <n v="225"/>
  </r>
  <r>
    <s v="J1051"/>
    <x v="1"/>
    <d v="2018-03-12T00:00:00"/>
    <d v="2020-05-19T00:00:00"/>
    <m/>
    <d v="2021-10-31T00:00:00"/>
    <s v="American Transmission Co. LLC"/>
    <s v="Jefferson County"/>
    <m/>
    <m/>
    <s v="WI"/>
    <s v="DPP-2018-APR"/>
    <s v="East (ATC)"/>
    <s v="GIA"/>
    <s v="NRIS"/>
    <s v="Concord 138kV Substation"/>
    <n v="50"/>
    <n v="50"/>
    <x v="2"/>
    <s v="Battery Storage"/>
    <s v="Not Started"/>
    <m/>
    <n v="50"/>
    <n v="50"/>
    <n v="0"/>
    <n v="0"/>
  </r>
  <r>
    <s v="J1052"/>
    <x v="1"/>
    <d v="2018-03-12T00:00:00"/>
    <d v="2019-03-27T00:00:00"/>
    <m/>
    <d v="2020-09-01T00:00:00"/>
    <s v="METC"/>
    <s v="Jackson County"/>
    <m/>
    <m/>
    <s v="MI"/>
    <s v="DPP-2018-APR"/>
    <s v="East (ITC)"/>
    <s v="GIA"/>
    <s v="NRIS"/>
    <s v="Beecher - Seamless East 138kV Line Tap"/>
    <n v="100"/>
    <n v="100"/>
    <x v="0"/>
    <s v="Photovoltaic"/>
    <s v="Not Started"/>
    <m/>
    <n v="0"/>
    <n v="0"/>
    <n v="0"/>
    <n v="0"/>
  </r>
  <r>
    <s v="J1053"/>
    <x v="1"/>
    <d v="2018-03-12T00:00:00"/>
    <d v="2020-05-19T00:00:00"/>
    <m/>
    <d v="2021-10-31T00:00:00"/>
    <s v="American Transmission Co. LLC"/>
    <s v="Jefferson County"/>
    <m/>
    <m/>
    <s v="WI"/>
    <s v="DPP-2018-APR"/>
    <s v="East (ATC)"/>
    <s v="GIA"/>
    <s v="NRIS"/>
    <s v="Concord SW YD 138 kV Substation"/>
    <n v="300"/>
    <n v="300"/>
    <x v="0"/>
    <s v="Photovoltaic"/>
    <s v="Not Started"/>
    <m/>
    <n v="200"/>
    <n v="200"/>
    <n v="0"/>
    <n v="0"/>
  </r>
  <r>
    <s v="J1054"/>
    <x v="1"/>
    <d v="2018-03-12T00:00:00"/>
    <d v="2020-03-25T00:00:00"/>
    <m/>
    <d v="2021-10-31T00:00:00"/>
    <s v="NORTHERN STATES POWER COMPANY"/>
    <s v="Goodhue County"/>
    <m/>
    <m/>
    <s v="MN"/>
    <s v="DPP-2018-APR"/>
    <s v="West"/>
    <s v="GIA"/>
    <s v="NRIS"/>
    <s v="Cannon Falls 115kV Substation"/>
    <n v="30"/>
    <n v="30"/>
    <x v="2"/>
    <s v="Battery Storage"/>
    <s v="Not Started"/>
    <m/>
    <n v="0"/>
    <n v="0"/>
    <n v="0"/>
    <n v="0"/>
  </r>
  <r>
    <s v="J1055"/>
    <x v="0"/>
    <d v="2018-03-12T00:00:00"/>
    <m/>
    <d v="2021-11-13T00:00:00"/>
    <d v="2020-09-30T00:00:00"/>
    <s v="AMEREN ILLINOIS"/>
    <s v="Mason County"/>
    <m/>
    <m/>
    <s v="IL"/>
    <s v="DPP-2018-APR"/>
    <s v="Central"/>
    <s v="GIA"/>
    <s v="NRIS"/>
    <s v="Mason Substation 138 kV Bus"/>
    <n v="144"/>
    <n v="144"/>
    <x v="1"/>
    <s v="Wind Turbine"/>
    <s v="In Service"/>
    <d v="2020-10-15T00:00:00"/>
    <n v="144"/>
    <n v="144"/>
    <n v="144"/>
    <n v="144"/>
  </r>
  <r>
    <s v="J1056"/>
    <x v="1"/>
    <d v="2018-03-12T00:00:00"/>
    <d v="2019-11-21T00:00:00"/>
    <m/>
    <d v="2020-10-31T00:00:00"/>
    <s v="ITC MIDWEST"/>
    <s v="Monroe County"/>
    <m/>
    <m/>
    <s v="MI"/>
    <s v="DPP-2018-APR"/>
    <s v="East (ITC)"/>
    <s v="GIA"/>
    <s v="NRIS"/>
    <s v="Lulu - Monroe 345 kV Line Tap"/>
    <n v="200"/>
    <n v="200"/>
    <x v="1"/>
    <s v="Wind Turbine"/>
    <s v="Not Started"/>
    <m/>
    <n v="0"/>
    <n v="0"/>
    <n v="0"/>
    <n v="0"/>
  </r>
  <r>
    <s v="J1057"/>
    <x v="1"/>
    <d v="2018-03-12T00:00:00"/>
    <d v="2020-03-25T00:00:00"/>
    <m/>
    <d v="2021-10-31T00:00:00"/>
    <s v="ITC MIDWEST"/>
    <s v="Jackson County"/>
    <m/>
    <m/>
    <s v="MN"/>
    <s v="DPP-2018-APR"/>
    <s v="West"/>
    <s v="GIA"/>
    <s v="NRIS"/>
    <s v="Brewster - Heron Lake 161 kV Line"/>
    <n v="125"/>
    <n v="125"/>
    <x v="0"/>
    <s v="Photovoltaic"/>
    <s v="Not Started"/>
    <m/>
    <n v="0"/>
    <n v="0"/>
    <n v="0"/>
    <n v="0"/>
  </r>
  <r>
    <s v="J1058"/>
    <x v="0"/>
    <d v="2018-03-12T00:00:00"/>
    <m/>
    <d v="2021-10-12T00:00:00"/>
    <d v="2021-10-31T00:00:00"/>
    <s v="NORTHERN INDIANA PUBLIC SERVICE COMPANY LLC NIP"/>
    <s v="Lake County"/>
    <m/>
    <m/>
    <s v="IN"/>
    <s v="DPP-2018-APR"/>
    <s v="Central"/>
    <s v="GIA"/>
    <s v="NRIS"/>
    <s v="Schahfer-St. John 345kV Line Tap"/>
    <n v="300"/>
    <n v="300"/>
    <x v="0"/>
    <s v="Photovoltaic"/>
    <s v="Under Construction"/>
    <d v="2024-06-01T00:00:00"/>
    <n v="200"/>
    <n v="200"/>
    <n v="200"/>
    <n v="200"/>
  </r>
  <r>
    <s v="J1059"/>
    <x v="1"/>
    <d v="2018-03-12T00:00:00"/>
    <d v="2020-01-07T00:00:00"/>
    <m/>
    <d v="2021-10-31T00:00:00"/>
    <s v="Ameren Missouri"/>
    <s v="Cape Girardeau County"/>
    <m/>
    <m/>
    <s v="MO"/>
    <s v="DPP-2018-APR"/>
    <s v="Central"/>
    <s v="GIA"/>
    <s v="NRIS"/>
    <s v="Kelso - Lutesville 345 kV Line Tap"/>
    <n v="300"/>
    <n v="300"/>
    <x v="0"/>
    <s v="Photovoltaic"/>
    <s v="Not Started"/>
    <m/>
    <n v="0"/>
    <n v="0"/>
    <n v="0"/>
    <n v="0"/>
  </r>
  <r>
    <s v="J1060"/>
    <x v="0"/>
    <d v="2018-03-12T00:00:00"/>
    <m/>
    <d v="2020-08-19T00:00:00"/>
    <d v="2021-10-31T00:00:00"/>
    <s v="ENTERGY ARKANSAS, LLC"/>
    <s v="St. Francis County"/>
    <m/>
    <m/>
    <s v="AR"/>
    <s v="DPP-2018-APR"/>
    <s v="South"/>
    <s v="GIA"/>
    <s v="NRIS"/>
    <s v="West Memphis - Keo 500 kV Line Tap"/>
    <n v="500"/>
    <n v="500"/>
    <x v="0"/>
    <s v="Photovoltaic"/>
    <s v="Under Construction"/>
    <d v="2023-05-01T00:00:00"/>
    <n v="500"/>
    <n v="500"/>
    <n v="450"/>
    <n v="400"/>
  </r>
  <r>
    <s v="J1061"/>
    <x v="1"/>
    <d v="2018-03-12T00:00:00"/>
    <d v="2020-03-25T00:00:00"/>
    <m/>
    <d v="2021-10-31T00:00:00"/>
    <s v="NORTHERN STATES POWER COMPANY"/>
    <s v="Wabasha County"/>
    <m/>
    <m/>
    <s v="MN"/>
    <s v="DPP-2018-APR"/>
    <s v="West"/>
    <s v="GIA"/>
    <s v="NRIS"/>
    <s v="Briggs Rd - N. Rochester 345 kV Line Tap"/>
    <n v="300"/>
    <n v="300"/>
    <x v="0"/>
    <s v="Photovoltaic"/>
    <s v="Not Started"/>
    <m/>
    <n v="0"/>
    <n v="0"/>
    <n v="0"/>
    <n v="0"/>
  </r>
  <r>
    <s v="J1062"/>
    <x v="0"/>
    <d v="2018-03-12T00:00:00"/>
    <m/>
    <d v="2021-04-23T00:00:00"/>
    <d v="2021-10-31T00:00:00"/>
    <s v="ITC MIDWEST"/>
    <s v="Washtenaw County"/>
    <m/>
    <m/>
    <s v="MI"/>
    <s v="DPP-2018-APR"/>
    <s v="East (ITC)"/>
    <s v="GIA"/>
    <s v="NRIS"/>
    <s v="Majestic - Lemoyne 345 kV Line Tap"/>
    <n v="200"/>
    <n v="200"/>
    <x v="0"/>
    <s v="Photovoltaic"/>
    <s v="Not Started"/>
    <d v="2023-06-01T00:00:00"/>
    <n v="150"/>
    <n v="150"/>
    <n v="150"/>
    <n v="150"/>
  </r>
  <r>
    <s v="J1063"/>
    <x v="0"/>
    <d v="2018-03-12T00:00:00"/>
    <m/>
    <d v="2022-03-09T00:00:00"/>
    <d v="2022-10-31T00:00:00"/>
    <s v="DUKE ENERGY INDIANA, LLC"/>
    <s v="Clinton County"/>
    <m/>
    <m/>
    <s v="IN"/>
    <s v="DPP-2018-APR"/>
    <s v="Central"/>
    <s v="GIA"/>
    <s v="NRIS"/>
    <s v="New London - Frankfort 230kV Line Tap"/>
    <n v="195"/>
    <n v="195"/>
    <x v="0"/>
    <s v="Photovoltaic"/>
    <s v="Under Construction"/>
    <d v="2022-08-01T00:00:00"/>
    <n v="195"/>
    <n v="195"/>
    <n v="195"/>
    <n v="195"/>
  </r>
  <r>
    <s v="J1064"/>
    <x v="1"/>
    <d v="2018-03-12T00:00:00"/>
    <d v="2019-11-21T00:00:00"/>
    <m/>
    <d v="2020-10-31T00:00:00"/>
    <s v="METC"/>
    <s v="Ionia County"/>
    <m/>
    <m/>
    <s v="MI"/>
    <s v="DPP-2018-APR"/>
    <s v="East (ITC)"/>
    <s v="GIA"/>
    <s v="NRIS"/>
    <s v="Marquette - Vergennes 138 kV Line Tap"/>
    <n v="200"/>
    <n v="200"/>
    <x v="1"/>
    <s v="Wind Turbine"/>
    <s v="Not Started"/>
    <m/>
    <n v="0"/>
    <n v="0"/>
    <n v="0"/>
    <n v="0"/>
  </r>
  <r>
    <s v="J1065"/>
    <x v="1"/>
    <d v="2018-03-12T00:00:00"/>
    <d v="2019-11-21T00:00:00"/>
    <m/>
    <d v="2020-10-31T00:00:00"/>
    <s v="METC"/>
    <s v="Gratiot County"/>
    <m/>
    <m/>
    <s v="MI"/>
    <s v="DPP-2018-APR"/>
    <s v="East (ITC)"/>
    <s v="GIA"/>
    <s v="NRIS"/>
    <s v="Alma - Vestaburg 138kV Line Tap"/>
    <n v="200"/>
    <n v="200"/>
    <x v="1"/>
    <s v="Wind Turbine"/>
    <s v="Not Started"/>
    <m/>
    <n v="0"/>
    <n v="0"/>
    <n v="0"/>
    <n v="0"/>
  </r>
  <r>
    <s v="J1066"/>
    <x v="1"/>
    <d v="2018-03-12T00:00:00"/>
    <d v="2018-05-17T00:00:00"/>
    <m/>
    <d v="2019-07-31T00:00:00"/>
    <s v="PRAIRIE POWER, INC."/>
    <s v="Pike County"/>
    <m/>
    <m/>
    <s v="IL"/>
    <s v="DPP-2018-APR"/>
    <s v="Central"/>
    <s v="GIA"/>
    <s v="E-NRIS"/>
    <s v="El Dara Junction - Pittsfield 69 kV Line Tap"/>
    <n v="44"/>
    <n v="44"/>
    <x v="1"/>
    <s v="Wind Turbine"/>
    <s v="Not Started"/>
    <m/>
    <n v="0"/>
    <n v="0"/>
    <n v="0"/>
    <n v="0"/>
  </r>
  <r>
    <s v="J1067"/>
    <x v="0"/>
    <d v="2018-03-12T00:00:00"/>
    <m/>
    <d v="2021-10-12T00:00:00"/>
    <d v="2022-09-01T00:00:00"/>
    <s v="NORTHERN INDIANA PUBLIC SERVICE COMPANY LLC"/>
    <s v="Jasper County"/>
    <s v="Pulaski County"/>
    <m/>
    <s v="IN"/>
    <s v="DPP-2018-APR"/>
    <s v="Central"/>
    <s v="GIA"/>
    <s v="NRIS"/>
    <s v="Reynolds - Burr Oak 345kV Line"/>
    <n v="240"/>
    <n v="240"/>
    <x v="0"/>
    <s v="Photovoltaic"/>
    <s v="Under Construction"/>
    <d v="2023-10-20T00:00:00"/>
    <n v="240"/>
    <n v="240"/>
    <n v="240"/>
    <n v="240"/>
  </r>
  <r>
    <s v="J1068"/>
    <x v="1"/>
    <d v="2018-03-12T00:00:00"/>
    <d v="2019-11-21T00:00:00"/>
    <m/>
    <d v="2020-10-31T00:00:00"/>
    <s v="ITC MIDWEST"/>
    <s v="Washtenaw County"/>
    <m/>
    <m/>
    <s v="MI"/>
    <s v="DPP-2018-APR"/>
    <s v="East (ITC)"/>
    <s v="GIA"/>
    <s v="NRIS"/>
    <s v="Dorset 120 kV Substation"/>
    <n v="200"/>
    <n v="200"/>
    <x v="1"/>
    <s v="Wind Turbine"/>
    <s v="Not Started"/>
    <m/>
    <n v="0"/>
    <n v="0"/>
    <n v="0"/>
    <n v="0"/>
  </r>
  <r>
    <s v="J1069"/>
    <x v="0"/>
    <d v="2018-03-12T00:00:00"/>
    <m/>
    <d v="2021-10-12T00:00:00"/>
    <d v="2022-09-01T00:00:00"/>
    <s v="NORTHERN INDIANA PUBLIC SERVICE COMPANY LLC"/>
    <s v="Jasper County"/>
    <s v="Pulaski County"/>
    <m/>
    <s v="IN"/>
    <s v="DPP-2018-APR"/>
    <s v="Central"/>
    <s v="GIA"/>
    <s v="NRIS"/>
    <s v="Reynolds 345kV Substation"/>
    <n v="200"/>
    <n v="200"/>
    <x v="1"/>
    <s v="Wind Turbine"/>
    <s v="Under Construction"/>
    <d v="2023-04-20T00:00:00"/>
    <n v="200"/>
    <n v="200"/>
    <n v="200"/>
    <n v="200"/>
  </r>
  <r>
    <s v="J1070"/>
    <x v="1"/>
    <d v="2018-03-12T00:00:00"/>
    <d v="2019-08-29T00:00:00"/>
    <m/>
    <d v="2021-09-15T00:00:00"/>
    <s v="ENTERGY MISSISSIPPI, LLC"/>
    <s v="Washington County"/>
    <m/>
    <m/>
    <s v="MS"/>
    <s v="DPP-2018-APR"/>
    <s v="South"/>
    <s v="GIA"/>
    <s v="NRIS"/>
    <s v="SE Greenville 115kV Substation"/>
    <n v="100"/>
    <n v="100"/>
    <x v="0"/>
    <s v="Photovoltaic"/>
    <s v="Not Started"/>
    <m/>
    <n v="0"/>
    <n v="0"/>
    <n v="0"/>
    <n v="0"/>
  </r>
  <r>
    <s v="J1071"/>
    <x v="0"/>
    <d v="2018-03-12T00:00:00"/>
    <m/>
    <d v="2021-03-26T00:00:00"/>
    <d v="2021-01-20T00:00:00"/>
    <s v="METC"/>
    <s v="Oceana County"/>
    <m/>
    <m/>
    <s v="MI"/>
    <s v="DPP-2018-APR"/>
    <s v="East (ITC)"/>
    <s v="GIA"/>
    <s v="NRIS"/>
    <s v="Donaldson 138 kV Substation"/>
    <n v="100"/>
    <n v="100"/>
    <x v="0"/>
    <s v="Photovoltaic"/>
    <s v="Under Construction"/>
    <d v="2021-01-15T00:00:00"/>
    <n v="100"/>
    <n v="100"/>
    <n v="100"/>
    <n v="100"/>
  </r>
  <r>
    <s v="J1072"/>
    <x v="0"/>
    <d v="2018-03-12T00:00:00"/>
    <m/>
    <d v="2021-06-15T00:00:00"/>
    <d v="2020-09-01T00:00:00"/>
    <s v="NORTHERN STATES POWER COMPANY"/>
    <s v="Mower County"/>
    <m/>
    <m/>
    <s v="MN"/>
    <s v="DPP-2018-APR"/>
    <s v="West"/>
    <s v="GIA"/>
    <s v="NRIS"/>
    <s v="Adams 345 kV Substation"/>
    <n v="150"/>
    <n v="150"/>
    <x v="0"/>
    <s v="Photovoltaic"/>
    <s v="Under Construction"/>
    <d v="2023-08-01T00:00:00"/>
    <n v="150"/>
    <n v="150"/>
    <n v="150"/>
    <n v="150"/>
  </r>
  <r>
    <s v="J1073"/>
    <x v="1"/>
    <d v="2018-03-12T00:00:00"/>
    <d v="2019-08-29T00:00:00"/>
    <m/>
    <d v="2021-09-15T00:00:00"/>
    <s v="ENTERGY LOUISIANA, LLC"/>
    <s v="Iberville Parish"/>
    <m/>
    <m/>
    <s v="LA"/>
    <s v="DPP-2018-APR"/>
    <s v="South"/>
    <s v="GIA"/>
    <s v="NRIS"/>
    <s v="Webre 500 kV Substation"/>
    <n v="300"/>
    <n v="300"/>
    <x v="0"/>
    <s v="Photovoltaic"/>
    <s v="Not Started"/>
    <m/>
    <n v="0"/>
    <n v="0"/>
    <n v="0"/>
    <n v="0"/>
  </r>
  <r>
    <s v="J1074"/>
    <x v="1"/>
    <d v="2018-03-12T00:00:00"/>
    <d v="2023-10-27T00:00:00"/>
    <m/>
    <d v="2021-01-02T00:00:00"/>
    <s v="Southern Indiana Gas &amp; Electric Company d/b/a Vectren Energy Delivery of Indiana, Inc."/>
    <s v="Gibson County"/>
    <m/>
    <m/>
    <s v="IN"/>
    <s v="DPP-2018-APR"/>
    <s v="Central"/>
    <s v="GIA"/>
    <s v="NRIS"/>
    <s v="Francisco 138 kV sub"/>
    <n v="200"/>
    <n v="200"/>
    <x v="0"/>
    <s v="Photovoltaic"/>
    <s v="Withdrawn"/>
    <d v="2022-11-15T00:00:00"/>
    <n v="200"/>
    <n v="200"/>
    <n v="200"/>
    <n v="200"/>
  </r>
  <r>
    <s v="J1075"/>
    <x v="1"/>
    <d v="2018-03-12T00:00:00"/>
    <d v="2018-11-01T00:00:00"/>
    <m/>
    <d v="2020-09-01T00:00:00"/>
    <s v="METC"/>
    <s v="Cass County"/>
    <m/>
    <m/>
    <s v="MI"/>
    <s v="DPP-2018-APR"/>
    <s v="East (ITC)"/>
    <s v="GIA"/>
    <s v="NRIS"/>
    <s v="Argenta - Weeds Lake - Hiple 345kV Line Tap"/>
    <n v="350"/>
    <n v="350"/>
    <x v="1"/>
    <s v="Wind Turbine"/>
    <s v="Not Started"/>
    <m/>
    <n v="0"/>
    <n v="0"/>
    <n v="0"/>
    <n v="0"/>
  </r>
  <r>
    <s v="J1076"/>
    <x v="0"/>
    <d v="2018-03-12T00:00:00"/>
    <m/>
    <d v="2021-01-06T00:00:00"/>
    <d v="2021-09-15T00:00:00"/>
    <s v="ENTERGY LOUISIANA, LLC"/>
    <s v="St. James Parish"/>
    <m/>
    <m/>
    <s v="LA"/>
    <s v="DPP-2018-APR"/>
    <s v="South"/>
    <s v="GIA"/>
    <s v="NRIS"/>
    <s v="Vacherie Sub 230 kV Substation"/>
    <n v="200"/>
    <n v="200"/>
    <x v="0"/>
    <s v="Photovoltaic"/>
    <s v="Under Construction"/>
    <d v="2022-09-01T00:00:00"/>
    <n v="200"/>
    <n v="200"/>
    <n v="200"/>
    <n v="200"/>
  </r>
  <r>
    <s v="J1077"/>
    <x v="1"/>
    <d v="2018-03-12T00:00:00"/>
    <d v="2018-11-01T00:00:00"/>
    <m/>
    <d v="2020-09-01T00:00:00"/>
    <s v="METC"/>
    <s v="Cass County"/>
    <m/>
    <m/>
    <s v="MI"/>
    <s v="DPP-2018-APR"/>
    <s v="East (ITC)"/>
    <s v="GIA"/>
    <s v="NRIS"/>
    <s v="Argenta - Weeds Lake - Hiple 345kV Line Tap"/>
    <n v="250"/>
    <n v="250"/>
    <x v="1"/>
    <s v="Wind Turbine"/>
    <s v="Not Started"/>
    <m/>
    <n v="0"/>
    <n v="0"/>
    <n v="0"/>
    <n v="0"/>
  </r>
  <r>
    <s v="J1078"/>
    <x v="1"/>
    <d v="2018-03-12T00:00:00"/>
    <d v="2019-08-29T00:00:00"/>
    <m/>
    <d v="2021-09-15T00:00:00"/>
    <s v="ENTERGY ARKANSAS, LLC"/>
    <s v="Mississippi County"/>
    <m/>
    <m/>
    <s v="AR"/>
    <s v="DPP-2018-APR"/>
    <s v="South"/>
    <s v="GIA"/>
    <s v="NRIS"/>
    <s v="San Souci 500 kV Substation"/>
    <n v="300"/>
    <n v="300"/>
    <x v="0"/>
    <s v="Photovoltaic"/>
    <s v="Not Started"/>
    <m/>
    <n v="0"/>
    <n v="0"/>
    <n v="0"/>
    <n v="0"/>
  </r>
  <r>
    <s v="J1079"/>
    <x v="1"/>
    <d v="2018-03-12T00:00:00"/>
    <d v="2019-08-29T00:00:00"/>
    <m/>
    <d v="2021-09-15T00:00:00"/>
    <s v="ENTERGY LOUISIANA, LLC"/>
    <s v="St. Charles Parish"/>
    <m/>
    <m/>
    <s v="LA"/>
    <s v="DPP-2018-APR"/>
    <s v="South"/>
    <s v="GIA"/>
    <s v="NRIS"/>
    <s v="Waterford 1&amp;2 230 kV Substation"/>
    <n v="200"/>
    <n v="200"/>
    <x v="0"/>
    <s v="Photovoltaic"/>
    <s v="Not Started"/>
    <m/>
    <n v="0"/>
    <n v="0"/>
    <n v="0"/>
    <n v="0"/>
  </r>
  <r>
    <s v="J1080"/>
    <x v="1"/>
    <d v="2018-03-12T00:00:00"/>
    <d v="2019-03-22T00:00:00"/>
    <m/>
    <d v="2020-09-01T00:00:00"/>
    <s v="AMEREN ILLINOIS"/>
    <s v="DeWitt County"/>
    <s v="McLean County"/>
    <m/>
    <s v="IL"/>
    <s v="DPP-2018-APR"/>
    <s v="Central"/>
    <s v="GIA"/>
    <s v="NRIS"/>
    <s v="Brokaw - Clinton 345kV Line Tap"/>
    <n v="99"/>
    <n v="99"/>
    <x v="1"/>
    <s v="Wind Turbine"/>
    <s v="Not Started"/>
    <m/>
    <n v="0"/>
    <n v="0"/>
    <n v="0"/>
    <n v="0"/>
  </r>
  <r>
    <s v="J1081"/>
    <x v="1"/>
    <d v="2018-03-12T00:00:00"/>
    <d v="2019-03-28T00:00:00"/>
    <m/>
    <d v="2020-09-01T00:00:00"/>
    <s v="OTTER TAIL POWER COMPANY"/>
    <s v="Polk County"/>
    <m/>
    <m/>
    <s v="MN"/>
    <s v="DPP-2018-APR"/>
    <s v="West"/>
    <s v="GIA"/>
    <s v="NRIS"/>
    <s v="Winger 115kV Substation"/>
    <n v="300"/>
    <n v="300"/>
    <x v="1"/>
    <s v="Wind Turbine"/>
    <s v="Not Started"/>
    <m/>
    <n v="0"/>
    <n v="0"/>
    <n v="0"/>
    <n v="0"/>
  </r>
  <r>
    <s v="J1082"/>
    <x v="1"/>
    <d v="2018-03-12T00:00:00"/>
    <d v="2019-03-28T00:00:00"/>
    <m/>
    <d v="2020-09-01T00:00:00"/>
    <s v="Ameren Missouri"/>
    <s v="Grundy County"/>
    <s v="Mercer County"/>
    <m/>
    <s v="MO"/>
    <s v="DPP-2018-APR"/>
    <s v="West"/>
    <s v="GIA"/>
    <s v="NRIS"/>
    <s v="Zachary 345 kV Substation"/>
    <n v="400"/>
    <n v="400"/>
    <x v="1"/>
    <s v="Wind Turbine"/>
    <s v="Not Started"/>
    <m/>
    <n v="0"/>
    <n v="0"/>
    <n v="0"/>
    <n v="0"/>
  </r>
  <r>
    <s v="J1083"/>
    <x v="1"/>
    <d v="2018-03-12T00:00:00"/>
    <d v="2019-12-02T00:00:00"/>
    <m/>
    <d v="2021-09-01T00:00:00"/>
    <s v="METC"/>
    <s v="Eaton County"/>
    <m/>
    <m/>
    <s v="MI"/>
    <s v="DPP-2018-APR"/>
    <s v="East (ITC)"/>
    <s v="GIA"/>
    <s v="NRIS"/>
    <s v="Oneida138kV Substation"/>
    <n v="70"/>
    <n v="70"/>
    <x v="0"/>
    <s v="Photovoltaic"/>
    <s v="Not Started"/>
    <m/>
    <n v="0"/>
    <n v="0"/>
    <n v="0"/>
    <n v="0"/>
  </r>
  <r>
    <s v="J1084"/>
    <x v="0"/>
    <d v="2018-03-12T00:00:00"/>
    <m/>
    <d v="2021-06-15T00:00:00"/>
    <d v="2020-09-01T00:00:00"/>
    <s v="ITC MIDWEST"/>
    <s v="Clinton County"/>
    <m/>
    <m/>
    <s v="IA"/>
    <s v="DPP-2018-APR"/>
    <s v="West"/>
    <s v="GIA"/>
    <s v="NRIS"/>
    <s v="Rock Creek 345 kV Substation"/>
    <n v="150"/>
    <n v="150"/>
    <x v="0"/>
    <s v="Photovoltaic"/>
    <s v="Under Construction"/>
    <d v="2023-09-01T00:00:00"/>
    <n v="150"/>
    <n v="150"/>
    <n v="150"/>
    <n v="150"/>
  </r>
  <r>
    <s v="J1085"/>
    <x v="1"/>
    <d v="2018-03-12T00:00:00"/>
    <d v="2020-05-19T00:00:00"/>
    <m/>
    <d v="2021-09-01T00:00:00"/>
    <s v="American Transmission Co. LLC"/>
    <s v="Marathon County"/>
    <s v="Taylor County"/>
    <s v="Wood County"/>
    <s v="WI"/>
    <s v="DPP-2018-APR"/>
    <s v="East (ATC)"/>
    <s v="GIA"/>
    <s v="NRIS"/>
    <s v="Gardner Park - J821 POI - Stone Lake 345 kV Line Tap"/>
    <n v="300"/>
    <n v="300"/>
    <x v="1"/>
    <s v="Wind Turbine"/>
    <s v="Not Started"/>
    <m/>
    <n v="300"/>
    <n v="300"/>
    <n v="0"/>
    <n v="0"/>
  </r>
  <r>
    <s v="J1086"/>
    <x v="1"/>
    <d v="2018-03-12T00:00:00"/>
    <d v="2020-03-25T00:00:00"/>
    <m/>
    <d v="2021-01-02T00:00:00"/>
    <s v="ITC MIDWEST"/>
    <s v="Nobles County"/>
    <m/>
    <m/>
    <s v="MN"/>
    <s v="DPP-2018-APR"/>
    <s v="West"/>
    <s v="GIA"/>
    <s v="NRIS"/>
    <s v="Elk - Brewster 161 kV Line Tap"/>
    <n v="120"/>
    <n v="120"/>
    <x v="0"/>
    <s v="Photovoltaic"/>
    <s v="Not Started"/>
    <m/>
    <n v="0"/>
    <n v="0"/>
    <n v="0"/>
    <n v="0"/>
  </r>
  <r>
    <s v="J1087"/>
    <x v="0"/>
    <d v="2018-03-12T00:00:00"/>
    <m/>
    <d v="2021-10-12T00:00:00"/>
    <d v="2021-01-02T00:00:00"/>
    <s v="Ameren Missouri"/>
    <s v="Scott County"/>
    <m/>
    <m/>
    <s v="MO"/>
    <s v="DPP-2018-APR"/>
    <s v="Central"/>
    <s v="GIA"/>
    <s v="NRIS"/>
    <s v="Miner - Kelso 161 kV Line Tap"/>
    <n v="200"/>
    <n v="200"/>
    <x v="0"/>
    <s v="Photovoltaic"/>
    <s v="Under Construction"/>
    <d v="2023-12-02T00:00:00"/>
    <n v="200"/>
    <n v="200"/>
    <n v="200"/>
    <n v="200"/>
  </r>
  <r>
    <s v="J1088"/>
    <x v="1"/>
    <d v="2018-03-12T00:00:00"/>
    <d v="2021-02-04T00:00:00"/>
    <m/>
    <d v="2021-01-02T00:00:00"/>
    <s v="METC"/>
    <s v="Shiawassee County"/>
    <m/>
    <m/>
    <s v="MI"/>
    <s v="DPP-2018-APR"/>
    <s v="East (ITC)"/>
    <s v="GIA"/>
    <s v="NRIS"/>
    <s v="Cornell - Layton 138 kV Line Tap"/>
    <n v="150"/>
    <n v="150"/>
    <x v="0"/>
    <s v="Photovoltaic"/>
    <s v="Withdrawn"/>
    <m/>
    <n v="150"/>
    <n v="150"/>
    <n v="150"/>
    <n v="150"/>
  </r>
  <r>
    <s v="J1089"/>
    <x v="1"/>
    <d v="2018-03-12T00:00:00"/>
    <d v="2021-02-04T00:00:00"/>
    <m/>
    <d v="2021-01-02T00:00:00"/>
    <s v="METC"/>
    <s v="Shiawassee County"/>
    <m/>
    <m/>
    <s v="MI"/>
    <s v="DPP-2018-APR"/>
    <s v="East (ITC)"/>
    <s v="GIA"/>
    <s v="NRIS"/>
    <s v="Cornell - Bell Rd 138 kV Line Tap"/>
    <n v="170"/>
    <n v="170"/>
    <x v="0"/>
    <s v="Photovoltaic"/>
    <s v="Not Started"/>
    <m/>
    <n v="170"/>
    <n v="170"/>
    <n v="170"/>
    <n v="170"/>
  </r>
  <r>
    <s v="J1090"/>
    <x v="1"/>
    <d v="2018-03-12T00:00:00"/>
    <d v="2021-02-04T00:00:00"/>
    <m/>
    <d v="2021-01-02T00:00:00"/>
    <s v="METC"/>
    <s v="Ingham County"/>
    <m/>
    <m/>
    <s v="MI"/>
    <s v="DPP-2018-APR"/>
    <s v="East (ITC)"/>
    <s v="GIA"/>
    <s v="NRIS"/>
    <s v="Tompkins - Churchill Jct 138 kV Line Tap"/>
    <n v="90"/>
    <n v="90"/>
    <x v="0"/>
    <s v="Photovoltaic"/>
    <s v="Not Started"/>
    <m/>
    <n v="90"/>
    <n v="90"/>
    <n v="90"/>
    <n v="90"/>
  </r>
  <r>
    <s v="J1091"/>
    <x v="1"/>
    <d v="2018-03-12T00:00:00"/>
    <d v="2019-08-29T00:00:00"/>
    <m/>
    <d v="2021-09-15T00:00:00"/>
    <s v="ENTERGY ARKANSAS, LLC"/>
    <s v="Craighead County"/>
    <m/>
    <m/>
    <s v="AR"/>
    <s v="DPP-2018-APR"/>
    <s v="South"/>
    <s v="GIA"/>
    <s v="NRIS"/>
    <s v="Power Line Road 161 kV Substation"/>
    <n v="150"/>
    <n v="150"/>
    <x v="0"/>
    <s v="Photovoltaic"/>
    <s v="Not Started"/>
    <m/>
    <n v="0"/>
    <n v="0"/>
    <n v="0"/>
    <n v="0"/>
  </r>
  <r>
    <s v="J1092"/>
    <x v="0"/>
    <d v="2018-03-12T00:00:00"/>
    <m/>
    <d v="2021-06-15T00:00:00"/>
    <d v="2022-09-30T00:00:00"/>
    <s v="NORTHERN STATES POWER COMPANY"/>
    <s v="Saint Croix County"/>
    <m/>
    <m/>
    <s v="WI"/>
    <s v="DPP-2018-APR"/>
    <s v="West"/>
    <s v="GIA"/>
    <s v="NRIS"/>
    <s v="Three Lakes 115 kV Substation"/>
    <n v="100"/>
    <n v="100"/>
    <x v="0"/>
    <s v="Photovoltaic"/>
    <s v="Not Started"/>
    <d v="2023-10-01T00:00:00"/>
    <n v="100"/>
    <n v="100"/>
    <n v="100"/>
    <n v="100"/>
  </r>
  <r>
    <s v="J1093"/>
    <x v="1"/>
    <d v="2018-03-12T00:00:00"/>
    <d v="2019-08-29T00:00:00"/>
    <m/>
    <d v="2021-09-15T00:00:00"/>
    <s v="ENTERGY ARKANSAS, LLC"/>
    <s v="Desha County"/>
    <s v="Drew County"/>
    <m/>
    <s v="AR"/>
    <s v="DPP-2018-APR"/>
    <s v="South"/>
    <s v="GIA"/>
    <s v="NRIS"/>
    <s v="Reed Switch 115kV Substation"/>
    <n v="200"/>
    <n v="200"/>
    <x v="0"/>
    <s v="Photovoltaic"/>
    <s v="Not Started"/>
    <m/>
    <n v="0"/>
    <n v="0"/>
    <n v="0"/>
    <n v="0"/>
  </r>
  <r>
    <s v="J1094"/>
    <x v="0"/>
    <d v="2018-03-12T00:00:00"/>
    <m/>
    <d v="2021-10-12T00:00:00"/>
    <d v="2021-01-02T00:00:00"/>
    <s v="AMEREN ILLINOIS"/>
    <s v="Washington County"/>
    <m/>
    <m/>
    <s v="IL"/>
    <s v="DPP-2018-APR"/>
    <s v="Central"/>
    <s v="GIA"/>
    <s v="NRIS"/>
    <s v="Prest 138kV Switching Station"/>
    <n v="150"/>
    <n v="150"/>
    <x v="0"/>
    <s v="Photovoltaic"/>
    <s v="Under Construction"/>
    <d v="2024-01-15T00:00:00"/>
    <n v="150"/>
    <n v="150"/>
    <n v="150"/>
    <n v="150"/>
  </r>
  <r>
    <s v="J1095"/>
    <x v="1"/>
    <d v="2018-03-12T00:00:00"/>
    <d v="2019-08-29T00:00:00"/>
    <m/>
    <d v="2021-09-15T00:00:00"/>
    <s v="ENTERGY MISSISSIPPI, LLC"/>
    <s v="DeSoto County"/>
    <m/>
    <m/>
    <s v="MS"/>
    <s v="DPP-2018-APR"/>
    <s v="South"/>
    <s v="GIA"/>
    <s v="NRIS"/>
    <s v="Twinkletown 230kV Substation"/>
    <n v="300"/>
    <n v="300"/>
    <x v="0"/>
    <s v="Photovoltaic"/>
    <s v="Not Started"/>
    <m/>
    <n v="0"/>
    <n v="0"/>
    <n v="0"/>
    <n v="0"/>
  </r>
  <r>
    <s v="J1096"/>
    <x v="0"/>
    <d v="2018-03-12T00:00:00"/>
    <m/>
    <d v="2021-10-12T00:00:00"/>
    <d v="2021-01-02T00:00:00"/>
    <s v="AMEREN ILLINOIS"/>
    <s v="Saline County"/>
    <m/>
    <m/>
    <s v="IL"/>
    <s v="DPP-2018-APR"/>
    <s v="Central"/>
    <s v="GIA"/>
    <s v="NRIS"/>
    <s v="Norris City North - Muddy 138 kV Line"/>
    <n v="150"/>
    <n v="150"/>
    <x v="0"/>
    <s v="Photovoltaic"/>
    <s v="Under Construction"/>
    <d v="2024-01-01T00:00:00"/>
    <n v="150"/>
    <n v="150"/>
    <n v="150"/>
    <n v="150"/>
  </r>
  <r>
    <s v="J1097"/>
    <x v="1"/>
    <d v="2018-03-12T00:00:00"/>
    <d v="2019-08-29T00:00:00"/>
    <m/>
    <d v="2021-09-15T00:00:00"/>
    <s v="ENTERGY ARKANSAS, LLC"/>
    <s v="Lonoke County"/>
    <s v="Pulaski County"/>
    <m/>
    <s v="AR"/>
    <s v="DPP-2018-APR"/>
    <s v="South"/>
    <s v="GIA"/>
    <s v="NRIS"/>
    <s v="KEO EHV 500 kV Substation"/>
    <n v="500"/>
    <n v="500"/>
    <x v="0"/>
    <s v="Photovoltaic"/>
    <s v="Not Started"/>
    <m/>
    <n v="0"/>
    <n v="0"/>
    <n v="0"/>
    <n v="0"/>
  </r>
  <r>
    <s v="J1098"/>
    <x v="1"/>
    <d v="2018-03-12T00:00:00"/>
    <d v="2021-03-09T00:00:00"/>
    <m/>
    <d v="2022-09-30T00:00:00"/>
    <s v="NORTHERN STATES POWER COMPANY"/>
    <s v="Jackson County"/>
    <m/>
    <m/>
    <s v="MN"/>
    <s v="DPP-2018-APR"/>
    <s v="West"/>
    <s v="GIA"/>
    <s v="NRIS"/>
    <s v="Lakefield 345 kV Substation"/>
    <n v="40"/>
    <n v="40"/>
    <x v="0"/>
    <s v="Photovoltaic"/>
    <s v="Not Started"/>
    <m/>
    <n v="40"/>
    <n v="40"/>
    <n v="0"/>
    <n v="0"/>
  </r>
  <r>
    <s v="J1099"/>
    <x v="1"/>
    <d v="2018-03-12T00:00:00"/>
    <d v="2019-08-29T00:00:00"/>
    <m/>
    <d v="2021-09-15T00:00:00"/>
    <s v="ENTERGY LOUISIANA, LLC"/>
    <s v="Iberville Parish"/>
    <m/>
    <m/>
    <s v="LA"/>
    <s v="DPP-2018-APR"/>
    <s v="South"/>
    <s v="GIA"/>
    <s v="NRIS"/>
    <s v="Derrick 230 kV Substation"/>
    <n v="200"/>
    <n v="200"/>
    <x v="0"/>
    <s v="Photovoltaic"/>
    <s v="Not Started"/>
    <m/>
    <n v="0"/>
    <n v="0"/>
    <n v="0"/>
    <n v="0"/>
  </r>
  <r>
    <s v="J1100"/>
    <x v="1"/>
    <d v="2018-03-12T00:00:00"/>
    <d v="2019-08-29T00:00:00"/>
    <m/>
    <d v="2021-09-15T00:00:00"/>
    <s v="ENTERGY TEXAS, INC."/>
    <s v="Grimes County"/>
    <m/>
    <m/>
    <s v="TX"/>
    <s v="DPP-2018-APR"/>
    <s v="South"/>
    <s v="GIA"/>
    <s v="NRIS"/>
    <s v="Grimes 345 kV Substation"/>
    <n v="200"/>
    <n v="200"/>
    <x v="0"/>
    <s v="Photovoltaic"/>
    <s v="Not Started"/>
    <m/>
    <n v="0"/>
    <n v="0"/>
    <n v="0"/>
    <n v="0"/>
  </r>
  <r>
    <s v="J1101"/>
    <x v="1"/>
    <d v="2018-03-12T00:00:00"/>
    <d v="2025-11-20T00:00:00"/>
    <d v="2021-04-12T00:00:00"/>
    <d v="2021-09-01T00:00:00"/>
    <s v="American Transmission Co. LLC"/>
    <s v="Manitowoc County"/>
    <m/>
    <m/>
    <s v="WI"/>
    <s v="DPP-2018-APR"/>
    <s v="East (ATC)"/>
    <s v="GIA"/>
    <s v="NRIS"/>
    <s v="Kewaunee 138kV Substation"/>
    <n v="20"/>
    <n v="20"/>
    <x v="2"/>
    <s v="Battery Storage"/>
    <s v="Withdrawn"/>
    <d v="2023-08-15T00:00:00"/>
    <n v="20"/>
    <n v="20"/>
    <n v="20"/>
    <n v="20"/>
  </r>
  <r>
    <s v="J1102"/>
    <x v="0"/>
    <d v="2018-03-12T00:00:00"/>
    <m/>
    <d v="2021-09-13T00:00:00"/>
    <d v="2021-06-13T00:00:00"/>
    <s v="AMEREN ILLINOIS"/>
    <s v="Logan County"/>
    <m/>
    <m/>
    <s v="IL"/>
    <s v="DPP-2018-APR"/>
    <s v="Central"/>
    <s v="GIA"/>
    <s v="NRIS"/>
    <s v="Fogarty 138 kV Substation"/>
    <n v="70"/>
    <n v="70"/>
    <x v="0"/>
    <s v="Photovoltaic"/>
    <s v="Under Construction"/>
    <d v="2021-12-15T00:00:00"/>
    <n v="70"/>
    <n v="70"/>
    <n v="70"/>
    <n v="70"/>
  </r>
  <r>
    <s v="J1103"/>
    <x v="1"/>
    <d v="2018-03-12T00:00:00"/>
    <d v="2020-06-30T00:00:00"/>
    <m/>
    <d v="2021-09-01T00:00:00"/>
    <s v="ITC MIDWEST"/>
    <s v="Tuscola County"/>
    <m/>
    <m/>
    <s v="MI"/>
    <s v="DPP-2018-APR"/>
    <s v="East (ITC)"/>
    <s v="GIA"/>
    <s v="NRIS"/>
    <s v="Bauer - (Kirk) - Ringle 345kV Line Tap"/>
    <n v="20"/>
    <n v="20"/>
    <x v="2"/>
    <s v="Battery Storage"/>
    <s v="Not Started"/>
    <m/>
    <n v="20"/>
    <n v="20"/>
    <n v="0"/>
    <n v="0"/>
  </r>
  <r>
    <s v="J1104"/>
    <x v="1"/>
    <d v="2018-03-12T00:00:00"/>
    <d v="2019-10-24T00:00:00"/>
    <m/>
    <d v="2021-09-01T00:00:00"/>
    <s v="American Transmission Co. LLC"/>
    <s v="Washington County"/>
    <s v="Waukesha County"/>
    <m/>
    <s v="WI"/>
    <s v="DPP-2018-APR"/>
    <s v="East (ATC)"/>
    <s v="GIA"/>
    <s v="NRIS"/>
    <s v="Germantown - Bark River 138kV Line"/>
    <n v="100"/>
    <n v="100"/>
    <x v="2"/>
    <s v="Battery Storage"/>
    <s v="Not Started"/>
    <m/>
    <n v="0"/>
    <n v="0"/>
    <n v="0"/>
    <n v="0"/>
  </r>
  <r>
    <s v="J1105"/>
    <x v="1"/>
    <d v="2018-03-12T00:00:00"/>
    <d v="2021-03-09T00:00:00"/>
    <m/>
    <d v="2020-09-01T00:00:00"/>
    <s v="NORTHERN STATES POWER COMPANY"/>
    <s v="Dakota County"/>
    <m/>
    <m/>
    <s v="MN"/>
    <s v="DPP-2018-APR"/>
    <s v="West"/>
    <s v="GIA"/>
    <s v="NRIS"/>
    <s v="Hampton Corners 345 kV Substation"/>
    <n v="200"/>
    <n v="200"/>
    <x v="0"/>
    <s v="Photovoltaic"/>
    <s v="Not Started"/>
    <m/>
    <n v="200"/>
    <n v="200"/>
    <n v="0"/>
    <n v="0"/>
  </r>
  <r>
    <s v="J1106"/>
    <x v="1"/>
    <d v="2018-03-12T00:00:00"/>
    <d v="2021-03-09T00:00:00"/>
    <m/>
    <d v="2021-08-01T00:00:00"/>
    <s v="GREAT RIVER ENERGY"/>
    <s v="Redwood County"/>
    <m/>
    <m/>
    <s v="MN"/>
    <s v="DPP-2018-APR"/>
    <s v="West"/>
    <s v="GIA"/>
    <s v="NRIS"/>
    <s v="Lyon County - Cedar Mountain 345 kV Circuit 2 Line"/>
    <n v="414"/>
    <n v="414"/>
    <x v="1"/>
    <s v="Wind Turbine"/>
    <s v="Not Started"/>
    <m/>
    <n v="414"/>
    <n v="414"/>
    <n v="0"/>
    <n v="0"/>
  </r>
  <r>
    <s v="J1107"/>
    <x v="0"/>
    <d v="2018-03-12T00:00:00"/>
    <m/>
    <d v="2021-10-12T00:00:00"/>
    <d v="2021-09-01T00:00:00"/>
    <s v="Ameren Missouri"/>
    <s v="Cape Girardeau County"/>
    <m/>
    <m/>
    <s v="MO"/>
    <s v="DPP-2018-APR"/>
    <s v="Central"/>
    <s v="GIA"/>
    <s v="NRIS"/>
    <s v="Kelso - Lutesville 345 kV Line Tap"/>
    <n v="200"/>
    <n v="200"/>
    <x v="0"/>
    <s v="Photovoltaic"/>
    <s v="Under Construction"/>
    <d v="2023-11-01T00:00:00"/>
    <n v="200"/>
    <n v="200"/>
    <n v="200"/>
    <n v="200"/>
  </r>
  <r>
    <s v="J1108"/>
    <x v="1"/>
    <d v="2018-03-12T00:00:00"/>
    <d v="2020-03-25T00:00:00"/>
    <m/>
    <d v="2021-06-13T00:00:00"/>
    <s v="MISSOURI RIVER ENERGY SERVICES"/>
    <s v="Douglas County"/>
    <m/>
    <m/>
    <s v="MN"/>
    <s v="DPP-2018-APR"/>
    <s v="West"/>
    <s v="GIA"/>
    <s v="NRIS"/>
    <s v="Alexandria 345 kV Substation"/>
    <n v="150"/>
    <n v="150"/>
    <x v="0"/>
    <s v="Photovoltaic"/>
    <s v="Not Started"/>
    <m/>
    <n v="0"/>
    <n v="0"/>
    <n v="0"/>
    <n v="0"/>
  </r>
  <r>
    <s v="J1109"/>
    <x v="1"/>
    <d v="2018-03-12T00:00:00"/>
    <d v="2020-03-25T00:00:00"/>
    <m/>
    <d v="2021-08-01T00:00:00"/>
    <s v="NORTHERN STATES POWER COMPANY"/>
    <s v="Cass County"/>
    <m/>
    <m/>
    <s v="ND"/>
    <s v="DPP-2018-APR"/>
    <s v="West"/>
    <s v="GIA"/>
    <s v="NRIS"/>
    <s v="Bison 345kV Substation"/>
    <n v="207"/>
    <n v="207"/>
    <x v="1"/>
    <s v="Wind Turbine"/>
    <s v="Not Started"/>
    <m/>
    <n v="0"/>
    <n v="0"/>
    <n v="0"/>
    <n v="0"/>
  </r>
  <r>
    <s v="J1110"/>
    <x v="1"/>
    <d v="2018-03-12T00:00:00"/>
    <d v="2021-06-18T00:00:00"/>
    <m/>
    <d v="2021-09-15T00:00:00"/>
    <s v="SMMPA"/>
    <s v="Mower County"/>
    <m/>
    <m/>
    <s v="MN"/>
    <s v="DPP-2018-APR"/>
    <s v="West"/>
    <s v="GIA"/>
    <s v="NRIS"/>
    <s v="North Austin 161 kV Substation"/>
    <n v="100"/>
    <n v="100"/>
    <x v="0"/>
    <s v="Photovoltaic"/>
    <s v="Not Started"/>
    <m/>
    <n v="100"/>
    <n v="100"/>
    <n v="100"/>
    <n v="100"/>
  </r>
  <r>
    <s v="J1111"/>
    <x v="1"/>
    <d v="2018-03-12T00:00:00"/>
    <d v="2021-03-10T00:00:00"/>
    <m/>
    <d v="2021-01-02T00:00:00"/>
    <s v="Southern Illinois Power Cooperative"/>
    <s v="Jackson County"/>
    <m/>
    <m/>
    <s v="IL"/>
    <s v="DPP-2018-APR"/>
    <s v="Central"/>
    <s v="GIA"/>
    <s v="NRIS"/>
    <s v="Campbell Hill - Jackson 161 kV Line Tap"/>
    <n v="150"/>
    <n v="150"/>
    <x v="0"/>
    <s v="Photovoltaic"/>
    <s v="Not Started"/>
    <m/>
    <n v="150"/>
    <n v="150"/>
    <n v="0"/>
    <n v="0"/>
  </r>
  <r>
    <s v="J1112"/>
    <x v="1"/>
    <d v="2018-03-12T00:00:00"/>
    <d v="2021-03-10T00:00:00"/>
    <m/>
    <d v="2021-09-15T00:00:00"/>
    <s v="NORTHERN INDIANA PUBLIC SERVICE COMPANY LLC"/>
    <s v="Kosciusko County"/>
    <m/>
    <m/>
    <s v="IN"/>
    <s v="DPP-2018-APR"/>
    <s v="Central"/>
    <s v="GIA"/>
    <s v="NRIS"/>
    <s v="Leesburg 138kV Substation"/>
    <n v="150"/>
    <n v="150"/>
    <x v="0"/>
    <s v="Photovoltaic"/>
    <s v="Not Started"/>
    <m/>
    <n v="150"/>
    <n v="150"/>
    <n v="0"/>
    <n v="0"/>
  </r>
  <r>
    <s v="J1113"/>
    <x v="1"/>
    <d v="2018-03-12T00:00:00"/>
    <d v="2019-08-29T00:00:00"/>
    <m/>
    <d v="2022-09-01T00:00:00"/>
    <s v="ENTERGY MISSISSIPPI, LLC"/>
    <s v="Sunflower County"/>
    <m/>
    <m/>
    <s v="MS"/>
    <s v="DPP-2018-APR"/>
    <s v="South"/>
    <s v="GIA"/>
    <s v="NRIS"/>
    <s v="Delta - Ruleville 115kV Line Tap"/>
    <n v="85"/>
    <n v="85"/>
    <x v="0"/>
    <s v="Photovoltaic"/>
    <s v="Not Started"/>
    <m/>
    <n v="0"/>
    <n v="0"/>
    <n v="0"/>
    <n v="0"/>
  </r>
  <r>
    <s v="J1114"/>
    <x v="1"/>
    <d v="2018-03-12T00:00:00"/>
    <d v="2020-03-25T00:00:00"/>
    <m/>
    <d v="2021-09-15T00:00:00"/>
    <s v="MIDAMERICAN ENERGY COMPANY"/>
    <s v="Plymouth County"/>
    <m/>
    <m/>
    <s v="IA"/>
    <s v="DPP-2018-APR"/>
    <s v="West"/>
    <s v="GIA"/>
    <s v="NRIS"/>
    <s v="J506 Substation on Raun - Highland 345 kV Line"/>
    <n v="200"/>
    <n v="200"/>
    <x v="1"/>
    <s v="Wind Turbine"/>
    <s v="Not Started"/>
    <m/>
    <n v="0"/>
    <n v="0"/>
    <n v="0"/>
    <n v="0"/>
  </r>
  <r>
    <s v="J1115"/>
    <x v="0"/>
    <d v="2018-03-12T00:00:00"/>
    <m/>
    <d v="2021-10-12T00:00:00"/>
    <d v="2021-09-01T00:00:00"/>
    <s v="AMEREN ILLINOIS"/>
    <s v="Macon County"/>
    <m/>
    <m/>
    <s v="IL"/>
    <s v="DPP-2018-APR"/>
    <s v="Central"/>
    <s v="GIA"/>
    <s v="NRIS"/>
    <s v="Latham - Oreana 345kV Line"/>
    <n v="200"/>
    <n v="200"/>
    <x v="1"/>
    <s v="Wind Turbine"/>
    <s v="Under Construction"/>
    <d v="2024-09-01T00:00:00"/>
    <n v="200"/>
    <n v="200"/>
    <n v="200"/>
    <n v="200"/>
  </r>
  <r>
    <s v="J1116"/>
    <x v="1"/>
    <d v="2018-03-12T00:00:00"/>
    <d v="2018-10-03T00:00:00"/>
    <m/>
    <d v="2021-09-01T00:00:00"/>
    <s v="Duke Energy Corporation"/>
    <s v="Hancock County"/>
    <m/>
    <m/>
    <s v="IN"/>
    <s v="DPP-2018-APR"/>
    <s v="Central"/>
    <s v="GIA"/>
    <s v="NRIS"/>
    <s v="Greensboro - Greenfield 138 kV Line Tap"/>
    <n v="100"/>
    <n v="100"/>
    <x v="1"/>
    <s v="Wind Turbine"/>
    <s v="Not Started"/>
    <m/>
    <n v="0"/>
    <n v="0"/>
    <n v="0"/>
    <n v="0"/>
  </r>
  <r>
    <s v="J1117"/>
    <x v="1"/>
    <d v="2018-03-12T00:00:00"/>
    <d v="2019-05-30T00:00:00"/>
    <m/>
    <d v="2021-09-01T00:00:00"/>
    <s v="METC"/>
    <s v="Ingham County"/>
    <m/>
    <m/>
    <s v="MI"/>
    <s v="DPP-2018-APR"/>
    <s v="East (ITC)"/>
    <s v="GIA"/>
    <s v="NRIS"/>
    <s v="Green 138kV Substation"/>
    <n v="80"/>
    <n v="80"/>
    <x v="0"/>
    <s v="Photovoltaic"/>
    <s v="Not Started"/>
    <m/>
    <n v="0"/>
    <n v="0"/>
    <n v="0"/>
    <n v="0"/>
  </r>
  <r>
    <s v="J1118"/>
    <x v="1"/>
    <d v="2018-03-12T00:00:00"/>
    <d v="2018-10-03T00:00:00"/>
    <m/>
    <d v="2021-09-01T00:00:00"/>
    <s v="AMEREN ILLINOIS"/>
    <s v="Piatt County"/>
    <m/>
    <m/>
    <s v="IL"/>
    <s v="DPP-2018-APR"/>
    <s v="Central"/>
    <s v="GIA"/>
    <s v="NRIS"/>
    <s v="Mahomet - Weedman 138 kV Line Tap"/>
    <n v="150"/>
    <n v="150"/>
    <x v="1"/>
    <s v="Wind Turbine"/>
    <s v="Not Started"/>
    <m/>
    <n v="0"/>
    <n v="0"/>
    <n v="0"/>
    <n v="0"/>
  </r>
  <r>
    <s v="J1119"/>
    <x v="1"/>
    <d v="2018-03-12T00:00:00"/>
    <d v="2019-06-10T00:00:00"/>
    <m/>
    <d v="2021-01-01T00:00:00"/>
    <s v="METC"/>
    <s v="Jackson County"/>
    <m/>
    <m/>
    <s v="MI"/>
    <s v="DPP-2018-APR"/>
    <s v="East (ITC)"/>
    <s v="GIA"/>
    <s v="NRIS"/>
    <s v="Tompkins 345 kV Substation"/>
    <n v="600"/>
    <n v="600"/>
    <x v="3"/>
    <s v="Combined Cycle"/>
    <s v="Not Started"/>
    <m/>
    <n v="0"/>
    <n v="0"/>
    <n v="0"/>
    <n v="0"/>
  </r>
  <r>
    <s v="J1120"/>
    <x v="1"/>
    <d v="2018-03-12T00:00:00"/>
    <d v="2019-08-23T00:00:00"/>
    <m/>
    <d v="2021-09-01T00:00:00"/>
    <s v="ENTERGY TEXAS, INC."/>
    <s v="Jefferson County"/>
    <m/>
    <m/>
    <s v="TX"/>
    <s v="DPP-2018-APR"/>
    <s v="South"/>
    <s v="GIA"/>
    <s v="NRIS"/>
    <s v="Big Hill CO - Bayou Farms CO 138 kV Line Tap"/>
    <n v="145"/>
    <n v="145"/>
    <x v="1"/>
    <s v="Wind Turbine"/>
    <s v="Not Started"/>
    <m/>
    <n v="0"/>
    <n v="0"/>
    <n v="0"/>
    <n v="0"/>
  </r>
  <r>
    <s v="J1121"/>
    <x v="1"/>
    <d v="2018-03-12T00:00:00"/>
    <d v="2020-05-19T00:00:00"/>
    <m/>
    <d v="2021-09-01T00:00:00"/>
    <s v="American Transmission Co. LLC"/>
    <s v="Marathon County"/>
    <m/>
    <m/>
    <s v="WI"/>
    <s v="DPP-2018-APR"/>
    <s v="East (ATC)"/>
    <s v="GIA"/>
    <s v="NRIS"/>
    <s v="Stone Lake - (Pershing) - Gardner Park 345 kV Line Tap"/>
    <n v="200"/>
    <n v="200"/>
    <x v="0"/>
    <s v="Photovoltaic"/>
    <s v="Not Started"/>
    <m/>
    <n v="200"/>
    <n v="200"/>
    <n v="0"/>
    <n v="0"/>
  </r>
  <r>
    <s v="J1122"/>
    <x v="1"/>
    <d v="2018-03-12T00:00:00"/>
    <d v="2021-03-09T00:00:00"/>
    <m/>
    <d v="2022-09-01T00:00:00"/>
    <s v="MIDAMERICAN ENERGY COMPANY"/>
    <s v="Pottawattamie County"/>
    <m/>
    <m/>
    <s v="IA"/>
    <s v="DPP-2018-APR"/>
    <s v="West"/>
    <s v="GIA"/>
    <s v="NRIS"/>
    <s v="Council Bluffs - Fallow Avenue 345 kV Line Tap"/>
    <n v="200"/>
    <n v="200"/>
    <x v="1"/>
    <s v="Wind Turbine"/>
    <s v="Not Started"/>
    <m/>
    <n v="200"/>
    <n v="200"/>
    <n v="0"/>
    <n v="0"/>
  </r>
  <r>
    <s v="J1123"/>
    <x v="1"/>
    <d v="2018-03-12T00:00:00"/>
    <d v="2020-01-02T00:00:00"/>
    <m/>
    <d v="2021-09-01T00:00:00"/>
    <s v="Ameren Missouri"/>
    <s v="Audrain County"/>
    <m/>
    <m/>
    <s v="MO"/>
    <s v="DPP-2018-APR"/>
    <s v="Central"/>
    <s v="GIA"/>
    <s v="NRIS"/>
    <s v="Spencer Creek 345 kV Substation"/>
    <n v="150"/>
    <n v="150"/>
    <x v="1"/>
    <s v="Wind Turbine"/>
    <s v="Not Started"/>
    <m/>
    <n v="0"/>
    <n v="0"/>
    <n v="0"/>
    <n v="0"/>
  </r>
  <r>
    <s v="J1124"/>
    <x v="0"/>
    <d v="2018-03-12T00:00:00"/>
    <m/>
    <d v="2021-06-15T00:00:00"/>
    <d v="2021-09-15T00:00:00"/>
    <s v="SMMPA"/>
    <s v="Olmsted County"/>
    <m/>
    <m/>
    <s v="MN"/>
    <s v="DPP-2018-APR"/>
    <s v="West"/>
    <s v="GIA"/>
    <s v="NRIS"/>
    <s v="Byron 345kV Substation"/>
    <n v="100"/>
    <n v="100"/>
    <x v="0"/>
    <s v="Photovoltaic"/>
    <s v="Under Construction"/>
    <d v="2024-06-01T00:00:00"/>
    <n v="100"/>
    <n v="100"/>
    <n v="100"/>
    <n v="100"/>
  </r>
  <r>
    <s v="J1125"/>
    <x v="0"/>
    <d v="2018-03-12T00:00:00"/>
    <m/>
    <d v="2020-08-12T00:00:00"/>
    <d v="2021-07-31T00:00:00"/>
    <s v="ENTERGY ARKANSAS, LLC"/>
    <s v="Cross County"/>
    <m/>
    <m/>
    <s v="AR"/>
    <s v="DPP-2018-APR"/>
    <s v="South"/>
    <s v="GIA"/>
    <s v="NRIS"/>
    <s v="Wynne South - Wynne East AECC 161 kV Line Tap"/>
    <n v="135"/>
    <n v="135"/>
    <x v="0"/>
    <s v="Photovoltaic"/>
    <s v="Under Construction"/>
    <d v="2023-03-01T00:00:00"/>
    <n v="135"/>
    <n v="135"/>
    <n v="135"/>
    <n v="135"/>
  </r>
  <r>
    <s v="J1126"/>
    <x v="1"/>
    <d v="2018-03-12T00:00:00"/>
    <d v="2018-11-01T00:00:00"/>
    <m/>
    <d v="2020-09-01T00:00:00"/>
    <s v="ITC MIDWEST"/>
    <s v="Tuscola County"/>
    <m/>
    <m/>
    <s v="MI"/>
    <s v="DPP-2018-APR"/>
    <s v="East (ITC)"/>
    <s v="GIA"/>
    <s v="NRIS"/>
    <s v="ITC Bauer - Grassmere - Rapson (Kirk Sub) 345kV Substation"/>
    <n v="1.1000000000000001"/>
    <n v="1.1000000000000001"/>
    <x v="1"/>
    <s v="Wind Turbine"/>
    <s v="Not Started"/>
    <m/>
    <n v="0"/>
    <n v="0"/>
    <n v="0"/>
    <n v="0"/>
  </r>
  <r>
    <s v="J1127"/>
    <x v="1"/>
    <d v="2018-03-12T00:00:00"/>
    <d v="2019-10-25T00:00:00"/>
    <m/>
    <d v="2021-01-02T00:00:00"/>
    <s v="American Transmission Co. LLC"/>
    <s v="Green County"/>
    <m/>
    <m/>
    <s v="WI"/>
    <s v="DPP-2018-APR"/>
    <s v="East (ATC)"/>
    <s v="GIA"/>
    <s v="NRIS"/>
    <s v="Albany - Bass Creek 138 kV Line Tap"/>
    <n v="49.9"/>
    <n v="49.9"/>
    <x v="0"/>
    <s v="Photovoltaic"/>
    <s v="Not Started"/>
    <m/>
    <n v="0"/>
    <n v="0"/>
    <n v="0"/>
    <n v="0"/>
  </r>
  <r>
    <s v="J1128"/>
    <x v="1"/>
    <d v="2018-03-12T00:00:00"/>
    <d v="2021-03-09T00:00:00"/>
    <m/>
    <d v="2021-01-02T00:00:00"/>
    <s v="SMMPA"/>
    <s v="Freeborn County"/>
    <m/>
    <m/>
    <s v="MN"/>
    <s v="DPP-2018-APR"/>
    <s v="West"/>
    <s v="GIA"/>
    <s v="NRIS"/>
    <s v="Hayward - Murphy Creek 161 kV Line Tap"/>
    <n v="150"/>
    <n v="150"/>
    <x v="0"/>
    <s v="Photovoltaic"/>
    <s v="Not Started"/>
    <m/>
    <n v="150"/>
    <n v="150"/>
    <n v="0"/>
    <n v="0"/>
  </r>
  <r>
    <s v="J1129"/>
    <x v="1"/>
    <d v="2018-03-12T00:00:00"/>
    <d v="2019-10-25T00:00:00"/>
    <m/>
    <d v="2021-01-02T00:00:00"/>
    <s v="American Transmission Co. LLC"/>
    <s v="Rock County"/>
    <m/>
    <m/>
    <s v="WI"/>
    <s v="DPP-2018-APR"/>
    <s v="East (ATC)"/>
    <s v="GIA"/>
    <s v="NRIS"/>
    <s v="Paddock - Townline Rd 138 kV Line Tap"/>
    <n v="65"/>
    <n v="65"/>
    <x v="0"/>
    <s v="Photovoltaic"/>
    <s v="Not Started"/>
    <m/>
    <n v="0"/>
    <n v="0"/>
    <n v="0"/>
    <n v="0"/>
  </r>
  <r>
    <s v="J1130"/>
    <x v="1"/>
    <d v="2018-03-12T00:00:00"/>
    <d v="2019-08-29T00:00:00"/>
    <m/>
    <d v="2023-05-01T00:00:00"/>
    <s v="ENTERGY MISSISSIPPI, LLC"/>
    <s v="Warren County"/>
    <m/>
    <m/>
    <s v="MS"/>
    <s v="DPP-2018-APR"/>
    <s v="South"/>
    <s v="GIA"/>
    <s v="NRIS"/>
    <s v="Baxter Wilson SES 115/500 kV Sw YD"/>
    <n v="966"/>
    <n v="1110"/>
    <x v="3"/>
    <s v="Combined Cycle"/>
    <s v="Not Started"/>
    <m/>
    <n v="0"/>
    <n v="0"/>
    <n v="0"/>
    <n v="0"/>
  </r>
  <r>
    <s v="J1131"/>
    <x v="0"/>
    <d v="2018-03-12T00:00:00"/>
    <m/>
    <d v="2021-06-16T00:00:00"/>
    <d v="2023-10-01T00:00:00"/>
    <s v="MIDAMERICAN ENERGY COMPANY"/>
    <s v="Scott County"/>
    <m/>
    <m/>
    <s v="IA"/>
    <s v="DPP-2018-APR"/>
    <s v="West"/>
    <s v="GIA"/>
    <s v="NRIS"/>
    <s v="Sub 56 Davenport 161 kV Substation"/>
    <n v="100"/>
    <n v="100"/>
    <x v="0"/>
    <s v="Photovoltaic"/>
    <s v="Under Construction"/>
    <d v="2024-06-30T00:00:00"/>
    <n v="100"/>
    <n v="100"/>
    <n v="100"/>
    <n v="100"/>
  </r>
  <r>
    <s v="J1132"/>
    <x v="0"/>
    <d v="2018-03-12T00:00:00"/>
    <m/>
    <d v="2022-02-07T00:00:00"/>
    <d v="2021-10-01T00:00:00"/>
    <s v="ITC MIDWEST"/>
    <s v="Union County"/>
    <m/>
    <m/>
    <s v="IA"/>
    <s v="DPP-2018-APR"/>
    <s v="West"/>
    <s v="GIA"/>
    <s v="NRIS"/>
    <s v="Creston East 69 kV Substation"/>
    <n v="50"/>
    <n v="50"/>
    <x v="0"/>
    <s v="Photovoltaic"/>
    <s v="Under Construction"/>
    <d v="2024-06-01T00:00:00"/>
    <n v="50"/>
    <n v="50"/>
    <n v="50"/>
    <n v="0"/>
  </r>
  <r>
    <s v="J1133"/>
    <x v="1"/>
    <d v="2018-03-12T00:00:00"/>
    <d v="2018-10-01T00:00:00"/>
    <m/>
    <d v="2021-08-11T00:00:00"/>
    <s v="ENTERGY LOUISIANA, LLC"/>
    <s v="Richland Parish"/>
    <m/>
    <m/>
    <s v="LA"/>
    <s v="DPP-2018-APR"/>
    <s v="South"/>
    <s v="GIA"/>
    <s v="NRIS"/>
    <s v="Dunn - Oakridge 115kV Line Tap"/>
    <n v="100"/>
    <n v="100"/>
    <x v="0"/>
    <s v="Photovoltaic"/>
    <s v="Not Started"/>
    <m/>
    <n v="0"/>
    <n v="0"/>
    <n v="0"/>
    <n v="0"/>
  </r>
  <r>
    <s v="J1134"/>
    <x v="1"/>
    <d v="2018-03-12T00:00:00"/>
    <d v="2018-06-05T00:00:00"/>
    <m/>
    <d v="2021-08-11T00:00:00"/>
    <s v="ENTERGY ARKANSAS, LLC"/>
    <s v="White County"/>
    <m/>
    <m/>
    <s v="AR"/>
    <s v="DPP-2018-APR"/>
    <s v="South"/>
    <s v="GIA"/>
    <s v="NRIS"/>
    <s v="Griffithville - Searcy Price 115 kV Line Tap"/>
    <n v="100"/>
    <n v="100"/>
    <x v="0"/>
    <s v="Photovoltaic"/>
    <s v="Not Started"/>
    <m/>
    <n v="0"/>
    <n v="0"/>
    <n v="0"/>
    <n v="0"/>
  </r>
  <r>
    <s v="J1135"/>
    <x v="0"/>
    <d v="2018-03-12T00:00:00"/>
    <m/>
    <d v="2022-02-07T00:00:00"/>
    <d v="2021-10-01T00:00:00"/>
    <s v="ITC MIDWEST"/>
    <s v="Des Moines County"/>
    <m/>
    <m/>
    <s v="IA"/>
    <s v="DPP-2018-APR"/>
    <s v="West"/>
    <s v="GIA"/>
    <s v="NRIS"/>
    <s v="Huntwoods 69 kV substation"/>
    <n v="50"/>
    <n v="50"/>
    <x v="0"/>
    <s v="Photovoltaic"/>
    <s v="Not Started"/>
    <d v="2024-06-01T00:00:00"/>
    <n v="50"/>
    <n v="50"/>
    <n v="50"/>
    <n v="50"/>
  </r>
  <r>
    <s v="J1136"/>
    <x v="1"/>
    <d v="2018-03-12T00:00:00"/>
    <d v="2018-06-05T00:00:00"/>
    <m/>
    <d v="2021-08-11T00:00:00"/>
    <s v="ENTERGY MISSISSIPPI, LLC"/>
    <s v="Hinds County"/>
    <m/>
    <m/>
    <s v="MS"/>
    <s v="DPP-2018-APR"/>
    <s v="South"/>
    <s v="GIA"/>
    <s v="NRIS"/>
    <s v="Tinnin Road 230kV Substation"/>
    <n v="100"/>
    <n v="100"/>
    <x v="0"/>
    <s v="Photovoltaic"/>
    <s v="Not Started"/>
    <m/>
    <n v="0"/>
    <n v="0"/>
    <n v="0"/>
    <n v="0"/>
  </r>
  <r>
    <s v="J1137"/>
    <x v="1"/>
    <d v="2018-03-12T00:00:00"/>
    <d v="2019-08-28T00:00:00"/>
    <m/>
    <d v="2021-09-30T00:00:00"/>
    <s v="ENTERGY ARKANSAS, LLC"/>
    <s v="Jackson County"/>
    <m/>
    <m/>
    <s v="AR"/>
    <s v="DPP-2018-APR"/>
    <s v="South"/>
    <s v="GIA"/>
    <s v="NRIS"/>
    <s v="Swifton - Hoxie South 161 kV Line Tap"/>
    <n v="100"/>
    <n v="100"/>
    <x v="0"/>
    <s v="Photovoltaic"/>
    <s v="Not Started"/>
    <m/>
    <n v="0"/>
    <n v="0"/>
    <n v="0"/>
    <n v="0"/>
  </r>
  <r>
    <s v="J1138"/>
    <x v="1"/>
    <d v="2018-03-12T00:00:00"/>
    <d v="2018-12-07T00:00:00"/>
    <m/>
    <d v="2020-09-23T00:00:00"/>
    <s v="American Transmission Co. LLC"/>
    <s v="Baraga County"/>
    <m/>
    <m/>
    <s v="MI"/>
    <s v="DPP-2018-APR"/>
    <s v="East (ATC)"/>
    <s v="GIA"/>
    <s v="NRIS"/>
    <s v="M38 138 kV Substation"/>
    <n v="70"/>
    <n v="70"/>
    <x v="1"/>
    <s v="Wind Turbine"/>
    <s v="Not Started"/>
    <m/>
    <n v="0"/>
    <n v="0"/>
    <n v="0"/>
    <n v="0"/>
  </r>
  <r>
    <s v="J1139"/>
    <x v="0"/>
    <d v="2018-03-12T00:00:00"/>
    <m/>
    <m/>
    <d v="2020-10-31T00:00:00"/>
    <s v="AMEREN ILLINOIS"/>
    <s v="Champaign County"/>
    <m/>
    <m/>
    <s v="IL"/>
    <s v="DPP-2018-APR"/>
    <s v="Central"/>
    <s v="GIA"/>
    <s v="NRIS"/>
    <s v="Sidney Substation 138 kV Bus"/>
    <n v="150"/>
    <n v="150"/>
    <x v="0"/>
    <s v="Photovoltaic"/>
    <s v="In Service"/>
    <d v="2023-10-01T00:00:00"/>
    <n v="150"/>
    <n v="150"/>
    <n v="135"/>
    <n v="135"/>
  </r>
  <r>
    <s v="J1140"/>
    <x v="1"/>
    <d v="2018-03-12T00:00:00"/>
    <d v="2021-03-09T00:00:00"/>
    <m/>
    <d v="2020-08-01T00:00:00"/>
    <s v="MINNESOTA POWER"/>
    <s v="Benton County"/>
    <m/>
    <m/>
    <s v="MN"/>
    <s v="DPP-2018-APR"/>
    <s v="West"/>
    <s v="GIA"/>
    <s v="NRIS"/>
    <s v="Platte River 115 kV Substation"/>
    <n v="80"/>
    <n v="80"/>
    <x v="0"/>
    <s v="Photovoltaic"/>
    <s v="Not Started"/>
    <m/>
    <n v="80"/>
    <n v="80"/>
    <n v="0"/>
    <n v="0"/>
  </r>
  <r>
    <s v="J1141"/>
    <x v="1"/>
    <d v="2018-03-12T00:00:00"/>
    <d v="2018-09-07T00:00:00"/>
    <m/>
    <d v="2019-10-01T00:00:00"/>
    <s v="METC"/>
    <s v="Manistee County"/>
    <m/>
    <m/>
    <s v="MI"/>
    <s v="DPP-2018-APR"/>
    <s v="East (ITC)"/>
    <s v="GIA"/>
    <s v="NRIS"/>
    <s v="Filer - BoxbdJ - Stronach 138kV Line Tap"/>
    <n v="17"/>
    <n v="17"/>
    <x v="3"/>
    <s v="Combined Cycle"/>
    <s v="Not Started"/>
    <m/>
    <n v="0"/>
    <n v="0"/>
    <n v="0"/>
    <n v="0"/>
  </r>
  <r>
    <s v="J1142"/>
    <x v="0"/>
    <d v="2018-03-12T00:00:00"/>
    <m/>
    <d v="2020-07-10T00:00:00"/>
    <d v="2020-06-01T00:00:00"/>
    <s v="ENTERGY LOUISIANA, LLC"/>
    <s v="St. James Parish"/>
    <m/>
    <m/>
    <s v="LA"/>
    <s v="DPP-2018-APR"/>
    <s v="South"/>
    <s v="GIA"/>
    <s v="NRIS"/>
    <s v="Vacherie 230kV Substation"/>
    <n v="20"/>
    <n v="20"/>
    <x v="0"/>
    <s v="Photovoltaic"/>
    <s v="In Service (with Provisional GIA)"/>
    <d v="2020-07-01T00:00:00"/>
    <n v="20"/>
    <n v="20"/>
    <n v="20"/>
    <n v="20"/>
  </r>
  <r>
    <s v="J1143"/>
    <x v="1"/>
    <d v="2018-03-12T00:00:00"/>
    <d v="2020-03-25T00:00:00"/>
    <m/>
    <d v="2020-08-01T00:00:00"/>
    <s v="MINNESOTA POWER"/>
    <s v="Morrison County"/>
    <m/>
    <m/>
    <s v="MN"/>
    <s v="DPP-2018-APR"/>
    <s v="West"/>
    <s v="GIA"/>
    <s v="NRIS"/>
    <s v="Blanchard - Little Falls 115 kV Line"/>
    <n v="100"/>
    <n v="100"/>
    <x v="0"/>
    <s v="Photovoltaic"/>
    <s v="Not Started"/>
    <m/>
    <n v="0"/>
    <n v="0"/>
    <n v="0"/>
    <n v="0"/>
  </r>
  <r>
    <s v="J1144"/>
    <x v="0"/>
    <d v="2018-03-12T00:00:00"/>
    <m/>
    <d v="2020-09-10T00:00:00"/>
    <d v="2021-09-01T00:00:00"/>
    <s v="COOPERATIVE ENERGY"/>
    <s v="Covington County"/>
    <s v="Lamar County"/>
    <m/>
    <s v="MS"/>
    <s v="DPP-2018-APR"/>
    <s v="South"/>
    <s v="GIA"/>
    <s v="NRIS"/>
    <s v="Moselle - Columbia 161kV Line Tap"/>
    <n v="96"/>
    <n v="96"/>
    <x v="0"/>
    <s v="Photovoltaic"/>
    <s v="Under Construction"/>
    <d v="2022-06-01T00:00:00"/>
    <n v="96"/>
    <n v="96"/>
    <n v="96"/>
    <n v="96"/>
  </r>
  <r>
    <s v="J1145"/>
    <x v="0"/>
    <d v="2018-03-12T00:00:00"/>
    <m/>
    <d v="2022-03-31T00:00:00"/>
    <d v="2021-04-01T00:00:00"/>
    <s v="Ameren Missouri"/>
    <s v="Callaway County"/>
    <m/>
    <m/>
    <s v="MO"/>
    <s v="DPP-2018-APR"/>
    <s v="Central"/>
    <s v="GIA"/>
    <s v="NRIS"/>
    <s v="Overton - (McCrede) - Montgomery 345 kV Line Tap"/>
    <n v="250"/>
    <n v="250"/>
    <x v="0"/>
    <s v="Photovoltaic"/>
    <s v="Not Started"/>
    <d v="2024-06-01T00:00:00"/>
    <n v="250"/>
    <n v="250"/>
    <n v="250"/>
    <n v="250"/>
  </r>
  <r>
    <s v="J1146"/>
    <x v="0"/>
    <d v="2018-03-12T00:00:00"/>
    <m/>
    <d v="2020-08-12T00:00:00"/>
    <d v="2019-01-04T00:00:00"/>
    <s v="ENTERGY ARKANSAS, LLC"/>
    <s v="Mississippi County"/>
    <m/>
    <m/>
    <s v="AR"/>
    <s v="DPP-2018-APR"/>
    <s v="South"/>
    <s v="GIA"/>
    <s v="NRIS"/>
    <s v="San Souci 500 kV Substation"/>
    <n v="10"/>
    <n v="10"/>
    <x v="4"/>
    <s v="Combined Cycle"/>
    <s v="In Service"/>
    <d v="2020-10-10T00:00:00"/>
    <n v="10"/>
    <n v="10"/>
    <n v="10"/>
    <n v="10"/>
  </r>
  <r>
    <s v="J1147"/>
    <x v="1"/>
    <d v="2018-03-12T00:00:00"/>
    <d v="2020-01-24T00:00:00"/>
    <m/>
    <d v="2021-09-30T00:00:00"/>
    <s v="ENTERGY ARKANSAS, LLC"/>
    <s v="St. Francis County"/>
    <m/>
    <m/>
    <s v="AR"/>
    <s v="DPP-2018-APR"/>
    <s v="South"/>
    <s v="GIA"/>
    <s v="ERIS"/>
    <s v="Moses - McCrory 161 kV Line tap"/>
    <n v="100"/>
    <n v="100"/>
    <x v="0"/>
    <s v="Photovoltaic"/>
    <s v="Not Started"/>
    <m/>
    <n v="100"/>
    <n v="0"/>
    <n v="0"/>
    <n v="0"/>
  </r>
  <r>
    <s v="J1148"/>
    <x v="1"/>
    <d v="2018-03-12T00:00:00"/>
    <d v="2020-01-07T00:00:00"/>
    <m/>
    <d v="2022-06-01T00:00:00"/>
    <s v="Southern Indiana Gas &amp; Electric Company d/b/a Vectren Energy Delivery of Indiana, Inc."/>
    <s v="Posey County"/>
    <m/>
    <m/>
    <s v="IN"/>
    <s v="DPP-2018-APR"/>
    <s v="Central"/>
    <s v="GIA"/>
    <s v="NRIS"/>
    <s v="AB Brown 138 kV Substation"/>
    <n v="54"/>
    <n v="54"/>
    <x v="3"/>
    <s v="Combined Cycle"/>
    <s v="Not Started"/>
    <m/>
    <n v="0"/>
    <n v="0"/>
    <n v="0"/>
    <n v="0"/>
  </r>
  <r>
    <s v="J1149"/>
    <x v="1"/>
    <d v="2018-03-12T00:00:00"/>
    <d v="2020-03-25T00:00:00"/>
    <m/>
    <d v="2021-11-15T00:00:00"/>
    <s v="NORTHERN STATES POWER COMPANY"/>
    <s v="Yellow Medicine County"/>
    <m/>
    <m/>
    <s v="MN"/>
    <s v="DPP-2018-APR"/>
    <s v="West"/>
    <s v="GIA"/>
    <s v="NRIS"/>
    <s v="Hazel Creek 230 kV Substation"/>
    <n v="200"/>
    <n v="200"/>
    <x v="0"/>
    <s v="Photovoltaic"/>
    <s v="Not Started"/>
    <m/>
    <n v="0"/>
    <n v="0"/>
    <n v="0"/>
    <n v="0"/>
  </r>
  <r>
    <s v="J1150"/>
    <x v="1"/>
    <d v="2018-03-12T00:00:00"/>
    <d v="2018-08-10T00:00:00"/>
    <m/>
    <d v="2020-09-30T00:00:00"/>
    <s v="DUKE ENERGY INDIANA, LLC"/>
    <s v="Miami County"/>
    <m/>
    <m/>
    <s v="IN"/>
    <s v="DPP-2018-APR"/>
    <s v="Central"/>
    <s v="GIA"/>
    <s v="NRIS"/>
    <s v="Deedsville 345 kV Substation"/>
    <n v="30"/>
    <n v="30"/>
    <x v="1"/>
    <s v="Wind Turbine"/>
    <s v="Not Started"/>
    <m/>
    <n v="0"/>
    <n v="0"/>
    <n v="0"/>
    <n v="0"/>
  </r>
  <r>
    <s v="J1151"/>
    <x v="1"/>
    <d v="2018-03-12T00:00:00"/>
    <d v="2019-08-29T00:00:00"/>
    <m/>
    <d v="2020-09-01T00:00:00"/>
    <s v="ENTERGY LOUISIANA, LLC"/>
    <s v="Ascension Parish"/>
    <m/>
    <m/>
    <s v="LA"/>
    <s v="DPP-2018-APR"/>
    <s v="South"/>
    <s v="GIA"/>
    <s v="NRIS"/>
    <s v="Brittany 230kV Substation"/>
    <n v="219"/>
    <n v="252"/>
    <x v="3"/>
    <s v="Combined Cycle"/>
    <s v="Not Started"/>
    <m/>
    <n v="0"/>
    <n v="0"/>
    <n v="0"/>
    <n v="0"/>
  </r>
  <r>
    <s v="J1152"/>
    <x v="1"/>
    <d v="2018-03-12T00:00:00"/>
    <d v="2022-07-19T00:00:00"/>
    <m/>
    <d v="2021-04-01T00:00:00"/>
    <s v="DUKE ENERGY INDIANA, LLC"/>
    <s v="Hancock County"/>
    <s v="Shelby County"/>
    <m/>
    <s v="IN"/>
    <s v="DPP-2018-APR"/>
    <s v="Central"/>
    <s v="GIA"/>
    <s v="NRIS"/>
    <s v="Gwynneville 345 kV Substation"/>
    <n v="200"/>
    <n v="200"/>
    <x v="0"/>
    <s v="Photovoltaic"/>
    <s v="Not Started"/>
    <m/>
    <n v="200"/>
    <n v="200"/>
    <n v="200"/>
    <n v="200"/>
  </r>
  <r>
    <s v="J1153"/>
    <x v="0"/>
    <d v="2018-03-12T00:00:00"/>
    <m/>
    <d v="2021-05-19T00:00:00"/>
    <d v="2021-04-01T00:00:00"/>
    <s v="American Transmission Co. LLC"/>
    <s v="Sheboygan County"/>
    <m/>
    <m/>
    <s v="WI"/>
    <s v="DPP-2018-APR"/>
    <s v="East (ATC)"/>
    <s v="GIA"/>
    <s v="NRIS"/>
    <s v="Holland 138 kV Substation"/>
    <n v="150"/>
    <n v="150"/>
    <x v="0"/>
    <s v="Photovoltaic"/>
    <s v="In Service"/>
    <d v="2022-06-01T00:00:00"/>
    <n v="150"/>
    <n v="150"/>
    <n v="150"/>
    <n v="150"/>
  </r>
  <r>
    <s v="J1154"/>
    <x v="0"/>
    <d v="2018-03-12T00:00:00"/>
    <m/>
    <d v="2021-05-19T00:00:00"/>
    <d v="2021-04-01T00:00:00"/>
    <s v="American Transmission Co. LLC"/>
    <s v="Jefferson County"/>
    <m/>
    <m/>
    <s v="WI"/>
    <s v="DPP-2018-APR"/>
    <s v="East (ATC)"/>
    <s v="GIA"/>
    <s v="NRIS"/>
    <s v="Jefferson 138 kV Substation"/>
    <n v="75"/>
    <n v="75"/>
    <x v="0"/>
    <s v="Photovoltaic"/>
    <s v="Under Construction"/>
    <d v="2023-05-15T00:00:00"/>
    <n v="75"/>
    <n v="75"/>
    <n v="75"/>
    <n v="75"/>
  </r>
  <r>
    <s v="J1155"/>
    <x v="0"/>
    <d v="2018-03-12T00:00:00"/>
    <m/>
    <d v="2020-08-12T00:00:00"/>
    <d v="2020-06-01T00:00:00"/>
    <s v="ENTERGY ARKANSAS, LLC"/>
    <s v="Mississippi County"/>
    <m/>
    <m/>
    <s v="AR"/>
    <s v="DPP-2018-APR"/>
    <s v="South"/>
    <s v="GIA"/>
    <s v="NRIS"/>
    <s v="Driver 230 kV Substation"/>
    <n v="150"/>
    <n v="150"/>
    <x v="0"/>
    <s v="Photovoltaic"/>
    <s v="Under Construction"/>
    <d v="2022-09-01T00:00:00"/>
    <n v="150"/>
    <n v="150"/>
    <n v="150"/>
    <n v="150"/>
  </r>
  <r>
    <s v="J1156"/>
    <x v="1"/>
    <d v="2018-03-12T00:00:00"/>
    <d v="2019-08-28T00:00:00"/>
    <m/>
    <d v="2020-06-01T00:00:00"/>
    <s v="ENTERGY ARKANSAS, LLC"/>
    <s v="Crittenden County"/>
    <m/>
    <m/>
    <s v="AR"/>
    <s v="DPP-2018-APR"/>
    <s v="South"/>
    <s v="GIA"/>
    <s v="NRIS"/>
    <s v="Kuhn Rd. - Parkin 161 kV line tap"/>
    <n v="150"/>
    <n v="150"/>
    <x v="0"/>
    <s v="Photovoltaic"/>
    <s v="Not Started"/>
    <m/>
    <n v="0"/>
    <n v="0"/>
    <n v="0"/>
    <n v="0"/>
  </r>
  <r>
    <s v="J1157"/>
    <x v="1"/>
    <d v="2018-03-12T00:00:00"/>
    <d v="2019-08-28T00:00:00"/>
    <m/>
    <d v="2020-06-01T00:00:00"/>
    <s v="ENTERGY MISSISSIPPI, LLC"/>
    <s v="Hinds County"/>
    <m/>
    <m/>
    <s v="MS"/>
    <s v="DPP-2018-APR"/>
    <s v="South"/>
    <s v="GIA"/>
    <s v="NRIS"/>
    <s v="Tinnin Road 230 kV Substation"/>
    <n v="100"/>
    <n v="100"/>
    <x v="0"/>
    <s v="Photovoltaic"/>
    <s v="Not Started"/>
    <m/>
    <n v="0"/>
    <n v="0"/>
    <n v="0"/>
    <n v="0"/>
  </r>
  <r>
    <s v="J1158"/>
    <x v="0"/>
    <d v="2018-03-12T00:00:00"/>
    <m/>
    <d v="2020-12-07T00:00:00"/>
    <d v="2020-06-01T00:00:00"/>
    <s v="ENTERGY LOUISIANA, LLC"/>
    <s v="St. James Parish"/>
    <m/>
    <m/>
    <s v="LA"/>
    <s v="DPP-2018-APR"/>
    <s v="South"/>
    <s v="GIA"/>
    <s v="NRIS"/>
    <s v="Vacherie 230 kV Substation"/>
    <n v="70"/>
    <n v="70"/>
    <x v="0"/>
    <s v="Photovoltaic"/>
    <s v="Under Construction"/>
    <d v="2022-12-01T00:00:00"/>
    <n v="70"/>
    <n v="70"/>
    <n v="70"/>
    <n v="70"/>
  </r>
  <r>
    <s v="J1159"/>
    <x v="1"/>
    <d v="2018-03-12T00:00:00"/>
    <d v="2019-08-28T00:00:00"/>
    <m/>
    <d v="2020-06-01T00:00:00"/>
    <s v="ENTERGY TEXAS, INC."/>
    <s v="Walker County"/>
    <m/>
    <m/>
    <s v="TX"/>
    <s v="DPP-2018-APR"/>
    <s v="South"/>
    <s v="GIA"/>
    <s v="NRIS"/>
    <s v="Mount Zion 138 kV Substation"/>
    <n v="100"/>
    <n v="100"/>
    <x v="0"/>
    <s v="Photovoltaic"/>
    <s v="Not Started"/>
    <m/>
    <n v="0"/>
    <n v="0"/>
    <n v="0"/>
    <n v="0"/>
  </r>
  <r>
    <s v="J1160"/>
    <x v="1"/>
    <d v="2018-03-12T00:00:00"/>
    <d v="2019-01-31T00:00:00"/>
    <m/>
    <d v="2021-10-01T00:00:00"/>
    <s v="American Transmission Co. LLC"/>
    <s v="Adams County"/>
    <s v="Wood County"/>
    <m/>
    <s v="WI"/>
    <s v="DPP-2018-APR"/>
    <s v="East (ATC)"/>
    <s v="GIA"/>
    <s v="NRIS"/>
    <s v="Sand Lake - Port Edwards 138 kV Line Tap"/>
    <n v="100.23"/>
    <n v="100.23"/>
    <x v="0"/>
    <s v="Photovoltaic"/>
    <s v="Not Started"/>
    <m/>
    <n v="0"/>
    <n v="0"/>
    <n v="0"/>
    <n v="0"/>
  </r>
  <r>
    <s v="J1161"/>
    <x v="1"/>
    <d v="2018-03-12T00:00:00"/>
    <d v="2020-01-07T00:00:00"/>
    <m/>
    <d v="2021-10-01T00:00:00"/>
    <s v="Ameren Missouri"/>
    <s v="Scott County"/>
    <m/>
    <m/>
    <s v="MO"/>
    <s v="DPP-2018-APR"/>
    <s v="Central"/>
    <s v="GIA"/>
    <s v="NRIS"/>
    <s v="Miner - Kelso 161 kV Line Tap"/>
    <n v="100.23"/>
    <n v="100.23"/>
    <x v="0"/>
    <s v="Photovoltaic"/>
    <s v="Not Started"/>
    <m/>
    <n v="0"/>
    <n v="0"/>
    <n v="0"/>
    <n v="0"/>
  </r>
  <r>
    <s v="J1162"/>
    <x v="1"/>
    <d v="2018-03-12T00:00:00"/>
    <d v="2019-08-28T00:00:00"/>
    <m/>
    <d v="2020-06-01T00:00:00"/>
    <s v="ENTERGY TEXAS, INC."/>
    <s v="Jefferson County"/>
    <m/>
    <m/>
    <s v="TX"/>
    <s v="DPP-2018-APR"/>
    <s v="South"/>
    <s v="GIA"/>
    <s v="NRIS"/>
    <s v="Jacinto - China 230 kV Line Tap"/>
    <n v="80"/>
    <n v="80"/>
    <x v="0"/>
    <s v="Photovoltaic"/>
    <s v="Not Started"/>
    <m/>
    <n v="0"/>
    <n v="0"/>
    <n v="0"/>
    <n v="0"/>
  </r>
  <r>
    <s v="J1163"/>
    <x v="1"/>
    <d v="2018-03-12T00:00:00"/>
    <d v="2019-08-28T00:00:00"/>
    <m/>
    <d v="2020-06-01T00:00:00"/>
    <s v="ENTERGY MISSISSIPPI, LLC"/>
    <s v="Quitman County"/>
    <s v="Tunica County"/>
    <m/>
    <s v="MS"/>
    <s v="DPP-2018-APR"/>
    <s v="South"/>
    <s v="GIA"/>
    <s v="NRIS"/>
    <s v="Crenshaw - Tunica 115kv Line Tap"/>
    <n v="120"/>
    <n v="120"/>
    <x v="0"/>
    <s v="Photovoltaic"/>
    <s v="Not Started"/>
    <m/>
    <n v="0"/>
    <n v="0"/>
    <n v="0"/>
    <n v="0"/>
  </r>
  <r>
    <s v="J1164"/>
    <x v="0"/>
    <d v="2018-03-12T00:00:00"/>
    <m/>
    <d v="2022-04-06T00:00:00"/>
    <d v="2021-08-01T00:00:00"/>
    <s v="ITC MIDWEST"/>
    <s v="Rock County"/>
    <m/>
    <m/>
    <s v="MN"/>
    <s v="DPP-2018-APR"/>
    <s v="West"/>
    <s v="GIA"/>
    <s v="ERIS"/>
    <s v="Magnolia 161 kV Substation"/>
    <n v="80"/>
    <n v="80"/>
    <x v="0"/>
    <s v="Photovoltaic"/>
    <s v="Not Started"/>
    <d v="2024-08-01T00:00:00"/>
    <n v="80"/>
    <n v="80"/>
    <n v="80"/>
    <n v="0"/>
  </r>
  <r>
    <s v="J1165"/>
    <x v="1"/>
    <d v="2018-03-12T00:00:00"/>
    <d v="2019-08-28T00:00:00"/>
    <m/>
    <d v="2020-06-01T00:00:00"/>
    <s v="ENTERGY LOUISIANA, LLC"/>
    <s v="Jefferson Davis Parish"/>
    <m/>
    <m/>
    <s v="LA"/>
    <s v="DPP-2018-APR"/>
    <s v="South"/>
    <s v="GIA"/>
    <s v="NRIS"/>
    <s v="LC Bulk - Henning 138 kV Line Tap"/>
    <n v="150"/>
    <n v="150"/>
    <x v="0"/>
    <s v="Photovoltaic"/>
    <s v="Not Started"/>
    <m/>
    <n v="0"/>
    <n v="0"/>
    <n v="0"/>
    <n v="0"/>
  </r>
  <r>
    <s v="J1166"/>
    <x v="1"/>
    <d v="2018-03-12T00:00:00"/>
    <d v="2019-08-28T00:00:00"/>
    <m/>
    <d v="2020-06-01T00:00:00"/>
    <s v="ENTERGY LOUISIANA, LLC"/>
    <s v="Acadia Parish"/>
    <m/>
    <m/>
    <s v="LA"/>
    <s v="DPP-2018-APR"/>
    <s v="South"/>
    <s v="GIA"/>
    <s v="NRIS"/>
    <s v="Bayou Cove - Richard 138 kV Line Tap"/>
    <n v="50"/>
    <n v="50"/>
    <x v="0"/>
    <s v="Photovoltaic"/>
    <s v="Not Started"/>
    <m/>
    <n v="0"/>
    <n v="0"/>
    <n v="0"/>
    <n v="0"/>
  </r>
  <r>
    <s v="J1167"/>
    <x v="1"/>
    <d v="2018-03-12T00:00:00"/>
    <d v="2019-01-14T00:00:00"/>
    <m/>
    <d v="2020-06-01T00:00:00"/>
    <s v="ENTERGY ARKANSAS, LLC"/>
    <s v="St. Francis County"/>
    <m/>
    <m/>
    <s v="AR"/>
    <s v="DPP-2018-APR"/>
    <s v="South"/>
    <s v="GIA"/>
    <s v="NRIS"/>
    <s v="AECC Forrest City West 161 kV Substation"/>
    <n v="50"/>
    <n v="50"/>
    <x v="0"/>
    <s v="Photovoltaic"/>
    <s v="Not Started"/>
    <m/>
    <n v="0"/>
    <n v="0"/>
    <n v="0"/>
    <n v="0"/>
  </r>
  <r>
    <s v="J1168"/>
    <x v="1"/>
    <d v="2018-03-12T00:00:00"/>
    <d v="2019-08-28T00:00:00"/>
    <m/>
    <d v="2020-06-01T00:00:00"/>
    <s v="ENTERGY TEXAS, INC."/>
    <s v="Liberty County"/>
    <m/>
    <m/>
    <s v="TX"/>
    <s v="DPP-2018-APR"/>
    <s v="South"/>
    <s v="GIA"/>
    <s v="NRIS"/>
    <s v="Pintail 138 kV Substation"/>
    <n v="80"/>
    <n v="80"/>
    <x v="0"/>
    <s v="Photovoltaic"/>
    <s v="Not Started"/>
    <m/>
    <n v="0"/>
    <n v="0"/>
    <n v="0"/>
    <n v="0"/>
  </r>
  <r>
    <s v="J1169"/>
    <x v="0"/>
    <d v="2018-03-12T00:00:00"/>
    <m/>
    <d v="2022-02-07T00:00:00"/>
    <d v="2021-08-31T00:00:00"/>
    <s v="NORTHERN STATES POWER COMPANY"/>
    <s v="McCook County"/>
    <m/>
    <m/>
    <s v="SD"/>
    <s v="DPP-2018-APR"/>
    <s v="West"/>
    <s v="GIA"/>
    <s v="ERIS"/>
    <s v="Grant 115 kV Substation"/>
    <n v="50"/>
    <n v="50"/>
    <x v="0"/>
    <s v="Photovoltaic"/>
    <s v="Not Started"/>
    <d v="2024-07-30T00:00:00"/>
    <n v="50"/>
    <n v="50"/>
    <n v="50"/>
    <n v="0"/>
  </r>
  <r>
    <s v="J1170"/>
    <x v="1"/>
    <d v="2018-03-12T00:00:00"/>
    <d v="2020-03-25T00:00:00"/>
    <m/>
    <d v="2021-08-01T00:00:00"/>
    <s v="NORTHERN STATES POWER COMPANY"/>
    <s v="Cass County"/>
    <m/>
    <m/>
    <s v="ND"/>
    <s v="DPP-2018-APR"/>
    <s v="West"/>
    <s v="GIA"/>
    <s v="NRIS"/>
    <s v="Bison 345 kV Substation"/>
    <n v="200"/>
    <n v="200"/>
    <x v="0"/>
    <s v="Photovoltaic"/>
    <s v="Not Started"/>
    <m/>
    <n v="0"/>
    <n v="0"/>
    <n v="0"/>
    <n v="0"/>
  </r>
  <r>
    <s v="J1171"/>
    <x v="0"/>
    <d v="2018-03-12T00:00:00"/>
    <m/>
    <d v="2021-05-19T00:00:00"/>
    <d v="2021-08-01T00:00:00"/>
    <s v="American Transmission Co. LLC"/>
    <s v="Dodge County"/>
    <m/>
    <m/>
    <s v="WI"/>
    <s v="DPP-2018-APR"/>
    <s v="East (ATC)"/>
    <s v="GIA"/>
    <s v="NRIS"/>
    <s v="Butternut 138 kV Substation"/>
    <n v="100"/>
    <n v="100"/>
    <x v="0"/>
    <s v="Photovoltaic"/>
    <s v="Under Construction"/>
    <d v="2023-01-26T00:00:00"/>
    <n v="100"/>
    <n v="100"/>
    <n v="100"/>
    <n v="100"/>
  </r>
  <r>
    <s v="J1172"/>
    <x v="0"/>
    <d v="2018-03-12T00:00:00"/>
    <m/>
    <d v="2021-05-03T00:00:00"/>
    <d v="2021-07-01T00:00:00"/>
    <s v="METC"/>
    <s v="Genesee County"/>
    <m/>
    <m/>
    <s v="MI"/>
    <s v="DPP-2018-APR"/>
    <s v="East (ITC)"/>
    <s v="GIA"/>
    <s v="NRIS"/>
    <s v="Dort - Garfield 138 kV Line Tap"/>
    <n v="50"/>
    <n v="50"/>
    <x v="0"/>
    <s v="Photovoltaic"/>
    <s v="Under Construction"/>
    <d v="2023-08-01T00:00:00"/>
    <n v="50"/>
    <n v="50"/>
    <n v="50"/>
    <n v="50"/>
  </r>
  <r>
    <s v="J1173"/>
    <x v="1"/>
    <d v="2018-03-12T00:00:00"/>
    <d v="2020-06-30T00:00:00"/>
    <m/>
    <d v="2019-12-01T00:00:00"/>
    <s v="CONSUMERS ENERGY COMPANY"/>
    <s v="Lenawee County"/>
    <m/>
    <m/>
    <s v="MI"/>
    <s v="DPP-2018-APR"/>
    <s v="East (ITC)"/>
    <s v="GIA"/>
    <s v="NRIS"/>
    <s v="Raisin - METC Tap 138kV Line Tap"/>
    <n v="80"/>
    <n v="80"/>
    <x v="0"/>
    <s v="Photovoltaic"/>
    <s v="Not Started"/>
    <m/>
    <n v="80"/>
    <n v="80"/>
    <n v="0"/>
    <n v="0"/>
  </r>
  <r>
    <s v="J1174"/>
    <x v="0"/>
    <d v="2018-03-12T00:00:00"/>
    <m/>
    <d v="2022-02-07T00:00:00"/>
    <d v="2021-10-31T00:00:00"/>
    <s v="ITC MIDWEST"/>
    <s v="Worth County"/>
    <m/>
    <m/>
    <s v="IA"/>
    <s v="DPP-2018-APR"/>
    <s v="West"/>
    <s v="GIA"/>
    <s v="NRIS"/>
    <s v="Ledyard - Colby 345 kV Line Tap"/>
    <n v="165"/>
    <n v="165"/>
    <x v="0"/>
    <s v="Photovoltaic"/>
    <s v="Under Construction"/>
    <d v="2024-06-30T00:00:00"/>
    <n v="165"/>
    <n v="165"/>
    <n v="165"/>
    <n v="165"/>
  </r>
  <r>
    <s v="J1175"/>
    <x v="0"/>
    <d v="2018-03-12T00:00:00"/>
    <m/>
    <d v="2022-02-07T00:00:00"/>
    <d v="2021-10-31T00:00:00"/>
    <s v="ITC MIDWEST"/>
    <s v="Worth County"/>
    <m/>
    <m/>
    <s v="IA"/>
    <s v="DPP-2018-APR"/>
    <s v="West"/>
    <s v="GIA"/>
    <s v="ERIS"/>
    <s v="Ledyard - Colby 345kV Line Tap"/>
    <n v="165"/>
    <n v="165"/>
    <x v="1"/>
    <s v="Wind Turbine"/>
    <s v="Not Started"/>
    <d v="2024-06-30T00:00:00"/>
    <n v="165"/>
    <n v="165"/>
    <n v="165"/>
    <n v="0"/>
  </r>
  <r>
    <s v="J1176"/>
    <x v="1"/>
    <d v="2018-03-12T00:00:00"/>
    <d v="2019-08-15T00:00:00"/>
    <m/>
    <d v="2021-10-31T00:00:00"/>
    <s v="ITC MIDWEST"/>
    <s v="Cerro Gordo County"/>
    <s v="Worth County"/>
    <m/>
    <s v="IA"/>
    <s v="DPP-2018-APR"/>
    <s v="West"/>
    <s v="GIA"/>
    <s v="NRIS"/>
    <s v="Lime Creek 161 kV Substation"/>
    <n v="145"/>
    <n v="145"/>
    <x v="1"/>
    <s v="Wind Turbine"/>
    <s v="Not Started"/>
    <m/>
    <n v="0"/>
    <n v="0"/>
    <n v="0"/>
    <n v="0"/>
  </r>
  <r>
    <s v="J1177"/>
    <x v="1"/>
    <d v="2018-03-12T00:00:00"/>
    <d v="2020-03-25T00:00:00"/>
    <m/>
    <d v="2020-09-30T00:00:00"/>
    <s v="AMEREN TRANSMISSION COMPANY OF ILLINOIS"/>
    <s v="Schuyler County"/>
    <m/>
    <m/>
    <s v="MO"/>
    <s v="DPP-2018-APR"/>
    <s v="West"/>
    <s v="GIA"/>
    <s v="NRIS"/>
    <s v="Hughes 345 kV Switching Station (J541 POI)"/>
    <n v="300"/>
    <n v="300"/>
    <x v="1"/>
    <s v="Wind Turbine"/>
    <s v="Not Started"/>
    <m/>
    <n v="0"/>
    <n v="0"/>
    <n v="0"/>
    <n v="0"/>
  </r>
  <r>
    <s v="J1178"/>
    <x v="1"/>
    <d v="2018-03-12T00:00:00"/>
    <d v="2021-08-06T00:00:00"/>
    <d v="2021-05-03T00:00:00"/>
    <d v="2020-07-01T00:00:00"/>
    <s v="METC"/>
    <s v="Eaton County"/>
    <m/>
    <m/>
    <s v="MI"/>
    <s v="DPP-2018-APR"/>
    <s v="East (ITC)"/>
    <s v="GIA"/>
    <s v="NRIS"/>
    <s v="Oneida 138 kV Substation"/>
    <n v="65"/>
    <n v="65"/>
    <x v="0"/>
    <s v="Photovoltaic"/>
    <s v="Withdrawn"/>
    <d v="2023-08-01T00:00:00"/>
    <n v="65"/>
    <n v="65"/>
    <n v="65"/>
    <n v="65"/>
  </r>
  <r>
    <s v="J1179"/>
    <x v="1"/>
    <d v="2018-03-12T00:00:00"/>
    <d v="2020-03-25T00:00:00"/>
    <m/>
    <d v="2021-10-31T00:00:00"/>
    <s v="NORTHERN STATES POWER COMPANY"/>
    <s v="Chisago County"/>
    <m/>
    <m/>
    <s v="MN"/>
    <s v="DPP-2018-APR"/>
    <s v="West"/>
    <s v="GIA"/>
    <s v="NRIS"/>
    <s v="Rush City - Red Rock 230 kV Line Tap"/>
    <n v="300"/>
    <n v="300"/>
    <x v="0"/>
    <s v="Photovoltaic"/>
    <s v="Not Started"/>
    <m/>
    <n v="0"/>
    <n v="0"/>
    <n v="0"/>
    <n v="0"/>
  </r>
  <r>
    <s v="J1180"/>
    <x v="0"/>
    <d v="2018-03-12T00:00:00"/>
    <m/>
    <d v="2021-10-12T00:00:00"/>
    <d v="2020-08-14T00:00:00"/>
    <s v="AMEREN ILLINOIS"/>
    <s v="Clark County"/>
    <m/>
    <m/>
    <s v="IL"/>
    <s v="DPP-2018-APR"/>
    <s v="Central"/>
    <s v="GIA"/>
    <s v="NRIS"/>
    <s v="Casey West - Sullivan 345 kV Line"/>
    <n v="75"/>
    <n v="75"/>
    <x v="0"/>
    <s v="Photovoltaic"/>
    <s v="Under Construction"/>
    <d v="2023-05-01T00:00:00"/>
    <n v="75"/>
    <n v="75"/>
    <n v="75"/>
    <n v="75"/>
  </r>
  <r>
    <s v="J1181"/>
    <x v="0"/>
    <d v="2018-03-12T00:00:00"/>
    <m/>
    <d v="2021-06-15T00:00:00"/>
    <d v="2021-10-31T00:00:00"/>
    <s v="ITC MIDWEST"/>
    <s v="Chickasaw County"/>
    <m/>
    <m/>
    <s v="IA"/>
    <s v="DPP-2018-APR"/>
    <s v="West"/>
    <s v="GIA"/>
    <s v="NRIS"/>
    <s v="Hazleton - Mitchell county 345 kV line"/>
    <n v="200"/>
    <n v="200"/>
    <x v="1"/>
    <s v="Wind Turbine"/>
    <s v="In Service"/>
    <d v="2022-10-31T00:00:00"/>
    <n v="200"/>
    <n v="200"/>
    <n v="200"/>
    <n v="0"/>
  </r>
  <r>
    <s v="J1182"/>
    <x v="0"/>
    <d v="2018-03-12T00:00:00"/>
    <m/>
    <d v="2022-03-18T00:00:00"/>
    <d v="2021-11-15T00:00:00"/>
    <s v="AMEREN TRANSMISSION COMPANY OF ILLINOIS"/>
    <s v="Adair County"/>
    <m/>
    <m/>
    <s v="MO"/>
    <s v="DPP-2018-APR"/>
    <s v="Central"/>
    <s v="GIA"/>
    <s v="NRIS"/>
    <s v="Zachary Substation 345 kV Bus"/>
    <n v="250"/>
    <n v="250"/>
    <x v="0"/>
    <s v="Photovoltaic"/>
    <s v="In Service"/>
    <d v="2024-11-15T00:00:00"/>
    <n v="250"/>
    <n v="250"/>
    <n v="250"/>
    <n v="250"/>
  </r>
  <r>
    <s v="J1183"/>
    <x v="0"/>
    <d v="2018-03-12T00:00:00"/>
    <m/>
    <d v="2021-04-02T00:00:00"/>
    <d v="2019-01-31T00:00:00"/>
    <s v="American Transmission Co. LLC"/>
    <s v="Delta County"/>
    <m/>
    <m/>
    <s v="MI"/>
    <s v="DPP-2018-APR"/>
    <s v="East (ATC)"/>
    <s v="GIA"/>
    <s v="ERIS"/>
    <s v="Heritage Garden substation"/>
    <n v="1.35"/>
    <n v="1.35"/>
    <x v="0"/>
    <s v="Photovoltaic"/>
    <s v="In Service"/>
    <d v="2019-10-15T00:00:00"/>
    <n v="1.35"/>
    <n v="0"/>
    <n v="1.35"/>
    <n v="0"/>
  </r>
  <r>
    <s v="J1184"/>
    <x v="0"/>
    <d v="2018-03-12T00:00:00"/>
    <m/>
    <d v="2020-10-09T00:00:00"/>
    <d v="2020-06-01T00:00:00"/>
    <s v="ENTERGY LOUISIANA, LLC"/>
    <s v="Washington Parish"/>
    <m/>
    <m/>
    <s v="LA"/>
    <s v="DPP-2018-APR"/>
    <s v="South"/>
    <s v="GIA"/>
    <s v="NRIS"/>
    <s v="Lagen Holton-Franklinton 115kV Line Tap"/>
    <n v="50"/>
    <n v="50"/>
    <x v="0"/>
    <s v="Photovoltaic"/>
    <s v="Under Construction"/>
    <d v="2021-04-09T00:00:00"/>
    <n v="50"/>
    <n v="50"/>
    <n v="50"/>
    <n v="50"/>
  </r>
  <r>
    <s v="J1185"/>
    <x v="1"/>
    <d v="2018-03-12T00:00:00"/>
    <d v="2019-04-24T00:00:00"/>
    <m/>
    <d v="2020-09-30T00:00:00"/>
    <s v="Ameren Missouri"/>
    <s v="Putnam County"/>
    <m/>
    <m/>
    <s v="MO"/>
    <s v="DPP-2018-APR"/>
    <s v="West"/>
    <s v="GIA"/>
    <s v="NRIS"/>
    <s v="Adair - Appanoose 161 kV Line Tap"/>
    <n v="200"/>
    <n v="200"/>
    <x v="1"/>
    <s v="Wind Turbine"/>
    <s v="Not Started"/>
    <m/>
    <n v="0"/>
    <n v="0"/>
    <n v="0"/>
    <n v="0"/>
  </r>
  <r>
    <s v="J1186"/>
    <x v="1"/>
    <d v="2018-03-12T00:00:00"/>
    <d v="2019-08-28T00:00:00"/>
    <m/>
    <d v="2020-06-01T00:00:00"/>
    <s v="ENTERGY TEXAS, INC."/>
    <s v="San Jacinto County"/>
    <m/>
    <m/>
    <s v="TX"/>
    <s v="DPP-2018-APR"/>
    <s v="South"/>
    <s v="GIA"/>
    <s v="NRIS"/>
    <s v="Pelican Road - Shepard 138 kV Line Tap"/>
    <n v="100"/>
    <n v="100"/>
    <x v="0"/>
    <s v="Photovoltaic"/>
    <s v="Not Started"/>
    <m/>
    <n v="0"/>
    <n v="0"/>
    <n v="0"/>
    <n v="0"/>
  </r>
  <r>
    <s v="J1187"/>
    <x v="1"/>
    <d v="2018-03-12T00:00:00"/>
    <d v="2021-03-09T00:00:00"/>
    <m/>
    <d v="2022-05-01T00:00:00"/>
    <s v="GREAT RIVER ENERGY"/>
    <s v="Mercer County"/>
    <m/>
    <m/>
    <s v="ND"/>
    <s v="DPP-2018-APR"/>
    <s v="West"/>
    <s v="GIA"/>
    <s v="NRIS"/>
    <s v="Stanton 230 kV Substation"/>
    <n v="151.80000000000001"/>
    <n v="151.80000000000001"/>
    <x v="1"/>
    <s v="Wind Turbine"/>
    <s v="Not Started"/>
    <m/>
    <n v="151.80000000000001"/>
    <n v="151.80000000000001"/>
    <n v="0"/>
    <n v="0"/>
  </r>
  <r>
    <s v="J1188"/>
    <x v="0"/>
    <d v="2018-03-12T00:00:00"/>
    <m/>
    <d v="2021-05-18T00:00:00"/>
    <d v="2021-08-31T00:00:00"/>
    <s v="American Transmission Co. LLC"/>
    <s v="Rock County"/>
    <m/>
    <m/>
    <s v="WI"/>
    <s v="DPP-2018-APR"/>
    <s v="East (ATC)"/>
    <s v="GIA"/>
    <s v="NRIS"/>
    <s v="Sheepskin 69 kV Substation"/>
    <n v="50"/>
    <n v="50"/>
    <x v="0"/>
    <s v="Photovoltaic"/>
    <s v="In Service"/>
    <d v="2022-06-01T00:00:00"/>
    <n v="50"/>
    <n v="50"/>
    <n v="50"/>
    <n v="50"/>
  </r>
  <r>
    <s v="J1189"/>
    <x v="0"/>
    <d v="2018-03-12T00:00:00"/>
    <m/>
    <m/>
    <d v="2019-01-01T00:00:00"/>
    <s v="DUKE ENERGY INDIANA, LLC"/>
    <s v="Brown County"/>
    <s v="Martin County"/>
    <m/>
    <s v="IN"/>
    <s v="DPP-2018-APR"/>
    <s v="Central"/>
    <s v="GIA"/>
    <s v="NRIS"/>
    <s v="Crane Solar 69kV Substation"/>
    <n v="5"/>
    <n v="5"/>
    <x v="2"/>
    <s v="Battery Storage"/>
    <s v="Under Construction"/>
    <m/>
    <n v="4.95"/>
    <n v="4.95"/>
    <n v="4.95"/>
    <n v="4.95"/>
  </r>
  <r>
    <s v="J1190"/>
    <x v="0"/>
    <d v="2019-01-22T00:00:00"/>
    <m/>
    <d v="2023-01-26T00:00:00"/>
    <d v="2023-10-01T00:00:00"/>
    <s v="ITC MIDWEST"/>
    <s v="Clinton County"/>
    <m/>
    <m/>
    <s v="IA"/>
    <s v="DPP-2019"/>
    <s v="West"/>
    <s v="GIA"/>
    <s v="NRIS"/>
    <s v="Calamus East 161 kV Substation"/>
    <n v="200"/>
    <n v="200"/>
    <x v="0"/>
    <s v="Photovoltaic"/>
    <s v="Not Started"/>
    <d v="2025-08-01T00:00:00"/>
    <n v="200"/>
    <n v="200"/>
    <n v="200"/>
    <n v="200"/>
  </r>
  <r>
    <s v="J1191"/>
    <x v="1"/>
    <d v="2019-02-04T00:00:00"/>
    <d v="2025-02-10T00:00:00"/>
    <m/>
    <d v="2022-07-31T00:00:00"/>
    <s v="City of Columbia, MO"/>
    <s v="Boone County"/>
    <m/>
    <m/>
    <s v="MO"/>
    <s v="DPP-2019"/>
    <s v="Central"/>
    <s v="GIA"/>
    <s v="NRIS"/>
    <s v="Bolstad 69 kV Substation"/>
    <n v="64"/>
    <n v="64"/>
    <x v="0"/>
    <s v="Photovoltaic"/>
    <s v="Not Started"/>
    <d v="2025-02-28T00:00:00"/>
    <n v="64"/>
    <n v="64"/>
    <n v="64"/>
    <n v="64"/>
  </r>
  <r>
    <s v="J1192"/>
    <x v="1"/>
    <d v="2019-03-25T00:00:00"/>
    <d v="2022-10-25T00:00:00"/>
    <d v="2022-08-17T00:00:00"/>
    <d v="2021-07-01T00:00:00"/>
    <s v="METC"/>
    <s v="Eaton County"/>
    <m/>
    <m/>
    <s v="MI"/>
    <s v="DPP-2019"/>
    <s v="East (ITC)"/>
    <s v="GIA"/>
    <s v="NRIS"/>
    <s v="Oneida 138kV Substation"/>
    <n v="35"/>
    <n v="35"/>
    <x v="0"/>
    <s v="Photovoltaic"/>
    <s v="Withdrawn"/>
    <d v="2024-07-01T00:00:00"/>
    <n v="35"/>
    <n v="35"/>
    <n v="35"/>
    <n v="35"/>
  </r>
  <r>
    <s v="J1193"/>
    <x v="1"/>
    <d v="2019-04-22T00:00:00"/>
    <d v="2020-04-28T00:00:00"/>
    <m/>
    <d v="2023-10-01T00:00:00"/>
    <s v="MONTANA-DAKOTA UTILITIES CO."/>
    <s v="Morton County"/>
    <m/>
    <m/>
    <s v="ND"/>
    <s v="DPP-2019"/>
    <s v="West"/>
    <s v="GIA"/>
    <s v="NRIS"/>
    <s v="Heskitt 115 kV Switchyard"/>
    <n v="103.1"/>
    <n v="103.1"/>
    <x v="3"/>
    <s v="Combustion Turbine (Simple Cycle)"/>
    <s v="Not Started"/>
    <m/>
    <n v="0"/>
    <n v="0"/>
    <n v="0"/>
    <n v="0"/>
  </r>
  <r>
    <s v="J1194"/>
    <x v="0"/>
    <d v="2019-04-24T00:00:00"/>
    <m/>
    <m/>
    <d v="2021-10-01T00:00:00"/>
    <s v="METC"/>
    <s v="Midland County"/>
    <s v="Saginaw County"/>
    <m/>
    <s v="MI"/>
    <s v="DPP-2019"/>
    <s v="East (ITC)"/>
    <s v="GIA"/>
    <s v="NRIS"/>
    <s v="Murphy 138 kV Substation"/>
    <n v="225.2"/>
    <n v="225.2"/>
    <x v="1"/>
    <s v="Wind Turbine"/>
    <s v="In Service (with Provisional GIA)"/>
    <d v="2021-11-01T00:00:00"/>
    <n v="225.2"/>
    <n v="225.2"/>
    <n v="225.2"/>
    <n v="225.2"/>
  </r>
  <r>
    <s v="J1195"/>
    <x v="1"/>
    <d v="2019-04-24T00:00:00"/>
    <d v="2020-01-03T00:00:00"/>
    <m/>
    <d v="2021-10-01T00:00:00"/>
    <s v="METC"/>
    <s v="Branch County"/>
    <m/>
    <m/>
    <s v="MI"/>
    <s v="DPP-2019"/>
    <s v="East (ITC)"/>
    <s v="GIA"/>
    <s v="NRIS"/>
    <s v="Wagner 138 kV Substation"/>
    <n v="150.4"/>
    <n v="150.4"/>
    <x v="1"/>
    <s v="Wind Turbine"/>
    <s v="Not Started"/>
    <m/>
    <n v="0"/>
    <n v="0"/>
    <n v="0"/>
    <n v="0"/>
  </r>
  <r>
    <s v="J1196"/>
    <x v="0"/>
    <d v="2019-04-25T00:00:00"/>
    <m/>
    <d v="2022-10-31T00:00:00"/>
    <d v="2022-08-29T00:00:00"/>
    <s v="ITC MIDWEST"/>
    <s v="Sanilac County"/>
    <m/>
    <m/>
    <s v="MI"/>
    <s v="DPP-2019"/>
    <s v="East (ITC)"/>
    <s v="GIA"/>
    <s v="NRIS"/>
    <s v="Greenwood - Rapson (Banner) 345 kV Line Tap"/>
    <n v="200"/>
    <n v="200"/>
    <x v="0"/>
    <s v="Photovoltaic"/>
    <s v="Not Started"/>
    <d v="2025-08-09T00:00:00"/>
    <n v="200"/>
    <n v="200"/>
    <n v="200"/>
    <n v="200"/>
  </r>
  <r>
    <s v="J1197"/>
    <x v="1"/>
    <d v="2019-04-25T00:00:00"/>
    <d v="2021-08-05T00:00:00"/>
    <m/>
    <d v="2021-06-15T00:00:00"/>
    <s v="AMEREN ILLINOIS"/>
    <s v="LaSalle County"/>
    <m/>
    <m/>
    <s v="IL"/>
    <s v="DPP-2019"/>
    <s v="Central"/>
    <s v="GIA"/>
    <s v="NRIS"/>
    <s v="Corbin 138kV Substation"/>
    <n v="75"/>
    <n v="75"/>
    <x v="2"/>
    <s v="Battery Storage"/>
    <s v="Not Started"/>
    <m/>
    <n v="0"/>
    <n v="0"/>
    <n v="0"/>
    <n v="0"/>
  </r>
  <r>
    <s v="J1198"/>
    <x v="0"/>
    <d v="2019-04-25T00:00:00"/>
    <m/>
    <m/>
    <d v="2021-06-15T00:00:00"/>
    <s v="AMEREN ILLINOIS"/>
    <s v="Jasper County"/>
    <m/>
    <m/>
    <s v="IL"/>
    <s v="DPP-2019"/>
    <s v="Central"/>
    <s v="GIA"/>
    <s v="NRIS"/>
    <s v="Newton 345kV Substation"/>
    <n v="51.8"/>
    <n v="51.8"/>
    <x v="5"/>
    <s v="Solar/Battery"/>
    <s v="Not Started"/>
    <d v="2023-04-01T00:00:00"/>
    <n v="51.8"/>
    <n v="51.8"/>
    <n v="51.8"/>
    <n v="51.8"/>
  </r>
  <r>
    <s v="J1199"/>
    <x v="0"/>
    <d v="2019-04-25T00:00:00"/>
    <m/>
    <m/>
    <d v="2021-06-15T00:00:00"/>
    <s v="AMEREN ILLINOIS"/>
    <s v="Fulton County"/>
    <m/>
    <m/>
    <s v="IL"/>
    <s v="DPP-2019"/>
    <s v="Central"/>
    <s v="GIA"/>
    <s v="NRIS"/>
    <s v="Duck Creek 345kV Substation"/>
    <n v="20"/>
    <n v="20"/>
    <x v="5"/>
    <s v="Solar/Battery"/>
    <s v="Not Started"/>
    <d v="2023-06-01T00:00:00"/>
    <n v="20"/>
    <n v="20"/>
    <n v="20"/>
    <n v="20"/>
  </r>
  <r>
    <s v="J1200"/>
    <x v="0"/>
    <d v="2019-04-25T00:00:00"/>
    <m/>
    <m/>
    <d v="2021-06-15T00:00:00"/>
    <s v="AMEREN ILLINOIS"/>
    <s v="Putnam County"/>
    <m/>
    <m/>
    <s v="IL"/>
    <s v="DPP-2019"/>
    <s v="Central"/>
    <s v="GIA"/>
    <s v="NRIS"/>
    <s v="Putnam 138kV Substation"/>
    <n v="24.2"/>
    <n v="24.2"/>
    <x v="5"/>
    <s v="Solar/Battery"/>
    <s v="Not Started"/>
    <d v="2024-06-01T00:00:00"/>
    <n v="24.2"/>
    <n v="24.2"/>
    <n v="24.2"/>
    <n v="24.2"/>
  </r>
  <r>
    <s v="J1201"/>
    <x v="0"/>
    <d v="2019-04-25T00:00:00"/>
    <m/>
    <m/>
    <d v="2021-06-15T00:00:00"/>
    <s v="AMEREN ILLINOIS"/>
    <s v="Montgomery County"/>
    <m/>
    <m/>
    <s v="IL"/>
    <s v="DPP-2019"/>
    <s v="Central"/>
    <s v="GIA"/>
    <s v="NRIS"/>
    <s v="North Coffeen 138kV Substation"/>
    <n v="44.2"/>
    <n v="44.2"/>
    <x v="5"/>
    <s v="Solar/Battery"/>
    <s v="Not Started"/>
    <d v="2024-06-01T00:00:00"/>
    <n v="44.2"/>
    <n v="44.2"/>
    <n v="44.2"/>
    <n v="44.2"/>
  </r>
  <r>
    <s v="J1202"/>
    <x v="0"/>
    <d v="2019-04-25T00:00:00"/>
    <m/>
    <m/>
    <d v="2021-06-15T00:00:00"/>
    <s v="AMEREN ILLINOIS"/>
    <s v="Randolph County"/>
    <m/>
    <m/>
    <s v="IL"/>
    <s v="DPP-2019"/>
    <s v="Central"/>
    <s v="GIA"/>
    <s v="NRIS"/>
    <s v="Baldwin Plant 345kV Switchyard - Baldwin Unit 2"/>
    <n v="68.400000000000006"/>
    <n v="68.400000000000006"/>
    <x v="5"/>
    <s v="Solar/Battery"/>
    <s v="Not Started"/>
    <d v="2024-06-01T00:00:00"/>
    <n v="68.400000000000006"/>
    <n v="68.400000000000006"/>
    <n v="68.400000000000006"/>
    <n v="68.400000000000006"/>
  </r>
  <r>
    <s v="J1203"/>
    <x v="0"/>
    <d v="2019-04-25T00:00:00"/>
    <m/>
    <d v="2022-08-17T00:00:00"/>
    <d v="2022-06-01T00:00:00"/>
    <s v="METC"/>
    <s v="Genesee County"/>
    <m/>
    <m/>
    <s v="MI"/>
    <s v="DPP-2019"/>
    <s v="East (ITC)"/>
    <s v="GIA"/>
    <s v="NRIS"/>
    <s v="Thetford 345kV Substation"/>
    <n v="125"/>
    <n v="125"/>
    <x v="0"/>
    <s v="Photovoltaic"/>
    <s v="Under Construction"/>
    <d v="2025-05-15T00:00:00"/>
    <n v="125"/>
    <n v="125"/>
    <n v="125"/>
    <n v="125"/>
  </r>
  <r>
    <s v="J1204"/>
    <x v="1"/>
    <d v="2019-04-26T00:00:00"/>
    <d v="2024-05-03T00:00:00"/>
    <m/>
    <d v="2022-06-01T00:00:00"/>
    <s v="AMEREN ILLINOIS"/>
    <s v="Cumberland County"/>
    <m/>
    <m/>
    <s v="IL"/>
    <s v="DPP-2019"/>
    <s v="Central"/>
    <s v="GIA"/>
    <s v="NRIS"/>
    <s v="Casey West 345kV Substation"/>
    <n v="199.3"/>
    <n v="199.3"/>
    <x v="0"/>
    <s v="Photovoltaic"/>
    <s v="Withdrawn"/>
    <d v="2025-06-01T00:00:00"/>
    <n v="199.3"/>
    <n v="199.3"/>
    <n v="199.3"/>
    <n v="199.3"/>
  </r>
  <r>
    <s v="J1205"/>
    <x v="0"/>
    <d v="2019-04-26T00:00:00"/>
    <m/>
    <d v="2021-11-30T00:00:00"/>
    <d v="2021-10-31T00:00:00"/>
    <s v="CLECO POWER LLC"/>
    <s v="Allen Parish"/>
    <m/>
    <m/>
    <s v="LA"/>
    <s v="DPP-2019"/>
    <s v="South"/>
    <s v="GIA"/>
    <s v="ERIS"/>
    <s v="Centennial - West Bay 138kV Line"/>
    <n v="125"/>
    <n v="125"/>
    <x v="0"/>
    <s v="Photovoltaic"/>
    <s v="In Service"/>
    <d v="2023-09-30T00:00:00"/>
    <n v="125"/>
    <n v="125"/>
    <n v="125"/>
    <n v="0"/>
  </r>
  <r>
    <s v="J1206"/>
    <x v="1"/>
    <d v="2019-04-26T00:00:00"/>
    <d v="2021-02-10T00:00:00"/>
    <m/>
    <d v="2021-04-01T00:00:00"/>
    <s v="METC"/>
    <s v="Branch County"/>
    <m/>
    <m/>
    <s v="MI"/>
    <s v="DPP-2019"/>
    <s v="East (ITC)"/>
    <s v="GIA"/>
    <s v="NRIS"/>
    <s v="Newton 138kV Substation"/>
    <n v="50"/>
    <n v="50"/>
    <x v="3"/>
    <s v="Combustion Turbine (Simple Cycle)"/>
    <s v="Not Started"/>
    <m/>
    <n v="0"/>
    <n v="0"/>
    <n v="0"/>
    <n v="0"/>
  </r>
  <r>
    <s v="J1207"/>
    <x v="1"/>
    <d v="2019-04-26T00:00:00"/>
    <d v="2022-12-02T00:00:00"/>
    <d v="2022-08-17T00:00:00"/>
    <d v="2021-04-01T00:00:00"/>
    <s v="METC"/>
    <s v="Branch County"/>
    <m/>
    <m/>
    <s v="MI"/>
    <s v="DPP-2019"/>
    <s v="East (ITC)"/>
    <s v="GIA"/>
    <s v="NRIS"/>
    <s v="Newton 138kV Substation"/>
    <n v="50"/>
    <n v="50"/>
    <x v="3"/>
    <s v="Combustion Turbine (Simple Cycle)"/>
    <s v="Withdrawn"/>
    <m/>
    <n v="50"/>
    <n v="49.5"/>
    <n v="49.5"/>
    <n v="49.5"/>
  </r>
  <r>
    <s v="J1208"/>
    <x v="0"/>
    <d v="2019-04-27T00:00:00"/>
    <m/>
    <m/>
    <d v="2023-10-31T00:00:00"/>
    <s v="AMEREN ILLINOIS"/>
    <s v="Saline County"/>
    <m/>
    <m/>
    <s v="IL"/>
    <s v="DPP-2019"/>
    <s v="Central"/>
    <s v="GIA"/>
    <s v="NRIS"/>
    <s v="Muddy - Crab Orchard 138 kV line"/>
    <n v="80"/>
    <n v="80"/>
    <x v="0"/>
    <s v="Photovoltaic"/>
    <s v="Not Started"/>
    <d v="2023-11-04T00:00:00"/>
    <n v="80"/>
    <n v="80"/>
    <n v="80"/>
    <n v="80"/>
  </r>
  <r>
    <s v="J1209"/>
    <x v="0"/>
    <d v="2019-04-27T00:00:00"/>
    <m/>
    <m/>
    <d v="2023-10-31T00:00:00"/>
    <s v="AMEREN ILLINOIS"/>
    <s v="Saline County"/>
    <m/>
    <m/>
    <s v="IL"/>
    <s v="DPP-2019"/>
    <s v="Central"/>
    <s v="GIA"/>
    <s v="NRIS"/>
    <s v="Muddy - Crab Orchard 138kV Line"/>
    <n v="80"/>
    <n v="80"/>
    <x v="0"/>
    <s v="Photovoltaic"/>
    <s v="Not Started"/>
    <d v="2023-11-04T00:00:00"/>
    <n v="80"/>
    <n v="80"/>
    <n v="80"/>
    <n v="80"/>
  </r>
  <r>
    <s v="J1210"/>
    <x v="0"/>
    <d v="2019-04-27T00:00:00"/>
    <m/>
    <d v="2022-08-17T00:00:00"/>
    <d v="2023-10-31T00:00:00"/>
    <s v="METC"/>
    <s v="Iosco County"/>
    <m/>
    <m/>
    <s v="MI"/>
    <s v="DPP-2019"/>
    <s v="East (ITC)"/>
    <s v="GIA"/>
    <s v="NRIS"/>
    <s v="Whittemore - Twining 138kV Line"/>
    <n v="50"/>
    <n v="50"/>
    <x v="0"/>
    <s v="Photovoltaic"/>
    <s v="Not Started"/>
    <d v="2025-03-31T00:00:00"/>
    <n v="50"/>
    <n v="50"/>
    <n v="50"/>
    <n v="50"/>
  </r>
  <r>
    <s v="J1211"/>
    <x v="1"/>
    <d v="2019-04-27T00:00:00"/>
    <d v="2021-02-11T00:00:00"/>
    <m/>
    <d v="2023-10-31T00:00:00"/>
    <s v="CONSUMERS ENERGY COMPANY"/>
    <s v="Isabella County"/>
    <m/>
    <m/>
    <s v="MI"/>
    <s v="DPP-2019"/>
    <s v="East (ITC)"/>
    <s v="GIA"/>
    <s v="NRIS"/>
    <s v="Vernon - METC Tap 138kV Line"/>
    <n v="50"/>
    <n v="50"/>
    <x v="0"/>
    <s v="Photovoltaic"/>
    <s v="Not Started"/>
    <m/>
    <n v="0"/>
    <n v="0"/>
    <n v="0"/>
    <n v="0"/>
  </r>
  <r>
    <s v="J1212"/>
    <x v="1"/>
    <d v="2019-04-27T00:00:00"/>
    <d v="2021-03-24T00:00:00"/>
    <m/>
    <d v="2023-10-31T00:00:00"/>
    <s v="NORTHERN STATES POWER COMPANY"/>
    <s v="Murray County"/>
    <m/>
    <m/>
    <s v="MN"/>
    <s v="DPP-2019"/>
    <s v="West"/>
    <s v="GIA"/>
    <s v="NRIS"/>
    <s v="Chanarambie-Ellsborough 115kV Line"/>
    <n v="60"/>
    <n v="60"/>
    <x v="0"/>
    <s v="Photovoltaic"/>
    <s v="Not Started"/>
    <m/>
    <n v="0"/>
    <n v="0"/>
    <n v="0"/>
    <n v="0"/>
  </r>
  <r>
    <s v="J1213"/>
    <x v="0"/>
    <d v="2019-04-27T00:00:00"/>
    <m/>
    <m/>
    <d v="2022-12-31T00:00:00"/>
    <s v="Ameren Missouri"/>
    <s v="Iron County"/>
    <m/>
    <m/>
    <s v="MO"/>
    <s v="DPP-2019"/>
    <s v="Central"/>
    <s v="GIA"/>
    <s v="NRIS"/>
    <s v="Taum Sauk 138kV Switchyard, Bus 1 &amp; 2"/>
    <n v="60"/>
    <n v="60"/>
    <x v="6"/>
    <s v="Hydroelectric"/>
    <s v="Not Started"/>
    <d v="2024-11-02T00:00:00"/>
    <n v="60"/>
    <n v="60"/>
    <n v="60"/>
    <n v="60"/>
  </r>
  <r>
    <s v="J1214"/>
    <x v="0"/>
    <d v="2019-04-27T00:00:00"/>
    <m/>
    <m/>
    <d v="2022-10-30T00:00:00"/>
    <s v="American Transmission Co. LLC"/>
    <s v="Dane County"/>
    <m/>
    <m/>
    <s v="WI"/>
    <s v="DPP-2019"/>
    <s v="East (ATC)"/>
    <s v="GIA"/>
    <s v="NRIS"/>
    <s v="Rockdale 345 kV Substation"/>
    <n v="300"/>
    <n v="300"/>
    <x v="0"/>
    <s v="Photovoltaic"/>
    <s v="Not Started"/>
    <d v="2025-06-01T00:00:00"/>
    <n v="300"/>
    <n v="300"/>
    <n v="300"/>
    <n v="240"/>
  </r>
  <r>
    <s v="J1215"/>
    <x v="0"/>
    <d v="2019-04-27T00:00:00"/>
    <m/>
    <d v="2022-01-25T00:00:00"/>
    <d v="2022-10-30T00:00:00"/>
    <s v="ENTERGY ARKANSAS, LLC"/>
    <s v="Arkansas County"/>
    <m/>
    <m/>
    <s v="AR"/>
    <s v="DPP-2019"/>
    <s v="South"/>
    <s v="GIA"/>
    <s v="NRIS"/>
    <s v="Stuttgart Ricuskey - Woodward 230 kV"/>
    <n v="200"/>
    <n v="200"/>
    <x v="0"/>
    <s v="Photovoltaic"/>
    <s v="Not Started"/>
    <d v="2024-06-01T00:00:00"/>
    <n v="155"/>
    <n v="155"/>
    <n v="155"/>
    <n v="155"/>
  </r>
  <r>
    <s v="J1216"/>
    <x v="0"/>
    <d v="2019-04-27T00:00:00"/>
    <m/>
    <m/>
    <d v="2023-10-30T00:00:00"/>
    <s v="AMEREN ILLINOIS"/>
    <s v="Washington County"/>
    <m/>
    <m/>
    <s v="IL"/>
    <s v="DPP-2019"/>
    <s v="Central"/>
    <s v="GIA"/>
    <s v="NRIS"/>
    <s v="Ashley 138 kV Substation"/>
    <n v="250"/>
    <n v="250"/>
    <x v="0"/>
    <s v="Photovoltaic"/>
    <s v="Not Started"/>
    <d v="2026-06-01T00:00:00"/>
    <n v="185"/>
    <n v="185"/>
    <n v="185"/>
    <n v="185"/>
  </r>
  <r>
    <s v="J1217"/>
    <x v="1"/>
    <d v="2019-04-27T00:00:00"/>
    <d v="2021-03-18T00:00:00"/>
    <m/>
    <d v="2022-10-30T00:00:00"/>
    <s v="CLECO POWER LLC"/>
    <s v="St. Landry Parish"/>
    <m/>
    <m/>
    <s v="LA"/>
    <s v="DPP-2019"/>
    <s v="South"/>
    <s v="GIA"/>
    <s v="NRIS"/>
    <s v="Ville Platte - West Fork 230 kV Line Tap"/>
    <n v="200"/>
    <n v="200"/>
    <x v="0"/>
    <s v="Photovoltaic"/>
    <s v="Not Started"/>
    <m/>
    <n v="200"/>
    <n v="200"/>
    <n v="0"/>
    <n v="0"/>
  </r>
  <r>
    <s v="J1218"/>
    <x v="0"/>
    <d v="2019-04-27T00:00:00"/>
    <m/>
    <d v="2023-01-26T00:00:00"/>
    <d v="2023-10-30T00:00:00"/>
    <s v="MIDAMERICAN ENERGY COMPANY"/>
    <s v="Muscatine County"/>
    <m/>
    <m/>
    <s v="IA"/>
    <s v="DPP-2019"/>
    <s v="West"/>
    <s v="GIA"/>
    <s v="NRIS"/>
    <s v="Sub 92 345 kV"/>
    <n v="200"/>
    <n v="200"/>
    <x v="0"/>
    <s v="Photovoltaic"/>
    <s v="Not Started"/>
    <d v="2026-06-30T00:00:00"/>
    <n v="200"/>
    <n v="200"/>
    <n v="200"/>
    <n v="160"/>
  </r>
  <r>
    <s v="J1219"/>
    <x v="0"/>
    <d v="2019-04-27T00:00:00"/>
    <m/>
    <d v="2021-11-30T00:00:00"/>
    <d v="2022-10-30T00:00:00"/>
    <s v="ENTERGY LOUISIANA, LLC"/>
    <s v="Tangipahoa Parish"/>
    <m/>
    <m/>
    <s v="LA"/>
    <s v="DPP-2019"/>
    <s v="South"/>
    <s v="GIA"/>
    <s v="NRIS"/>
    <s v="Chicken Farm - Amite 115 kV Line"/>
    <n v="100"/>
    <n v="100"/>
    <x v="0"/>
    <s v="Photovoltaic"/>
    <s v="Under Construction"/>
    <d v="2024-09-24T00:00:00"/>
    <n v="100"/>
    <n v="100"/>
    <n v="100"/>
    <n v="100"/>
  </r>
  <r>
    <s v="J1220"/>
    <x v="1"/>
    <d v="2019-04-27T00:00:00"/>
    <d v="2020-08-04T00:00:00"/>
    <m/>
    <d v="2022-10-30T00:00:00"/>
    <s v="CLECO POWER LLC"/>
    <s v="Rapides Parish"/>
    <m/>
    <m/>
    <s v="LA"/>
    <s v="DPP-2019"/>
    <s v="South"/>
    <s v="GIA"/>
    <s v="NRIS"/>
    <s v="Rapides - Rodemacher 230 kV Line Tap"/>
    <n v="200"/>
    <n v="200"/>
    <x v="0"/>
    <s v="Photovoltaic"/>
    <s v="Not Started"/>
    <m/>
    <n v="0"/>
    <n v="0"/>
    <n v="0"/>
    <n v="0"/>
  </r>
  <r>
    <s v="J1221"/>
    <x v="0"/>
    <d v="2019-04-27T00:00:00"/>
    <m/>
    <m/>
    <d v="2023-10-30T00:00:00"/>
    <s v="GREAT RIVER ENERGY"/>
    <s v="Wadena County"/>
    <m/>
    <m/>
    <s v="MN"/>
    <s v="DPP-2019"/>
    <s v="West"/>
    <s v="GIA"/>
    <s v="NRIS"/>
    <s v="Wing River- Riverton 230kV line"/>
    <n v="150"/>
    <n v="150"/>
    <x v="0"/>
    <s v="Photovoltaic"/>
    <s v="Not Started"/>
    <d v="2028-10-30T00:00:00"/>
    <n v="150"/>
    <n v="150"/>
    <n v="150"/>
    <n v="120"/>
  </r>
  <r>
    <s v="J1222"/>
    <x v="1"/>
    <d v="2019-04-27T00:00:00"/>
    <d v="2021-08-05T00:00:00"/>
    <m/>
    <d v="2022-10-30T00:00:00"/>
    <s v="Ameren Missouri"/>
    <s v="Ralls County"/>
    <m/>
    <m/>
    <s v="MO"/>
    <s v="DPP-2019"/>
    <s v="Central"/>
    <s v="GIA"/>
    <s v="NRIS"/>
    <s v="Spencer Creek 345 kV Substation"/>
    <n v="200"/>
    <n v="200"/>
    <x v="0"/>
    <s v="Photovoltaic"/>
    <s v="Not Started"/>
    <m/>
    <n v="0"/>
    <n v="0"/>
    <n v="0"/>
    <n v="0"/>
  </r>
  <r>
    <s v="J1223"/>
    <x v="1"/>
    <d v="2019-04-27T00:00:00"/>
    <d v="2021-03-18T00:00:00"/>
    <m/>
    <d v="2023-10-30T00:00:00"/>
    <s v="ENTERGY MISSISSIPPI, LLC"/>
    <s v="Pike County"/>
    <m/>
    <m/>
    <s v="MS"/>
    <s v="DPP-2019"/>
    <s v="South"/>
    <s v="GIA"/>
    <s v="NRIS"/>
    <s v="Colonial Pipeline  - Kentwood 115 kV Line"/>
    <n v="150"/>
    <n v="150"/>
    <x v="0"/>
    <s v="Photovoltaic"/>
    <s v="Not Started"/>
    <m/>
    <n v="75"/>
    <n v="75"/>
    <n v="0"/>
    <n v="0"/>
  </r>
  <r>
    <s v="J1224"/>
    <x v="0"/>
    <d v="2019-04-27T00:00:00"/>
    <m/>
    <m/>
    <d v="2022-10-30T00:00:00"/>
    <s v="ITC MIDWEST"/>
    <s v="Washtenaw County"/>
    <m/>
    <m/>
    <s v="MI"/>
    <s v="DPP-2019"/>
    <s v="East (ITC)"/>
    <s v="GIA"/>
    <s v="NRIS"/>
    <s v="Majestic - Milan 345 kV Line Tap"/>
    <n v="170"/>
    <n v="170"/>
    <x v="0"/>
    <s v="Photovoltaic"/>
    <s v="Under Construction"/>
    <d v="2025-10-30T00:00:00"/>
    <n v="170"/>
    <n v="170"/>
    <n v="153"/>
    <n v="153"/>
  </r>
  <r>
    <s v="J1225"/>
    <x v="1"/>
    <d v="2019-04-27T00:00:00"/>
    <d v="2021-08-05T00:00:00"/>
    <m/>
    <d v="2023-09-29T00:00:00"/>
    <s v="AMEREN ILLINOIS"/>
    <s v="Washington County"/>
    <m/>
    <m/>
    <s v="IL"/>
    <s v="DPP-2019"/>
    <s v="Central"/>
    <s v="GIA"/>
    <s v="NRIS"/>
    <s v="Ashley-Turkey Hill Line 1482, between the Okawville and North Nashville substations"/>
    <n v="160"/>
    <n v="160"/>
    <x v="0"/>
    <s v="Photovoltaic"/>
    <s v="Not Started"/>
    <m/>
    <n v="0"/>
    <n v="0"/>
    <n v="0"/>
    <n v="0"/>
  </r>
  <r>
    <s v="J1226"/>
    <x v="0"/>
    <d v="2019-04-27T00:00:00"/>
    <m/>
    <d v="2022-08-17T00:00:00"/>
    <d v="2023-09-29T00:00:00"/>
    <s v="METC"/>
    <s v="Lenawee County"/>
    <m/>
    <m/>
    <s v="MI"/>
    <s v="DPP-2019"/>
    <s v="East (ITC)"/>
    <s v="GIA"/>
    <s v="NRIS"/>
    <s v="Morocco 345 kV Substation"/>
    <n v="200"/>
    <n v="200"/>
    <x v="0"/>
    <s v="Photovoltaic"/>
    <s v="Under Construction"/>
    <d v="2024-08-01T00:00:00"/>
    <n v="200"/>
    <n v="200"/>
    <n v="200"/>
    <n v="200"/>
  </r>
  <r>
    <s v="J1227"/>
    <x v="1"/>
    <d v="2019-04-27T00:00:00"/>
    <d v="2021-08-05T00:00:00"/>
    <m/>
    <d v="2023-09-29T00:00:00"/>
    <s v="Southern Indiana Gas &amp; Electric Company d/b/a Vectren Energy Delivery of Indiana, Inc."/>
    <s v="Spencer County"/>
    <m/>
    <m/>
    <s v="IN"/>
    <s v="DPP-2019"/>
    <s v="Central"/>
    <s v="GIA"/>
    <s v="NRIS"/>
    <s v="Dubois - FB Culley 138 kV Line Tap"/>
    <n v="125"/>
    <n v="125"/>
    <x v="0"/>
    <s v="Photovoltaic"/>
    <s v="Not Started"/>
    <m/>
    <n v="0"/>
    <n v="0"/>
    <n v="0"/>
    <n v="0"/>
  </r>
  <r>
    <s v="J1228"/>
    <x v="1"/>
    <d v="2019-04-27T00:00:00"/>
    <d v="2019-11-05T00:00:00"/>
    <m/>
    <d v="2023-09-29T00:00:00"/>
    <s v="ITC MIDWEST"/>
    <s v="Faribault County"/>
    <m/>
    <m/>
    <s v="MN"/>
    <s v="DPP-2019"/>
    <s v="West"/>
    <s v="GIA"/>
    <s v="NRIS"/>
    <s v="Huntley 161 kV Substation"/>
    <n v="100"/>
    <n v="100"/>
    <x v="0"/>
    <s v="Photovoltaic"/>
    <s v="Not Started"/>
    <m/>
    <n v="0"/>
    <n v="0"/>
    <n v="0"/>
    <n v="0"/>
  </r>
  <r>
    <s v="J1229"/>
    <x v="0"/>
    <d v="2019-04-29T00:00:00"/>
    <m/>
    <d v="2023-01-26T00:00:00"/>
    <d v="2023-10-30T00:00:00"/>
    <s v="MIDAMERICAN ENERGY COMPANY"/>
    <s v="Muscatine County"/>
    <m/>
    <m/>
    <s v="IA"/>
    <s v="DPP-2019"/>
    <s v="West"/>
    <s v="GIA"/>
    <s v="NRIS"/>
    <s v="Sub 92 345 kV Substation"/>
    <n v="50"/>
    <n v="50"/>
    <x v="2"/>
    <s v="Battery Storage"/>
    <s v="Not Started"/>
    <d v="2026-06-30T00:00:00"/>
    <n v="50"/>
    <n v="50"/>
    <n v="50"/>
    <n v="50"/>
  </r>
  <r>
    <s v="J1230"/>
    <x v="1"/>
    <d v="2019-04-27T00:00:00"/>
    <d v="2021-03-24T00:00:00"/>
    <m/>
    <d v="2023-10-30T00:00:00"/>
    <s v="GREAT RIVER ENERGY"/>
    <s v="Wadena County"/>
    <m/>
    <m/>
    <s v="MN"/>
    <s v="DPP-2019"/>
    <s v="West"/>
    <s v="GIA"/>
    <s v="NRIS"/>
    <s v="Wing River- Riverton 230kV line"/>
    <n v="40"/>
    <n v="40"/>
    <x v="2"/>
    <s v="Battery Storage"/>
    <s v="Not Started"/>
    <m/>
    <n v="0"/>
    <n v="0"/>
    <n v="0"/>
    <n v="0"/>
  </r>
  <r>
    <s v="J1231"/>
    <x v="1"/>
    <d v="2019-04-28T00:00:00"/>
    <d v="2024-12-13T00:00:00"/>
    <m/>
    <d v="2022-09-01T00:00:00"/>
    <s v="BIG RIVERS ELECTRIC CORPORATION"/>
    <s v="Lyon County"/>
    <m/>
    <m/>
    <s v="KY"/>
    <s v="DPP-2019"/>
    <s v="Central"/>
    <s v="GIA"/>
    <s v="NRIS"/>
    <s v="Barkley - Caldwell 161kV Line"/>
    <n v="125"/>
    <n v="125"/>
    <x v="0"/>
    <s v="Photovoltaic"/>
    <s v="Withdrawn"/>
    <d v="2025-09-01T00:00:00"/>
    <n v="125"/>
    <n v="125"/>
    <n v="125"/>
    <n v="125"/>
  </r>
  <r>
    <s v="J1232"/>
    <x v="0"/>
    <d v="2019-04-29T00:00:00"/>
    <m/>
    <m/>
    <d v="2022-07-01T00:00:00"/>
    <s v="AMEREN ILLINOIS"/>
    <s v="Coles County"/>
    <m/>
    <m/>
    <s v="IL"/>
    <s v="DPP-2019"/>
    <s v="Central"/>
    <s v="GIA"/>
    <s v="NRIS"/>
    <s v="Chesterville - Mattoon West 138kV Line"/>
    <n v="99"/>
    <n v="99"/>
    <x v="0"/>
    <s v="Photovoltaic"/>
    <s v="Not Started"/>
    <d v="2025-07-01T00:00:00"/>
    <n v="99"/>
    <n v="99"/>
    <n v="99"/>
    <n v="99"/>
  </r>
  <r>
    <s v="J1233"/>
    <x v="1"/>
    <d v="2019-04-29T00:00:00"/>
    <d v="2023-02-06T00:00:00"/>
    <m/>
    <d v="2023-10-30T00:00:00"/>
    <s v="Southern Indiana Gas &amp; Electric Company d/b/a Vectren Energy Delivery of Indiana, Inc."/>
    <s v="Pike County"/>
    <m/>
    <m/>
    <s v="IN"/>
    <s v="DPP-2019"/>
    <s v="Central"/>
    <s v="GIA"/>
    <s v="NRIS"/>
    <s v="Cato 138 kV Substation"/>
    <n v="32.5"/>
    <n v="32.5"/>
    <x v="2"/>
    <s v="Battery Storage"/>
    <s v="Not Started"/>
    <m/>
    <n v="32.5"/>
    <n v="32.5"/>
    <n v="32.5"/>
    <n v="32.5"/>
  </r>
  <r>
    <s v="J1234"/>
    <x v="0"/>
    <d v="2019-04-29T00:00:00"/>
    <m/>
    <m/>
    <d v="2023-10-31T00:00:00"/>
    <s v="DUKE ENERGY INDIANA, LLC CIN"/>
    <s v="Knox County"/>
    <m/>
    <m/>
    <s v="IN"/>
    <s v="DPP-2019"/>
    <s v="Central"/>
    <s v="GIA"/>
    <s v="NRIS"/>
    <s v="Edwardsport - Washington Mun, Linton 138kV Line"/>
    <n v="100"/>
    <n v="100"/>
    <x v="0"/>
    <s v="Photovoltaic"/>
    <s v="Not Started"/>
    <d v="2023-09-15T00:00:00"/>
    <n v="100"/>
    <n v="100"/>
    <n v="100"/>
    <n v="100"/>
  </r>
  <r>
    <s v="J1235"/>
    <x v="0"/>
    <d v="2019-04-29T00:00:00"/>
    <m/>
    <m/>
    <d v="2023-10-31T00:00:00"/>
    <s v="DUKE ENERGY INDIANA, LLC CIN"/>
    <s v="Knox County"/>
    <m/>
    <m/>
    <s v="IN"/>
    <s v="DPP-2019"/>
    <s v="Central"/>
    <s v="GIA"/>
    <s v="NRIS"/>
    <s v="Edwardsport - Washington Mun, Linton 138kV Line"/>
    <n v="50"/>
    <n v="50"/>
    <x v="0"/>
    <s v="Photovoltaic"/>
    <s v="Not Started"/>
    <d v="2023-09-15T00:00:00"/>
    <n v="50"/>
    <n v="50"/>
    <n v="50"/>
    <n v="50"/>
  </r>
  <r>
    <s v="J1236"/>
    <x v="1"/>
    <d v="2019-04-29T00:00:00"/>
    <d v="2020-08-04T00:00:00"/>
    <m/>
    <d v="2022-10-30T00:00:00"/>
    <s v="CLECO POWER LLC"/>
    <s v="St. Landry Parish"/>
    <m/>
    <m/>
    <s v="LA"/>
    <s v="DPP-2019"/>
    <s v="South"/>
    <s v="GIA"/>
    <s v="NRIS"/>
    <s v="Ville Platte - West Form 230 kV Line Tap"/>
    <n v="50"/>
    <n v="50"/>
    <x v="2"/>
    <s v="Battery Storage"/>
    <s v="Not Started"/>
    <m/>
    <n v="0"/>
    <n v="0"/>
    <n v="0"/>
    <n v="0"/>
  </r>
  <r>
    <s v="J1237"/>
    <x v="1"/>
    <d v="2019-04-29T00:00:00"/>
    <d v="2020-01-03T00:00:00"/>
    <m/>
    <d v="2022-09-01T00:00:00"/>
    <s v="ITC MIDWEST"/>
    <s v="Washtenaw County"/>
    <m/>
    <m/>
    <s v="MI"/>
    <s v="DPP-2019"/>
    <s v="East (ITC)"/>
    <s v="GIA"/>
    <s v="NRIS"/>
    <s v="Majestic - Milan 345kV Line"/>
    <n v="175"/>
    <n v="175"/>
    <x v="0"/>
    <s v="Photovoltaic"/>
    <s v="Not Started"/>
    <m/>
    <n v="0"/>
    <n v="0"/>
    <n v="0"/>
    <n v="0"/>
  </r>
  <r>
    <s v="J1238"/>
    <x v="1"/>
    <d v="2019-04-29T00:00:00"/>
    <d v="2020-08-04T00:00:00"/>
    <m/>
    <d v="2022-10-30T00:00:00"/>
    <s v="CLECO POWER LLC"/>
    <s v="Rapides Parish"/>
    <m/>
    <m/>
    <s v="LA"/>
    <s v="DPP-2019"/>
    <s v="South"/>
    <s v="GIA"/>
    <s v="NRIS"/>
    <s v="Rapides - Rodemacher 230 kV Line Tap"/>
    <n v="50"/>
    <n v="50"/>
    <x v="2"/>
    <s v="Battery Storage"/>
    <s v="Not Started"/>
    <m/>
    <n v="0"/>
    <n v="0"/>
    <n v="0"/>
    <n v="0"/>
  </r>
  <r>
    <s v="J1239"/>
    <x v="0"/>
    <d v="2019-04-29T00:00:00"/>
    <m/>
    <d v="2021-11-29T00:00:00"/>
    <d v="2023-04-01T00:00:00"/>
    <s v="ENTERGY LOUISIANA, LLC"/>
    <s v="Ouachita Parish"/>
    <m/>
    <m/>
    <s v="LA"/>
    <s v="DPP-2019"/>
    <s v="South"/>
    <s v="GIA"/>
    <s v="ERIS"/>
    <s v="Rilla 115 kV Substation"/>
    <n v="100"/>
    <n v="100"/>
    <x v="0"/>
    <s v="Photovoltaic"/>
    <s v="Under Construction"/>
    <d v="2024-10-15T00:00:00"/>
    <n v="100"/>
    <n v="70"/>
    <n v="100"/>
    <n v="0"/>
  </r>
  <r>
    <s v="J1240"/>
    <x v="1"/>
    <d v="2019-04-29T00:00:00"/>
    <d v="2019-11-01T00:00:00"/>
    <m/>
    <d v="2022-09-01T00:00:00"/>
    <s v="Ameren Missouri"/>
    <s v="Audrain County"/>
    <m/>
    <m/>
    <s v="MO"/>
    <s v="DPP-2019"/>
    <s v="Central"/>
    <s v="GIA"/>
    <s v="NRIS"/>
    <s v="Spencer Creek 345kV Substation"/>
    <n v="135"/>
    <n v="135"/>
    <x v="0"/>
    <s v="Photovoltaic"/>
    <s v="Not Started"/>
    <m/>
    <n v="0"/>
    <n v="0"/>
    <n v="0"/>
    <n v="0"/>
  </r>
  <r>
    <s v="J1241"/>
    <x v="0"/>
    <d v="2019-04-29T00:00:00"/>
    <m/>
    <m/>
    <d v="2022-09-01T00:00:00"/>
    <s v="AMEREN ILLINOIS"/>
    <s v="Jefferson County"/>
    <m/>
    <m/>
    <s v="IL"/>
    <s v="DPP-2019"/>
    <s v="Central"/>
    <s v="GIA"/>
    <s v="NRIS"/>
    <s v="West Mt Vernon - Xenia 345kV Line"/>
    <n v="200"/>
    <n v="200"/>
    <x v="0"/>
    <s v="Photovoltaic"/>
    <s v="Not Started"/>
    <d v="2024-12-10T00:00:00"/>
    <n v="165"/>
    <n v="165"/>
    <n v="165"/>
    <n v="165"/>
  </r>
  <r>
    <s v="J1242"/>
    <x v="1"/>
    <d v="2019-04-29T00:00:00"/>
    <d v="2021-08-05T00:00:00"/>
    <m/>
    <d v="2022-05-15T00:00:00"/>
    <s v="AMEREN ILLINOIS"/>
    <s v="Hancock County"/>
    <m/>
    <m/>
    <s v="IL"/>
    <s v="DPP-2019"/>
    <s v="Central"/>
    <s v="GIA"/>
    <s v="E-NRIS"/>
    <s v="Hamilton Line 796 Tap to Audrian 69kV Line"/>
    <n v="25"/>
    <n v="25"/>
    <x v="0"/>
    <s v="Photovoltaic"/>
    <s v="Not Started"/>
    <m/>
    <n v="0"/>
    <n v="0"/>
    <n v="0"/>
    <n v="0"/>
  </r>
  <r>
    <s v="J1243"/>
    <x v="1"/>
    <d v="2019-04-29T00:00:00"/>
    <d v="2021-08-05T00:00:00"/>
    <m/>
    <d v="2022-05-15T00:00:00"/>
    <s v="AMEREN ILLINOIS"/>
    <s v="McDonough County"/>
    <m/>
    <m/>
    <s v="IL"/>
    <s v="DPP-2019"/>
    <s v="Central"/>
    <s v="GIA"/>
    <s v="E-NRIS"/>
    <s v="Macomb West #2 - Blandlnsville Tap 69kV Line"/>
    <n v="25"/>
    <n v="25"/>
    <x v="0"/>
    <s v="Photovoltaic"/>
    <s v="Not Started"/>
    <m/>
    <n v="0"/>
    <n v="0"/>
    <n v="0"/>
    <n v="0"/>
  </r>
  <r>
    <s v="J1244"/>
    <x v="1"/>
    <d v="2019-04-29T00:00:00"/>
    <d v="2022-03-08T00:00:00"/>
    <m/>
    <d v="2021-09-15T00:00:00"/>
    <s v="American Transmission Co. LLC"/>
    <s v="Houghton County"/>
    <m/>
    <m/>
    <s v="MI"/>
    <s v="DPP-2019"/>
    <s v="East (ATC)"/>
    <s v="GIA"/>
    <s v="NRIS"/>
    <s v="Winona - Toivola - Portage Tap - Atlantic Mine 69kV Line"/>
    <n v="38.4"/>
    <n v="38.4"/>
    <x v="1"/>
    <s v="Wind Turbine"/>
    <s v="Not Started"/>
    <m/>
    <n v="38.4"/>
    <n v="38.4"/>
    <n v="0"/>
    <n v="0"/>
  </r>
  <r>
    <s v="J1245"/>
    <x v="1"/>
    <d v="2019-04-29T00:00:00"/>
    <d v="2020-08-04T00:00:00"/>
    <m/>
    <d v="2022-10-30T00:00:00"/>
    <s v="ENTERGY ARKANSAS, LLC"/>
    <s v="Arkansas County"/>
    <m/>
    <m/>
    <s v="AR"/>
    <s v="DPP-2019"/>
    <s v="South"/>
    <s v="GIA"/>
    <s v="NRIS"/>
    <s v="Stuttgart Ricuskey - Woodward 230 kV"/>
    <n v="50"/>
    <n v="50"/>
    <x v="2"/>
    <s v="Battery Storage"/>
    <s v="Not Started"/>
    <m/>
    <n v="0"/>
    <n v="0"/>
    <n v="0"/>
    <n v="0"/>
  </r>
  <r>
    <s v="J1246"/>
    <x v="0"/>
    <d v="2019-04-29T00:00:00"/>
    <m/>
    <d v="2022-04-06T00:00:00"/>
    <d v="2023-10-31T00:00:00"/>
    <s v="ENTERGY LOUISIANA, LLC"/>
    <s v="Iberville Parish"/>
    <m/>
    <m/>
    <s v="LA"/>
    <s v="DPP-2019"/>
    <s v="South"/>
    <s v="GIA"/>
    <s v="NRIS"/>
    <s v="Bayou Labutte 500kV Substation"/>
    <n v="725.2"/>
    <n v="725.2"/>
    <x v="3"/>
    <s v="Combined Cycle"/>
    <s v="Not Started"/>
    <d v="2025-09-20T00:00:00"/>
    <n v="705"/>
    <n v="705"/>
    <n v="705.2"/>
    <n v="705.2"/>
  </r>
  <r>
    <s v="J1247"/>
    <x v="0"/>
    <d v="2019-04-29T00:00:00"/>
    <m/>
    <d v="2022-05-31T00:00:00"/>
    <d v="2020-08-01T00:00:00"/>
    <s v="CLECO POWER LLC"/>
    <s v="St. Mary"/>
    <s v="St. Mary Parish"/>
    <m/>
    <s v="LA"/>
    <s v="DPP-2019"/>
    <s v="South"/>
    <s v="GIA"/>
    <s v="ERIS"/>
    <s v="Ivanhoe 138kV Substation"/>
    <n v="16.98"/>
    <n v="16.98"/>
    <x v="7"/>
    <s v="Co-gen"/>
    <s v="Under Construction"/>
    <d v="2021-10-31T00:00:00"/>
    <n v="30.98"/>
    <n v="0"/>
    <n v="30.98"/>
    <n v="0"/>
  </r>
  <r>
    <s v="J1248"/>
    <x v="0"/>
    <d v="2019-04-29T00:00:00"/>
    <m/>
    <d v="2022-08-17T00:00:00"/>
    <d v="2021-08-01T00:00:00"/>
    <s v="METC"/>
    <s v="Calhoun County"/>
    <m/>
    <m/>
    <s v="MI"/>
    <s v="DPP-2019"/>
    <s v="East (ITC)"/>
    <s v="GIA"/>
    <s v="NRIS"/>
    <s v="Marshall - Black Stone 138 kV line"/>
    <n v="100"/>
    <n v="100"/>
    <x v="0"/>
    <s v="Photovoltaic"/>
    <s v="Not Started"/>
    <d v="2025-09-01T00:00:00"/>
    <n v="100"/>
    <n v="100"/>
    <n v="100"/>
    <n v="100"/>
  </r>
  <r>
    <s v="J1249"/>
    <x v="0"/>
    <d v="2019-04-29T00:00:00"/>
    <m/>
    <d v="2022-01-20T00:00:00"/>
    <d v="2022-03-01T00:00:00"/>
    <s v="COOPERATIVE ENERGY"/>
    <s v="Lamar County"/>
    <m/>
    <m/>
    <s v="MS"/>
    <s v="DPP-2019"/>
    <s v="South"/>
    <s v="GIA"/>
    <s v="NRIS"/>
    <s v="Morrow 161 kV Substation"/>
    <n v="600"/>
    <n v="600"/>
    <x v="3"/>
    <s v="Combined Cycle"/>
    <s v="In Service"/>
    <d v="2022-07-24T00:00:00"/>
    <n v="600"/>
    <n v="600"/>
    <n v="600"/>
    <n v="600"/>
  </r>
  <r>
    <s v="J1250"/>
    <x v="1"/>
    <d v="2019-04-29T00:00:00"/>
    <d v="2020-08-04T00:00:00"/>
    <m/>
    <d v="2022-10-30T00:00:00"/>
    <s v="ENTERGY ARKANSAS, LLC"/>
    <s v="Clay County"/>
    <m/>
    <m/>
    <s v="AR"/>
    <s v="DPP-2019"/>
    <s v="South"/>
    <s v="GIA"/>
    <s v="NRIS"/>
    <s v="Datto-Corning North 161 kV line"/>
    <n v="35"/>
    <n v="35"/>
    <x v="2"/>
    <s v="Battery Storage"/>
    <s v="Not Started"/>
    <m/>
    <n v="0"/>
    <n v="0"/>
    <n v="0"/>
    <n v="0"/>
  </r>
  <r>
    <s v="J1251"/>
    <x v="0"/>
    <d v="2019-04-29T00:00:00"/>
    <m/>
    <d v="2022-09-08T00:00:00"/>
    <d v="2022-10-30T00:00:00"/>
    <s v="American Transmission Co. LLC"/>
    <s v="Marquette County"/>
    <m/>
    <m/>
    <s v="MI"/>
    <s v="DPP-2019"/>
    <s v="East (ATC)"/>
    <s v="GIA"/>
    <s v="NRIS"/>
    <s v="Arnold - Perkins 138 kV Line Tap"/>
    <n v="100"/>
    <n v="100"/>
    <x v="0"/>
    <s v="Photovoltaic"/>
    <s v="Under Construction"/>
    <d v="2025-06-12T00:00:00"/>
    <n v="100"/>
    <n v="100"/>
    <n v="100"/>
    <n v="80"/>
  </r>
  <r>
    <s v="J1252"/>
    <x v="1"/>
    <d v="2019-04-29T00:00:00"/>
    <d v="2021-02-08T00:00:00"/>
    <m/>
    <d v="2022-10-30T00:00:00"/>
    <s v="American Transmission Co. LLC"/>
    <s v="Marquette County"/>
    <m/>
    <m/>
    <s v="MI"/>
    <s v="DPP-2019"/>
    <s v="East (ATC)"/>
    <s v="GIA"/>
    <s v="NRIS"/>
    <s v="Arnold - Perkins 138 kV Line Tap"/>
    <n v="20"/>
    <n v="20"/>
    <x v="2"/>
    <s v="Battery Storage"/>
    <s v="Not Started"/>
    <m/>
    <n v="0"/>
    <n v="0"/>
    <n v="0"/>
    <n v="0"/>
  </r>
  <r>
    <s v="J1253"/>
    <x v="1"/>
    <d v="2019-04-29T00:00:00"/>
    <d v="2024-10-18T00:00:00"/>
    <m/>
    <d v="2021-08-01T00:00:00"/>
    <s v="American Transmission Co. LLC"/>
    <s v="Fond du Lac County"/>
    <m/>
    <m/>
    <s v="WI"/>
    <s v="DPP-2019"/>
    <s v="East (ATC)"/>
    <s v="GIA"/>
    <s v="NRIS"/>
    <s v="South Fond Du Lac to Fitzgerald 345 kV line"/>
    <n v="100"/>
    <n v="100"/>
    <x v="0"/>
    <s v="Photovoltaic"/>
    <s v="Withdrawn"/>
    <d v="2024-08-01T00:00:00"/>
    <n v="100"/>
    <n v="100"/>
    <n v="100"/>
    <n v="100"/>
  </r>
  <r>
    <s v="J1254"/>
    <x v="1"/>
    <d v="2019-04-29T00:00:00"/>
    <d v="2021-08-05T00:00:00"/>
    <m/>
    <d v="2023-10-31T00:00:00"/>
    <s v="DUKE ENERGY INDIANA, LLC"/>
    <s v="Knox County"/>
    <m/>
    <m/>
    <s v="IN"/>
    <s v="DPP-2019"/>
    <s v="Central"/>
    <s v="GIA"/>
    <s v="NRIS"/>
    <s v="Merom - Gibson - Wheatland 345kV Line"/>
    <n v="150"/>
    <n v="150"/>
    <x v="0"/>
    <s v="Photovoltaic"/>
    <s v="Not Started"/>
    <m/>
    <n v="0"/>
    <n v="0"/>
    <n v="0"/>
    <n v="0"/>
  </r>
  <r>
    <s v="J1255"/>
    <x v="0"/>
    <d v="2019-04-29T00:00:00"/>
    <m/>
    <d v="2022-10-31T00:00:00"/>
    <d v="2022-10-30T00:00:00"/>
    <s v="METC"/>
    <s v="Ionia County"/>
    <m/>
    <m/>
    <s v="MI"/>
    <s v="DPP-2019"/>
    <s v="East (ITC)"/>
    <s v="GIA"/>
    <s v="NRIS"/>
    <s v="Marquette - Vergennes 138 kV Line Tap"/>
    <n v="200"/>
    <n v="200"/>
    <x v="0"/>
    <s v="Photovoltaic"/>
    <s v="Under Construction"/>
    <d v="2025-10-30T00:00:00"/>
    <n v="100"/>
    <n v="100"/>
    <n v="100"/>
    <n v="100"/>
  </r>
  <r>
    <s v="J1256"/>
    <x v="1"/>
    <d v="2019-04-29T00:00:00"/>
    <d v="2020-05-06T00:00:00"/>
    <m/>
    <d v="2022-10-30T00:00:00"/>
    <s v="ITC MIDWEST"/>
    <s v="Washtenaw County"/>
    <m/>
    <m/>
    <s v="MI"/>
    <s v="DPP-2019"/>
    <s v="East (ITC)"/>
    <s v="GIA"/>
    <s v="NRIS"/>
    <s v="Dorset 120 kV Substation"/>
    <n v="150"/>
    <n v="150"/>
    <x v="0"/>
    <s v="Photovoltaic"/>
    <s v="Not Started"/>
    <m/>
    <n v="0"/>
    <n v="0"/>
    <n v="0"/>
    <n v="0"/>
  </r>
  <r>
    <s v="J1257"/>
    <x v="0"/>
    <d v="2019-04-29T00:00:00"/>
    <m/>
    <d v="2021-11-30T00:00:00"/>
    <d v="2022-10-30T00:00:00"/>
    <s v="ENTERGY LOUISIANA, LLC"/>
    <s v="Tangipahoa Parish"/>
    <m/>
    <m/>
    <s v="LA"/>
    <s v="DPP-2019"/>
    <s v="South"/>
    <s v="GIA"/>
    <s v="NRIS"/>
    <s v="Chicken Farm - Amite 115 kV Line"/>
    <n v="20"/>
    <n v="20"/>
    <x v="2"/>
    <s v="Battery Storage"/>
    <s v="Under Construction"/>
    <d v="2024-09-24T00:00:00"/>
    <n v="20"/>
    <n v="20"/>
    <n v="20"/>
    <n v="20"/>
  </r>
  <r>
    <s v="J1258"/>
    <x v="0"/>
    <d v="2019-04-29T00:00:00"/>
    <m/>
    <d v="2021-11-29T00:00:00"/>
    <d v="2023-10-30T00:00:00"/>
    <s v="ENTERGY ARKANSAS, LLC"/>
    <s v="Lonoke County"/>
    <m/>
    <m/>
    <s v="AR"/>
    <s v="DPP-2019"/>
    <s v="South"/>
    <s v="GIA"/>
    <s v="NRIS"/>
    <s v="KEO EHV 500 kV Substation"/>
    <n v="50"/>
    <n v="50"/>
    <x v="0"/>
    <s v="Photovoltaic"/>
    <s v="Not Started"/>
    <d v="2024-10-15T00:00:00"/>
    <n v="50"/>
    <n v="50"/>
    <n v="50"/>
    <n v="50"/>
  </r>
  <r>
    <s v="J1259"/>
    <x v="1"/>
    <d v="2019-04-29T00:00:00"/>
    <d v="2020-08-04T00:00:00"/>
    <m/>
    <d v="2022-10-30T00:00:00"/>
    <s v="ENTERGY MISSISSIPPI, LLC"/>
    <s v="Pike County"/>
    <m/>
    <m/>
    <s v="MS"/>
    <s v="DPP-2019"/>
    <s v="South"/>
    <s v="GIA"/>
    <s v="NRIS"/>
    <s v="Colonial Pipeline - Kentwood 115 kV Line"/>
    <n v="50"/>
    <n v="50"/>
    <x v="2"/>
    <s v="Battery Storage"/>
    <s v="Not Started"/>
    <m/>
    <n v="0"/>
    <n v="0"/>
    <n v="0"/>
    <n v="0"/>
  </r>
  <r>
    <s v="J1260"/>
    <x v="1"/>
    <d v="2019-04-29T00:00:00"/>
    <d v="2020-08-05T00:00:00"/>
    <m/>
    <d v="2021-10-01T00:00:00"/>
    <s v="ENTERGY ARKANSAS, LLC"/>
    <s v="Desha County"/>
    <m/>
    <m/>
    <s v="AR"/>
    <s v="DPP-2019"/>
    <s v="South"/>
    <s v="GIA"/>
    <s v="NRIS"/>
    <s v="Dumas - Reed 115kV Line"/>
    <n v="164"/>
    <n v="164"/>
    <x v="0"/>
    <s v="Photovoltaic"/>
    <s v="Not Started"/>
    <m/>
    <n v="0"/>
    <n v="0"/>
    <n v="0"/>
    <n v="0"/>
  </r>
  <r>
    <s v="J1261"/>
    <x v="1"/>
    <d v="2019-04-29T00:00:00"/>
    <d v="2020-08-05T00:00:00"/>
    <m/>
    <d v="2021-10-01T00:00:00"/>
    <s v="ENTERGY ARKANSAS, LLC"/>
    <s v="Monroe County"/>
    <m/>
    <m/>
    <s v="AR"/>
    <s v="DPP-2019"/>
    <s v="South"/>
    <s v="GIA"/>
    <s v="NRIS"/>
    <s v="Clarendon - Brinkley East 115kV Line"/>
    <n v="90"/>
    <n v="90"/>
    <x v="0"/>
    <s v="Photovoltaic"/>
    <s v="Not Started"/>
    <m/>
    <n v="0"/>
    <n v="0"/>
    <n v="0"/>
    <n v="0"/>
  </r>
  <r>
    <s v="J1262"/>
    <x v="0"/>
    <d v="2019-04-29T00:00:00"/>
    <m/>
    <d v="2022-08-17T00:00:00"/>
    <d v="2019-06-01T00:00:00"/>
    <s v="ITC MIDWEST"/>
    <s v="Wayne County"/>
    <m/>
    <m/>
    <s v="MI"/>
    <s v="DPP-2019"/>
    <s v="East (ITC)"/>
    <s v="GIA"/>
    <s v="ERIS"/>
    <s v="Waterman 120kV Substation"/>
    <n v="25"/>
    <n v="25"/>
    <x v="3"/>
    <s v="Combined Cycle"/>
    <s v="Not Started"/>
    <d v="2022-06-01T00:00:00"/>
    <n v="25"/>
    <n v="0"/>
    <n v="25"/>
    <n v="0"/>
  </r>
  <r>
    <s v="J1263"/>
    <x v="0"/>
    <d v="2019-04-29T00:00:00"/>
    <m/>
    <m/>
    <d v="2022-01-01T00:00:00"/>
    <s v="AMEREN ILLINOIS"/>
    <s v="Clark County"/>
    <m/>
    <m/>
    <s v="IL"/>
    <s v="DPP-2019"/>
    <s v="Central"/>
    <s v="GIA"/>
    <s v="NRIS"/>
    <s v="Casey  - Kansas West 345kV Line"/>
    <n v="408.6"/>
    <n v="408.6"/>
    <x v="5"/>
    <s v="Solar/Battery"/>
    <s v="Not Started"/>
    <d v="2025-01-01T00:00:00"/>
    <n v="408.6"/>
    <n v="408.6"/>
    <n v="408.6"/>
    <n v="408.6"/>
  </r>
  <r>
    <s v="J1264"/>
    <x v="1"/>
    <d v="2019-04-29T00:00:00"/>
    <d v="2020-05-11T00:00:00"/>
    <m/>
    <d v="2021-09-01T00:00:00"/>
    <s v="American Transmission Co. LLC"/>
    <s v="Schoolcraft County"/>
    <m/>
    <m/>
    <s v="MI"/>
    <s v="DPP-2019"/>
    <s v="East (ATC)"/>
    <s v="GIA"/>
    <s v="NRIS"/>
    <s v="Blaney Park - Engadine - Hiawatha - Alger - Munising 69kV Line"/>
    <n v="20"/>
    <n v="20"/>
    <x v="3"/>
    <s v="Combustion Turbine (Simple Cycle)"/>
    <s v="Not Started"/>
    <m/>
    <n v="0"/>
    <n v="0"/>
    <n v="0"/>
    <n v="0"/>
  </r>
  <r>
    <s v="J1265"/>
    <x v="1"/>
    <d v="2019-04-29T00:00:00"/>
    <d v="2023-01-31T00:00:00"/>
    <m/>
    <d v="2022-07-01T00:00:00"/>
    <s v="NORTHERN INDIANA PUBLIC SERVICE COMPANY LLC"/>
    <s v="LaGrange County"/>
    <m/>
    <m/>
    <s v="IN"/>
    <s v="DPP-2019"/>
    <s v="Central"/>
    <s v="GIA"/>
    <s v="NRIS"/>
    <s v="Wolcottville - South Milford 69kV Line"/>
    <n v="43"/>
    <n v="43"/>
    <x v="0"/>
    <s v="Photovoltaic"/>
    <s v="Not Started"/>
    <m/>
    <n v="43"/>
    <n v="43"/>
    <n v="43"/>
    <n v="43"/>
  </r>
  <r>
    <s v="J1266"/>
    <x v="0"/>
    <d v="2019-04-29T00:00:00"/>
    <m/>
    <m/>
    <d v="2022-07-01T00:00:00"/>
    <s v="AMEREN ILLINOIS"/>
    <s v="Marion County"/>
    <m/>
    <m/>
    <s v="IL"/>
    <s v="DPP-2019"/>
    <s v="Central"/>
    <s v="GIA"/>
    <s v="NRIS"/>
    <s v="Kinmundy - Salem 138kV Line"/>
    <n v="99"/>
    <n v="99"/>
    <x v="0"/>
    <s v="Photovoltaic"/>
    <s v="Not Started"/>
    <d v="2025-07-01T00:00:00"/>
    <n v="99"/>
    <n v="99"/>
    <n v="99"/>
    <n v="99"/>
  </r>
  <r>
    <s v="J1267"/>
    <x v="1"/>
    <d v="2019-04-29T00:00:00"/>
    <d v="2020-08-06T00:00:00"/>
    <m/>
    <d v="2022-05-01T00:00:00"/>
    <s v="ENTERGY ARKANSAS, LLC"/>
    <s v="Cross County"/>
    <m/>
    <m/>
    <s v="AR"/>
    <s v="DPP-2019"/>
    <s v="South"/>
    <s v="GIA"/>
    <s v="NRIS"/>
    <s v="Fisher  - Cherry Valley 161kV Line"/>
    <n v="135"/>
    <n v="135"/>
    <x v="0"/>
    <s v="Photovoltaic"/>
    <s v="Not Started"/>
    <m/>
    <n v="0"/>
    <n v="0"/>
    <n v="0"/>
    <n v="0"/>
  </r>
  <r>
    <s v="J1268"/>
    <x v="0"/>
    <d v="2019-04-29T00:00:00"/>
    <m/>
    <m/>
    <d v="2022-11-30T00:00:00"/>
    <s v="Ameren Missouri"/>
    <s v="Lincoln County"/>
    <m/>
    <m/>
    <s v="MO"/>
    <s v="DPP-2019"/>
    <s v="Central"/>
    <s v="GIA"/>
    <s v="NRIS"/>
    <s v="Pike - Troy 161kV Line"/>
    <n v="150"/>
    <n v="150"/>
    <x v="0"/>
    <s v="Photovoltaic"/>
    <s v="Not Started"/>
    <d v="2023-12-01T00:00:00"/>
    <n v="150"/>
    <n v="88"/>
    <n v="150"/>
    <n v="70"/>
  </r>
  <r>
    <s v="J1269"/>
    <x v="0"/>
    <d v="2019-04-29T00:00:00"/>
    <m/>
    <m/>
    <d v="2022-07-01T00:00:00"/>
    <s v="Southern Indiana Gas &amp; Electric Company d/b/a Vectren Energy Delivery of Indiana, Inc."/>
    <s v="Warrick County"/>
    <m/>
    <m/>
    <s v="IN"/>
    <s v="DPP-2019"/>
    <s v="Central"/>
    <s v="GIA"/>
    <s v="ERIS"/>
    <s v="Elliott 69kV Substation"/>
    <n v="100"/>
    <n v="100"/>
    <x v="5"/>
    <s v="Solar/Battery"/>
    <s v="Under Construction"/>
    <d v="2025-07-01T00:00:00"/>
    <n v="100"/>
    <n v="47.6"/>
    <n v="100"/>
    <n v="0"/>
  </r>
  <r>
    <s v="J1270"/>
    <x v="0"/>
    <d v="2019-04-29T00:00:00"/>
    <m/>
    <m/>
    <d v="2023-09-29T00:00:00"/>
    <s v="MIDAMERICAN ENERGY COMPANY"/>
    <s v="Palo Alto County"/>
    <m/>
    <m/>
    <s v="IA"/>
    <s v="DPP-2019"/>
    <s v="West"/>
    <s v="GIA"/>
    <s v="NRIS"/>
    <s v="Kossuth - O'Brien 345 kV Line Tap"/>
    <n v="200"/>
    <n v="200"/>
    <x v="1"/>
    <s v="Wind Turbine"/>
    <s v="Not Started"/>
    <d v="2024-10-19T00:00:00"/>
    <n v="200"/>
    <n v="200"/>
    <n v="200"/>
    <n v="0"/>
  </r>
  <r>
    <s v="J1271"/>
    <x v="1"/>
    <d v="2019-04-29T00:00:00"/>
    <d v="2021-08-05T00:00:00"/>
    <m/>
    <d v="2022-07-01T00:00:00"/>
    <s v="Southern Indiana Gas &amp; Electric Company d/b/a Vectren Energy Delivery of Indiana, Inc."/>
    <s v="Vanderburgh County"/>
    <m/>
    <m/>
    <s v="IN"/>
    <s v="DPP-2019"/>
    <s v="Central"/>
    <s v="GIA"/>
    <s v="NRIS"/>
    <s v="Oak Grove 138kV Substation"/>
    <n v="100"/>
    <n v="100"/>
    <x v="2"/>
    <s v="Battery Storage"/>
    <s v="Not Started"/>
    <m/>
    <n v="0"/>
    <n v="0"/>
    <n v="0"/>
    <n v="0"/>
  </r>
  <r>
    <s v="J1272"/>
    <x v="0"/>
    <d v="2019-04-29T00:00:00"/>
    <m/>
    <d v="2022-09-02T00:00:00"/>
    <d v="2022-07-01T00:00:00"/>
    <s v="Southern Indiana Gas &amp; Electric Company d/b/a Vectren Energy Delivery of Indiana, Inc."/>
    <s v="Vanderburgh County"/>
    <m/>
    <m/>
    <s v="IN"/>
    <s v="DPP-2019"/>
    <s v="Central"/>
    <s v="GIA"/>
    <s v="ERIS"/>
    <s v="Angel Mound 138kV Substation"/>
    <n v="50"/>
    <n v="50"/>
    <x v="2"/>
    <s v="Battery Storage"/>
    <s v="Under Construction"/>
    <d v="2025-07-01T00:00:00"/>
    <n v="50"/>
    <n v="23.6"/>
    <n v="50"/>
    <n v="0"/>
  </r>
  <r>
    <s v="J1273"/>
    <x v="1"/>
    <d v="2019-04-29T00:00:00"/>
    <d v="2019-11-05T00:00:00"/>
    <m/>
    <d v="2023-09-29T00:00:00"/>
    <s v="NORTHERN INDIANA PUBLIC SERVICE COMPANY LLC"/>
    <s v="Marshall County"/>
    <s v="Starke County"/>
    <m/>
    <s v="IN"/>
    <s v="DPP-2019"/>
    <s v="Central"/>
    <s v="GIA"/>
    <s v="NRIS"/>
    <s v="Burr Oak - East Winnamac 138 kV Line Tap"/>
    <n v="100"/>
    <n v="100"/>
    <x v="0"/>
    <s v="Photovoltaic"/>
    <s v="Not Started"/>
    <m/>
    <n v="0"/>
    <n v="0"/>
    <n v="0"/>
    <n v="0"/>
  </r>
  <r>
    <s v="J1274"/>
    <x v="1"/>
    <d v="2019-04-29T00:00:00"/>
    <d v="2021-08-05T00:00:00"/>
    <m/>
    <d v="2022-07-01T00:00:00"/>
    <s v="Southern Indiana Gas &amp; Electric Company d/b/a Vectren Energy Delivery of Indiana, Inc."/>
    <s v="Posey County"/>
    <m/>
    <m/>
    <s v="IN"/>
    <s v="DPP-2019"/>
    <s v="Central"/>
    <s v="GIA"/>
    <s v="NRIS"/>
    <s v="Point 69kV Substation"/>
    <n v="100"/>
    <n v="100"/>
    <x v="5"/>
    <s v="Solar/Battery"/>
    <s v="Not Started"/>
    <m/>
    <n v="0"/>
    <n v="0"/>
    <n v="0"/>
    <n v="0"/>
  </r>
  <r>
    <s v="J1275"/>
    <x v="1"/>
    <d v="2019-04-29T00:00:00"/>
    <d v="2021-08-05T00:00:00"/>
    <m/>
    <d v="2023-10-30T00:00:00"/>
    <s v="BIG RIVERS ELECTRIC CORPORATION"/>
    <s v="Henderson County"/>
    <m/>
    <m/>
    <s v="KY"/>
    <s v="DPP-2019"/>
    <s v="Central"/>
    <s v="GIA"/>
    <s v="NRIS"/>
    <s v="Henderson 161 kV Substation"/>
    <n v="100"/>
    <n v="100"/>
    <x v="0"/>
    <s v="Photovoltaic"/>
    <s v="Not Started"/>
    <m/>
    <n v="0"/>
    <n v="0"/>
    <n v="0"/>
    <n v="0"/>
  </r>
  <r>
    <s v="J1276"/>
    <x v="1"/>
    <d v="2019-04-29T00:00:00"/>
    <d v="2023-03-07T00:00:00"/>
    <m/>
    <d v="2022-07-01T00:00:00"/>
    <s v="Southern Indiana Gas &amp; Electric Company d/b/a Vectren Energy Delivery of Indiana, Inc."/>
    <s v="Posey County"/>
    <m/>
    <m/>
    <s v="IN"/>
    <s v="DPP-2019"/>
    <s v="Central"/>
    <s v="GIA"/>
    <s v="ERIS"/>
    <s v="Point 69kV Substation"/>
    <n v="100"/>
    <n v="100"/>
    <x v="5"/>
    <s v="Solar/Battery"/>
    <s v="Not Started"/>
    <m/>
    <n v="100"/>
    <n v="47.1"/>
    <n v="100"/>
    <n v="0"/>
  </r>
  <r>
    <s v="J1277"/>
    <x v="1"/>
    <d v="2019-04-29T00:00:00"/>
    <d v="2020-08-04T00:00:00"/>
    <m/>
    <d v="2022-10-30T00:00:00"/>
    <s v="ENTERGY TEXAS, INC."/>
    <s v="Liberty County"/>
    <m/>
    <m/>
    <s v="TX"/>
    <s v="DPP-2019"/>
    <s v="South"/>
    <s v="GIA"/>
    <s v="NRIS"/>
    <s v="Pintail 138 kV Substation"/>
    <n v="130"/>
    <n v="130"/>
    <x v="0"/>
    <s v="Photovoltaic"/>
    <s v="Not Started"/>
    <m/>
    <n v="0"/>
    <n v="0"/>
    <n v="0"/>
    <n v="0"/>
  </r>
  <r>
    <s v="J1278"/>
    <x v="1"/>
    <d v="2019-04-29T00:00:00"/>
    <d v="2020-08-05T00:00:00"/>
    <m/>
    <d v="2022-03-01T00:00:00"/>
    <s v="ENTERGY TEXAS, INC."/>
    <s v="Polk County"/>
    <m/>
    <m/>
    <s v="TX"/>
    <s v="DPP-2019"/>
    <s v="South"/>
    <s v="GIA"/>
    <s v="NRIS"/>
    <s v="Corrigan Bulk - Staley 138kV Line"/>
    <n v="100"/>
    <n v="100"/>
    <x v="0"/>
    <s v="Photovoltaic"/>
    <s v="Not Started"/>
    <m/>
    <n v="0"/>
    <n v="0"/>
    <n v="0"/>
    <n v="0"/>
  </r>
  <r>
    <s v="J1279"/>
    <x v="1"/>
    <d v="2019-04-29T00:00:00"/>
    <d v="2021-03-18T00:00:00"/>
    <m/>
    <d v="2022-03-01T00:00:00"/>
    <s v="ENTERGY TEXAS, INC."/>
    <s v="Hardin County"/>
    <m/>
    <m/>
    <s v="TX"/>
    <s v="DPP-2019"/>
    <s v="South"/>
    <s v="GIA"/>
    <s v="NRIS"/>
    <s v="Rye - Cypress 138kV Line"/>
    <n v="100"/>
    <n v="100"/>
    <x v="0"/>
    <s v="Photovoltaic"/>
    <s v="Not Started"/>
    <m/>
    <n v="100"/>
    <n v="100"/>
    <n v="0"/>
    <n v="0"/>
  </r>
  <r>
    <s v="J1280"/>
    <x v="1"/>
    <d v="2019-04-29T00:00:00"/>
    <d v="2020-08-05T00:00:00"/>
    <m/>
    <d v="2022-03-01T00:00:00"/>
    <s v="ENTERGY ARKANSAS, LLC"/>
    <s v="Monroe County"/>
    <m/>
    <m/>
    <s v="AR"/>
    <s v="DPP-2019"/>
    <s v="South"/>
    <s v="GIA"/>
    <s v="NRIS"/>
    <s v="Brinkley East - Clarendon 115kV Line"/>
    <n v="100"/>
    <n v="100"/>
    <x v="0"/>
    <s v="Photovoltaic"/>
    <s v="Not Started"/>
    <m/>
    <n v="0"/>
    <n v="0"/>
    <n v="0"/>
    <n v="0"/>
  </r>
  <r>
    <s v="J1281"/>
    <x v="0"/>
    <d v="2019-04-29T00:00:00"/>
    <m/>
    <m/>
    <d v="2022-03-01T00:00:00"/>
    <s v="ENTERGY ARKANSAS, LLC"/>
    <s v="Ashley County"/>
    <m/>
    <m/>
    <s v="AR"/>
    <s v="DPP-2019"/>
    <s v="South"/>
    <s v="GIA"/>
    <s v="NRIS"/>
    <s v="Crossett - Monticello East 115kV Line"/>
    <n v="75"/>
    <n v="75"/>
    <x v="0"/>
    <s v="Photovoltaic"/>
    <s v="Not Started"/>
    <d v="2024-10-31T00:00:00"/>
    <n v="75"/>
    <n v="75"/>
    <n v="75"/>
    <n v="75"/>
  </r>
  <r>
    <s v="J1282"/>
    <x v="1"/>
    <d v="2019-04-29T00:00:00"/>
    <d v="2021-03-18T00:00:00"/>
    <m/>
    <d v="2022-03-01T00:00:00"/>
    <s v="CLECO POWER LLC"/>
    <s v="Beauregard Parish"/>
    <m/>
    <m/>
    <s v="LA"/>
    <s v="DPP-2019"/>
    <s v="South"/>
    <s v="GIA"/>
    <s v="NRIS"/>
    <s v="Cooper - Penton Road 230kV Line"/>
    <n v="200"/>
    <n v="200"/>
    <x v="0"/>
    <s v="Photovoltaic"/>
    <s v="Not Started"/>
    <m/>
    <n v="200"/>
    <n v="200"/>
    <n v="0"/>
    <n v="0"/>
  </r>
  <r>
    <s v="J1283"/>
    <x v="1"/>
    <d v="2019-04-29T00:00:00"/>
    <d v="2019-09-05T00:00:00"/>
    <m/>
    <d v="2023-03-01T00:00:00"/>
    <s v="ENTERGY ARKANSAS, LLC"/>
    <s v="Jefferson County"/>
    <m/>
    <m/>
    <s v="AR"/>
    <s v="DPP-2019"/>
    <s v="South"/>
    <s v="GIA"/>
    <s v="NRIS"/>
    <s v="White Bluff - Arsenal C and White Bluff - Arsenal D 115kV Line"/>
    <n v="269.99"/>
    <n v="269.99"/>
    <x v="7"/>
    <s v="Co-gen"/>
    <s v="Not Started"/>
    <m/>
    <n v="0"/>
    <n v="0"/>
    <n v="0"/>
    <n v="0"/>
  </r>
  <r>
    <s v="J1284"/>
    <x v="1"/>
    <d v="2019-04-29T00:00:00"/>
    <d v="2021-03-24T00:00:00"/>
    <m/>
    <d v="2023-10-30T00:00:00"/>
    <s v="ITC MIDWEST"/>
    <s v="Linn County"/>
    <m/>
    <m/>
    <s v="IA"/>
    <s v="DPP-2019"/>
    <s v="West"/>
    <s v="GIA"/>
    <s v="NRIS"/>
    <s v="Duane Arnold - Tiffin (MEC) 345 kV Line Tap"/>
    <n v="250"/>
    <n v="250"/>
    <x v="0"/>
    <s v="Photovoltaic"/>
    <s v="Not Started"/>
    <m/>
    <n v="0"/>
    <n v="0"/>
    <n v="0"/>
    <n v="0"/>
  </r>
  <r>
    <s v="J1285"/>
    <x v="1"/>
    <d v="2019-04-29T00:00:00"/>
    <d v="2021-03-24T00:00:00"/>
    <m/>
    <d v="2023-10-30T00:00:00"/>
    <s v="ITC MIDWEST"/>
    <s v="Linn County"/>
    <m/>
    <m/>
    <s v="IA"/>
    <s v="DPP-2019"/>
    <s v="West"/>
    <s v="GIA"/>
    <s v="NRIS"/>
    <s v="Duane Arnold - Tiffin (MEC) 345 kV Line Tap"/>
    <n v="50"/>
    <n v="50"/>
    <x v="2"/>
    <s v="Battery Storage"/>
    <s v="Not Started"/>
    <m/>
    <n v="0"/>
    <n v="0"/>
    <n v="0"/>
    <n v="0"/>
  </r>
  <r>
    <s v="J1286"/>
    <x v="0"/>
    <d v="2019-04-29T00:00:00"/>
    <m/>
    <d v="2021-11-29T00:00:00"/>
    <d v="2022-10-30T00:00:00"/>
    <s v="CLECO POWER LLC"/>
    <s v="Evangeline Parish"/>
    <m/>
    <m/>
    <s v="LA"/>
    <s v="DPP-2019"/>
    <s v="South"/>
    <s v="GIA"/>
    <s v="ERIS"/>
    <s v="Manuel 138 kV Substation"/>
    <n v="150"/>
    <n v="150"/>
    <x v="0"/>
    <s v="Photovoltaic"/>
    <s v="Under Construction"/>
    <d v="2025-04-01T00:00:00"/>
    <n v="125"/>
    <n v="125"/>
    <n v="125"/>
    <n v="0"/>
  </r>
  <r>
    <s v="J1287"/>
    <x v="1"/>
    <d v="2019-04-29T00:00:00"/>
    <d v="2020-08-05T00:00:00"/>
    <m/>
    <d v="2022-07-01T00:00:00"/>
    <s v="ENTERGY MISSISSIPPI, LLC"/>
    <s v="Tunica County"/>
    <m/>
    <m/>
    <s v="MS"/>
    <s v="DPP-2019"/>
    <s v="South"/>
    <s v="GIA"/>
    <s v="NRIS"/>
    <s v="Tunica - Crenshaw 115kV Line"/>
    <n v="50"/>
    <n v="50"/>
    <x v="0"/>
    <s v="Photovoltaic"/>
    <s v="Not Started"/>
    <m/>
    <n v="0"/>
    <n v="0"/>
    <n v="0"/>
    <n v="0"/>
  </r>
  <r>
    <s v="J1288"/>
    <x v="1"/>
    <d v="2019-04-29T00:00:00"/>
    <d v="2020-04-16T00:00:00"/>
    <m/>
    <d v="2023-08-01T00:00:00"/>
    <s v="DUKE ENERGY INDIANA, LLC"/>
    <s v="Vermillion County"/>
    <m/>
    <m/>
    <s v="IN"/>
    <s v="DPP-2019"/>
    <s v="Central"/>
    <s v="GIA"/>
    <s v="NRIS"/>
    <s v="Cayuga - Sugar Creek 345kVLine"/>
    <n v="606.70000000000005"/>
    <n v="667.2"/>
    <x v="3"/>
    <s v="Combined Cycle"/>
    <s v="Not Started"/>
    <m/>
    <n v="0"/>
    <n v="0"/>
    <n v="0"/>
    <n v="0"/>
  </r>
  <r>
    <s v="J1289"/>
    <x v="0"/>
    <d v="2019-04-29T00:00:00"/>
    <m/>
    <m/>
    <d v="2022-04-20T00:00:00"/>
    <s v="AMEREN ILLINOIS"/>
    <s v="Morgan County"/>
    <m/>
    <m/>
    <s v="IL"/>
    <s v="DPP-2019"/>
    <s v="Central"/>
    <s v="GIA"/>
    <s v="NRIS"/>
    <s v="Turner - Austin 345kV Line"/>
    <n v="200"/>
    <n v="200"/>
    <x v="1"/>
    <s v="Wind Turbine"/>
    <s v="In Service"/>
    <d v="2024-11-01T00:00:00"/>
    <n v="200"/>
    <n v="200"/>
    <n v="200"/>
    <n v="200"/>
  </r>
  <r>
    <s v="J1290"/>
    <x v="1"/>
    <d v="2019-04-29T00:00:00"/>
    <d v="2020-08-04T00:00:00"/>
    <m/>
    <d v="2022-10-30T00:00:00"/>
    <s v="CLECO POWER LLC"/>
    <s v="Evangeline Parish"/>
    <m/>
    <m/>
    <s v="LA"/>
    <s v="DPP-2019"/>
    <s v="South"/>
    <s v="GIA"/>
    <s v="NRIS"/>
    <s v="Manuel 138 kV Substation"/>
    <n v="25"/>
    <n v="25"/>
    <x v="2"/>
    <s v="Battery Storage"/>
    <s v="Not Started"/>
    <m/>
    <n v="0"/>
    <n v="0"/>
    <n v="0"/>
    <n v="0"/>
  </r>
  <r>
    <s v="J1291"/>
    <x v="1"/>
    <d v="2019-04-29T00:00:00"/>
    <d v="2020-01-14T00:00:00"/>
    <m/>
    <d v="2022-10-30T00:00:00"/>
    <s v="ENTERGY LOUISIANA, LLC"/>
    <s v="Catahoula Parish"/>
    <m/>
    <m/>
    <s v="LA"/>
    <s v="DPP-2019"/>
    <s v="South"/>
    <s v="GIA"/>
    <s v="NRIS"/>
    <s v="Standard - Red Gum 115 kV Line Tap"/>
    <n v="100"/>
    <n v="100"/>
    <x v="0"/>
    <s v="Photovoltaic"/>
    <s v="Not Started"/>
    <m/>
    <n v="0"/>
    <n v="0"/>
    <n v="0"/>
    <n v="0"/>
  </r>
  <r>
    <s v="J1292"/>
    <x v="0"/>
    <d v="2019-04-29T00:00:00"/>
    <m/>
    <d v="2022-08-17T00:00:00"/>
    <d v="2021-05-01T00:00:00"/>
    <s v="METC"/>
    <s v="Ionia County"/>
    <m/>
    <m/>
    <s v="MI"/>
    <s v="DPP-2019"/>
    <s v="East (ITC)"/>
    <s v="GIA"/>
    <s v="ERIS"/>
    <s v="Thompson Road 138kV Substation"/>
    <n v="198"/>
    <n v="198"/>
    <x v="1"/>
    <s v="Wind Turbine"/>
    <s v="Not Started"/>
    <d v="2024-09-01T00:00:00"/>
    <n v="198"/>
    <n v="198"/>
    <n v="198"/>
    <n v="0"/>
  </r>
  <r>
    <s v="J1293"/>
    <x v="1"/>
    <d v="2019-04-29T00:00:00"/>
    <d v="2020-08-04T00:00:00"/>
    <m/>
    <d v="2022-10-30T00:00:00"/>
    <s v="ENTERGY ARKANSAS, LLC"/>
    <s v="Lee County"/>
    <m/>
    <m/>
    <s v="AR"/>
    <s v="DPP-2019"/>
    <s v="South"/>
    <s v="GIA"/>
    <s v="NRIS"/>
    <s v="Brinkley East - Moro 115 kV Line Tap"/>
    <n v="25"/>
    <n v="25"/>
    <x v="2"/>
    <s v="Battery Storage"/>
    <s v="Not Started"/>
    <m/>
    <n v="0"/>
    <n v="0"/>
    <n v="0"/>
    <n v="0"/>
  </r>
  <r>
    <s v="J1294"/>
    <x v="0"/>
    <d v="2019-04-29T00:00:00"/>
    <m/>
    <d v="2022-01-25T00:00:00"/>
    <d v="2022-06-01T00:00:00"/>
    <s v="ENTERGY MISSISSIPPI, LLC"/>
    <s v="Sunflower County"/>
    <m/>
    <m/>
    <s v="MS"/>
    <s v="DPP-2019"/>
    <s v="South"/>
    <s v="GIA"/>
    <s v="NRIS"/>
    <s v="Indianola - Cleveland 115kV Line"/>
    <n v="99"/>
    <n v="99"/>
    <x v="0"/>
    <s v="Photovoltaic"/>
    <s v="Under Construction"/>
    <d v="2023-12-31T00:00:00"/>
    <n v="99"/>
    <n v="99"/>
    <n v="99"/>
    <n v="99"/>
  </r>
  <r>
    <s v="J1295"/>
    <x v="0"/>
    <d v="2019-04-29T00:00:00"/>
    <m/>
    <m/>
    <d v="2023-02-28T00:00:00"/>
    <s v="DUKE ENERGY INDIANA, LLC CIN"/>
    <s v="Gibson County"/>
    <m/>
    <m/>
    <s v="IN"/>
    <s v="DPP-2019"/>
    <s v="Central"/>
    <s v="GIA"/>
    <s v="NRIS"/>
    <s v="Gibson - Francisco 345kV Line"/>
    <n v="280"/>
    <n v="280"/>
    <x v="0"/>
    <s v="Photovoltaic"/>
    <s v="In Service"/>
    <d v="2023-12-31T00:00:00"/>
    <n v="280"/>
    <n v="280"/>
    <n v="280"/>
    <n v="280"/>
  </r>
  <r>
    <s v="J1296"/>
    <x v="1"/>
    <d v="2019-04-29T00:00:00"/>
    <d v="2021-08-05T00:00:00"/>
    <m/>
    <d v="2022-12-01T00:00:00"/>
    <s v="Southern Indiana Gas &amp; Electric Company d/b/a Vectren Energy Delivery of Indiana, Inc."/>
    <s v="Gibson County"/>
    <m/>
    <m/>
    <s v="IN"/>
    <s v="DPP-2019"/>
    <s v="Central"/>
    <s v="GIA"/>
    <s v="NRIS"/>
    <s v="Francisco 138kV Substation"/>
    <n v="200"/>
    <n v="200"/>
    <x v="0"/>
    <s v="Photovoltaic"/>
    <s v="Not Started"/>
    <m/>
    <n v="0"/>
    <n v="0"/>
    <n v="0"/>
    <n v="0"/>
  </r>
  <r>
    <s v="J1297"/>
    <x v="0"/>
    <d v="2019-04-29T00:00:00"/>
    <m/>
    <d v="2022-08-17T00:00:00"/>
    <d v="2021-12-01T00:00:00"/>
    <s v="METC"/>
    <s v="Shiawassee County"/>
    <m/>
    <m/>
    <s v="MI"/>
    <s v="DPP-2019"/>
    <s v="East (ITC)"/>
    <s v="GIA"/>
    <s v="NRIS"/>
    <s v="Cornell - Bell Road 138 kV Line"/>
    <n v="170"/>
    <n v="170"/>
    <x v="0"/>
    <s v="Photovoltaic"/>
    <s v="Under Construction"/>
    <d v="2024-12-01T00:00:00"/>
    <n v="170"/>
    <n v="170"/>
    <n v="170"/>
    <n v="170"/>
  </r>
  <r>
    <s v="J1298"/>
    <x v="1"/>
    <d v="2019-04-29T00:00:00"/>
    <d v="2023-02-02T00:00:00"/>
    <m/>
    <d v="2021-12-01T00:00:00"/>
    <s v="SMMPA"/>
    <s v="Freeborn County"/>
    <m/>
    <m/>
    <s v="MN"/>
    <s v="DPP-2019"/>
    <s v="West"/>
    <s v="GIA"/>
    <s v="NRIS"/>
    <s v="Hayward - Murphy Creek 161kV Line"/>
    <n v="150"/>
    <n v="150"/>
    <x v="0"/>
    <s v="Photovoltaic"/>
    <s v="Not Started"/>
    <m/>
    <n v="150"/>
    <n v="150"/>
    <n v="150"/>
    <n v="150"/>
  </r>
  <r>
    <s v="J1299"/>
    <x v="0"/>
    <d v="2019-04-29T00:00:00"/>
    <m/>
    <m/>
    <d v="2021-12-01T00:00:00"/>
    <s v="Ameren Missouri"/>
    <s v="Scott County"/>
    <m/>
    <m/>
    <s v="MO"/>
    <s v="DPP-2019"/>
    <s v="Central"/>
    <s v="GIA"/>
    <s v="NRIS"/>
    <s v="Miner - Kelso 161kV Line"/>
    <n v="200"/>
    <n v="200"/>
    <x v="0"/>
    <s v="Photovoltaic"/>
    <s v="Under Construction"/>
    <d v="2025-04-30T00:00:00"/>
    <n v="149"/>
    <n v="149"/>
    <n v="149"/>
    <n v="149"/>
  </r>
  <r>
    <s v="J1300"/>
    <x v="1"/>
    <d v="2019-04-29T00:00:00"/>
    <d v="2021-03-24T00:00:00"/>
    <m/>
    <d v="2021-12-01T00:00:00"/>
    <s v="ITC MIDWEST"/>
    <s v="Nobles County"/>
    <m/>
    <m/>
    <s v="MN"/>
    <s v="DPP-2019"/>
    <s v="West"/>
    <s v="GIA"/>
    <s v="NRIS"/>
    <s v="Brewster - Elk 161kV Line"/>
    <n v="120"/>
    <n v="120"/>
    <x v="0"/>
    <s v="Photovoltaic"/>
    <s v="Not Started"/>
    <m/>
    <n v="0"/>
    <n v="0"/>
    <n v="0"/>
    <n v="0"/>
  </r>
  <r>
    <s v="J1301"/>
    <x v="1"/>
    <d v="2019-04-29T00:00:00"/>
    <d v="2021-08-05T00:00:00"/>
    <m/>
    <d v="2021-12-01T00:00:00"/>
    <s v="AMEREN ILLINOIS"/>
    <s v="Washington County"/>
    <m/>
    <m/>
    <s v="IL"/>
    <s v="DPP-2019"/>
    <s v="Central"/>
    <s v="GIA"/>
    <s v="NRIS"/>
    <s v="Prest 138kV Switching Station"/>
    <n v="150"/>
    <n v="150"/>
    <x v="0"/>
    <s v="Photovoltaic"/>
    <s v="Not Started"/>
    <m/>
    <n v="0"/>
    <n v="0"/>
    <n v="0"/>
    <n v="0"/>
  </r>
  <r>
    <s v="J1302"/>
    <x v="0"/>
    <d v="2019-04-29T00:00:00"/>
    <m/>
    <m/>
    <d v="2022-12-01T00:00:00"/>
    <s v="AMEREN ILLINOIS"/>
    <s v="Saline County"/>
    <m/>
    <m/>
    <s v="IL"/>
    <s v="DPP-2019"/>
    <s v="Central"/>
    <s v="GIA"/>
    <s v="NRIS"/>
    <s v="Muddy - Norris City 138kV Line"/>
    <n v="150"/>
    <n v="150"/>
    <x v="0"/>
    <s v="Photovoltaic"/>
    <s v="Not Started"/>
    <d v="2025-02-01T00:00:00"/>
    <n v="150"/>
    <n v="150"/>
    <n v="150"/>
    <n v="150"/>
  </r>
  <r>
    <s v="J1303"/>
    <x v="0"/>
    <d v="2019-04-29T00:00:00"/>
    <m/>
    <m/>
    <d v="2021-12-01T00:00:00"/>
    <s v="Southern Illinois Power Cooperative"/>
    <s v="Jackson County"/>
    <m/>
    <m/>
    <s v="IL"/>
    <s v="DPP-2019"/>
    <s v="Central"/>
    <s v="GIA"/>
    <s v="NRIS"/>
    <s v="Campbell Hill - Jackson 161kV Line"/>
    <n v="150"/>
    <n v="150"/>
    <x v="0"/>
    <s v="Photovoltaic"/>
    <s v="Not Started"/>
    <d v="2026-06-01T00:00:00"/>
    <n v="95"/>
    <n v="95"/>
    <n v="95"/>
    <n v="95"/>
  </r>
  <r>
    <s v="J1304"/>
    <x v="0"/>
    <d v="2019-04-29T00:00:00"/>
    <m/>
    <m/>
    <d v="2021-12-01T00:00:00"/>
    <s v="American Transmission Co. LLC"/>
    <s v="Rock County"/>
    <m/>
    <m/>
    <s v="WI"/>
    <s v="DPP-2019"/>
    <s v="East (ATC)"/>
    <s v="GIA"/>
    <s v="NRIS"/>
    <s v="Paddock - Townline Road 138kV Line"/>
    <n v="65"/>
    <n v="65"/>
    <x v="0"/>
    <s v="Photovoltaic"/>
    <s v="In Service"/>
    <d v="2023-08-11T00:00:00"/>
    <n v="65"/>
    <n v="65"/>
    <n v="65"/>
    <n v="65"/>
  </r>
  <r>
    <s v="J1305"/>
    <x v="0"/>
    <d v="2019-04-29T00:00:00"/>
    <m/>
    <m/>
    <d v="2021-12-01T00:00:00"/>
    <s v="American Transmission Co. LLC"/>
    <s v="Green County"/>
    <m/>
    <m/>
    <s v="WI"/>
    <s v="DPP-2019"/>
    <s v="East (ATC)"/>
    <s v="GIA"/>
    <s v="NRIS"/>
    <s v="Albany - Bass Creek 138kV Line"/>
    <n v="49.9"/>
    <n v="49.9"/>
    <x v="0"/>
    <s v="Photovoltaic"/>
    <s v="In Service"/>
    <d v="2023-05-05T00:00:00"/>
    <n v="49.9"/>
    <n v="49.9"/>
    <n v="49.9"/>
    <n v="49.9"/>
  </r>
  <r>
    <s v="J1306"/>
    <x v="0"/>
    <d v="2019-04-29T00:00:00"/>
    <m/>
    <m/>
    <d v="2021-12-01T00:00:00"/>
    <s v="AMEREN ILLINOIS"/>
    <s v="Perry County"/>
    <m/>
    <m/>
    <s v="IL"/>
    <s v="DPP-2019"/>
    <s v="Central"/>
    <s v="GIA"/>
    <s v="NRIS"/>
    <s v="Commodore-Jordan 345kV Line"/>
    <n v="200"/>
    <n v="200"/>
    <x v="0"/>
    <s v="Photovoltaic"/>
    <s v="Not Started"/>
    <d v="2024-12-01T00:00:00"/>
    <n v="200"/>
    <n v="200"/>
    <n v="200"/>
    <n v="200"/>
  </r>
  <r>
    <s v="J1307"/>
    <x v="1"/>
    <d v="2019-04-29T00:00:00"/>
    <d v="2022-03-08T00:00:00"/>
    <m/>
    <d v="2022-12-01T00:00:00"/>
    <s v="METC"/>
    <s v="Eaton County"/>
    <m/>
    <m/>
    <s v="MI"/>
    <s v="DPP-2019"/>
    <s v="East (ITC)"/>
    <s v="GIA"/>
    <s v="NRIS"/>
    <s v="Oneida - Battle Creek 345kV Line"/>
    <n v="150"/>
    <n v="150"/>
    <x v="0"/>
    <s v="Photovoltaic"/>
    <s v="Not Started"/>
    <m/>
    <n v="150"/>
    <n v="150"/>
    <n v="0"/>
    <n v="0"/>
  </r>
  <r>
    <s v="J1308"/>
    <x v="0"/>
    <d v="2019-04-29T00:00:00"/>
    <m/>
    <m/>
    <d v="2021-12-01T00:00:00"/>
    <s v="Southern Indiana Gas &amp; Electric Company d/b/a Vectren Energy Delivery of Indiana, Inc."/>
    <s v="Posey County"/>
    <m/>
    <m/>
    <s v="IN"/>
    <s v="DPP-2019"/>
    <s v="Central"/>
    <s v="GIA"/>
    <s v="NRIS"/>
    <s v="AB Brown - Gibson 345kV Line"/>
    <n v="300"/>
    <n v="300"/>
    <x v="0"/>
    <s v="Photovoltaic"/>
    <s v="Not Started"/>
    <d v="2024-04-01T00:00:00"/>
    <n v="300"/>
    <n v="300"/>
    <n v="270"/>
    <n v="270"/>
  </r>
  <r>
    <s v="J1309"/>
    <x v="1"/>
    <d v="2019-04-29T00:00:00"/>
    <d v="2019-09-12T00:00:00"/>
    <m/>
    <d v="2021-09-30T00:00:00"/>
    <s v="ENTERGY ARKANSAS, LLC"/>
    <s v="Arkansas County"/>
    <m/>
    <m/>
    <s v="AR"/>
    <s v="DPP-2019"/>
    <s v="South"/>
    <s v="GIA"/>
    <s v="NRIS"/>
    <s v="Gillett 115 kV Substation"/>
    <n v="129.9"/>
    <n v="129.9"/>
    <x v="0"/>
    <s v="Photovoltaic"/>
    <s v="Not Started"/>
    <m/>
    <n v="0"/>
    <n v="0"/>
    <n v="0"/>
    <n v="0"/>
  </r>
  <r>
    <s v="J1310"/>
    <x v="0"/>
    <d v="2019-04-29T00:00:00"/>
    <m/>
    <d v="2022-08-17T00:00:00"/>
    <d v="2022-06-30T00:00:00"/>
    <s v="METC"/>
    <s v="Jackson County"/>
    <m/>
    <m/>
    <s v="MI"/>
    <s v="DPP-2019"/>
    <s v="East (ITC)"/>
    <s v="GIA"/>
    <s v="NRIS"/>
    <s v="Blackstone - Marshall 138 kV Line"/>
    <n v="125"/>
    <n v="125"/>
    <x v="0"/>
    <s v="Photovoltaic"/>
    <s v="Under Construction"/>
    <d v="2024-10-01T00:00:00"/>
    <n v="125"/>
    <n v="125"/>
    <n v="125"/>
    <n v="125"/>
  </r>
  <r>
    <s v="J1311"/>
    <x v="0"/>
    <d v="2019-04-29T00:00:00"/>
    <m/>
    <m/>
    <d v="2026-06-30T00:00:00"/>
    <s v="HOOSIER ENERGY"/>
    <s v="St. Clair County"/>
    <m/>
    <m/>
    <s v="IL"/>
    <s v="DPP-2019"/>
    <s v="Central"/>
    <s v="GIA"/>
    <s v="NRIS"/>
    <s v="Fayetteville Bee Hollow Road 138 kV Substation"/>
    <n v="150"/>
    <n v="150"/>
    <x v="0"/>
    <s v="Photovoltaic"/>
    <s v="Not Started"/>
    <d v="2025-06-30T00:00:00"/>
    <n v="150"/>
    <n v="150"/>
    <n v="150"/>
    <n v="150"/>
  </r>
  <r>
    <s v="J1312"/>
    <x v="0"/>
    <d v="2019-04-29T00:00:00"/>
    <m/>
    <d v="2023-01-26T00:00:00"/>
    <d v="2022-06-30T00:00:00"/>
    <s v="NORTHERN STATES POWER COMPANY"/>
    <s v="McCook County"/>
    <m/>
    <m/>
    <s v="SD"/>
    <s v="DPP-2019"/>
    <s v="West"/>
    <s v="GIA"/>
    <s v="NRIS"/>
    <s v="Grant 115 kV Substation"/>
    <n v="50"/>
    <n v="50"/>
    <x v="0"/>
    <s v="Photovoltaic"/>
    <s v="Not Started"/>
    <d v="2025-06-30T00:00:00"/>
    <n v="50"/>
    <n v="50"/>
    <n v="50"/>
    <n v="50"/>
  </r>
  <r>
    <s v="J1313"/>
    <x v="0"/>
    <d v="2019-04-29T00:00:00"/>
    <m/>
    <d v="2023-01-26T00:00:00"/>
    <d v="2022-06-30T00:00:00"/>
    <s v="ITC MIDWEST"/>
    <s v="Greene County"/>
    <m/>
    <m/>
    <s v="IA"/>
    <s v="DPP-2019"/>
    <s v="West"/>
    <s v="GIA"/>
    <s v="NRIS"/>
    <s v="161kV bus at Karma substation"/>
    <n v="100"/>
    <n v="100"/>
    <x v="0"/>
    <s v="Photovoltaic"/>
    <s v="Not Started"/>
    <d v="2025-06-30T00:00:00"/>
    <n v="100"/>
    <n v="100"/>
    <n v="100"/>
    <n v="100"/>
  </r>
  <r>
    <s v="J1314"/>
    <x v="0"/>
    <d v="2019-04-29T00:00:00"/>
    <m/>
    <d v="2022-08-26T00:00:00"/>
    <d v="2022-06-30T00:00:00"/>
    <s v="DAIRYLAND POWER COOPERATIVE"/>
    <s v="Polk County"/>
    <m/>
    <m/>
    <s v="WI"/>
    <s v="DPP-2019"/>
    <s v="West"/>
    <s v="GIA"/>
    <s v="NRIS"/>
    <s v="Apple River 161 kV Substation"/>
    <n v="100"/>
    <n v="100"/>
    <x v="0"/>
    <s v="Photovoltaic"/>
    <s v="Under Construction"/>
    <d v="2025-06-30T00:00:00"/>
    <n v="100"/>
    <n v="100"/>
    <n v="100"/>
    <n v="100"/>
  </r>
  <r>
    <s v="J1315"/>
    <x v="1"/>
    <d v="2019-04-29T00:00:00"/>
    <d v="2022-09-01T00:00:00"/>
    <m/>
    <d v="2022-06-30T00:00:00"/>
    <s v="NORTHERN STATES POWER COMPANY"/>
    <s v="Cottonwood County"/>
    <s v="Murray County"/>
    <s v="Redwood County"/>
    <s v="MN"/>
    <s v="DPP-2019"/>
    <s v="West"/>
    <s v="GIA"/>
    <s v="NRIS"/>
    <s v="Lyon County - Cedar Mountain 345 kV Line Tap"/>
    <n v="600"/>
    <n v="600"/>
    <x v="1"/>
    <s v="Wind Turbine"/>
    <s v="Not Started"/>
    <m/>
    <n v="600"/>
    <n v="600"/>
    <n v="600"/>
    <n v="0"/>
  </r>
  <r>
    <s v="J1316"/>
    <x v="0"/>
    <d v="2019-04-29T00:00:00"/>
    <m/>
    <m/>
    <d v="2022-10-30T00:00:00"/>
    <s v="American Transmission Co. LLC"/>
    <s v="Kenosha County"/>
    <m/>
    <m/>
    <s v="WI"/>
    <s v="DPP-2019"/>
    <s v="East (ATC)"/>
    <s v="GIA"/>
    <s v="NRIS"/>
    <s v="Paris 138 kV Substation"/>
    <n v="50"/>
    <n v="50"/>
    <x v="2"/>
    <s v="Battery Storage"/>
    <s v="Not Started"/>
    <d v="2025-10-30T00:00:00"/>
    <n v="50"/>
    <n v="50"/>
    <n v="50"/>
    <n v="50"/>
  </r>
  <r>
    <s v="J1317"/>
    <x v="1"/>
    <d v="2019-04-29T00:00:00"/>
    <d v="2020-01-03T00:00:00"/>
    <m/>
    <d v="2022-10-01T00:00:00"/>
    <s v="ITC MIDWEST"/>
    <s v="Sanilac County"/>
    <m/>
    <m/>
    <s v="MI"/>
    <s v="DPP-2019"/>
    <s v="East (ITC)"/>
    <s v="GIA"/>
    <s v="NRIS"/>
    <s v="Bennet 120kV Substation"/>
    <n v="150"/>
    <n v="150"/>
    <x v="1"/>
    <s v="Wind Turbine"/>
    <s v="Not Started"/>
    <m/>
    <n v="0"/>
    <n v="0"/>
    <n v="0"/>
    <n v="0"/>
  </r>
  <r>
    <s v="J1318"/>
    <x v="1"/>
    <d v="2019-04-29T00:00:00"/>
    <d v="2021-08-05T00:00:00"/>
    <m/>
    <d v="2022-07-01T00:00:00"/>
    <s v="DUKE ENERGY INDIANA, LLC"/>
    <s v="Rush County"/>
    <m/>
    <m/>
    <s v="IN"/>
    <s v="DPP-2019"/>
    <s v="Central"/>
    <s v="GIA"/>
    <s v="NRIS"/>
    <s v="Rushville 69kV Substation"/>
    <n v="25"/>
    <n v="25"/>
    <x v="0"/>
    <s v="Photovoltaic"/>
    <s v="Not Started"/>
    <m/>
    <n v="0"/>
    <n v="0"/>
    <n v="0"/>
    <n v="0"/>
  </r>
  <r>
    <s v="J1319"/>
    <x v="0"/>
    <d v="2019-04-29T00:00:00"/>
    <m/>
    <m/>
    <d v="2021-09-30T00:00:00"/>
    <s v="ITC MIDWEST"/>
    <s v="Huron County"/>
    <m/>
    <m/>
    <s v="MI"/>
    <s v="DPP-2019"/>
    <s v="East (ITC)"/>
    <s v="GIA"/>
    <s v="NRIS"/>
    <s v="Rapson 120kV Substation"/>
    <n v="117.5"/>
    <n v="117.5"/>
    <x v="1"/>
    <s v="Wind Turbine"/>
    <s v="In Service"/>
    <d v="2022-08-01T00:00:00"/>
    <n v="117.5"/>
    <n v="117.5"/>
    <n v="112"/>
    <n v="112"/>
  </r>
  <r>
    <s v="J1320"/>
    <x v="0"/>
    <d v="2019-04-29T00:00:00"/>
    <m/>
    <m/>
    <d v="2019-04-20T00:00:00"/>
    <s v="METC"/>
    <s v="Branch County"/>
    <m/>
    <m/>
    <s v="MI"/>
    <s v="DPP-2019"/>
    <s v="East (ITC)"/>
    <s v="GIA"/>
    <s v="NRIS"/>
    <s v="Coldwater - Batavia 138kV Line"/>
    <n v="150"/>
    <n v="150"/>
    <x v="0"/>
    <s v="Photovoltaic"/>
    <s v="Not Started"/>
    <d v="2025-04-20T00:00:00"/>
    <n v="150"/>
    <n v="150"/>
    <n v="150"/>
    <n v="150"/>
  </r>
  <r>
    <s v="J1321"/>
    <x v="1"/>
    <d v="2019-04-29T00:00:00"/>
    <d v="2022-02-21T00:00:00"/>
    <m/>
    <d v="2023-10-30T00:00:00"/>
    <s v="MIDAMERICAN ENERGY COMPANY"/>
    <s v="Story County"/>
    <m/>
    <m/>
    <s v="IA"/>
    <s v="DPP-2019"/>
    <s v="West"/>
    <s v="GIA"/>
    <s v="NRIS"/>
    <s v="O'Brien - Kossuth 345 kV Line Tap"/>
    <n v="65"/>
    <n v="65"/>
    <x v="2"/>
    <s v="Battery Storage"/>
    <s v="Not Started"/>
    <m/>
    <n v="65"/>
    <n v="65"/>
    <n v="0"/>
    <n v="0"/>
  </r>
  <r>
    <s v="J1322"/>
    <x v="1"/>
    <d v="2019-04-29T00:00:00"/>
    <d v="2021-01-26T00:00:00"/>
    <m/>
    <d v="2022-04-20T00:00:00"/>
    <s v="METC"/>
    <s v="Eaton County"/>
    <m/>
    <m/>
    <s v="MI"/>
    <s v="DPP-2019"/>
    <s v="East (ITC)"/>
    <s v="GIA"/>
    <s v="NRIS"/>
    <s v="Battle Creek - Oneida 345kV Tap"/>
    <n v="200"/>
    <n v="200"/>
    <x v="0"/>
    <s v="Photovoltaic"/>
    <s v="Not Started"/>
    <m/>
    <n v="0"/>
    <n v="0"/>
    <n v="0"/>
    <n v="0"/>
  </r>
  <r>
    <s v="J1323"/>
    <x v="0"/>
    <d v="2019-04-29T00:00:00"/>
    <m/>
    <m/>
    <d v="2023-10-30T00:00:00"/>
    <s v="NORTHERN INDIANA PUBLIC SERVICE COMPANY LLC"/>
    <s v="LaGrange County"/>
    <m/>
    <m/>
    <s v="IN"/>
    <s v="DPP-2019"/>
    <s v="Central"/>
    <s v="GIA"/>
    <s v="NRIS"/>
    <s v="Lagrange 138 kV Substation"/>
    <n v="25"/>
    <n v="25"/>
    <x v="2"/>
    <s v="Battery Storage"/>
    <s v="Not Started"/>
    <d v="2025-06-01T00:00:00"/>
    <n v="25"/>
    <n v="25"/>
    <n v="25"/>
    <n v="25"/>
  </r>
  <r>
    <s v="J1324"/>
    <x v="1"/>
    <d v="2019-04-29T00:00:00"/>
    <d v="2020-05-11T00:00:00"/>
    <m/>
    <d v="2022-04-20T00:00:00"/>
    <s v="AMEREN ILLINOIS"/>
    <s v="Montgomery County"/>
    <m/>
    <m/>
    <s v="IL"/>
    <m/>
    <m/>
    <m/>
    <s v="NRIS"/>
    <s v="Midway 138kV Substation"/>
    <n v="150"/>
    <n v="150"/>
    <x v="0"/>
    <s v="Photovoltaic"/>
    <s v="Not Started"/>
    <m/>
    <n v="0"/>
    <n v="0"/>
    <n v="0"/>
    <n v="0"/>
  </r>
  <r>
    <s v="J1325"/>
    <x v="0"/>
    <d v="2019-04-29T00:00:00"/>
    <m/>
    <d v="2022-08-23T00:00:00"/>
    <d v="2022-06-30T00:00:00"/>
    <s v="ITC MIDWEST"/>
    <s v="Rock County"/>
    <m/>
    <m/>
    <s v="MN"/>
    <s v="DPP-2019"/>
    <s v="West"/>
    <s v="GIA"/>
    <s v="NRIS"/>
    <s v="Magnolia 161 kV substation"/>
    <n v="200"/>
    <n v="200"/>
    <x v="0"/>
    <s v="Photovoltaic"/>
    <s v="Under Construction"/>
    <d v="2025-06-30T00:00:00"/>
    <n v="80"/>
    <n v="80"/>
    <n v="80"/>
    <n v="72"/>
  </r>
  <r>
    <s v="J1326"/>
    <x v="0"/>
    <d v="2019-04-29T00:00:00"/>
    <m/>
    <m/>
    <d v="2022-10-30T00:00:00"/>
    <s v="American Transmission Co. LLC"/>
    <s v="Dane County"/>
    <m/>
    <m/>
    <s v="WI"/>
    <s v="DPP-2019"/>
    <s v="East (ATC)"/>
    <s v="GIA"/>
    <s v="NRIS"/>
    <s v="Rockdale 345 kV Substation"/>
    <n v="75"/>
    <n v="75"/>
    <x v="2"/>
    <s v="Battery Storage"/>
    <s v="Not Started"/>
    <d v="2025-06-01T00:00:00"/>
    <n v="75"/>
    <n v="75"/>
    <n v="75"/>
    <n v="75"/>
  </r>
  <r>
    <s v="J1327"/>
    <x v="1"/>
    <d v="2019-04-29T00:00:00"/>
    <d v="2021-02-08T00:00:00"/>
    <m/>
    <d v="2022-10-30T00:00:00"/>
    <s v="METC"/>
    <s v="Ionia County"/>
    <m/>
    <m/>
    <s v="MI"/>
    <s v="DPP-2019"/>
    <s v="East (ITC)"/>
    <s v="GIA"/>
    <s v="NRIS"/>
    <s v="Marquette - Vergennes 138 kV Line Tap"/>
    <n v="20"/>
    <n v="20"/>
    <x v="2"/>
    <s v="Battery Storage"/>
    <s v="Not Started"/>
    <m/>
    <n v="0"/>
    <n v="0"/>
    <n v="0"/>
    <n v="0"/>
  </r>
  <r>
    <s v="J1328"/>
    <x v="1"/>
    <d v="2019-04-29T00:00:00"/>
    <d v="2022-02-22T00:00:00"/>
    <m/>
    <d v="2022-04-20T00:00:00"/>
    <s v="OTTER TAIL POWER COMPANY"/>
    <s v="Grant County"/>
    <m/>
    <m/>
    <s v="SD"/>
    <s v="DPP-2019"/>
    <s v="West"/>
    <s v="GIA"/>
    <s v="NRIS"/>
    <s v="Big Stone South 345kV Sub"/>
    <n v="100"/>
    <n v="100"/>
    <x v="0"/>
    <s v="Photovoltaic"/>
    <s v="Not Started"/>
    <m/>
    <n v="100"/>
    <n v="100"/>
    <n v="0"/>
    <n v="0"/>
  </r>
  <r>
    <s v="J1329"/>
    <x v="0"/>
    <d v="2019-04-29T00:00:00"/>
    <m/>
    <d v="2022-10-31T00:00:00"/>
    <d v="2022-10-30T00:00:00"/>
    <s v="ITC MIDWEST"/>
    <s v="Washtenaw County"/>
    <m/>
    <m/>
    <s v="MI"/>
    <s v="DPP-2019"/>
    <s v="East (ITC)"/>
    <s v="GIA"/>
    <s v="NRIS"/>
    <s v="Majestic - Milan 345 kV Line Tap"/>
    <n v="20"/>
    <n v="20"/>
    <x v="2"/>
    <s v="Battery Storage"/>
    <s v="Under Construction"/>
    <d v="2025-10-30T00:00:00"/>
    <n v="20"/>
    <n v="20"/>
    <n v="20"/>
    <n v="20"/>
  </r>
  <r>
    <s v="J1330"/>
    <x v="1"/>
    <d v="2019-04-29T00:00:00"/>
    <d v="2021-08-05T00:00:00"/>
    <m/>
    <d v="2022-04-20T00:00:00"/>
    <s v="AMEREN ILLINOIS"/>
    <s v="Randolph County"/>
    <m/>
    <m/>
    <s v="IL"/>
    <s v="DPP-2019"/>
    <s v="Central"/>
    <s v="GIA"/>
    <s v="NRIS"/>
    <s v="Baldwin 345kV Substation"/>
    <n v="200"/>
    <n v="200"/>
    <x v="0"/>
    <s v="Photovoltaic"/>
    <s v="Not Started"/>
    <m/>
    <n v="0"/>
    <n v="0"/>
    <n v="0"/>
    <n v="0"/>
  </r>
  <r>
    <s v="J1331"/>
    <x v="0"/>
    <d v="2019-04-29T00:00:00"/>
    <m/>
    <d v="2022-08-17T00:00:00"/>
    <d v="2022-06-30T00:00:00"/>
    <s v="ITC"/>
    <s v="St. Clair County"/>
    <m/>
    <m/>
    <s v="MI"/>
    <s v="DPP-2019"/>
    <s v="East (ITC)"/>
    <s v="GIA"/>
    <s v="NRIS"/>
    <s v="Greenwood 120 kV Substation"/>
    <n v="100"/>
    <n v="100"/>
    <x v="0"/>
    <s v="Photovoltaic"/>
    <s v="Not Started"/>
    <d v="2025-02-28T00:00:00"/>
    <n v="100"/>
    <n v="100"/>
    <n v="100"/>
    <n v="100"/>
  </r>
  <r>
    <s v="J1332"/>
    <x v="1"/>
    <d v="2019-04-29T00:00:00"/>
    <d v="2024-03-08T00:00:00"/>
    <m/>
    <d v="2022-04-20T00:00:00"/>
    <s v="NORTHERN INDIANA PUBLIC SERVICE COMPANY LLC"/>
    <s v="Jasper County"/>
    <m/>
    <m/>
    <s v="IN"/>
    <s v="DPP-2019"/>
    <s v="Central"/>
    <s v="GIA"/>
    <s v="NRIS"/>
    <s v="Rollin Schahfer - Lake George 345kV Line"/>
    <n v="200"/>
    <n v="200"/>
    <x v="0"/>
    <s v="Photovoltaic"/>
    <s v="Withdrawn"/>
    <d v="2025-04-20T00:00:00"/>
    <n v="200"/>
    <n v="200"/>
    <n v="194"/>
    <n v="194"/>
  </r>
  <r>
    <s v="J1333"/>
    <x v="0"/>
    <d v="2019-04-29T00:00:00"/>
    <m/>
    <m/>
    <d v="2022-07-01T00:00:00"/>
    <s v="NORTHERN INDIANA PUBLIC SERVICE COMPANY LLC"/>
    <s v="Jasper County"/>
    <s v="Starke County"/>
    <m/>
    <s v="IN"/>
    <s v="DPP-2019"/>
    <s v="Central"/>
    <s v="GIA"/>
    <s v="NRIS"/>
    <s v="Schahfer - Burr Oak 345kV Line"/>
    <n v="199.5"/>
    <n v="199.5"/>
    <x v="5"/>
    <s v="Solar/Battery"/>
    <s v="In Service"/>
    <d v="2024-06-15T00:00:00"/>
    <n v="199.5"/>
    <n v="199.5"/>
    <n v="199.5"/>
    <n v="199.5"/>
  </r>
  <r>
    <s v="J1334"/>
    <x v="0"/>
    <d v="2019-04-29T00:00:00"/>
    <m/>
    <m/>
    <d v="2022-07-01T00:00:00"/>
    <s v="NORTHERN INDIANA PUBLIC SERVICE COMPANY LLC"/>
    <s v="Jasper County"/>
    <s v="Starke County"/>
    <m/>
    <s v="IN"/>
    <s v="DPP-2019"/>
    <s v="Central"/>
    <s v="GIA"/>
    <s v="NRIS"/>
    <s v="Schahfer - Burr Oak 345kV Line"/>
    <n v="199.5"/>
    <n v="199.5"/>
    <x v="5"/>
    <s v="Solar/Battery"/>
    <s v="In Service"/>
    <d v="2024-06-15T00:00:00"/>
    <n v="199.5"/>
    <n v="199.5"/>
    <n v="199.5"/>
    <n v="199.5"/>
  </r>
  <r>
    <s v="J1335"/>
    <x v="0"/>
    <d v="2019-04-29T00:00:00"/>
    <m/>
    <m/>
    <d v="2022-07-01T00:00:00"/>
    <s v="NORTHERN INDIANA PUBLIC SERVICE COMPANY LLC"/>
    <s v="Jasper County"/>
    <s v="Starke County"/>
    <m/>
    <s v="IN"/>
    <s v="DPP-2019"/>
    <s v="Central"/>
    <s v="GIA"/>
    <s v="NRIS"/>
    <s v="Schahfer - Burr Oak 345kV Line"/>
    <n v="199.5"/>
    <n v="199.5"/>
    <x v="5"/>
    <s v="Solar/Battery"/>
    <s v="In Service"/>
    <d v="2024-06-24T00:00:00"/>
    <n v="199.5"/>
    <n v="199.5"/>
    <n v="199.5"/>
    <n v="199.5"/>
  </r>
  <r>
    <s v="J1336"/>
    <x v="0"/>
    <d v="2019-04-29T00:00:00"/>
    <m/>
    <d v="2023-01-30T00:00:00"/>
    <d v="2022-07-01T00:00:00"/>
    <s v="NORTHERN INDIANA PUBLIC SERVICE COMPANY LLC"/>
    <s v="Jasper County"/>
    <s v="Starke County"/>
    <m/>
    <s v="IN"/>
    <s v="DPP-2019"/>
    <s v="Central"/>
    <s v="GIA"/>
    <s v="NRIS"/>
    <s v="Schahfer - Burr Oak 345kV Line"/>
    <n v="199.5"/>
    <n v="199.5"/>
    <x v="5"/>
    <s v="Solar/Battery"/>
    <s v="Not Started"/>
    <d v="2025-02-01T00:00:00"/>
    <n v="199.5"/>
    <n v="199.5"/>
    <n v="199.5"/>
    <n v="199.5"/>
  </r>
  <r>
    <s v="J1337"/>
    <x v="1"/>
    <d v="2019-04-29T00:00:00"/>
    <d v="2021-03-24T00:00:00"/>
    <m/>
    <d v="2022-06-30T00:00:00"/>
    <s v="NORTHERN STATES POWER COMPANY"/>
    <s v="Sherburne County"/>
    <m/>
    <m/>
    <s v="MN"/>
    <s v="DPP-2019"/>
    <s v="West"/>
    <s v="GIA"/>
    <s v="NRIS"/>
    <s v="Sherburne County 345 kV substation"/>
    <n v="300"/>
    <n v="300"/>
    <x v="0"/>
    <s v="Photovoltaic"/>
    <s v="Not Started"/>
    <m/>
    <n v="0"/>
    <n v="0"/>
    <n v="0"/>
    <n v="0"/>
  </r>
  <r>
    <s v="J1338"/>
    <x v="1"/>
    <d v="2019-04-29T00:00:00"/>
    <d v="2021-08-05T00:00:00"/>
    <m/>
    <d v="2022-07-15T00:00:00"/>
    <s v="Ameren Missouri"/>
    <s v="Audrain County"/>
    <m/>
    <m/>
    <s v="MO"/>
    <s v="DPP-2019"/>
    <s v="Central"/>
    <s v="GIA"/>
    <s v="NRIS"/>
    <s v="Spencer Creek - Montgomery 345 kV Line Tap"/>
    <n v="150"/>
    <n v="150"/>
    <x v="1"/>
    <s v="Wind Turbine"/>
    <s v="Not Started"/>
    <m/>
    <n v="0"/>
    <n v="0"/>
    <n v="0"/>
    <n v="0"/>
  </r>
  <r>
    <s v="J1339"/>
    <x v="0"/>
    <d v="2019-04-29T00:00:00"/>
    <m/>
    <m/>
    <d v="2022-07-01T00:00:00"/>
    <s v="NORTHERN INDIANA PUBLIC SERVICE COMPANY LLC"/>
    <s v="Jasper County"/>
    <s v="Starke County"/>
    <m/>
    <s v="IN"/>
    <s v="DPP-2019"/>
    <s v="Central"/>
    <s v="GIA"/>
    <s v="NRIS"/>
    <s v="Schahfer - Burr Oak 345kV Line"/>
    <n v="199.5"/>
    <n v="199.5"/>
    <x v="5"/>
    <s v="Solar/Battery"/>
    <s v="Not Started"/>
    <d v="2025-08-01T00:00:00"/>
    <n v="199.5"/>
    <n v="199.5"/>
    <n v="199.5"/>
    <n v="199.5"/>
  </r>
  <r>
    <s v="J1340"/>
    <x v="0"/>
    <d v="2019-04-29T00:00:00"/>
    <m/>
    <m/>
    <d v="2022-07-01T00:00:00"/>
    <s v="NORTHERN INDIANA PUBLIC SERVICE COMPANY LLC NIP"/>
    <s v="Jasper County"/>
    <s v="Starke County"/>
    <m/>
    <s v="IN"/>
    <s v="DPP-2019"/>
    <s v="Central"/>
    <s v="GIA"/>
    <s v="NRIS"/>
    <s v="Schahfer - Burr Oak 345kV Line"/>
    <n v="199.5"/>
    <n v="199.5"/>
    <x v="5"/>
    <s v="Solar/Battery"/>
    <s v="Not Started"/>
    <d v="2025-06-01T00:00:00"/>
    <n v="199.5"/>
    <n v="199.5"/>
    <n v="199.5"/>
    <n v="199.5"/>
  </r>
  <r>
    <s v="J1341"/>
    <x v="1"/>
    <d v="2019-04-29T00:00:00"/>
    <d v="2021-03-24T00:00:00"/>
    <m/>
    <d v="2022-07-01T00:00:00"/>
    <s v="ITC MIDWEST"/>
    <s v="Buchanan County"/>
    <m/>
    <m/>
    <s v="IA"/>
    <s v="DPP-2019"/>
    <s v="West"/>
    <s v="GIA"/>
    <s v="NRIS"/>
    <s v="Hazleton 345kV Substation"/>
    <n v="398"/>
    <n v="398"/>
    <x v="1"/>
    <s v="Wind Turbine"/>
    <s v="Not Started"/>
    <m/>
    <n v="0"/>
    <n v="0"/>
    <n v="0"/>
    <n v="0"/>
  </r>
  <r>
    <s v="J1342"/>
    <x v="1"/>
    <d v="2019-04-29T00:00:00"/>
    <d v="2022-05-20T00:00:00"/>
    <m/>
    <d v="2023-06-30T00:00:00"/>
    <s v="NORTHERN INDIANA PUBLIC SERVICE COMPANY LLC"/>
    <s v="Starke County"/>
    <m/>
    <m/>
    <s v="IN"/>
    <s v="DPP-2019"/>
    <s v="Central"/>
    <s v="GIA"/>
    <s v="NRIS"/>
    <s v="Starke 138kV Substation"/>
    <n v="99"/>
    <n v="99"/>
    <x v="0"/>
    <s v="Photovoltaic"/>
    <s v="Not Started"/>
    <m/>
    <n v="99"/>
    <n v="99"/>
    <n v="0"/>
    <n v="0"/>
  </r>
  <r>
    <s v="J1343"/>
    <x v="1"/>
    <d v="2019-04-29T00:00:00"/>
    <d v="2020-03-05T00:00:00"/>
    <m/>
    <d v="2022-09-15T00:00:00"/>
    <s v="ITC MIDWEST"/>
    <s v="Cerro Gordo County"/>
    <m/>
    <m/>
    <s v="IA"/>
    <s v="DPP-2019"/>
    <s v="West"/>
    <s v="GIA"/>
    <s v="NRIS"/>
    <s v="Emery - Lime Creek 161 kV Line Tap"/>
    <n v="96"/>
    <n v="96"/>
    <x v="0"/>
    <s v="Photovoltaic"/>
    <s v="Not Started"/>
    <m/>
    <n v="0"/>
    <n v="0"/>
    <n v="0"/>
    <n v="0"/>
  </r>
  <r>
    <s v="J1344"/>
    <x v="1"/>
    <d v="2019-04-29T00:00:00"/>
    <d v="2020-03-05T00:00:00"/>
    <m/>
    <d v="2022-09-15T00:00:00"/>
    <s v="MIDAMERICAN ENERGY COMPANY"/>
    <s v="Mills County"/>
    <m/>
    <m/>
    <s v="IA"/>
    <s v="DPP-2019"/>
    <s v="West"/>
    <s v="GIA"/>
    <s v="NRIS"/>
    <s v="Hastings 69 kV Substation"/>
    <n v="48"/>
    <n v="48"/>
    <x v="0"/>
    <s v="Photovoltaic"/>
    <s v="Not Started"/>
    <m/>
    <n v="0"/>
    <n v="0"/>
    <n v="0"/>
    <n v="0"/>
  </r>
  <r>
    <s v="J1345"/>
    <x v="1"/>
    <d v="2019-04-29T00:00:00"/>
    <d v="2022-03-08T00:00:00"/>
    <m/>
    <d v="2021-10-01T00:00:00"/>
    <s v="American Transmission Co. LLC"/>
    <s v="Dodge County"/>
    <m/>
    <m/>
    <s v="WI"/>
    <s v="DPP-2019"/>
    <s v="East (ATC)"/>
    <s v="GIA"/>
    <s v="NRIS"/>
    <s v="North Beaver Dam 69kV Substation"/>
    <n v="25"/>
    <n v="25"/>
    <x v="2"/>
    <s v="Battery Storage"/>
    <s v="Not Started"/>
    <m/>
    <n v="25"/>
    <n v="25"/>
    <n v="0"/>
    <n v="0"/>
  </r>
  <r>
    <s v="J1346"/>
    <x v="1"/>
    <d v="2019-04-29T00:00:00"/>
    <d v="2020-05-29T00:00:00"/>
    <m/>
    <d v="2022-01-01T00:00:00"/>
    <s v="ITC MIDWEST"/>
    <s v="Wayne County"/>
    <m/>
    <m/>
    <s v="MI"/>
    <s v="DPP-2019"/>
    <s v="East (ITC)"/>
    <s v="GIA"/>
    <s v="NRIS"/>
    <s v="Brownstown 345kV Substation"/>
    <n v="334"/>
    <n v="382"/>
    <x v="3"/>
    <s v="Combustion Turbine (Simple Cycle)"/>
    <s v="Not Started"/>
    <m/>
    <n v="0"/>
    <n v="0"/>
    <n v="0"/>
    <n v="0"/>
  </r>
  <r>
    <s v="J1347"/>
    <x v="0"/>
    <d v="2019-04-26T00:00:00"/>
    <m/>
    <m/>
    <d v="2022-08-01T00:00:00"/>
    <s v="ENTERGY MISSISSIPPI, LLC"/>
    <s v="Scott County"/>
    <m/>
    <m/>
    <s v="MS"/>
    <s v="DPP-2019"/>
    <s v="South"/>
    <s v="GIA"/>
    <s v="ERIS"/>
    <s v="Pelahatchie - Scott 115 kV Line Tap"/>
    <n v="175"/>
    <n v="175"/>
    <x v="0"/>
    <s v="Photovoltaic"/>
    <s v="In Service"/>
    <d v="2023-06-01T00:00:00"/>
    <n v="175"/>
    <n v="0"/>
    <n v="175"/>
    <n v="0"/>
  </r>
  <r>
    <s v="J1348"/>
    <x v="0"/>
    <d v="2019-04-29T00:00:00"/>
    <m/>
    <m/>
    <d v="2022-04-20T00:00:00"/>
    <s v="DUKE ENERGY INDIANA, LLC"/>
    <s v="Vermillion County"/>
    <m/>
    <m/>
    <s v="IN"/>
    <s v="DPP-2019"/>
    <s v="Central"/>
    <s v="GIA"/>
    <s v="NRIS"/>
    <s v="Cayuga - Sugar Creek 345kV Line"/>
    <n v="200"/>
    <n v="200"/>
    <x v="0"/>
    <s v="Photovoltaic"/>
    <s v="Not Started"/>
    <d v="2025-04-20T00:00:00"/>
    <n v="200"/>
    <n v="200"/>
    <n v="0"/>
    <n v="0"/>
  </r>
  <r>
    <s v="J1349"/>
    <x v="1"/>
    <d v="2019-04-29T00:00:00"/>
    <d v="2022-02-22T00:00:00"/>
    <m/>
    <d v="2023-04-20T00:00:00"/>
    <s v="NORTHERN STATES POWER COMPANY"/>
    <s v="Cottonwood County"/>
    <m/>
    <m/>
    <s v="MN"/>
    <s v="DPP-2019"/>
    <s v="West"/>
    <s v="GIA"/>
    <s v="NRIS"/>
    <s v="Crandall 345 kV Substation"/>
    <n v="335"/>
    <n v="335"/>
    <x v="5"/>
    <s v="Solar/Wind"/>
    <s v="Not Started"/>
    <m/>
    <n v="335"/>
    <n v="335"/>
    <n v="0"/>
    <n v="0"/>
  </r>
  <r>
    <s v="J1350"/>
    <x v="1"/>
    <d v="2019-04-29T00:00:00"/>
    <d v="2023-04-07T00:00:00"/>
    <d v="2022-10-31T00:00:00"/>
    <d v="2022-04-20T00:00:00"/>
    <s v="METC"/>
    <s v="Monroe County"/>
    <m/>
    <m/>
    <s v="MI"/>
    <s v="DPP-2019"/>
    <s v="East (ITC)"/>
    <s v="GIA"/>
    <s v="NRIS"/>
    <s v="Milan ‚Äì Monroe ‚Äì Morocco 345 kV Point"/>
    <n v="150"/>
    <n v="150"/>
    <x v="0"/>
    <s v="Photovoltaic"/>
    <s v="Withdrawn"/>
    <d v="2025-04-20T00:00:00"/>
    <n v="150"/>
    <n v="150"/>
    <n v="150"/>
    <n v="150"/>
  </r>
  <r>
    <s v="J1351"/>
    <x v="1"/>
    <d v="2019-04-29T00:00:00"/>
    <d v="2020-08-05T00:00:00"/>
    <m/>
    <d v="2022-08-01T00:00:00"/>
    <s v="ENTERGY LOUISIANA, LLC"/>
    <s v="Madison Parish"/>
    <m/>
    <m/>
    <s v="LA"/>
    <s v="DPP-2019"/>
    <s v="South"/>
    <s v="GIA"/>
    <s v="NRIS"/>
    <s v="Tallulah - Delhi 115kV Line Tap"/>
    <n v="120"/>
    <n v="120"/>
    <x v="0"/>
    <s v="Photovoltaic"/>
    <s v="Not Started"/>
    <m/>
    <n v="0"/>
    <n v="0"/>
    <n v="0"/>
    <n v="0"/>
  </r>
  <r>
    <s v="J1352"/>
    <x v="0"/>
    <d v="2019-04-29T00:00:00"/>
    <m/>
    <m/>
    <d v="2022-04-20T00:00:00"/>
    <s v="Ameren Missouri"/>
    <s v="Montgomery County"/>
    <m/>
    <m/>
    <s v="MO"/>
    <s v="DPP-2019"/>
    <s v="Central"/>
    <s v="GIA"/>
    <s v="NRIS"/>
    <s v="Spencer Creek - Montgomery 345kV Line"/>
    <n v="100"/>
    <n v="100"/>
    <x v="0"/>
    <s v="Photovoltaic"/>
    <s v="Not Started"/>
    <d v="2024-12-01T00:00:00"/>
    <n v="100"/>
    <n v="100"/>
    <n v="100"/>
    <n v="100"/>
  </r>
  <r>
    <s v="J1353"/>
    <x v="1"/>
    <d v="2019-04-29T00:00:00"/>
    <d v="2023-09-05T00:00:00"/>
    <m/>
    <d v="2023-05-30T00:00:00"/>
    <s v="NORTHERN INDIANA PUBLIC SERVICE COMPANY LLC"/>
    <s v="Lake County"/>
    <m/>
    <m/>
    <s v="IN"/>
    <s v="DPP-2019"/>
    <s v="Central"/>
    <s v="GIA"/>
    <s v="NRIS"/>
    <s v="Green Acres138kV Subtation"/>
    <n v="150"/>
    <n v="150"/>
    <x v="2"/>
    <s v="Battery Storage"/>
    <s v="Not Started"/>
    <m/>
    <n v="150"/>
    <n v="150"/>
    <n v="150"/>
    <n v="150"/>
  </r>
  <r>
    <s v="J1354"/>
    <x v="0"/>
    <d v="2019-04-29T00:00:00"/>
    <m/>
    <m/>
    <d v="2023-05-30T00:00:00"/>
    <s v="HOOSIER ENERGY"/>
    <s v="Decatur County"/>
    <m/>
    <m/>
    <s v="IN"/>
    <s v="DPP-2019"/>
    <s v="Central"/>
    <s v="GIA"/>
    <s v="NRIS"/>
    <s v="Decatur  County 138kV Switching Station"/>
    <n v="146"/>
    <n v="146"/>
    <x v="2"/>
    <s v="Battery Storage"/>
    <s v="Not Started"/>
    <d v="2025-10-15T00:00:00"/>
    <n v="118"/>
    <n v="118"/>
    <n v="118"/>
    <n v="118"/>
  </r>
  <r>
    <s v="J1355"/>
    <x v="0"/>
    <d v="2019-04-29T00:00:00"/>
    <m/>
    <m/>
    <d v="2023-05-30T00:00:00"/>
    <s v="NORTHERN INDIANA PUBLIC SERVICE COMPANY LLC"/>
    <s v="LaPorte County"/>
    <m/>
    <m/>
    <s v="IN"/>
    <s v="DPP-2019"/>
    <s v="Central"/>
    <s v="GIA"/>
    <s v="NRIS"/>
    <s v="Stillwell 138kV Subtation"/>
    <n v="160"/>
    <n v="160"/>
    <x v="2"/>
    <s v="Battery Storage"/>
    <s v="Not Started"/>
    <d v="2026-05-30T00:00:00"/>
    <n v="131"/>
    <n v="131"/>
    <n v="131"/>
    <n v="131"/>
  </r>
  <r>
    <s v="J1356"/>
    <x v="1"/>
    <d v="2019-04-29T00:00:00"/>
    <d v="2022-05-20T00:00:00"/>
    <m/>
    <d v="2023-05-30T00:00:00"/>
    <s v="DUKE ENERGY INDIANA, LLC"/>
    <s v="Martin County"/>
    <m/>
    <m/>
    <s v="IN"/>
    <s v="DPP-2019"/>
    <s v="Central"/>
    <s v="GIA"/>
    <s v="NRIS"/>
    <s v="Whitfield 138kV Substation"/>
    <n v="160"/>
    <n v="160"/>
    <x v="0"/>
    <s v="Photovoltaic"/>
    <s v="Not Started"/>
    <m/>
    <n v="135"/>
    <n v="74"/>
    <n v="0"/>
    <n v="0"/>
  </r>
  <r>
    <s v="J1357"/>
    <x v="0"/>
    <d v="2019-04-29T00:00:00"/>
    <m/>
    <d v="2023-01-31T00:00:00"/>
    <d v="2023-05-30T00:00:00"/>
    <s v="DUKE ENERGY INDIANA, LLC"/>
    <s v="Madison County"/>
    <m/>
    <m/>
    <s v="IN"/>
    <s v="DPP-2019"/>
    <s v="Central"/>
    <s v="GIA"/>
    <s v="NRIS"/>
    <s v="Madison 138 KV SUBSTATION"/>
    <n v="150"/>
    <n v="150"/>
    <x v="2"/>
    <s v="Battery Storage"/>
    <s v="Not Started"/>
    <d v="2025-09-30T00:00:00"/>
    <n v="150"/>
    <n v="150"/>
    <n v="150"/>
    <n v="150"/>
  </r>
  <r>
    <s v="J1358"/>
    <x v="0"/>
    <d v="2019-04-29T00:00:00"/>
    <m/>
    <m/>
    <d v="2023-05-30T00:00:00"/>
    <s v="NORTHERN INDIANA PUBLIC SERVICE COMPANY LLC"/>
    <s v="LaPorte County"/>
    <m/>
    <m/>
    <s v="IN"/>
    <s v="DPP-2019"/>
    <s v="Central"/>
    <s v="GIA"/>
    <s v="NRIS"/>
    <s v="Luchtman - Michigan City138kV Line"/>
    <n v="125"/>
    <n v="125"/>
    <x v="2"/>
    <s v="Battery Storage"/>
    <s v="Not Started"/>
    <d v="2026-05-30T00:00:00"/>
    <n v="125"/>
    <n v="125"/>
    <n v="125"/>
    <n v="125"/>
  </r>
  <r>
    <s v="J1359"/>
    <x v="0"/>
    <d v="2019-04-29T00:00:00"/>
    <m/>
    <m/>
    <d v="2022-03-01T00:00:00"/>
    <s v="ITC MIDWEST"/>
    <s v="Linn County"/>
    <m/>
    <m/>
    <s v="IA"/>
    <s v="DPP-2019"/>
    <s v="West"/>
    <s v="GIA"/>
    <s v="NRIS"/>
    <s v="Oakridge 69 kV Substation"/>
    <n v="95"/>
    <n v="95"/>
    <x v="3"/>
    <s v="Combustion Turbine (Simple Cycle)"/>
    <s v="Not Started"/>
    <d v="2025-03-01T00:00:00"/>
    <n v="95"/>
    <n v="95"/>
    <n v="95"/>
    <n v="95"/>
  </r>
  <r>
    <s v="J1360"/>
    <x v="0"/>
    <d v="2019-04-29T00:00:00"/>
    <m/>
    <m/>
    <d v="2022-04-20T00:00:00"/>
    <s v="AMEREN ILLINOIS"/>
    <s v="Piatt County"/>
    <m/>
    <m/>
    <s v="IL"/>
    <s v="DPP-2019"/>
    <s v="Central"/>
    <s v="GIA"/>
    <s v="ERIS"/>
    <s v="Goose Creek 345kV Switchyard"/>
    <n v="300"/>
    <n v="300"/>
    <x v="1"/>
    <s v="Wind Turbine"/>
    <s v="Not Started"/>
    <d v="2024-06-01T00:00:00"/>
    <n v="300"/>
    <n v="300"/>
    <n v="300"/>
    <n v="0"/>
  </r>
  <r>
    <s v="J1361"/>
    <x v="0"/>
    <d v="2019-04-29T00:00:00"/>
    <m/>
    <d v="2021-11-29T00:00:00"/>
    <d v="2021-10-31T00:00:00"/>
    <s v="ENTERGY LOUISIANA, LLC"/>
    <s v="Washington Parish"/>
    <m/>
    <m/>
    <s v="LA"/>
    <s v="DPP-2019"/>
    <s v="South"/>
    <s v="GIA"/>
    <s v="NRIS"/>
    <s v="Lagen Holton - Franklinton 115kV Line (J1184)"/>
    <n v="50"/>
    <n v="50"/>
    <x v="0"/>
    <s v="Photovoltaic"/>
    <s v="Under Construction"/>
    <d v="2024-01-15T00:00:00"/>
    <n v="50"/>
    <n v="50"/>
    <n v="50"/>
    <n v="50"/>
  </r>
  <r>
    <s v="J1362"/>
    <x v="1"/>
    <d v="2019-04-29T00:00:00"/>
    <d v="2020-02-13T00:00:00"/>
    <m/>
    <d v="2021-08-27T00:00:00"/>
    <s v="METC"/>
    <s v="Muskegon County"/>
    <m/>
    <m/>
    <s v="MI"/>
    <s v="DPP-2019"/>
    <s v="East (ITC)"/>
    <s v="GIA"/>
    <s v="NRIS"/>
    <s v="Kenowa - Ludington 345 kV Line Tap"/>
    <n v="150"/>
    <n v="150"/>
    <x v="0"/>
    <s v="Photovoltaic"/>
    <s v="Not Started"/>
    <m/>
    <n v="0"/>
    <n v="0"/>
    <n v="0"/>
    <n v="0"/>
  </r>
  <r>
    <s v="J1363"/>
    <x v="1"/>
    <d v="2019-04-26T00:00:00"/>
    <d v="2021-08-05T00:00:00"/>
    <m/>
    <d v="2022-07-15T00:00:00"/>
    <s v="Ameren Missouri"/>
    <s v="Audrain County"/>
    <m/>
    <m/>
    <s v="MO"/>
    <s v="DPP-2019"/>
    <s v="Central"/>
    <s v="GIA"/>
    <s v="NRIS"/>
    <s v="Spencer Creek - Montgomery 345 kV Line Tap"/>
    <n v="150"/>
    <n v="150"/>
    <x v="0"/>
    <s v="Photovoltaic"/>
    <s v="Not Started"/>
    <m/>
    <n v="0"/>
    <n v="0"/>
    <n v="0"/>
    <n v="0"/>
  </r>
  <r>
    <s v="J1364"/>
    <x v="1"/>
    <d v="2019-04-29T00:00:00"/>
    <d v="2020-08-05T00:00:00"/>
    <m/>
    <d v="2022-07-15T00:00:00"/>
    <s v="ENTERGY ARKANSAS, LLC"/>
    <s v="Crittenden County"/>
    <m/>
    <m/>
    <s v="AR"/>
    <s v="DPP-2019"/>
    <s v="South"/>
    <s v="GIA"/>
    <s v="NRIS"/>
    <s v="Marked Tree - Marion 161 kV Line tap"/>
    <n v="150"/>
    <n v="150"/>
    <x v="0"/>
    <s v="Photovoltaic"/>
    <s v="Not Started"/>
    <m/>
    <n v="0"/>
    <n v="0"/>
    <n v="0"/>
    <n v="0"/>
  </r>
  <r>
    <s v="J1365"/>
    <x v="0"/>
    <d v="2019-04-29T00:00:00"/>
    <m/>
    <m/>
    <d v="2022-07-01T00:00:00"/>
    <s v="ITC MIDWEST"/>
    <s v="Tama County"/>
    <m/>
    <m/>
    <s v="IA"/>
    <s v="DPP-2019"/>
    <s v="West"/>
    <s v="GIA"/>
    <s v="NRIS"/>
    <s v="Traer 161-kV Substation"/>
    <n v="169.4"/>
    <n v="169.4"/>
    <x v="1"/>
    <s v="Wind Turbine"/>
    <s v="Not Started"/>
    <d v="2024-09-06T00:00:00"/>
    <n v="169.4"/>
    <n v="169.4"/>
    <n v="169.4"/>
    <n v="0"/>
  </r>
  <r>
    <s v="J1366"/>
    <x v="1"/>
    <d v="2019-04-29T00:00:00"/>
    <d v="2020-04-02T00:00:00"/>
    <m/>
    <d v="2022-09-01T00:00:00"/>
    <s v="NORTHERN STATES POWER COMPANY"/>
    <s v="Eau Claire County"/>
    <m/>
    <m/>
    <s v="WI"/>
    <s v="DPP-2019"/>
    <s v="West"/>
    <s v="GIA"/>
    <s v="NRIS"/>
    <s v="Tremval - Seven Mile 161 kV Line Tap"/>
    <n v="200"/>
    <n v="200"/>
    <x v="1"/>
    <s v="Wind Turbine"/>
    <s v="Not Started"/>
    <m/>
    <n v="0"/>
    <n v="0"/>
    <n v="0"/>
    <n v="0"/>
  </r>
  <r>
    <s v="J1367"/>
    <x v="0"/>
    <d v="2019-04-29T00:00:00"/>
    <m/>
    <d v="2022-04-15T00:00:00"/>
    <d v="2021-07-01T00:00:00"/>
    <s v="CLECO POWER LLC"/>
    <s v="St. Mary"/>
    <s v="St. Mary Parish"/>
    <m/>
    <s v="LA"/>
    <s v="DPP-2019"/>
    <s v="South"/>
    <s v="GIA"/>
    <s v="NRIS"/>
    <s v="Caneland 230kV Substation"/>
    <n v="95"/>
    <n v="95"/>
    <x v="0"/>
    <s v="Photovoltaic"/>
    <s v="Under Construction"/>
    <d v="2022-09-19T00:00:00"/>
    <n v="95"/>
    <n v="95"/>
    <n v="95"/>
    <n v="48.65"/>
  </r>
  <r>
    <s v="J1368"/>
    <x v="0"/>
    <d v="2019-04-29T00:00:00"/>
    <m/>
    <d v="2021-11-30T00:00:00"/>
    <d v="2022-07-01T00:00:00"/>
    <s v="ENTERGY LOUISIANA, LLC"/>
    <s v="Pointe Coupee"/>
    <s v="Pointe Coupee Parish"/>
    <m/>
    <s v="LA"/>
    <s v="DPP-2019"/>
    <s v="South"/>
    <s v="GIA"/>
    <s v="NRIS"/>
    <s v="Fancy Point - Waterloo 230 kV Line"/>
    <n v="200"/>
    <n v="200"/>
    <x v="0"/>
    <s v="Photovoltaic"/>
    <s v="In Service"/>
    <d v="2023-06-01T00:00:00"/>
    <n v="200"/>
    <n v="130"/>
    <n v="200"/>
    <n v="40"/>
  </r>
  <r>
    <s v="J1369"/>
    <x v="0"/>
    <d v="2019-04-29T00:00:00"/>
    <m/>
    <m/>
    <d v="2022-07-01T00:00:00"/>
    <s v="Southern Indiana Gas &amp; Electric Company d/b/a Vectren Energy Delivery of Indiana, Inc."/>
    <s v="Dubois County"/>
    <m/>
    <m/>
    <s v="IN"/>
    <s v="DPP-2019"/>
    <s v="Central"/>
    <s v="GIA"/>
    <s v="NRIS"/>
    <s v="Dubois - Culley 138kV line"/>
    <n v="100"/>
    <n v="100"/>
    <x v="0"/>
    <s v="Photovoltaic"/>
    <s v="Not Started"/>
    <d v="2025-07-01T00:00:00"/>
    <n v="100"/>
    <n v="100"/>
    <n v="100"/>
    <n v="85"/>
  </r>
  <r>
    <s v="J1370"/>
    <x v="1"/>
    <d v="2019-04-29T00:00:00"/>
    <d v="2022-03-08T00:00:00"/>
    <m/>
    <d v="2021-03-01T00:00:00"/>
    <s v="American Transmission Co. LLC"/>
    <s v="Chippewa County"/>
    <m/>
    <m/>
    <s v="MI"/>
    <s v="DPP-2019"/>
    <s v="East (ATC)"/>
    <s v="GIA"/>
    <s v="NRIS"/>
    <s v="9 Mile SW STA - Dafter 69kV Line"/>
    <n v="50"/>
    <n v="50"/>
    <x v="3"/>
    <s v="Combustion Turbine (Simple Cycle)"/>
    <s v="Not Started"/>
    <m/>
    <n v="50"/>
    <n v="50"/>
    <n v="0"/>
    <n v="0"/>
  </r>
  <r>
    <s v="J1371"/>
    <x v="1"/>
    <d v="2019-04-29T00:00:00"/>
    <d v="2022-02-07T00:00:00"/>
    <m/>
    <d v="2023-08-01T00:00:00"/>
    <s v="OTTER TAIL POWER COMPANY"/>
    <s v="Yellow Medicine County"/>
    <m/>
    <m/>
    <s v="MN"/>
    <s v="DPP-2019"/>
    <s v="West"/>
    <s v="GIA"/>
    <s v="NRIS"/>
    <s v="Astoria 345kV Substation"/>
    <n v="150"/>
    <n v="150"/>
    <x v="1"/>
    <s v="Wind Turbine"/>
    <s v="Not Started"/>
    <m/>
    <n v="150"/>
    <n v="150"/>
    <n v="0"/>
    <n v="0"/>
  </r>
  <r>
    <s v="J1372"/>
    <x v="0"/>
    <d v="2019-04-29T00:00:00"/>
    <m/>
    <d v="2021-11-30T00:00:00"/>
    <d v="2022-07-01T00:00:00"/>
    <s v="ENTERGY LOUISIANA, LLC"/>
    <s v="Pointe Coupee"/>
    <s v="Pointe Coupee Parish"/>
    <m/>
    <s v="LA"/>
    <s v="DPP-2019"/>
    <s v="South"/>
    <s v="GIA"/>
    <s v="NRIS"/>
    <s v="Fancy Point - Waterloo 230 kV Line (J1368 POI)"/>
    <n v="100"/>
    <n v="100"/>
    <x v="0"/>
    <s v="Photovoltaic"/>
    <s v="In Service"/>
    <d v="2023-06-01T00:00:00"/>
    <n v="100"/>
    <n v="65"/>
    <n v="100"/>
    <n v="20"/>
  </r>
  <r>
    <s v="J1373"/>
    <x v="0"/>
    <d v="2019-04-29T00:00:00"/>
    <m/>
    <m/>
    <d v="2022-07-01T00:00:00"/>
    <s v="ENTERGY ARKANSAS, LLC"/>
    <s v="White County"/>
    <m/>
    <m/>
    <s v="AR"/>
    <s v="DPP-2019"/>
    <s v="South"/>
    <s v="GIA"/>
    <s v="NRIS"/>
    <s v="Griffithville - Searcy Price 115 kV Line Tap"/>
    <n v="95"/>
    <n v="95"/>
    <x v="0"/>
    <s v="Photovoltaic"/>
    <s v="In Service"/>
    <d v="2023-03-15T00:00:00"/>
    <n v="95"/>
    <n v="80.75"/>
    <n v="95"/>
    <n v="80.75"/>
  </r>
  <r>
    <s v="J1374"/>
    <x v="0"/>
    <d v="2019-04-29T00:00:00"/>
    <m/>
    <d v="2022-09-08T00:00:00"/>
    <d v="2021-08-01T00:00:00"/>
    <s v="American Transmission Co. LLC"/>
    <s v="Grant County"/>
    <m/>
    <m/>
    <s v="WI"/>
    <s v="DPP-2019"/>
    <s v="East (ATC)"/>
    <s v="GIA"/>
    <s v="NRIS"/>
    <s v="ATC Ebenezer Sub on Lancaster-Eden 138kv line"/>
    <n v="95"/>
    <n v="95"/>
    <x v="1"/>
    <s v="Wind Turbine"/>
    <s v="Not Started"/>
    <d v="2024-08-08T00:00:00"/>
    <n v="67.2"/>
    <n v="67.2"/>
    <n v="67.2"/>
    <n v="67.2"/>
  </r>
  <r>
    <s v="J1375"/>
    <x v="0"/>
    <d v="2019-04-29T00:00:00"/>
    <m/>
    <d v="2022-08-17T00:00:00"/>
    <d v="2023-09-29T00:00:00"/>
    <s v="METC"/>
    <s v="Muskegon County"/>
    <m/>
    <m/>
    <s v="MI"/>
    <s v="DPP-2019"/>
    <s v="East (ITC)"/>
    <s v="GIA"/>
    <s v="NRIS"/>
    <s v="Du Pont - Cobb  -White Lake 138kv"/>
    <n v="100"/>
    <n v="100"/>
    <x v="0"/>
    <s v="Photovoltaic"/>
    <s v="Under Construction"/>
    <d v="2025-05-12T00:00:00"/>
    <n v="100"/>
    <n v="100"/>
    <n v="100"/>
    <n v="100"/>
  </r>
  <r>
    <s v="J1376"/>
    <x v="1"/>
    <d v="2019-04-29T00:00:00"/>
    <d v="2021-08-05T00:00:00"/>
    <m/>
    <d v="2022-07-15T00:00:00"/>
    <s v="Ameren Missouri"/>
    <s v="Cooper County"/>
    <m/>
    <m/>
    <s v="MO"/>
    <s v="DPP-2019"/>
    <s v="Central"/>
    <s v="GIA"/>
    <s v="NRIS"/>
    <s v="Barnett - Georgetown Overton 161 kV Line Tap"/>
    <n v="100"/>
    <n v="100"/>
    <x v="1"/>
    <s v="Wind Turbine"/>
    <s v="Not Started"/>
    <m/>
    <n v="0"/>
    <n v="0"/>
    <n v="0"/>
    <n v="0"/>
  </r>
  <r>
    <s v="J1377"/>
    <x v="0"/>
    <d v="2019-04-29T00:00:00"/>
    <m/>
    <m/>
    <d v="2022-07-15T00:00:00"/>
    <s v="American Transmission Co. LLC"/>
    <s v="Rock County"/>
    <m/>
    <m/>
    <s v="WI"/>
    <s v="DPP-2019"/>
    <s v="East (ATC)"/>
    <s v="GIA"/>
    <s v="NRIS"/>
    <s v="Wempletown - Rockdale 345kV Line Tap"/>
    <n v="98.56"/>
    <n v="98.56"/>
    <x v="0"/>
    <s v="Photovoltaic"/>
    <s v="Not Started"/>
    <d v="2025-07-15T00:00:00"/>
    <n v="98.56"/>
    <n v="98.56"/>
    <n v="98.56"/>
    <n v="98.56"/>
  </r>
  <r>
    <s v="J1378"/>
    <x v="0"/>
    <d v="2019-04-29T00:00:00"/>
    <m/>
    <m/>
    <d v="2023-10-01T00:00:00"/>
    <s v="DUKE ENERGY INDIANA, LLC"/>
    <s v="Fountain County"/>
    <m/>
    <m/>
    <s v="IN"/>
    <s v="DPP-2019"/>
    <s v="Central"/>
    <s v="GIA"/>
    <s v="NRIS"/>
    <s v="Veedersburg West 230 kV Substation"/>
    <n v="200"/>
    <n v="200"/>
    <x v="0"/>
    <s v="Photovoltaic"/>
    <s v="Not Started"/>
    <d v="2024-11-15T00:00:00"/>
    <n v="200"/>
    <n v="200"/>
    <n v="200"/>
    <n v="200"/>
  </r>
  <r>
    <s v="J1379"/>
    <x v="0"/>
    <d v="2019-04-29T00:00:00"/>
    <m/>
    <d v="2022-08-17T00:00:00"/>
    <d v="2023-10-01T00:00:00"/>
    <s v="METC"/>
    <s v="Montcalm County"/>
    <m/>
    <m/>
    <s v="MI"/>
    <s v="DPP-2019"/>
    <s v="East (ITC)"/>
    <s v="GIA"/>
    <s v="NRIS"/>
    <s v="Eureka - Vestaburg 138 kV Line Tap"/>
    <n v="200"/>
    <n v="200"/>
    <x v="0"/>
    <s v="Photovoltaic"/>
    <s v="Not Started"/>
    <d v="2025-12-19T00:00:00"/>
    <n v="200"/>
    <n v="200"/>
    <n v="200"/>
    <n v="200"/>
  </r>
  <r>
    <s v="J1380"/>
    <x v="1"/>
    <d v="2019-04-29T00:00:00"/>
    <d v="2020-07-17T00:00:00"/>
    <m/>
    <d v="2023-10-01T00:00:00"/>
    <s v="CLECO POWER LLC"/>
    <s v="Beauregard Parish"/>
    <m/>
    <m/>
    <s v="LA"/>
    <s v="DPP-2019"/>
    <s v="South"/>
    <s v="GIA"/>
    <s v="NRIS"/>
    <s v="Cooper - Penton 230 kV Line"/>
    <n v="200"/>
    <n v="200"/>
    <x v="0"/>
    <s v="Photovoltaic"/>
    <s v="Not Started"/>
    <m/>
    <n v="0"/>
    <n v="0"/>
    <n v="0"/>
    <n v="0"/>
  </r>
  <r>
    <s v="J1381"/>
    <x v="0"/>
    <d v="2019-04-29T00:00:00"/>
    <m/>
    <m/>
    <d v="2023-10-01T00:00:00"/>
    <s v="DUKE ENERGY INDIANA, LLC"/>
    <s v="Howard County"/>
    <m/>
    <m/>
    <s v="IN"/>
    <s v="DPP-2019"/>
    <s v="Central"/>
    <s v="GIA"/>
    <s v="NRIS"/>
    <s v="Greentown 230 kV substation"/>
    <n v="200"/>
    <n v="200"/>
    <x v="0"/>
    <s v="Photovoltaic"/>
    <s v="Not Started"/>
    <d v="2026-10-01T00:00:00"/>
    <n v="200"/>
    <n v="200"/>
    <n v="200"/>
    <n v="200"/>
  </r>
  <r>
    <s v="J1382"/>
    <x v="0"/>
    <d v="2019-04-29T00:00:00"/>
    <m/>
    <m/>
    <d v="2022-08-01T00:00:00"/>
    <s v="AMEREN ILLINOIS"/>
    <s v="Clark County"/>
    <m/>
    <m/>
    <s v="IL"/>
    <s v="DPP-2019"/>
    <s v="Central"/>
    <s v="GIA"/>
    <s v="NRIS"/>
    <s v="Hutsonville - Neoga 138 kV Line tap"/>
    <n v="150"/>
    <n v="150"/>
    <x v="0"/>
    <s v="Photovoltaic"/>
    <s v="Not Started"/>
    <d v="2025-05-31T00:00:00"/>
    <n v="150"/>
    <n v="150"/>
    <n v="150"/>
    <n v="150"/>
  </r>
  <r>
    <s v="J1383"/>
    <x v="0"/>
    <d v="2019-04-29T00:00:00"/>
    <m/>
    <m/>
    <d v="2022-08-01T00:00:00"/>
    <s v="AMEREN ILLINOIS"/>
    <s v="Fulton County"/>
    <m/>
    <m/>
    <s v="IL"/>
    <s v="DPP-2019"/>
    <s v="Central"/>
    <s v="GIA"/>
    <s v="NRIS"/>
    <s v="Ipava 138 kV Substation"/>
    <n v="150"/>
    <n v="150"/>
    <x v="0"/>
    <s v="Photovoltaic"/>
    <s v="Not Started"/>
    <d v="2025-06-15T00:00:00"/>
    <n v="150"/>
    <n v="150"/>
    <n v="150"/>
    <n v="150"/>
  </r>
  <r>
    <s v="J1384"/>
    <x v="1"/>
    <d v="2019-04-29T00:00:00"/>
    <d v="2020-07-22T00:00:00"/>
    <m/>
    <d v="2022-04-30T00:00:00"/>
    <s v="CLECO POWER LLC"/>
    <s v="Evangeline Parish"/>
    <m/>
    <m/>
    <s v="LA"/>
    <s v="DPP-2019"/>
    <s v="South"/>
    <s v="GIA"/>
    <s v="NRIS"/>
    <s v="Ville Platte - West Fork 230 kV Line"/>
    <n v="200"/>
    <n v="200"/>
    <x v="0"/>
    <s v="Photovoltaic"/>
    <s v="Not Started"/>
    <m/>
    <n v="0"/>
    <n v="0"/>
    <n v="0"/>
    <n v="0"/>
  </r>
  <r>
    <s v="J1385"/>
    <x v="1"/>
    <d v="2019-04-29T00:00:00"/>
    <d v="2021-08-05T00:00:00"/>
    <m/>
    <d v="2022-08-01T00:00:00"/>
    <s v="DUKE ENERGY INDIANA, LLC"/>
    <s v="Hendricks County"/>
    <m/>
    <m/>
    <s v="IN"/>
    <s v="DPP-2019"/>
    <s v="Central"/>
    <s v="GIA"/>
    <s v="NRIS"/>
    <s v="Stilesville 138 kV Substation"/>
    <n v="100"/>
    <n v="100"/>
    <x v="0"/>
    <s v="Photovoltaic"/>
    <s v="Not Started"/>
    <m/>
    <n v="0"/>
    <n v="0"/>
    <n v="0"/>
    <n v="0"/>
  </r>
  <r>
    <s v="J1386"/>
    <x v="0"/>
    <d v="2019-04-29T00:00:00"/>
    <m/>
    <m/>
    <d v="2022-07-01T00:00:00"/>
    <s v="NORTHERN INDIANA PUBLIC SERVICE COMPANY LLC"/>
    <s v="Lake County"/>
    <m/>
    <m/>
    <s v="IN"/>
    <s v="DPP-2019"/>
    <s v="Central"/>
    <s v="GIA"/>
    <s v="NRIS"/>
    <s v="Green Acres 138 kV Substation"/>
    <n v="100"/>
    <n v="100"/>
    <x v="0"/>
    <s v="Photovoltaic"/>
    <s v="Not Started"/>
    <d v="2025-07-01T00:00:00"/>
    <n v="100"/>
    <n v="100"/>
    <n v="100"/>
    <n v="100"/>
  </r>
  <r>
    <s v="J1387"/>
    <x v="0"/>
    <d v="2019-04-29T00:00:00"/>
    <m/>
    <m/>
    <d v="2021-12-31T00:00:00"/>
    <s v="NORTHERN INDIANA PUBLIC SERVICE COMPANY LLC"/>
    <s v="Jasper County"/>
    <m/>
    <m/>
    <s v="IN"/>
    <s v="DPP-2019"/>
    <s v="Central"/>
    <s v="GIA"/>
    <s v="ERIS"/>
    <s v="Circuit 6958 69 kV Line Tap"/>
    <n v="60"/>
    <n v="60"/>
    <x v="0"/>
    <s v="Photovoltaic"/>
    <s v="Not Started"/>
    <d v="2024-04-26T00:00:00"/>
    <n v="60"/>
    <n v="0"/>
    <n v="60"/>
    <n v="0"/>
  </r>
  <r>
    <s v="J1388"/>
    <x v="0"/>
    <d v="2019-04-29T00:00:00"/>
    <m/>
    <m/>
    <d v="2021-12-31T00:00:00"/>
    <s v="DUKE ENERGY INDIANA, LLC"/>
    <s v="Gibson County"/>
    <m/>
    <m/>
    <s v="IN"/>
    <s v="DPP-2019"/>
    <s v="Central"/>
    <s v="GIA"/>
    <s v="ERIS"/>
    <s v="Oakland City - Old Ben Coal 138 kV Line Tap"/>
    <n v="150"/>
    <n v="150"/>
    <x v="0"/>
    <s v="Photovoltaic"/>
    <s v="Not Started"/>
    <d v="2024-12-15T00:00:00"/>
    <n v="150"/>
    <n v="0"/>
    <n v="150"/>
    <n v="0"/>
  </r>
  <r>
    <s v="J1389"/>
    <x v="0"/>
    <d v="2019-04-29T00:00:00"/>
    <m/>
    <m/>
    <d v="2022-08-01T00:00:00"/>
    <s v="METC"/>
    <s v="Saginaw County"/>
    <m/>
    <m/>
    <s v="MI"/>
    <s v="DPP-2019"/>
    <s v="East (ITC)"/>
    <s v="GIA"/>
    <s v="NRIS"/>
    <s v="Murphy Station - Nelson Road 345 kV Line tap"/>
    <n v="120"/>
    <n v="120"/>
    <x v="0"/>
    <s v="Photovoltaic"/>
    <s v="Not Started"/>
    <d v="2025-04-01T00:00:00"/>
    <n v="120"/>
    <n v="120"/>
    <n v="120"/>
    <n v="120"/>
  </r>
  <r>
    <s v="J1390"/>
    <x v="0"/>
    <d v="2019-04-29T00:00:00"/>
    <m/>
    <m/>
    <d v="2022-08-01T00:00:00"/>
    <s v="DUKE ENERGY INDIANA, LLC"/>
    <s v="Bartholomew County"/>
    <m/>
    <m/>
    <s v="IN"/>
    <s v="DPP-2019"/>
    <s v="Central"/>
    <s v="GIA"/>
    <s v="NRIS"/>
    <s v="Gallagher Station - Columbus 230 kV Line Tap"/>
    <n v="150"/>
    <n v="150"/>
    <x v="0"/>
    <s v="Photovoltaic"/>
    <s v="Under Construction"/>
    <d v="2025-08-01T00:00:00"/>
    <n v="150"/>
    <n v="150"/>
    <n v="150"/>
    <n v="150"/>
  </r>
  <r>
    <s v="J1391"/>
    <x v="0"/>
    <d v="2019-04-29T00:00:00"/>
    <m/>
    <m/>
    <d v="2022-08-01T00:00:00"/>
    <s v="Southern Indiana Gas &amp; Electric Company d/b/a Vectren Energy Delivery of Indiana, Inc."/>
    <s v="Dubois County"/>
    <m/>
    <m/>
    <s v="IN"/>
    <s v="DPP-2019"/>
    <s v="Central"/>
    <s v="GIA"/>
    <s v="NRIS"/>
    <s v="Duff 138 kV Substation"/>
    <n v="100"/>
    <n v="100"/>
    <x v="0"/>
    <s v="Photovoltaic"/>
    <s v="Not Started"/>
    <d v="2025-05-01T00:00:00"/>
    <n v="100"/>
    <n v="100"/>
    <n v="100"/>
    <n v="100"/>
  </r>
  <r>
    <s v="J1392"/>
    <x v="0"/>
    <d v="2019-04-29T00:00:00"/>
    <m/>
    <m/>
    <d v="2023-10-30T00:00:00"/>
    <s v="NORTHERN INDIANA PUBLIC SERVICE COMPANY LLC"/>
    <s v="LaGrange County"/>
    <m/>
    <m/>
    <s v="IN"/>
    <s v="DPP-2019"/>
    <s v="Central"/>
    <s v="GIA"/>
    <s v="NRIS"/>
    <s v="Lagrange 138 kV Substation"/>
    <n v="100"/>
    <n v="100"/>
    <x v="0"/>
    <s v="Photovoltaic"/>
    <s v="Not Started"/>
    <d v="2025-06-01T00:00:00"/>
    <n v="100"/>
    <n v="100"/>
    <n v="100"/>
    <n v="100"/>
  </r>
  <r>
    <s v="J1393"/>
    <x v="0"/>
    <d v="2019-04-29T00:00:00"/>
    <m/>
    <m/>
    <d v="2023-10-30T00:00:00"/>
    <s v="Southern Indiana Gas &amp; Electric Company d/b/a Vectren Energy Delivery of Indiana, Inc."/>
    <s v="Pike County"/>
    <m/>
    <m/>
    <s v="IN"/>
    <s v="DPP-2019"/>
    <s v="Central"/>
    <s v="GIA"/>
    <s v="NRIS"/>
    <s v="Cato 138 kV Substation"/>
    <n v="130"/>
    <n v="130"/>
    <x v="0"/>
    <s v="Photovoltaic"/>
    <s v="Not Started"/>
    <d v="2026-04-01T00:00:00"/>
    <n v="130"/>
    <n v="130"/>
    <n v="130"/>
    <n v="130"/>
  </r>
  <r>
    <s v="J1394"/>
    <x v="1"/>
    <d v="2019-04-29T00:00:00"/>
    <d v="2021-02-08T00:00:00"/>
    <m/>
    <d v="2021-12-01T00:00:00"/>
    <s v="METC"/>
    <s v="Shiawassee County"/>
    <m/>
    <m/>
    <s v="MI"/>
    <s v="DPP-2019"/>
    <s v="East (ITC)"/>
    <s v="GIA"/>
    <s v="NRIS"/>
    <s v="Cornell - Layton138kV Line"/>
    <n v="150"/>
    <n v="150"/>
    <x v="0"/>
    <s v="Photovoltaic"/>
    <s v="Not Started"/>
    <m/>
    <n v="0"/>
    <n v="0"/>
    <n v="0"/>
    <n v="0"/>
  </r>
  <r>
    <s v="J1395"/>
    <x v="1"/>
    <d v="2019-04-29T00:00:00"/>
    <d v="2022-09-01T00:00:00"/>
    <m/>
    <d v="2023-09-01T00:00:00"/>
    <s v="NORTHERN STATES POWER COMPANY"/>
    <s v="Lyon County"/>
    <m/>
    <m/>
    <s v="MN"/>
    <s v="DPP-2019"/>
    <s v="West"/>
    <s v="GIA"/>
    <s v="NRIS"/>
    <s v="Hawks Nest Lake - Lyon County 345 kV Line Tap"/>
    <n v="200"/>
    <n v="200"/>
    <x v="0"/>
    <s v="Photovoltaic"/>
    <s v="Not Started"/>
    <m/>
    <n v="200"/>
    <n v="200"/>
    <n v="200"/>
    <n v="200"/>
  </r>
  <r>
    <s v="J1396"/>
    <x v="0"/>
    <d v="2019-04-29T00:00:00"/>
    <m/>
    <m/>
    <d v="2021-12-01T00:00:00"/>
    <s v="HOOSIER ENERGY"/>
    <s v="Pike County"/>
    <m/>
    <m/>
    <s v="IN"/>
    <s v="DPP-2019"/>
    <s v="Central"/>
    <s v="GIA"/>
    <s v="NRIS"/>
    <s v="Ratts-Victory 161kV Line"/>
    <n v="150"/>
    <n v="150"/>
    <x v="0"/>
    <s v="Photovoltaic"/>
    <s v="In Service"/>
    <d v="2024-08-20T00:00:00"/>
    <n v="60"/>
    <n v="60"/>
    <n v="60"/>
    <n v="60"/>
  </r>
  <r>
    <s v="J1397"/>
    <x v="1"/>
    <d v="2019-04-29T00:00:00"/>
    <d v="2020-05-18T00:00:00"/>
    <m/>
    <d v="2022-10-30T00:00:00"/>
    <s v="DAIRYLAND POWER COOPERATIVE"/>
    <s v="Juneau County"/>
    <m/>
    <m/>
    <s v="WI"/>
    <s v="DPP-2019"/>
    <s v="East (ATC)"/>
    <s v="GIA"/>
    <s v="NRIS"/>
    <s v="Whistling Wings 69 kV Substation"/>
    <n v="25"/>
    <n v="25"/>
    <x v="0"/>
    <s v="Photovoltaic"/>
    <s v="Not Started"/>
    <m/>
    <n v="0"/>
    <n v="0"/>
    <n v="0"/>
    <n v="0"/>
  </r>
  <r>
    <s v="J1398"/>
    <x v="1"/>
    <d v="2019-04-29T00:00:00"/>
    <d v="2021-08-05T00:00:00"/>
    <m/>
    <d v="2022-12-01T00:00:00"/>
    <s v="HOOSIER ENERGY"/>
    <s v="Pike County"/>
    <m/>
    <m/>
    <s v="IN"/>
    <s v="DPP-2019"/>
    <s v="Central"/>
    <s v="GIA"/>
    <s v="NRIS"/>
    <s v="Ratts 161kV Substation"/>
    <n v="150"/>
    <n v="150"/>
    <x v="0"/>
    <s v="Photovoltaic"/>
    <s v="Not Started"/>
    <m/>
    <n v="0"/>
    <n v="0"/>
    <n v="0"/>
    <n v="0"/>
  </r>
  <r>
    <s v="J1399"/>
    <x v="0"/>
    <d v="2019-04-29T00:00:00"/>
    <m/>
    <d v="2022-08-17T00:00:00"/>
    <d v="2021-12-01T00:00:00"/>
    <s v="METC"/>
    <s v="Ingham County"/>
    <m/>
    <m/>
    <s v="MI"/>
    <s v="DPP-2019"/>
    <s v="East (ITC)"/>
    <s v="GIA"/>
    <s v="NRIS"/>
    <s v="Delhi - Churchill - Tompkins  138kV Line"/>
    <n v="90"/>
    <n v="90"/>
    <x v="0"/>
    <s v="Photovoltaic"/>
    <s v="Not Started"/>
    <d v="2025-03-01T00:00:00"/>
    <n v="90"/>
    <n v="90"/>
    <n v="90"/>
    <n v="90"/>
  </r>
  <r>
    <s v="J1400"/>
    <x v="1"/>
    <d v="2019-04-29T00:00:00"/>
    <d v="2020-07-30T00:00:00"/>
    <m/>
    <d v="2021-08-01T00:00:00"/>
    <s v="ENTERGY ARKANSAS, LLC"/>
    <s v="Crittenden County"/>
    <m/>
    <m/>
    <s v="AR"/>
    <s v="DPP-2019"/>
    <s v="South"/>
    <s v="GIA"/>
    <s v="NRIS"/>
    <s v="Marked Tree - Marion 161 kV Line Tap"/>
    <n v="150"/>
    <n v="150"/>
    <x v="1"/>
    <s v="Wind Turbine"/>
    <s v="Not Started"/>
    <m/>
    <n v="0"/>
    <n v="0"/>
    <n v="0"/>
    <n v="0"/>
  </r>
  <r>
    <s v="J1401"/>
    <x v="0"/>
    <d v="2019-04-29T00:00:00"/>
    <m/>
    <d v="2022-08-17T00:00:00"/>
    <d v="2023-11-17T00:00:00"/>
    <s v="METC"/>
    <s v="Branch County"/>
    <m/>
    <m/>
    <s v="MI"/>
    <s v="DPP-2019"/>
    <s v="East (ITC)"/>
    <s v="GIA"/>
    <s v="NRIS"/>
    <s v="Batavia - Wagner 138kV Line"/>
    <n v="150"/>
    <n v="150"/>
    <x v="0"/>
    <s v="Photovoltaic"/>
    <s v="In Service"/>
    <d v="2024-04-01T00:00:00"/>
    <n v="150"/>
    <n v="150"/>
    <n v="150"/>
    <n v="150"/>
  </r>
  <r>
    <s v="J1402"/>
    <x v="0"/>
    <d v="2019-04-29T00:00:00"/>
    <m/>
    <d v="2021-11-29T00:00:00"/>
    <d v="2021-08-01T00:00:00"/>
    <s v="ENTERGY ARKANSAS, LLC"/>
    <s v="Jackson County"/>
    <m/>
    <m/>
    <s v="AR"/>
    <s v="DPP-2019"/>
    <s v="South"/>
    <s v="GIA"/>
    <s v="NRIS"/>
    <s v="Cash  - Newport AB161kV Line"/>
    <n v="0"/>
    <n v="0"/>
    <x v="2"/>
    <s v="Battery Storage"/>
    <s v="Not Started"/>
    <d v="2023-02-01T00:00:00"/>
    <n v="0"/>
    <n v="0"/>
    <n v="0"/>
    <n v="0"/>
  </r>
  <r>
    <s v="J1403"/>
    <x v="1"/>
    <d v="2019-04-29T00:00:00"/>
    <d v="2022-03-08T00:00:00"/>
    <m/>
    <d v="2023-09-01T00:00:00"/>
    <s v="METC"/>
    <s v="Ionia County"/>
    <m/>
    <m/>
    <s v="MI"/>
    <s v="DPP-2019"/>
    <s v="East (ITC)"/>
    <s v="GIA"/>
    <s v="NRIS"/>
    <s v="Marquette 138 kV Substation"/>
    <n v="200"/>
    <n v="200"/>
    <x v="0"/>
    <s v="Photovoltaic"/>
    <s v="Not Started"/>
    <m/>
    <n v="200"/>
    <n v="200"/>
    <n v="0"/>
    <n v="0"/>
  </r>
  <r>
    <s v="J1404"/>
    <x v="1"/>
    <d v="2019-04-29T00:00:00"/>
    <d v="2020-07-23T00:00:00"/>
    <m/>
    <d v="2022-10-01T00:00:00"/>
    <s v="ENTERGY MISSISSIPPI, LLC"/>
    <s v="Sunflower County"/>
    <m/>
    <m/>
    <s v="MS"/>
    <s v="DPP-2019"/>
    <s v="South"/>
    <s v="GIA"/>
    <s v="NRIS"/>
    <s v="Drew 115kV Substation"/>
    <n v="167"/>
    <n v="167"/>
    <x v="1"/>
    <s v="Wind Turbine"/>
    <s v="Not Started"/>
    <m/>
    <n v="0"/>
    <n v="0"/>
    <n v="0"/>
    <n v="0"/>
  </r>
  <r>
    <s v="J1405"/>
    <x v="1"/>
    <d v="2019-04-29T00:00:00"/>
    <d v="2022-05-20T00:00:00"/>
    <m/>
    <d v="2022-07-01T00:00:00"/>
    <s v="DUKE ENERGY INDIANA, LLC"/>
    <s v="Greene County"/>
    <m/>
    <m/>
    <s v="IN"/>
    <s v="DPP-2019"/>
    <s v="Central"/>
    <s v="GIA"/>
    <s v="NRIS"/>
    <s v="Sanborn - Linton 138 kV Line Tap"/>
    <n v="140"/>
    <n v="140"/>
    <x v="0"/>
    <s v="Photovoltaic"/>
    <s v="Not Started"/>
    <m/>
    <n v="140"/>
    <n v="140"/>
    <n v="0"/>
    <n v="0"/>
  </r>
  <r>
    <s v="J1406"/>
    <x v="1"/>
    <d v="2019-04-29T00:00:00"/>
    <d v="2020-02-07T00:00:00"/>
    <m/>
    <d v="2021-09-03T00:00:00"/>
    <s v="METC"/>
    <s v="Muskegon County"/>
    <m/>
    <m/>
    <s v="MI"/>
    <s v="DPP-2019"/>
    <s v="East (ITC)"/>
    <s v="GIA"/>
    <s v="NRIS"/>
    <s v="Kenowa - Ludington 345 kV Line Tap"/>
    <n v="25.2"/>
    <n v="25.2"/>
    <x v="1"/>
    <s v="Wind Turbine"/>
    <s v="Not Started"/>
    <m/>
    <n v="0"/>
    <n v="0"/>
    <n v="0"/>
    <n v="0"/>
  </r>
  <r>
    <s v="J1407"/>
    <x v="0"/>
    <d v="2019-04-29T00:00:00"/>
    <m/>
    <m/>
    <d v="2022-08-01T00:00:00"/>
    <s v="NORTHERN INDIANA PUBLIC SERVICE COMPANY LLC"/>
    <s v="Porter County"/>
    <m/>
    <m/>
    <s v="IN"/>
    <s v="DPP-2019"/>
    <s v="Central"/>
    <s v="GIA"/>
    <s v="NRIS"/>
    <s v="South Valparaiso 138 kV Substation"/>
    <n v="100"/>
    <n v="100"/>
    <x v="0"/>
    <s v="Photovoltaic"/>
    <s v="Not Started"/>
    <d v="2025-08-01T00:00:00"/>
    <n v="100"/>
    <n v="100"/>
    <n v="100"/>
    <n v="70"/>
  </r>
  <r>
    <s v="J1408"/>
    <x v="1"/>
    <d v="2019-04-29T00:00:00"/>
    <d v="2025-08-05T00:00:00"/>
    <m/>
    <d v="2023-06-15T00:00:00"/>
    <s v="AMEREN ILLINOIS"/>
    <s v="Macoupin County"/>
    <m/>
    <m/>
    <s v="IL"/>
    <s v="DPP-2019"/>
    <s v="Central"/>
    <s v="GIA"/>
    <s v="NRIS"/>
    <s v="Virden 138kV Substation"/>
    <n v="100"/>
    <n v="100"/>
    <x v="5"/>
    <s v="Solar/Wind/Battery"/>
    <s v="Not Started"/>
    <d v="2026-06-15T00:00:00"/>
    <n v="100"/>
    <n v="100"/>
    <n v="100"/>
    <n v="100"/>
  </r>
  <r>
    <s v="J1409"/>
    <x v="1"/>
    <d v="2019-04-29T00:00:00"/>
    <d v="2021-08-05T00:00:00"/>
    <m/>
    <d v="2023-10-30T00:00:00"/>
    <s v="BIG RIVERS ELECTRIC CORPORATION"/>
    <s v="Henderson County"/>
    <m/>
    <m/>
    <s v="KY"/>
    <s v="DPP-2019"/>
    <s v="Central"/>
    <s v="GIA"/>
    <s v="NRIS"/>
    <s v="Henderson 161 kV Substation"/>
    <n v="25"/>
    <n v="25"/>
    <x v="2"/>
    <s v="Battery Storage"/>
    <s v="Not Started"/>
    <m/>
    <n v="0"/>
    <n v="0"/>
    <n v="0"/>
    <n v="0"/>
  </r>
  <r>
    <s v="J1410"/>
    <x v="0"/>
    <d v="2019-04-29T00:00:00"/>
    <m/>
    <m/>
    <d v="2022-10-30T00:00:00"/>
    <s v="American Transmission Co. LLC"/>
    <s v="Dane County"/>
    <m/>
    <m/>
    <s v="WI"/>
    <s v="DPP-2019"/>
    <s v="East (ATC)"/>
    <s v="GIA"/>
    <s v="NRIS"/>
    <s v="N. Madison 345 kV Substation"/>
    <n v="300"/>
    <n v="300"/>
    <x v="0"/>
    <s v="Photovoltaic"/>
    <s v="Under Construction"/>
    <d v="2025-10-30T00:00:00"/>
    <n v="300"/>
    <n v="300"/>
    <n v="300"/>
    <n v="240"/>
  </r>
  <r>
    <s v="J1411"/>
    <x v="0"/>
    <d v="2019-04-29T00:00:00"/>
    <m/>
    <m/>
    <d v="2022-10-30T00:00:00"/>
    <s v="American Transmission Co. LLC"/>
    <s v="Dane County"/>
    <m/>
    <m/>
    <s v="WI"/>
    <s v="DPP-2019"/>
    <s v="East (ATC)"/>
    <s v="GIA"/>
    <s v="NRIS"/>
    <s v="N. Madison 345 kV Substation"/>
    <n v="75"/>
    <n v="75"/>
    <x v="2"/>
    <s v="Battery Storage"/>
    <s v="Not Started"/>
    <d v="2025-10-30T00:00:00"/>
    <n v="75"/>
    <n v="75"/>
    <n v="75"/>
    <n v="75"/>
  </r>
  <r>
    <s v="J1412"/>
    <x v="1"/>
    <d v="2019-04-29T00:00:00"/>
    <d v="2020-04-15T00:00:00"/>
    <m/>
    <d v="2023-10-30T00:00:00"/>
    <s v="NORTHERN INDIANA PUBLIC SERVICE COMPANY LLC"/>
    <s v="Porter County"/>
    <m/>
    <m/>
    <s v="IN"/>
    <s v="DPP-2019"/>
    <s v="Central"/>
    <s v="GIA"/>
    <s v="NRIS"/>
    <s v="Lake George - Schahfer GEN STA 345 kV Line Tap"/>
    <n v="250"/>
    <n v="250"/>
    <x v="0"/>
    <s v="Photovoltaic"/>
    <s v="Not Started"/>
    <m/>
    <n v="0"/>
    <n v="0"/>
    <n v="0"/>
    <n v="0"/>
  </r>
  <r>
    <s v="J1413"/>
    <x v="1"/>
    <d v="2019-04-29T00:00:00"/>
    <d v="2022-09-01T00:00:00"/>
    <m/>
    <d v="2022-10-30T00:00:00"/>
    <s v="ITC MIDWEST"/>
    <s v="Howard County"/>
    <s v="Mitchell County"/>
    <m/>
    <s v="IA"/>
    <s v="DPP-2019"/>
    <s v="West"/>
    <s v="GIA"/>
    <s v="NRIS"/>
    <s v="Hazleton - Mitchell County 345 kV Line tap"/>
    <n v="300"/>
    <n v="300"/>
    <x v="0"/>
    <s v="Photovoltaic"/>
    <s v="Not Started"/>
    <m/>
    <n v="235"/>
    <n v="215"/>
    <n v="235"/>
    <n v="188"/>
  </r>
  <r>
    <s v="J1414"/>
    <x v="1"/>
    <d v="2019-04-29T00:00:00"/>
    <d v="2020-08-04T00:00:00"/>
    <m/>
    <d v="2022-10-30T00:00:00"/>
    <s v="ENTERGY ARKANSAS, LLC"/>
    <s v="Clay County"/>
    <m/>
    <m/>
    <s v="AR"/>
    <s v="DPP-2019"/>
    <s v="South"/>
    <s v="GIA"/>
    <s v="NRIS"/>
    <s v="Datto-Corning North 161 kV line"/>
    <n v="150"/>
    <n v="150"/>
    <x v="0"/>
    <s v="Photovoltaic"/>
    <s v="Not Started"/>
    <m/>
    <n v="0"/>
    <n v="0"/>
    <n v="0"/>
    <n v="0"/>
  </r>
  <r>
    <s v="J1415"/>
    <x v="0"/>
    <d v="2019-04-29T00:00:00"/>
    <m/>
    <d v="2021-11-29T00:00:00"/>
    <d v="2023-10-30T00:00:00"/>
    <s v="ENTERGY ARKANSAS, LLC"/>
    <s v="Lonoke County"/>
    <m/>
    <m/>
    <s v="AR"/>
    <s v="DPP-2019"/>
    <s v="South"/>
    <s v="GIA"/>
    <s v="NRIS"/>
    <s v="KEO EHV 500 kV Substation"/>
    <n v="250"/>
    <n v="250"/>
    <x v="0"/>
    <s v="Photovoltaic"/>
    <s v="Not Started"/>
    <d v="2024-10-15T00:00:00"/>
    <n v="250"/>
    <n v="250"/>
    <n v="250"/>
    <n v="250"/>
  </r>
  <r>
    <s v="J1416"/>
    <x v="1"/>
    <d v="2019-04-29T00:00:00"/>
    <d v="2022-02-21T00:00:00"/>
    <m/>
    <d v="2022-10-30T00:00:00"/>
    <s v="ITC MIDWEST"/>
    <s v="Worth County"/>
    <m/>
    <m/>
    <s v="IA"/>
    <s v="DPP-2019"/>
    <s v="West"/>
    <s v="GIA"/>
    <s v="NRIS"/>
    <s v="Worth County - Glenworth 161 kV Line tap"/>
    <n v="149"/>
    <n v="149"/>
    <x v="0"/>
    <s v="Photovoltaic"/>
    <s v="Not Started"/>
    <m/>
    <n v="149"/>
    <n v="149"/>
    <n v="0"/>
    <n v="0"/>
  </r>
  <r>
    <s v="J1417"/>
    <x v="1"/>
    <d v="2019-04-29T00:00:00"/>
    <d v="2022-02-21T00:00:00"/>
    <m/>
    <d v="2022-10-30T00:00:00"/>
    <s v="ITC MIDWEST"/>
    <s v="Worth County"/>
    <m/>
    <m/>
    <s v="IA"/>
    <s v="DPP-2019"/>
    <s v="West"/>
    <s v="GIA"/>
    <s v="NRIS"/>
    <s v="Ledyard - Colby 345 kV Line Tap"/>
    <n v="75"/>
    <n v="75"/>
    <x v="2"/>
    <s v="Battery Storage"/>
    <s v="Not Started"/>
    <m/>
    <n v="75"/>
    <n v="75"/>
    <n v="0"/>
    <n v="0"/>
  </r>
  <r>
    <s v="J1418"/>
    <x v="1"/>
    <d v="2019-04-29T00:00:00"/>
    <d v="2020-01-02T00:00:00"/>
    <m/>
    <d v="2021-12-01T00:00:00"/>
    <s v="AMEREN ILLINOIS"/>
    <s v="Pulaski County"/>
    <m/>
    <m/>
    <s v="IL"/>
    <s v="DPP-2019"/>
    <s v="Central"/>
    <s v="GIA"/>
    <s v="NRIS"/>
    <s v="Joppa-Joppa North Bus 161kV Substation"/>
    <n v="100"/>
    <n v="100"/>
    <x v="0"/>
    <s v="Photovoltaic"/>
    <s v="Not Started"/>
    <m/>
    <n v="0"/>
    <n v="0"/>
    <n v="0"/>
    <n v="0"/>
  </r>
  <r>
    <s v="J1419"/>
    <x v="1"/>
    <d v="2019-04-29T00:00:00"/>
    <d v="2022-05-20T00:00:00"/>
    <m/>
    <d v="2022-07-01T00:00:00"/>
    <s v="DUKE ENERGY INDIANA, LLC"/>
    <s v="Greene County"/>
    <m/>
    <m/>
    <s v="IN"/>
    <s v="DPP-2019"/>
    <s v="Central"/>
    <s v="GIA"/>
    <s v="NRIS"/>
    <s v="Edwardsport - Amo 345 kV Line Tap"/>
    <n v="250"/>
    <n v="250"/>
    <x v="0"/>
    <s v="Photovoltaic"/>
    <s v="Not Started"/>
    <m/>
    <n v="250"/>
    <n v="250"/>
    <n v="0"/>
    <n v="0"/>
  </r>
  <r>
    <s v="J1420"/>
    <x v="1"/>
    <d v="2019-04-29T00:00:00"/>
    <d v="2020-03-05T00:00:00"/>
    <m/>
    <d v="2022-09-15T00:00:00"/>
    <s v="MIDAMERICAN ENERGY COMPANY"/>
    <s v="Rock Island County"/>
    <m/>
    <m/>
    <s v="IL"/>
    <s v="DPP-2019"/>
    <s v="Central"/>
    <s v="GIA"/>
    <s v="NRIS"/>
    <s v="Sub #107 69 kV Substation"/>
    <n v="48"/>
    <n v="48"/>
    <x v="0"/>
    <s v="Photovoltaic"/>
    <s v="Not Started"/>
    <m/>
    <n v="0"/>
    <n v="0"/>
    <n v="0"/>
    <n v="0"/>
  </r>
  <r>
    <s v="J1421"/>
    <x v="0"/>
    <d v="2019-04-29T00:00:00"/>
    <m/>
    <m/>
    <d v="2021-10-20T00:00:00"/>
    <s v="ENTERGY LOUISIANA, LLC"/>
    <s v="East Feliciana Parish"/>
    <m/>
    <m/>
    <s v="LA"/>
    <s v="DPP-2019"/>
    <s v="South"/>
    <s v="GIA"/>
    <s v="NRIS"/>
    <s v="Moler 230 kV Substation"/>
    <n v="300"/>
    <n v="300"/>
    <x v="0"/>
    <s v="Photovoltaic"/>
    <s v="Under Construction"/>
    <d v="2024-12-01T00:00:00"/>
    <n v="300"/>
    <n v="300"/>
    <n v="300"/>
    <n v="300"/>
  </r>
  <r>
    <s v="J1422"/>
    <x v="0"/>
    <d v="2019-04-29T00:00:00"/>
    <m/>
    <m/>
    <d v="2021-10-20T00:00:00"/>
    <s v="AMEREN ILLINOIS"/>
    <s v="Edwards County"/>
    <m/>
    <m/>
    <s v="IL"/>
    <s v="DPP-2019"/>
    <s v="Central"/>
    <s v="GIA"/>
    <s v="NRIS"/>
    <s v="Albion - Olney 138 kV Line Tap"/>
    <n v="150"/>
    <n v="150"/>
    <x v="5"/>
    <s v="Solar/Battery"/>
    <s v="Not Started"/>
    <d v="2024-10-20T00:00:00"/>
    <n v="150"/>
    <n v="150"/>
    <n v="150"/>
    <n v="150"/>
  </r>
  <r>
    <s v="J1423"/>
    <x v="1"/>
    <d v="2019-04-29T00:00:00"/>
    <d v="2020-06-11T00:00:00"/>
    <m/>
    <d v="2022-04-20T00:00:00"/>
    <s v="METC"/>
    <s v="Ottawa County"/>
    <m/>
    <m/>
    <s v="MI"/>
    <s v="DPP-2019"/>
    <s v="East (ITC)"/>
    <s v="GIA"/>
    <s v="NRIS"/>
    <s v="Campbell - Blendon 138kV Line"/>
    <n v="100"/>
    <n v="100"/>
    <x v="0"/>
    <s v="Photovoltaic"/>
    <s v="Not Started"/>
    <m/>
    <n v="0"/>
    <n v="0"/>
    <n v="0"/>
    <n v="0"/>
  </r>
  <r>
    <s v="J1424"/>
    <x v="0"/>
    <d v="2019-04-29T00:00:00"/>
    <m/>
    <d v="2021-11-29T00:00:00"/>
    <d v="2022-08-01T00:00:00"/>
    <s v="CLECO POWER LLC CLEC"/>
    <s v="Beauregard Parish"/>
    <m/>
    <m/>
    <s v="LA"/>
    <s v="DPP-2019"/>
    <s v="South"/>
    <s v="GIA"/>
    <s v="ERIS"/>
    <s v="Cooper - Penton Road 230kV Line"/>
    <n v="200"/>
    <n v="200"/>
    <x v="0"/>
    <s v="Photovoltaic"/>
    <s v="Under Construction"/>
    <d v="2024-09-15T00:00:00"/>
    <n v="200"/>
    <n v="200"/>
    <n v="200"/>
    <n v="0"/>
  </r>
  <r>
    <s v="J1425"/>
    <x v="0"/>
    <d v="2019-04-29T00:00:00"/>
    <m/>
    <d v="2022-01-27T00:00:00"/>
    <d v="2020-06-01T00:00:00"/>
    <s v="ENTERGY ARKANSAS, LLC"/>
    <s v="Jefferson County"/>
    <m/>
    <m/>
    <s v="AR"/>
    <s v="DPP-2019"/>
    <s v="South"/>
    <s v="GIA"/>
    <s v="NRIS-Only"/>
    <s v="Pine Bluff International Paper 115 kV substation"/>
    <n v="114"/>
    <n v="114"/>
    <x v="3"/>
    <s v="Combined Cycle"/>
    <s v="In Service"/>
    <d v="2022-05-19T00:00:00"/>
    <n v="0"/>
    <n v="114"/>
    <n v="0"/>
    <n v="114"/>
  </r>
  <r>
    <s v="J1426"/>
    <x v="0"/>
    <d v="2019-04-29T00:00:00"/>
    <m/>
    <d v="2022-08-26T00:00:00"/>
    <d v="2022-08-01T00:00:00"/>
    <s v="GREAT RIVER ENERGY"/>
    <s v="Benton County"/>
    <m/>
    <m/>
    <s v="MN"/>
    <s v="DPP-2019"/>
    <s v="West"/>
    <s v="GIA"/>
    <s v="NRIS"/>
    <s v="Benton County 115kV Substation"/>
    <n v="100"/>
    <n v="100"/>
    <x v="0"/>
    <s v="Photovoltaic"/>
    <s v="Under Construction"/>
    <d v="2025-08-01T00:00:00"/>
    <n v="100"/>
    <n v="100"/>
    <n v="100"/>
    <n v="100"/>
  </r>
  <r>
    <s v="J1427"/>
    <x v="1"/>
    <d v="2019-04-29T00:00:00"/>
    <d v="2021-03-24T00:00:00"/>
    <m/>
    <d v="2022-08-01T00:00:00"/>
    <s v="ITC MIDWEST"/>
    <s v="Benton County"/>
    <m/>
    <m/>
    <s v="IA"/>
    <s v="DPP-2019"/>
    <s v="West"/>
    <s v="GIA"/>
    <s v="NRIS"/>
    <s v="Duane Arnold 345kV Substation"/>
    <n v="400"/>
    <n v="400"/>
    <x v="1"/>
    <s v="Wind Turbine"/>
    <s v="Not Started"/>
    <m/>
    <n v="0"/>
    <n v="0"/>
    <n v="0"/>
    <n v="0"/>
  </r>
  <r>
    <s v="J1428"/>
    <x v="1"/>
    <d v="2019-04-29T00:00:00"/>
    <d v="2021-03-24T00:00:00"/>
    <m/>
    <d v="2022-08-01T00:00:00"/>
    <s v="OTTER TAIL POWER COMPANY"/>
    <s v="Cass County"/>
    <m/>
    <m/>
    <s v="ND"/>
    <s v="DPP-2019"/>
    <s v="West"/>
    <s v="GIA"/>
    <s v="NRIS"/>
    <s v="Buffalo 345kV Substation"/>
    <n v="200"/>
    <n v="200"/>
    <x v="0"/>
    <s v="Photovoltaic"/>
    <s v="Not Started"/>
    <m/>
    <n v="0"/>
    <n v="0"/>
    <n v="0"/>
    <n v="0"/>
  </r>
  <r>
    <s v="J1429"/>
    <x v="1"/>
    <d v="2019-04-29T00:00:00"/>
    <d v="2020-05-18T00:00:00"/>
    <m/>
    <d v="2022-10-30T00:00:00"/>
    <s v="DAIRYLAND POWER COOPERATIVE"/>
    <s v="Juneau County"/>
    <m/>
    <m/>
    <s v="WI"/>
    <s v="DPP-2019"/>
    <s v="East (ATC)"/>
    <s v="GIA"/>
    <s v="NRIS"/>
    <s v="Whistiling Wings 69 kV Substation"/>
    <n v="24"/>
    <n v="24"/>
    <x v="2"/>
    <s v="Battery Storage"/>
    <s v="Not Started"/>
    <m/>
    <n v="0"/>
    <n v="0"/>
    <n v="0"/>
    <n v="0"/>
  </r>
  <r>
    <s v="J1430"/>
    <x v="0"/>
    <d v="2019-04-29T00:00:00"/>
    <m/>
    <d v="2022-08-17T00:00:00"/>
    <d v="2022-08-01T00:00:00"/>
    <s v="METC"/>
    <s v="Calhoun County"/>
    <m/>
    <m/>
    <s v="MI"/>
    <s v="DPP-2019"/>
    <s v="East (ITC)"/>
    <s v="GIA"/>
    <s v="NRIS"/>
    <s v="Verona - Foundary 138kV Line"/>
    <n v="100"/>
    <n v="100"/>
    <x v="0"/>
    <s v="Photovoltaic"/>
    <s v="Not Started"/>
    <d v="2023-08-01T00:00:00"/>
    <n v="100"/>
    <n v="100"/>
    <n v="100"/>
    <n v="100"/>
  </r>
  <r>
    <s v="J1431"/>
    <x v="0"/>
    <d v="2019-04-29T00:00:00"/>
    <m/>
    <d v="2022-04-07T00:00:00"/>
    <d v="2021-06-01T00:00:00"/>
    <s v="ENTERGY LOUISIANA, LLC"/>
    <s v="St. James Parish"/>
    <m/>
    <m/>
    <s v="LA"/>
    <s v="DPP-2019"/>
    <s v="South"/>
    <s v="GIA"/>
    <s v="NRIS"/>
    <s v="Vacherie 230kV Substation"/>
    <n v="200"/>
    <n v="200"/>
    <x v="0"/>
    <s v="Photovoltaic"/>
    <s v="Not Started"/>
    <d v="2024-05-01T00:00:00"/>
    <n v="90"/>
    <n v="90"/>
    <n v="90"/>
    <n v="90"/>
  </r>
  <r>
    <s v="J1432"/>
    <x v="0"/>
    <d v="2019-04-29T00:00:00"/>
    <m/>
    <d v="2022-10-31T00:00:00"/>
    <d v="2022-08-01T00:00:00"/>
    <s v="ITC MIDWEST"/>
    <s v="Clinton County"/>
    <m/>
    <m/>
    <s v="IA"/>
    <s v="DPP-2019"/>
    <s v="West"/>
    <s v="GIA"/>
    <s v="NRIS"/>
    <s v="Salem  - Rock Creek 345kV Line"/>
    <n v="250"/>
    <n v="250"/>
    <x v="1"/>
    <s v="Wind Turbine"/>
    <s v="Not Started"/>
    <d v="2025-09-01T00:00:00"/>
    <n v="250"/>
    <n v="250"/>
    <n v="250"/>
    <n v="0"/>
  </r>
  <r>
    <s v="J1433"/>
    <x v="1"/>
    <d v="2019-04-29T00:00:00"/>
    <d v="2019-10-22T00:00:00"/>
    <m/>
    <d v="2021-06-01T00:00:00"/>
    <s v="ENTERGY LOUISIANA, LLC"/>
    <s v="Washington Parish"/>
    <m/>
    <m/>
    <s v="LA"/>
    <s v="DPP-2019"/>
    <s v="South"/>
    <s v="GIA"/>
    <s v="NRIS"/>
    <s v="Lagen Holton-Franklinton 115kV (J1184)"/>
    <n v="50"/>
    <n v="50"/>
    <x v="0"/>
    <s v="Photovoltaic"/>
    <s v="Not Started"/>
    <m/>
    <n v="0"/>
    <n v="0"/>
    <n v="0"/>
    <n v="0"/>
  </r>
  <r>
    <s v="J1434"/>
    <x v="0"/>
    <d v="2019-04-29T00:00:00"/>
    <m/>
    <d v="2022-01-25T00:00:00"/>
    <d v="2022-08-01T00:00:00"/>
    <s v="ENTERGY ARKANSAS, LLC"/>
    <s v="Monroe County"/>
    <m/>
    <m/>
    <s v="AR"/>
    <s v="DPP-2019"/>
    <s v="South"/>
    <s v="GIA"/>
    <s v="NRIS"/>
    <s v="J907 230kV Sub, Brinkley East - Aubrey 230 kV Line"/>
    <n v="100"/>
    <n v="100"/>
    <x v="0"/>
    <s v="Photovoltaic"/>
    <s v="In Service"/>
    <d v="2024-04-01T00:00:00"/>
    <n v="100"/>
    <n v="100"/>
    <n v="100"/>
    <n v="100"/>
  </r>
  <r>
    <s v="J1435"/>
    <x v="1"/>
    <d v="2019-04-29T00:00:00"/>
    <d v="2021-03-24T00:00:00"/>
    <m/>
    <d v="2022-08-01T00:00:00"/>
    <s v="ITC MIDWEST"/>
    <s v="Dubuque County"/>
    <m/>
    <m/>
    <s v="IA"/>
    <s v="DPP-2019"/>
    <s v="West"/>
    <s v="GIA"/>
    <s v="NRIS"/>
    <s v="Center Grove 161kV Substation"/>
    <n v="100"/>
    <n v="100"/>
    <x v="2"/>
    <s v="Battery Storage"/>
    <s v="Not Started"/>
    <m/>
    <n v="0"/>
    <n v="0"/>
    <n v="0"/>
    <n v="0"/>
  </r>
  <r>
    <s v="J1436"/>
    <x v="0"/>
    <d v="2019-04-29T00:00:00"/>
    <m/>
    <d v="2021-11-29T00:00:00"/>
    <d v="2022-11-15T00:00:00"/>
    <s v="ENTERGY LOUISIANA, LLC"/>
    <s v="Morehouse Parish"/>
    <m/>
    <m/>
    <s v="LA"/>
    <s v="DPP-2019"/>
    <s v="South"/>
    <s v="GIA"/>
    <s v="ERIS"/>
    <s v="Oak Ridge 115 kV Substation"/>
    <n v="50"/>
    <n v="50"/>
    <x v="0"/>
    <s v="Photovoltaic"/>
    <s v="In Service"/>
    <d v="2023-07-01T00:00:00"/>
    <n v="50"/>
    <n v="0"/>
    <n v="50"/>
    <n v="0"/>
  </r>
  <r>
    <s v="J1437"/>
    <x v="0"/>
    <d v="2019-04-29T00:00:00"/>
    <m/>
    <d v="2021-12-22T00:00:00"/>
    <d v="2021-04-30T00:00:00"/>
    <s v="ARKANSAS ELECTRIC COOPERATIVE CORPORATION"/>
    <s v="Carroll County"/>
    <m/>
    <m/>
    <s v="AR"/>
    <s v="DPP-2019"/>
    <s v="South"/>
    <s v="GIA"/>
    <s v="NRIS"/>
    <s v="AECC Dry Creek 161kV Switchyard Station"/>
    <n v="180"/>
    <n v="180"/>
    <x v="1"/>
    <s v="Wind Turbine"/>
    <s v="Under Construction"/>
    <d v="2024-05-01T00:00:00"/>
    <n v="180"/>
    <n v="180"/>
    <n v="180"/>
    <n v="180"/>
  </r>
  <r>
    <s v="J1438"/>
    <x v="1"/>
    <d v="2019-04-29T00:00:00"/>
    <d v="2022-06-28T00:00:00"/>
    <m/>
    <d v="2022-08-01T00:00:00"/>
    <s v="ITC MIDWEST"/>
    <s v="Fayette County"/>
    <m/>
    <m/>
    <s v="IA"/>
    <s v="DPP-2019"/>
    <s v="West"/>
    <s v="GIA"/>
    <s v="NRIS"/>
    <s v="Windsor - Hazelton 161kV Line"/>
    <n v="100"/>
    <n v="100"/>
    <x v="0"/>
    <s v="Photovoltaic"/>
    <s v="Not Started"/>
    <m/>
    <n v="100"/>
    <n v="100"/>
    <n v="100"/>
    <n v="100"/>
  </r>
  <r>
    <s v="J1439"/>
    <x v="1"/>
    <d v="2019-04-29T00:00:00"/>
    <d v="2020-08-04T00:00:00"/>
    <m/>
    <d v="2022-10-30T00:00:00"/>
    <s v="ENTERGY MISSISSIPPI, LLC"/>
    <s v="Tunica County"/>
    <m/>
    <m/>
    <s v="MS"/>
    <s v="DPP-2019"/>
    <s v="South"/>
    <s v="GIA"/>
    <s v="NRIS"/>
    <s v="Lula - Tunica 115 kV Line"/>
    <n v="40"/>
    <n v="40"/>
    <x v="2"/>
    <s v="Battery Storage"/>
    <s v="Not Started"/>
    <m/>
    <n v="0"/>
    <n v="0"/>
    <n v="0"/>
    <n v="0"/>
  </r>
  <r>
    <s v="J1440"/>
    <x v="0"/>
    <d v="2019-04-29T00:00:00"/>
    <m/>
    <d v="2022-01-25T00:00:00"/>
    <d v="2023-10-30T00:00:00"/>
    <s v="ENTERGY MISSISSIPPI, LLC EMMP"/>
    <s v="Tunica County"/>
    <m/>
    <m/>
    <s v="MS"/>
    <s v="DPP-2019"/>
    <s v="South"/>
    <s v="GIA"/>
    <s v="NRIS"/>
    <s v="Lula - Tunica 115 kV Line"/>
    <n v="160"/>
    <n v="160"/>
    <x v="0"/>
    <s v="Photovoltaic"/>
    <s v="Under Construction"/>
    <d v="2024-12-15T00:00:00"/>
    <n v="150"/>
    <n v="150"/>
    <n v="150"/>
    <n v="150"/>
  </r>
  <r>
    <s v="J1441"/>
    <x v="1"/>
    <d v="2019-04-29T00:00:00"/>
    <d v="2022-04-19T00:00:00"/>
    <d v="2022-04-06T00:00:00"/>
    <d v="2022-08-01T00:00:00"/>
    <s v="ENTERGY LOUISIANA, LLC"/>
    <s v="Terrebonne Parish"/>
    <m/>
    <m/>
    <s v="LA"/>
    <s v="DPP-2019"/>
    <s v="South"/>
    <s v="GIA"/>
    <s v="NRIS"/>
    <s v="Schriever 230 kV Substation"/>
    <n v="200"/>
    <n v="200"/>
    <x v="0"/>
    <s v="Photovoltaic"/>
    <s v="Not Started"/>
    <d v="2025-05-01T00:00:00"/>
    <n v="200"/>
    <n v="200"/>
    <n v="200"/>
    <n v="200"/>
  </r>
  <r>
    <s v="J1442"/>
    <x v="0"/>
    <d v="2019-04-29T00:00:00"/>
    <m/>
    <d v="2022-08-04T00:00:00"/>
    <d v="2023-10-30T00:00:00"/>
    <s v="ENTERGY TEXAS, INC."/>
    <s v="Polk County"/>
    <m/>
    <m/>
    <s v="TX"/>
    <s v="DPP-2019"/>
    <s v="South"/>
    <s v="GIA"/>
    <s v="ERIS"/>
    <s v="Rich (SHECO) - Livingston 138 kV Line Tap"/>
    <n v="165"/>
    <n v="165"/>
    <x v="0"/>
    <s v="Photovoltaic"/>
    <s v="Under Construction"/>
    <d v="2025-05-01T00:00:00"/>
    <n v="105"/>
    <n v="105"/>
    <n v="105"/>
    <n v="0"/>
  </r>
  <r>
    <s v="J1443"/>
    <x v="1"/>
    <d v="2019-04-29T00:00:00"/>
    <d v="2020-01-14T00:00:00"/>
    <m/>
    <d v="2023-10-30T00:00:00"/>
    <s v="ENTERGY ARKANSAS, LLC"/>
    <s v="Union County"/>
    <m/>
    <m/>
    <s v="AR"/>
    <s v="DPP-2019"/>
    <s v="South"/>
    <s v="GIA"/>
    <s v="NRIS"/>
    <s v="Texas Eastern F SS - Strong SS 115 kV Line Tap"/>
    <n v="100"/>
    <n v="100"/>
    <x v="0"/>
    <s v="Photovoltaic"/>
    <s v="Not Started"/>
    <m/>
    <n v="0"/>
    <n v="0"/>
    <n v="0"/>
    <n v="0"/>
  </r>
  <r>
    <s v="J1444"/>
    <x v="0"/>
    <d v="2019-04-29T00:00:00"/>
    <m/>
    <m/>
    <d v="2015-08-01T00:00:00"/>
    <s v="ITC MIDWEST"/>
    <s v="Linn County"/>
    <m/>
    <m/>
    <s v="IA"/>
    <s v="DPP-2019"/>
    <s v="West"/>
    <s v="GIA"/>
    <s v="NRIS"/>
    <s v="Duane Arnold 345kV Substation"/>
    <n v="200"/>
    <n v="200"/>
    <x v="0"/>
    <s v="Photovoltaic"/>
    <s v="Not Started"/>
    <d v="2025-09-01T00:00:00"/>
    <n v="200"/>
    <n v="200"/>
    <n v="200"/>
    <n v="200"/>
  </r>
  <r>
    <s v="J1445"/>
    <x v="0"/>
    <d v="2019-04-29T00:00:00"/>
    <m/>
    <m/>
    <d v="2022-08-01T00:00:00"/>
    <s v="NORTHERN STATES POWER COMPANY"/>
    <s v="Benton County"/>
    <m/>
    <m/>
    <s v="MN"/>
    <s v="DPP-2019"/>
    <s v="West"/>
    <s v="GIA"/>
    <s v="NRIS"/>
    <s v="Mayhew Lake 115kV Substation"/>
    <n v="100"/>
    <n v="100"/>
    <x v="0"/>
    <s v="Photovoltaic"/>
    <s v="Under Construction"/>
    <d v="2025-10-01T00:00:00"/>
    <n v="100"/>
    <n v="100"/>
    <n v="100"/>
    <n v="100"/>
  </r>
  <r>
    <s v="J1446"/>
    <x v="1"/>
    <d v="2019-04-29T00:00:00"/>
    <d v="2022-02-21T00:00:00"/>
    <m/>
    <d v="2022-08-01T00:00:00"/>
    <s v="NORTHERN STATES POWER COMPANY"/>
    <s v="Wright County"/>
    <m/>
    <m/>
    <s v="MN"/>
    <s v="DPP-2019"/>
    <s v="West"/>
    <s v="GIA"/>
    <s v="NRIS"/>
    <s v="Lake Pulaski 115kV Substation"/>
    <n v="150"/>
    <n v="150"/>
    <x v="2"/>
    <s v="Battery Storage"/>
    <s v="Not Started"/>
    <m/>
    <n v="150"/>
    <n v="150"/>
    <n v="0"/>
    <n v="0"/>
  </r>
  <r>
    <s v="J1447"/>
    <x v="1"/>
    <d v="2019-04-29T00:00:00"/>
    <d v="2024-02-27T00:00:00"/>
    <m/>
    <d v="2022-09-01T00:00:00"/>
    <s v="NORTHERN INDIANA PUBLIC SERVICE COMPANY LLC"/>
    <s v="Porter County"/>
    <m/>
    <m/>
    <s v="IN"/>
    <s v="DPP-2019"/>
    <s v="Central"/>
    <s v="GIA"/>
    <s v="NRIS"/>
    <s v="Schahfer - Green Acres 345kV Line"/>
    <n v="250"/>
    <n v="250"/>
    <x v="0"/>
    <s v="Photovoltaic"/>
    <s v="Withdrawn"/>
    <d v="2025-07-25T00:00:00"/>
    <n v="250"/>
    <n v="250"/>
    <n v="250"/>
    <n v="250"/>
  </r>
  <r>
    <s v="J1448"/>
    <x v="1"/>
    <d v="2019-04-29T00:00:00"/>
    <d v="2022-05-20T00:00:00"/>
    <m/>
    <d v="2022-08-01T00:00:00"/>
    <s v="BIG RIVERS ELECTRIC CORPORATION"/>
    <s v="Caldwell County"/>
    <m/>
    <m/>
    <s v="KY"/>
    <s v="DPP-2019"/>
    <s v="Central"/>
    <s v="GIA"/>
    <s v="NRIS"/>
    <s v="Hopkins - Caldwell County - Barkely 161kV Line"/>
    <n v="150"/>
    <n v="150"/>
    <x v="0"/>
    <s v="Photovoltaic"/>
    <s v="Not Started"/>
    <m/>
    <n v="150"/>
    <n v="150"/>
    <n v="0"/>
    <n v="0"/>
  </r>
  <r>
    <s v="J1449"/>
    <x v="1"/>
    <d v="2019-04-29T00:00:00"/>
    <d v="2021-02-10T00:00:00"/>
    <m/>
    <d v="2022-08-01T00:00:00"/>
    <s v="METC"/>
    <s v="Monroe County"/>
    <m/>
    <m/>
    <s v="MI"/>
    <s v="DPP-2019"/>
    <s v="East (ITC)"/>
    <s v="GIA"/>
    <s v="NRIS"/>
    <s v="Morocco 138kV Substation"/>
    <n v="100"/>
    <n v="100"/>
    <x v="0"/>
    <s v="Photovoltaic"/>
    <s v="Not Started"/>
    <m/>
    <n v="0"/>
    <n v="0"/>
    <n v="0"/>
    <n v="0"/>
  </r>
  <r>
    <s v="J1450"/>
    <x v="0"/>
    <d v="2019-04-29T00:00:00"/>
    <m/>
    <m/>
    <d v="2022-08-01T00:00:00"/>
    <s v="BIG RIVERS ELECTRIC CORPORATION BRPS"/>
    <s v="Webster County"/>
    <m/>
    <m/>
    <s v="KY"/>
    <s v="DPP-2019"/>
    <s v="Central"/>
    <s v="GIA"/>
    <s v="NRIS"/>
    <s v="Hopkins - Reid161kV Line"/>
    <n v="150"/>
    <n v="150"/>
    <x v="0"/>
    <s v="Photovoltaic"/>
    <s v="Not Started"/>
    <d v="2025-08-01T00:00:00"/>
    <n v="150"/>
    <n v="150"/>
    <n v="150"/>
    <n v="150"/>
  </r>
  <r>
    <s v="J1451"/>
    <x v="1"/>
    <d v="2019-04-26T00:00:00"/>
    <d v="2020-05-06T00:00:00"/>
    <m/>
    <d v="2022-10-30T00:00:00"/>
    <s v="ITC MIDWEST"/>
    <s v="Washtenaw County"/>
    <m/>
    <m/>
    <s v="MI"/>
    <s v="DPP-2019"/>
    <s v="East (ITC)"/>
    <s v="GIA"/>
    <s v="NRIS"/>
    <s v="Dorset 120 kV Substation"/>
    <n v="25"/>
    <n v="25"/>
    <x v="2"/>
    <s v="Battery Storage"/>
    <s v="Not Started"/>
    <m/>
    <n v="0"/>
    <n v="0"/>
    <n v="0"/>
    <n v="0"/>
  </r>
  <r>
    <s v="J1452"/>
    <x v="1"/>
    <d v="2019-04-29T00:00:00"/>
    <d v="2021-03-18T00:00:00"/>
    <m/>
    <d v="2022-10-30T00:00:00"/>
    <s v="CLECO POWER LLC"/>
    <s v="Red River Parish"/>
    <m/>
    <m/>
    <s v="LA"/>
    <s v="DPP-2019"/>
    <s v="South"/>
    <s v="GIA"/>
    <s v="NRIS"/>
    <s v="Carroll - Mansfield 138 kV Line Tap"/>
    <n v="200"/>
    <n v="200"/>
    <x v="0"/>
    <s v="Photovoltaic"/>
    <s v="Not Started"/>
    <m/>
    <n v="75"/>
    <n v="75"/>
    <n v="0"/>
    <n v="0"/>
  </r>
  <r>
    <s v="J1453"/>
    <x v="0"/>
    <d v="2019-04-29T00:00:00"/>
    <m/>
    <m/>
    <d v="2022-04-30T00:00:00"/>
    <s v="AMEREN ILLINOIS"/>
    <s v="Mason County"/>
    <m/>
    <m/>
    <s v="IL"/>
    <s v="DPP-2019"/>
    <s v="Central"/>
    <s v="GIA"/>
    <s v="NRIS"/>
    <s v="Havana - Shockey 138 kV Line Tap"/>
    <n v="188.3"/>
    <n v="188.3"/>
    <x v="1"/>
    <s v="Wind Turbine"/>
    <s v="In Service"/>
    <d v="2022-05-03T00:00:00"/>
    <n v="165"/>
    <n v="165"/>
    <n v="165"/>
    <n v="165"/>
  </r>
  <r>
    <s v="J1454"/>
    <x v="0"/>
    <d v="2019-04-29T00:00:00"/>
    <m/>
    <m/>
    <d v="2022-04-30T00:00:00"/>
    <s v="AMEREN ILLINOIS"/>
    <s v="Mason County"/>
    <m/>
    <m/>
    <s v="IL"/>
    <s v="DPP-2019"/>
    <s v="Central"/>
    <s v="GIA"/>
    <s v="ERIS"/>
    <s v="Mason 138 kV Substation"/>
    <n v="58.5"/>
    <n v="58.5"/>
    <x v="1"/>
    <s v="Wind Turbine"/>
    <s v="In Service (with Provisional GIA)"/>
    <d v="2021-08-18T00:00:00"/>
    <n v="40.9"/>
    <n v="40.9"/>
    <n v="40.9"/>
    <n v="0"/>
  </r>
  <r>
    <s v="J1455"/>
    <x v="1"/>
    <d v="2019-04-29T00:00:00"/>
    <d v="2022-09-12T00:00:00"/>
    <d v="2022-04-15T00:00:00"/>
    <d v="2022-08-01T00:00:00"/>
    <s v="CLECO POWER LLC"/>
    <s v="St. Mary"/>
    <s v="St. Mary Parish"/>
    <m/>
    <s v="LA"/>
    <s v="DPP-2019"/>
    <s v="South"/>
    <s v="GIA"/>
    <s v="NRIS"/>
    <s v="Teche - Morbihan 138kV Line"/>
    <n v="150"/>
    <n v="150"/>
    <x v="0"/>
    <s v="Photovoltaic"/>
    <s v="Not Started"/>
    <d v="2025-09-01T00:00:00"/>
    <n v="150"/>
    <n v="150"/>
    <n v="150"/>
    <n v="150"/>
  </r>
  <r>
    <s v="J1456"/>
    <x v="1"/>
    <d v="2019-04-29T00:00:00"/>
    <d v="2022-09-01T00:00:00"/>
    <m/>
    <d v="2023-09-01T00:00:00"/>
    <s v="OTTER TAIL POWER COMPANY"/>
    <s v="Sheridan County"/>
    <m/>
    <m/>
    <s v="ND"/>
    <s v="DPP-2019"/>
    <s v="West"/>
    <s v="GIA"/>
    <s v="NRIS"/>
    <s v="Harvey - Underwood 230 kV Line Tap"/>
    <n v="300"/>
    <n v="300"/>
    <x v="1"/>
    <s v="Wind Turbine"/>
    <s v="Not Started"/>
    <m/>
    <n v="300"/>
    <n v="300"/>
    <n v="300"/>
    <n v="300"/>
  </r>
  <r>
    <s v="J1457"/>
    <x v="1"/>
    <d v="2019-04-29T00:00:00"/>
    <d v="2021-08-05T00:00:00"/>
    <m/>
    <d v="2022-06-30T00:00:00"/>
    <s v="DUKE ENERGY INDIANA, LLC"/>
    <s v="Vermillion County"/>
    <m/>
    <m/>
    <s v="IN"/>
    <s v="DPP-2019"/>
    <s v="Central"/>
    <s v="GIA"/>
    <s v="NRIS"/>
    <s v="Sugar Creek - Cayuga 345 kV Line Tap"/>
    <n v="200"/>
    <n v="200"/>
    <x v="0"/>
    <s v="Photovoltaic"/>
    <s v="Not Started"/>
    <m/>
    <n v="0"/>
    <n v="0"/>
    <n v="0"/>
    <n v="0"/>
  </r>
  <r>
    <s v="J1458"/>
    <x v="0"/>
    <d v="2019-04-29T00:00:00"/>
    <m/>
    <d v="2022-01-25T00:00:00"/>
    <d v="2022-08-01T00:00:00"/>
    <s v="ENTERGY MISSISSIPPI, LLC"/>
    <s v="Washington County"/>
    <m/>
    <m/>
    <s v="MS"/>
    <s v="DPP-2019"/>
    <s v="South"/>
    <s v="GIA"/>
    <s v="NRIS"/>
    <s v="Ray Braswell - Tinnin - Gerald Andrus 230kV Line"/>
    <n v="200"/>
    <n v="200"/>
    <x v="0"/>
    <s v="Photovoltaic"/>
    <s v="Under Construction"/>
    <d v="2024-12-15T00:00:00"/>
    <n v="200"/>
    <n v="170"/>
    <n v="200"/>
    <n v="170"/>
  </r>
  <r>
    <s v="J1459"/>
    <x v="1"/>
    <d v="2019-04-29T00:00:00"/>
    <d v="2020-01-27T00:00:00"/>
    <m/>
    <d v="2024-03-01T00:00:00"/>
    <s v="METC"/>
    <s v="Calhoun County"/>
    <m/>
    <m/>
    <s v="MI"/>
    <s v="DPP-2019"/>
    <s v="East (ITC)"/>
    <s v="GIA"/>
    <s v="NRIS"/>
    <s v="Argenta - Tompkins 345 kV Line Tap"/>
    <n v="670"/>
    <n v="670"/>
    <x v="3"/>
    <s v="Combined Cycle"/>
    <s v="Not Started"/>
    <m/>
    <n v="0"/>
    <n v="0"/>
    <n v="0"/>
    <n v="0"/>
  </r>
  <r>
    <s v="J1460"/>
    <x v="0"/>
    <d v="2019-04-29T00:00:00"/>
    <m/>
    <m/>
    <d v="2022-06-30T00:00:00"/>
    <s v="American Transmission Co. LLC"/>
    <s v="Rock County"/>
    <m/>
    <m/>
    <s v="WI"/>
    <s v="DPP-2019"/>
    <s v="East (ATC)"/>
    <s v="GIA"/>
    <s v="NRIS"/>
    <s v="Sunrise 138 kV Substation"/>
    <n v="200"/>
    <n v="200"/>
    <x v="0"/>
    <s v="Photovoltaic"/>
    <s v="Under Construction"/>
    <d v="2025-06-30T00:00:00"/>
    <n v="200"/>
    <n v="200"/>
    <n v="200"/>
    <n v="170"/>
  </r>
  <r>
    <s v="J1461"/>
    <x v="1"/>
    <d v="2019-04-29T00:00:00"/>
    <d v="2021-03-24T00:00:00"/>
    <m/>
    <d v="2022-08-01T00:00:00"/>
    <s v="NORTHERN STATES POWER COMPANY"/>
    <s v="Carver County"/>
    <m/>
    <m/>
    <s v="MN"/>
    <s v="DPP-2019"/>
    <s v="West"/>
    <s v="GIA"/>
    <s v="NRIS"/>
    <s v="McLeod - Blue Lake 230kV Line"/>
    <n v="50"/>
    <n v="50"/>
    <x v="0"/>
    <s v="Photovoltaic"/>
    <s v="Not Started"/>
    <m/>
    <n v="0"/>
    <n v="0"/>
    <n v="0"/>
    <n v="0"/>
  </r>
  <r>
    <s v="J1462"/>
    <x v="1"/>
    <d v="2019-04-29T00:00:00"/>
    <d v="2020-08-06T00:00:00"/>
    <m/>
    <d v="2022-08-01T00:00:00"/>
    <s v="ENTERGY LOUISIANA, LLC"/>
    <s v="Acadia Parish"/>
    <m/>
    <m/>
    <s v="LA"/>
    <s v="DPP-2019"/>
    <s v="South"/>
    <s v="GIA"/>
    <s v="NRIS"/>
    <s v="Acadia - Scanlan 138kV Line"/>
    <n v="150"/>
    <n v="150"/>
    <x v="0"/>
    <s v="Photovoltaic"/>
    <s v="Not Started"/>
    <m/>
    <n v="0"/>
    <n v="0"/>
    <n v="0"/>
    <n v="0"/>
  </r>
  <r>
    <s v="J1463"/>
    <x v="1"/>
    <d v="2019-04-29T00:00:00"/>
    <d v="2024-06-04T00:00:00"/>
    <d v="2022-04-07T00:00:00"/>
    <d v="2021-10-20T00:00:00"/>
    <s v="ENTERGY LOUISIANA, LLC"/>
    <s v="West Baton Rouge Parish"/>
    <m/>
    <m/>
    <s v="LA"/>
    <s v="DPP-2019"/>
    <s v="South"/>
    <s v="GIA"/>
    <s v="ERIS"/>
    <s v="Addis - Big Cajun 230 kV Line Tap (J639)"/>
    <n v="150"/>
    <n v="150"/>
    <x v="0"/>
    <s v="Photovoltaic"/>
    <s v="Withdrawn"/>
    <d v="2023-11-01T00:00:00"/>
    <n v="150"/>
    <n v="45"/>
    <n v="150"/>
    <n v="0"/>
  </r>
  <r>
    <s v="J1464"/>
    <x v="0"/>
    <d v="2019-04-29T00:00:00"/>
    <m/>
    <m/>
    <d v="2022-04-30T00:00:00"/>
    <s v="AMEREN TRANSMISSION COMPANY OF ILLINOIS"/>
    <s v="Macoupin County"/>
    <s v="Morgan County"/>
    <s v="Sangamon County"/>
    <s v="IL"/>
    <s v="DPP-2019"/>
    <s v="Central"/>
    <s v="GIA"/>
    <s v="NRIS"/>
    <s v="Meredosia - Austin 345 kV Line tap"/>
    <n v="592.79999999999995"/>
    <n v="592.79999999999995"/>
    <x v="0"/>
    <s v="Photovoltaic"/>
    <s v="In Service"/>
    <d v="2024-03-03T00:00:00"/>
    <n v="592.79999999999995"/>
    <n v="592.79999999999995"/>
    <n v="592.79999999999995"/>
    <n v="592.79999999999995"/>
  </r>
  <r>
    <s v="J1465"/>
    <x v="0"/>
    <d v="2019-04-29T00:00:00"/>
    <m/>
    <d v="2022-04-15T00:00:00"/>
    <d v="2022-08-01T00:00:00"/>
    <s v="ENTERGY LOUISIANA, LLC"/>
    <s v="Pointe Coupee"/>
    <s v="Pointe Coupee Parish"/>
    <m/>
    <s v="LA"/>
    <s v="DPP-2019"/>
    <s v="South"/>
    <s v="GIA"/>
    <s v="NRIS"/>
    <s v="Livonia - Colonial Springs 138kV line"/>
    <n v="150"/>
    <n v="150"/>
    <x v="0"/>
    <s v="Photovoltaic"/>
    <s v="Not Started"/>
    <d v="2024-12-01T00:00:00"/>
    <n v="150"/>
    <n v="150"/>
    <n v="150"/>
    <n v="150"/>
  </r>
  <r>
    <s v="J1466"/>
    <x v="0"/>
    <d v="2019-04-29T00:00:00"/>
    <m/>
    <m/>
    <d v="2022-08-01T00:00:00"/>
    <s v="BIG RIVERS ELECTRIC CORPORATION"/>
    <s v="Henderson County"/>
    <m/>
    <m/>
    <s v="KY"/>
    <s v="DPP-2019"/>
    <s v="Central"/>
    <s v="GIA"/>
    <s v="NRIS"/>
    <s v="Reid EHV 161 kV Substation"/>
    <n v="250"/>
    <n v="250"/>
    <x v="0"/>
    <s v="Photovoltaic"/>
    <s v="Not Started"/>
    <d v="2025-08-01T00:00:00"/>
    <n v="250"/>
    <n v="250"/>
    <n v="250"/>
    <n v="250"/>
  </r>
  <r>
    <s v="J1467"/>
    <x v="1"/>
    <d v="2019-04-29T00:00:00"/>
    <d v="2021-03-24T00:00:00"/>
    <m/>
    <d v="2022-08-01T00:00:00"/>
    <s v="ITC MIDWEST"/>
    <s v="Fayette County"/>
    <m/>
    <m/>
    <s v="IA"/>
    <s v="DPP-2019"/>
    <s v="West"/>
    <s v="GIA"/>
    <s v="NRIS"/>
    <s v="ITC 161kV Windsor - Hazleton 161kV Line"/>
    <n v="150"/>
    <n v="150"/>
    <x v="1"/>
    <s v="Wind Turbine"/>
    <s v="Not Started"/>
    <m/>
    <n v="0"/>
    <n v="0"/>
    <n v="0"/>
    <n v="0"/>
  </r>
  <r>
    <s v="J1468"/>
    <x v="1"/>
    <d v="2019-04-29T00:00:00"/>
    <d v="2022-02-21T00:00:00"/>
    <m/>
    <d v="2022-08-01T00:00:00"/>
    <s v="NORTHERN STATES POWER COMPANY"/>
    <s v="Dakota County"/>
    <m/>
    <m/>
    <s v="MN"/>
    <s v="DPP-2019"/>
    <s v="West"/>
    <s v="GIA"/>
    <s v="NRIS"/>
    <s v="West Hastings 115kV Substation"/>
    <n v="100"/>
    <n v="100"/>
    <x v="2"/>
    <s v="Battery Storage"/>
    <s v="Not Started"/>
    <m/>
    <n v="100"/>
    <n v="100"/>
    <n v="0"/>
    <n v="0"/>
  </r>
  <r>
    <s v="J1469"/>
    <x v="1"/>
    <d v="2019-04-29T00:00:00"/>
    <d v="2020-08-06T00:00:00"/>
    <m/>
    <d v="2022-08-01T00:00:00"/>
    <s v="ENTERGY ARKANSAS, LLC"/>
    <s v="Crittenden County"/>
    <m/>
    <m/>
    <s v="AR"/>
    <s v="DPP-2019"/>
    <s v="South"/>
    <s v="GIA"/>
    <s v="NRIS"/>
    <s v="Marion - Marked Tree 161kV Line"/>
    <n v="200"/>
    <n v="200"/>
    <x v="0"/>
    <s v="Photovoltaic"/>
    <s v="Not Started"/>
    <m/>
    <n v="0"/>
    <n v="0"/>
    <n v="0"/>
    <n v="0"/>
  </r>
  <r>
    <s v="J1470"/>
    <x v="0"/>
    <d v="2019-04-29T00:00:00"/>
    <m/>
    <m/>
    <d v="2019-04-30T00:00:00"/>
    <s v="DUKE ENERGY INDIANA, LLC"/>
    <s v="Benton County"/>
    <s v="Warren County"/>
    <m/>
    <s v="IN"/>
    <s v="DPP-2019"/>
    <s v="Central"/>
    <s v="GIA"/>
    <s v="NRIS-Only"/>
    <s v="Cayuga CT 345kV Substation"/>
    <n v="30"/>
    <n v="30"/>
    <x v="1"/>
    <s v="Wind Turbine"/>
    <s v="Not Started"/>
    <d v="2023-03-21T00:00:00"/>
    <n v="0"/>
    <n v="30"/>
    <n v="0"/>
    <n v="30"/>
  </r>
  <r>
    <s v="J1471"/>
    <x v="1"/>
    <d v="2019-04-29T00:00:00"/>
    <d v="2022-02-21T00:00:00"/>
    <m/>
    <d v="2022-08-01T00:00:00"/>
    <s v="ITC MIDWEST"/>
    <s v="Lee County"/>
    <m/>
    <m/>
    <s v="IA"/>
    <s v="DPP-2019"/>
    <s v="West"/>
    <s v="GIA"/>
    <s v="NRIS"/>
    <s v="ITC 161kV Wever Substation"/>
    <n v="200"/>
    <n v="200"/>
    <x v="0"/>
    <s v="Photovoltaic"/>
    <s v="Not Started"/>
    <m/>
    <n v="200"/>
    <n v="200"/>
    <n v="0"/>
    <n v="0"/>
  </r>
  <r>
    <s v="J1472"/>
    <x v="0"/>
    <d v="2019-04-29T00:00:00"/>
    <m/>
    <d v="2022-08-17T00:00:00"/>
    <d v="2022-08-01T00:00:00"/>
    <s v="METC"/>
    <s v="Jackson County"/>
    <m/>
    <m/>
    <s v="MI"/>
    <s v="DPP-2019"/>
    <s v="East (ITC)"/>
    <s v="GIA"/>
    <s v="NRIS"/>
    <s v="Leoni - Parr Raod 138kV line"/>
    <n v="100"/>
    <n v="100"/>
    <x v="0"/>
    <s v="Photovoltaic"/>
    <s v="Not Started"/>
    <d v="2024-03-31T00:00:00"/>
    <n v="100"/>
    <n v="100"/>
    <n v="100"/>
    <n v="100"/>
  </r>
  <r>
    <s v="J1473"/>
    <x v="1"/>
    <d v="2019-04-29T00:00:00"/>
    <d v="2021-03-24T00:00:00"/>
    <m/>
    <d v="2022-08-01T00:00:00"/>
    <s v="NORTHERN STATES POWER COMPANY"/>
    <s v="Chisago County"/>
    <m/>
    <m/>
    <s v="MN"/>
    <s v="DPP-2019"/>
    <s v="West"/>
    <s v="GIA"/>
    <s v="NRIS"/>
    <s v="Lawrence Creek - Shafer 115kV Line"/>
    <n v="100"/>
    <n v="100"/>
    <x v="0"/>
    <s v="Photovoltaic"/>
    <s v="Not Started"/>
    <m/>
    <n v="0"/>
    <n v="0"/>
    <n v="0"/>
    <n v="0"/>
  </r>
  <r>
    <s v="J1474"/>
    <x v="1"/>
    <d v="2019-04-29T00:00:00"/>
    <d v="2023-11-14T00:00:00"/>
    <d v="2023-01-26T00:00:00"/>
    <d v="2022-07-01T00:00:00"/>
    <s v="NORTHERN STATES POWER COMPANY"/>
    <s v="Chippewa County"/>
    <m/>
    <m/>
    <s v="WI"/>
    <s v="DPP-2019"/>
    <s v="West"/>
    <s v="GIA"/>
    <s v="NRIS"/>
    <s v="Pine Lake - Eagle Point 115kV Line"/>
    <n v="200"/>
    <n v="200"/>
    <x v="0"/>
    <s v="Photovoltaic"/>
    <s v="Withdrawn"/>
    <d v="2025-07-01T00:00:00"/>
    <n v="200"/>
    <n v="200"/>
    <n v="180"/>
    <n v="180"/>
  </r>
  <r>
    <s v="J1475"/>
    <x v="0"/>
    <d v="2019-04-29T00:00:00"/>
    <m/>
    <m/>
    <d v="2022-04-18T00:00:00"/>
    <s v="AMEREN ILLINOIS"/>
    <s v="Clark County"/>
    <m/>
    <m/>
    <s v="IL"/>
    <s v="DPP-2019"/>
    <s v="Central"/>
    <s v="GIA"/>
    <s v="NRIS"/>
    <s v="Casey West - Sullivan 345 kV Line Tap"/>
    <n v="75"/>
    <n v="75"/>
    <x v="0"/>
    <s v="Photovoltaic"/>
    <s v="Not Started"/>
    <d v="2023-05-02T00:00:00"/>
    <n v="75"/>
    <n v="75"/>
    <n v="75"/>
    <n v="75"/>
  </r>
  <r>
    <s v="J1476"/>
    <x v="1"/>
    <d v="2019-04-29T00:00:00"/>
    <d v="2021-03-24T00:00:00"/>
    <m/>
    <d v="2023-10-01T00:00:00"/>
    <s v="ITC MIDWEST"/>
    <s v="Union County"/>
    <m/>
    <m/>
    <s v="IA"/>
    <s v="DPP-2019"/>
    <s v="West"/>
    <s v="GIA"/>
    <s v="NRIS"/>
    <s v="Creston East 69 kV Substation (J1132)"/>
    <n v="25"/>
    <n v="25"/>
    <x v="2"/>
    <s v="Battery Storage"/>
    <s v="Not Started"/>
    <m/>
    <n v="0"/>
    <n v="0"/>
    <n v="0"/>
    <n v="0"/>
  </r>
  <r>
    <s v="J1477"/>
    <x v="0"/>
    <d v="2019-04-29T00:00:00"/>
    <m/>
    <d v="2023-01-26T00:00:00"/>
    <d v="2021-10-01T00:00:00"/>
    <s v="MIDAMERICAN ENERGY COMPANY"/>
    <s v="Scott County"/>
    <m/>
    <m/>
    <s v="IA"/>
    <s v="DPP-2019"/>
    <s v="West"/>
    <s v="GIA"/>
    <s v="NRIS"/>
    <s v="Sub 56 161 kV Substation (J1131)"/>
    <n v="50"/>
    <n v="50"/>
    <x v="2"/>
    <s v="Battery Storage"/>
    <s v="Not Started"/>
    <d v="2024-10-01T00:00:00"/>
    <n v="50"/>
    <n v="50"/>
    <n v="50"/>
    <n v="50"/>
  </r>
  <r>
    <s v="J1478"/>
    <x v="1"/>
    <d v="2019-04-29T00:00:00"/>
    <d v="2022-02-18T00:00:00"/>
    <m/>
    <d v="2021-10-01T00:00:00"/>
    <s v="ITC MIDWEST"/>
    <s v="Des Moines County"/>
    <m/>
    <m/>
    <s v="IA"/>
    <s v="DPP-2019"/>
    <s v="West"/>
    <s v="GIA"/>
    <s v="NRIS"/>
    <s v="Huntwoods 69 kV substation (J1135)"/>
    <n v="25"/>
    <n v="25"/>
    <x v="2"/>
    <s v="Battery Storage"/>
    <s v="Not Started"/>
    <m/>
    <n v="25"/>
    <n v="25"/>
    <n v="0"/>
    <n v="0"/>
  </r>
  <r>
    <s v="J1479"/>
    <x v="1"/>
    <d v="2019-04-29T00:00:00"/>
    <d v="2022-02-18T00:00:00"/>
    <m/>
    <d v="2023-10-01T00:00:00"/>
    <s v="ITC MIDWEST"/>
    <s v="Des Moines County"/>
    <m/>
    <m/>
    <s v="IA"/>
    <s v="DPP-2019"/>
    <s v="West"/>
    <s v="GIA"/>
    <s v="NRIS"/>
    <s v="Burlington 161 kV Substation"/>
    <n v="100"/>
    <n v="100"/>
    <x v="2"/>
    <s v="Battery Storage"/>
    <s v="Not Started"/>
    <m/>
    <n v="100"/>
    <n v="100"/>
    <n v="0"/>
    <n v="0"/>
  </r>
  <r>
    <s v="J1480"/>
    <x v="1"/>
    <d v="2019-04-29T00:00:00"/>
    <d v="2020-04-14T00:00:00"/>
    <m/>
    <d v="2020-08-04T00:00:00"/>
    <s v="MIDAMERICAN ENERGY COMPANY"/>
    <s v="Black Hawk County"/>
    <m/>
    <m/>
    <s v="IA"/>
    <s v="DPP-2019"/>
    <s v="West"/>
    <s v="GIA"/>
    <s v="NRIS"/>
    <s v="Shawlis - Electric Farms 161kV Line"/>
    <n v="70"/>
    <n v="70"/>
    <x v="1"/>
    <s v="Wind Turbine"/>
    <s v="Not Started"/>
    <m/>
    <n v="0"/>
    <n v="0"/>
    <n v="0"/>
    <n v="0"/>
  </r>
  <r>
    <s v="J1481"/>
    <x v="0"/>
    <d v="2019-04-29T00:00:00"/>
    <m/>
    <m/>
    <d v="2022-08-15T00:00:00"/>
    <s v="DUKE ENERGY INDIANA, LLC"/>
    <s v="Howard County"/>
    <m/>
    <m/>
    <s v="IN"/>
    <s v="DPP-2019"/>
    <s v="Central"/>
    <s v="GIA"/>
    <s v="NRIS"/>
    <s v="Greentown 230 kV substation"/>
    <n v="200"/>
    <n v="200"/>
    <x v="0"/>
    <s v="Photovoltaic"/>
    <s v="Not Started"/>
    <d v="2025-08-15T00:00:00"/>
    <n v="200"/>
    <n v="200"/>
    <n v="200"/>
    <n v="200"/>
  </r>
  <r>
    <s v="J1482"/>
    <x v="0"/>
    <d v="2019-04-29T00:00:00"/>
    <m/>
    <m/>
    <d v="2022-08-15T00:00:00"/>
    <s v="NORTHERN INDIANA PUBLIC SERVICE COMPANY LLC"/>
    <s v="White County"/>
    <m/>
    <m/>
    <s v="IN"/>
    <s v="DPP-2019"/>
    <s v="Central"/>
    <s v="GIA"/>
    <s v="NRIS"/>
    <s v="Monticello - Springboro 138 kV Line Tap"/>
    <n v="150"/>
    <n v="150"/>
    <x v="0"/>
    <s v="Photovoltaic"/>
    <s v="Not Started"/>
    <d v="2024-05-01T00:00:00"/>
    <n v="150"/>
    <n v="150"/>
    <n v="150"/>
    <n v="150"/>
  </r>
  <r>
    <s v="J1483"/>
    <x v="0"/>
    <d v="2019-04-29T00:00:00"/>
    <m/>
    <m/>
    <d v="2023-10-30T00:00:00"/>
    <s v="American Transmission Co. LLC"/>
    <s v="Iowa County"/>
    <m/>
    <m/>
    <s v="WI"/>
    <s v="DPP-2019"/>
    <s v="East (ATC)"/>
    <s v="GIA"/>
    <s v="ERIS"/>
    <s v="Hill Valley 345 kV Substation"/>
    <n v="99"/>
    <n v="99"/>
    <x v="1"/>
    <s v="Wind Turbine"/>
    <s v="Not Started"/>
    <d v="2026-09-01T00:00:00"/>
    <n v="99"/>
    <n v="0"/>
    <n v="99"/>
    <n v="0"/>
  </r>
  <r>
    <s v="J1484"/>
    <x v="1"/>
    <d v="2019-04-29T00:00:00"/>
    <d v="2020-01-14T00:00:00"/>
    <m/>
    <d v="2023-10-30T00:00:00"/>
    <s v="ENTERGY ARKANSAS, LLC"/>
    <s v="Union County"/>
    <m/>
    <m/>
    <s v="AR"/>
    <s v="DPP-2019"/>
    <s v="South"/>
    <s v="GIA"/>
    <s v="NRIS"/>
    <s v="Texas Eastern F SS - Strong SS 115 kV Line Tap"/>
    <n v="25"/>
    <n v="25"/>
    <x v="2"/>
    <s v="Battery Storage"/>
    <s v="Not Started"/>
    <m/>
    <n v="0"/>
    <n v="0"/>
    <n v="0"/>
    <n v="0"/>
  </r>
  <r>
    <s v="J1485"/>
    <x v="0"/>
    <d v="2019-04-29T00:00:00"/>
    <m/>
    <m/>
    <d v="2022-10-30T00:00:00"/>
    <s v="OTTER TAIL POWER COMPANY OTPW"/>
    <s v="Deuel County"/>
    <m/>
    <m/>
    <s v="SD"/>
    <s v="DPP-2019"/>
    <s v="West"/>
    <s v="GIA"/>
    <s v="ERIS"/>
    <s v="Astoria 345 kV Substation (J493/J510)"/>
    <n v="250"/>
    <n v="250"/>
    <x v="1"/>
    <s v="Wind Turbine"/>
    <s v="Not Started"/>
    <d v="2027-10-30T00:00:00"/>
    <n v="250"/>
    <n v="0"/>
    <n v="250"/>
    <n v="0"/>
  </r>
  <r>
    <s v="J1486"/>
    <x v="1"/>
    <d v="2019-04-29T00:00:00"/>
    <d v="2020-03-17T00:00:00"/>
    <m/>
    <d v="2021-12-31T00:00:00"/>
    <s v="American Transmission Co. LLC"/>
    <s v="Waupaca County"/>
    <m/>
    <m/>
    <s v="WI"/>
    <s v="DPP-2019"/>
    <s v="East (ATC)"/>
    <s v="GIA"/>
    <s v="NRIS"/>
    <s v="Harrison North 138kV Substation"/>
    <n v="2.5"/>
    <n v="2.5"/>
    <x v="2"/>
    <s v="Battery Storage"/>
    <s v="Not Started"/>
    <m/>
    <n v="0"/>
    <n v="0"/>
    <n v="0"/>
    <n v="0"/>
  </r>
  <r>
    <s v="J1487"/>
    <x v="1"/>
    <d v="2019-04-29T00:00:00"/>
    <d v="2022-02-18T00:00:00"/>
    <m/>
    <d v="2021-05-01T00:00:00"/>
    <s v="ITC MIDWEST"/>
    <s v="Freeborn County"/>
    <m/>
    <m/>
    <s v="MN"/>
    <s v="DPP-2019"/>
    <s v="West"/>
    <s v="GIA"/>
    <s v="NRIS"/>
    <s v="Freeborn 161kV substation"/>
    <n v="120"/>
    <n v="120"/>
    <x v="1"/>
    <s v="Wind Turbine"/>
    <s v="Not Started"/>
    <m/>
    <n v="120"/>
    <n v="120"/>
    <n v="0"/>
    <n v="0"/>
  </r>
  <r>
    <s v="J1488"/>
    <x v="0"/>
    <d v="2019-04-29T00:00:00"/>
    <m/>
    <m/>
    <d v="2024-03-31T00:00:00"/>
    <s v="AMEREN MISSOURI"/>
    <s v="Randolph County"/>
    <m/>
    <m/>
    <s v="MO"/>
    <s v="DPP-2019"/>
    <s v="Central"/>
    <s v="GIA"/>
    <s v="NRIS"/>
    <s v="McCredie - Montgomery 345 kV Line Tap"/>
    <n v="500"/>
    <n v="500"/>
    <x v="8"/>
    <m/>
    <s v="Not Started"/>
    <m/>
    <n v="500"/>
    <n v="500"/>
    <n v="500"/>
    <n v="500"/>
  </r>
  <r>
    <s v="J1489"/>
    <x v="1"/>
    <d v="2019-04-29T00:00:00"/>
    <d v="2020-05-22T00:00:00"/>
    <m/>
    <d v="2024-03-31T00:00:00"/>
    <s v="Ameren Missouri"/>
    <s v="Ralls County"/>
    <m/>
    <m/>
    <s v="MO"/>
    <s v="DPP-2019"/>
    <s v="Central"/>
    <s v="GIA"/>
    <s v="NRIS"/>
    <s v="Maywood - Spencer Creek 345 kV Line Tap"/>
    <n v="500"/>
    <n v="500"/>
    <x v="8"/>
    <m/>
    <s v="Not Started"/>
    <m/>
    <n v="0"/>
    <n v="0"/>
    <n v="0"/>
    <n v="0"/>
  </r>
  <r>
    <s v="J1490"/>
    <x v="0"/>
    <d v="2019-04-29T00:00:00"/>
    <m/>
    <m/>
    <d v="2024-03-31T00:00:00"/>
    <s v="AMEREN MISSOURI"/>
    <s v="Randolph County"/>
    <m/>
    <m/>
    <s v="MO"/>
    <s v="DPP-2019"/>
    <s v="Central"/>
    <s v="GIA"/>
    <s v="NRIS"/>
    <s v="McCredie - Montgomery 345 kV Line Tap"/>
    <n v="1000"/>
    <n v="1000"/>
    <x v="8"/>
    <m/>
    <s v="Not Started"/>
    <m/>
    <n v="1000"/>
    <n v="1000"/>
    <n v="1000"/>
    <n v="940"/>
  </r>
  <r>
    <s v="J1491"/>
    <x v="1"/>
    <d v="2020-06-03T00:00:00"/>
    <d v="2024-09-03T00:00:00"/>
    <m/>
    <d v="2022-12-15T00:00:00"/>
    <s v="INDIANAPOLIS POWER &amp; LIGHT COMPANY"/>
    <s v="Marion"/>
    <m/>
    <m/>
    <s v="IN"/>
    <s v="DPP-2020"/>
    <s v="Central"/>
    <s v="GIA"/>
    <s v="NRIS"/>
    <s v="IPL EW Stout North  Yard 138 kV Substation"/>
    <n v="200"/>
    <n v="200"/>
    <x v="2"/>
    <s v="Battery Storage"/>
    <s v="Not Started"/>
    <m/>
    <n v="200"/>
    <n v="200"/>
    <n v="0"/>
    <n v="0"/>
  </r>
  <r>
    <s v="J1492"/>
    <x v="1"/>
    <d v="2020-06-12T00:00:00"/>
    <d v="2023-02-22T00:00:00"/>
    <m/>
    <d v="2023-08-15T00:00:00"/>
    <s v="METC"/>
    <s v="Kent"/>
    <m/>
    <m/>
    <s v="MI"/>
    <s v="DPP-2020"/>
    <s v="East (ITC)"/>
    <s v="GIA"/>
    <s v="NRIS"/>
    <s v="Gaines 138kV"/>
    <n v="150"/>
    <n v="150"/>
    <x v="2"/>
    <s v="Battery Storage"/>
    <s v="Not Started"/>
    <m/>
    <n v="150"/>
    <n v="150"/>
    <n v="0"/>
    <n v="0"/>
  </r>
  <r>
    <s v="J1493"/>
    <x v="1"/>
    <d v="2020-06-18T00:00:00"/>
    <d v="2021-01-05T00:00:00"/>
    <m/>
    <d v="2023-10-15T00:00:00"/>
    <s v="GREAT RIVER ENERGY"/>
    <s v="Hubbard"/>
    <m/>
    <m/>
    <s v="MN"/>
    <s v="DPP-2020"/>
    <s v="West"/>
    <s v="GIA"/>
    <s v="NRIS"/>
    <s v="Hubbard 115kV"/>
    <n v="50"/>
    <n v="50"/>
    <x v="2"/>
    <s v="Battery Storage"/>
    <s v="Not Started"/>
    <m/>
    <n v="0"/>
    <n v="0"/>
    <n v="0"/>
    <n v="0"/>
  </r>
  <r>
    <s v="J1494"/>
    <x v="1"/>
    <d v="2020-06-18T00:00:00"/>
    <d v="2023-01-31T00:00:00"/>
    <m/>
    <d v="2023-10-15T00:00:00"/>
    <s v="NORTHERN STATES POWER COMPANY"/>
    <s v="Chisago"/>
    <m/>
    <m/>
    <s v="MN"/>
    <s v="DPP-2020"/>
    <s v="West"/>
    <s v="GIA"/>
    <s v="NRIS"/>
    <s v="Chisago 115kV"/>
    <n v="50"/>
    <n v="50"/>
    <x v="2"/>
    <s v="Battery Storage"/>
    <s v="Not Started"/>
    <m/>
    <n v="50"/>
    <n v="50"/>
    <n v="0"/>
    <n v="0"/>
  </r>
  <r>
    <s v="J1495"/>
    <x v="1"/>
    <d v="2020-06-18T00:00:00"/>
    <d v="2023-01-31T00:00:00"/>
    <m/>
    <d v="2023-10-15T00:00:00"/>
    <s v="NORTHERN STATES POWER COMPANY"/>
    <s v="Goodhue"/>
    <m/>
    <m/>
    <s v="MN"/>
    <s v="DPP-2020"/>
    <s v="West"/>
    <s v="GIA"/>
    <s v="NRIS"/>
    <s v="North Rochester 161kV"/>
    <n v="50"/>
    <n v="50"/>
    <x v="2"/>
    <s v="Battery Storage"/>
    <s v="Not Started"/>
    <m/>
    <n v="50"/>
    <n v="50"/>
    <n v="0"/>
    <n v="0"/>
  </r>
  <r>
    <s v="J1496"/>
    <x v="1"/>
    <d v="2020-06-18T00:00:00"/>
    <d v="2021-11-17T00:00:00"/>
    <m/>
    <d v="2023-10-15T00:00:00"/>
    <s v="SOUTHERN MINNESOTA MUNICIPAL POWER AGENCY"/>
    <s v="Olmsted"/>
    <m/>
    <m/>
    <s v="MN"/>
    <s v="DPP-2020"/>
    <s v="West"/>
    <s v="GIA"/>
    <s v="NRIS"/>
    <s v="Byron 161kV"/>
    <n v="50"/>
    <n v="50"/>
    <x v="2"/>
    <s v="Battery Storage"/>
    <s v="Not Started"/>
    <m/>
    <n v="0"/>
    <n v="0"/>
    <n v="0"/>
    <n v="0"/>
  </r>
  <r>
    <s v="J1497"/>
    <x v="1"/>
    <d v="2020-06-11T00:00:00"/>
    <d v="2023-06-29T00:00:00"/>
    <m/>
    <d v="2024-10-30T00:00:00"/>
    <s v="AMERICAN TRANSMISSION COMPANY"/>
    <s v="Jefferson"/>
    <m/>
    <m/>
    <s v="WI"/>
    <s v="DPP-2020"/>
    <s v="East (ATC)"/>
    <s v="GIA"/>
    <s v="NRIS"/>
    <s v="Concord 138 kV"/>
    <n v="125"/>
    <n v="125"/>
    <x v="0"/>
    <s v="Photovoltaic"/>
    <s v="Not Started"/>
    <m/>
    <n v="125"/>
    <n v="110"/>
    <n v="125"/>
    <n v="110"/>
  </r>
  <r>
    <s v="J1498"/>
    <x v="1"/>
    <d v="2020-06-09T00:00:00"/>
    <d v="2023-01-31T00:00:00"/>
    <m/>
    <d v="2023-09-01T00:00:00"/>
    <s v="NORTHERN STATES POWER COMPANY"/>
    <s v="Murray"/>
    <m/>
    <m/>
    <s v="MN"/>
    <s v="DPP-2020"/>
    <s v="West"/>
    <s v="GIA"/>
    <s v="NRIS"/>
    <s v="Chanarambie 115 kV Substation"/>
    <n v="50"/>
    <n v="50"/>
    <x v="2"/>
    <s v="Battery Storage"/>
    <s v="Not Started"/>
    <m/>
    <n v="50"/>
    <n v="50"/>
    <n v="0"/>
    <n v="0"/>
  </r>
  <r>
    <s v="J1499"/>
    <x v="1"/>
    <d v="2020-06-08T00:00:00"/>
    <d v="2023-02-10T00:00:00"/>
    <m/>
    <d v="2023-09-01T00:00:00"/>
    <s v="ENTERGY ARKANSAS, LLC"/>
    <s v="Union"/>
    <m/>
    <m/>
    <s v="AR"/>
    <s v="DPP-2020"/>
    <s v="South"/>
    <s v="GIA"/>
    <s v="NRIS"/>
    <s v="El Dorado East - Sterlington 115 kV"/>
    <n v="50"/>
    <n v="50"/>
    <x v="2"/>
    <s v="Battery Storage"/>
    <s v="Not Started"/>
    <m/>
    <n v="50"/>
    <n v="50"/>
    <n v="0"/>
    <n v="0"/>
  </r>
  <r>
    <s v="J1500"/>
    <x v="1"/>
    <d v="2020-06-19T00:00:00"/>
    <d v="2021-12-08T00:00:00"/>
    <m/>
    <d v="2023-10-30T00:00:00"/>
    <s v="COOPERATIVE ENERGY"/>
    <s v="George"/>
    <m/>
    <m/>
    <s v="MS"/>
    <s v="DPP-2020"/>
    <s v="South"/>
    <s v="GIA"/>
    <s v="NRIS"/>
    <s v="SE Greene Co 230kV substation"/>
    <n v="150"/>
    <n v="150"/>
    <x v="0"/>
    <s v="Photovoltaic"/>
    <s v="Not Started"/>
    <m/>
    <n v="0"/>
    <n v="0"/>
    <n v="0"/>
    <n v="0"/>
  </r>
  <r>
    <s v="J1501"/>
    <x v="1"/>
    <d v="2020-06-17T00:00:00"/>
    <d v="2021-04-20T00:00:00"/>
    <m/>
    <d v="2023-08-31T00:00:00"/>
    <s v="AMEREN ILLINOIS"/>
    <s v="Sangamon"/>
    <m/>
    <m/>
    <s v="IL"/>
    <s v="DPP-2020"/>
    <s v="Central"/>
    <s v="GIA"/>
    <s v="NRIS"/>
    <s v="Auburn North 138kV"/>
    <n v="0"/>
    <n v="0"/>
    <x v="2"/>
    <s v="Battery Storage"/>
    <s v="Not Started"/>
    <m/>
    <n v="0"/>
    <n v="0"/>
    <n v="0"/>
    <n v="0"/>
  </r>
  <r>
    <s v="J1502"/>
    <x v="0"/>
    <d v="2020-06-18T00:00:00"/>
    <m/>
    <m/>
    <d v="2023-03-31T00:00:00"/>
    <s v="DAIRYLAND POWER COOPERATIVE DPC"/>
    <s v="Juneau"/>
    <m/>
    <m/>
    <s v="WI"/>
    <s v="DPP-2020"/>
    <s v="East (ATC)"/>
    <s v="GIA"/>
    <s v="NRIS"/>
    <s v="Briggs Road - North Madison 345.0kV"/>
    <n v="225"/>
    <n v="225"/>
    <x v="0"/>
    <s v="Photovoltaic"/>
    <s v="Not Started"/>
    <d v="2026-01-01T00:00:00"/>
    <n v="225"/>
    <n v="225"/>
    <n v="225"/>
    <n v="225"/>
  </r>
  <r>
    <s v="J1503"/>
    <x v="0"/>
    <d v="2020-06-22T00:00:00"/>
    <m/>
    <m/>
    <d v="2024-10-31T00:00:00"/>
    <s v="ITC MIDWEST"/>
    <s v="Faribault"/>
    <m/>
    <m/>
    <s v="MN"/>
    <s v="DPP-2020"/>
    <s v="West"/>
    <s v="GIA"/>
    <s v="NRIS"/>
    <s v="Huntley"/>
    <n v="150"/>
    <n v="150"/>
    <x v="0"/>
    <s v="Photovoltaic"/>
    <s v="Not Started"/>
    <d v="2027-10-31T00:00:00"/>
    <n v="150"/>
    <n v="120"/>
    <n v="150"/>
    <n v="120"/>
  </r>
  <r>
    <s v="J1504"/>
    <x v="0"/>
    <d v="2020-06-22T00:00:00"/>
    <m/>
    <m/>
    <d v="2024-10-31T00:00:00"/>
    <s v="ITC MIDWEST"/>
    <s v="Faribault"/>
    <m/>
    <m/>
    <s v="MN"/>
    <s v="DPP-2020"/>
    <s v="West"/>
    <s v="GIA"/>
    <s v="NRIS"/>
    <s v="Huntley"/>
    <n v="150"/>
    <n v="150"/>
    <x v="0"/>
    <s v="Photovoltaic"/>
    <s v="Not Started"/>
    <d v="2027-10-31T00:00:00"/>
    <n v="150"/>
    <n v="120"/>
    <n v="150"/>
    <n v="120"/>
  </r>
  <r>
    <s v="J1505"/>
    <x v="1"/>
    <d v="2020-06-25T00:00:00"/>
    <d v="2020-12-22T00:00:00"/>
    <m/>
    <d v="2023-09-01T00:00:00"/>
    <s v="ENTERGY LOUISIANA, LLC"/>
    <s v="Washington"/>
    <m/>
    <m/>
    <s v="LA"/>
    <s v="DPP-2020"/>
    <s v="South"/>
    <s v="GIA"/>
    <s v="NRIS"/>
    <s v="Talisheek - Bogalusa 230 kV Line"/>
    <n v="50"/>
    <n v="50"/>
    <x v="2"/>
    <s v="Battery Storage"/>
    <s v="Not Started"/>
    <m/>
    <n v="0"/>
    <n v="0"/>
    <n v="0"/>
    <n v="0"/>
  </r>
  <r>
    <s v="J1506"/>
    <x v="1"/>
    <d v="2020-06-09T00:00:00"/>
    <d v="2020-12-22T00:00:00"/>
    <m/>
    <d v="2023-09-01T00:00:00"/>
    <s v="ENTERGY LOUISIANA, LLC"/>
    <s v="Washington"/>
    <m/>
    <m/>
    <s v="LA"/>
    <s v="DPP-2020"/>
    <s v="South"/>
    <s v="GIA"/>
    <s v="NRIS"/>
    <s v="Barkers Corner - Bogalusa 230 kV Line"/>
    <n v="100"/>
    <n v="100"/>
    <x v="0"/>
    <s v="Photovoltaic"/>
    <s v="Not Started"/>
    <m/>
    <n v="0"/>
    <n v="0"/>
    <n v="0"/>
    <n v="0"/>
  </r>
  <r>
    <s v="J1507"/>
    <x v="1"/>
    <d v="2020-06-09T00:00:00"/>
    <d v="2020-12-22T00:00:00"/>
    <m/>
    <d v="2023-09-01T00:00:00"/>
    <s v="ENTERGY LOUISIANA, LLC"/>
    <s v="Washington"/>
    <m/>
    <m/>
    <s v="LA"/>
    <s v="DPP-2020"/>
    <s v="South"/>
    <s v="GIA"/>
    <s v="NRIS"/>
    <s v="Barkers Corner - Bogalusa 230 kV Line"/>
    <n v="50"/>
    <n v="50"/>
    <x v="2"/>
    <s v="Battery Storage"/>
    <s v="Not Started"/>
    <m/>
    <n v="0"/>
    <n v="0"/>
    <n v="0"/>
    <n v="0"/>
  </r>
  <r>
    <s v="J1508"/>
    <x v="0"/>
    <d v="2020-06-19T00:00:00"/>
    <m/>
    <m/>
    <d v="2023-09-01T00:00:00"/>
    <s v="AMERICAN TRANSMISSION COMPANY"/>
    <s v="Marathon"/>
    <m/>
    <m/>
    <s v="WI"/>
    <s v="DPP-2020"/>
    <s v="East (ATC)"/>
    <s v="GIA"/>
    <s v="NRIS"/>
    <s v="B-54 Wien to McMillan 115KV"/>
    <n v="98.9"/>
    <n v="98.9"/>
    <x v="1"/>
    <s v="Wind Turbine"/>
    <s v="Not Started"/>
    <d v="2026-09-01T00:00:00"/>
    <n v="98.9"/>
    <n v="98.9"/>
    <n v="98.9"/>
    <n v="98.9"/>
  </r>
  <r>
    <s v="J1509"/>
    <x v="1"/>
    <d v="2020-06-10T00:00:00"/>
    <d v="2024-01-17T00:00:00"/>
    <d v="2023-01-18T00:00:00"/>
    <d v="2023-09-01T00:00:00"/>
    <s v="ENTERGY MISSISSIPPI, LLC."/>
    <s v="Leflore"/>
    <m/>
    <m/>
    <s v="MS"/>
    <s v="DPP-2020"/>
    <s v="South"/>
    <s v="GIA"/>
    <s v="NRIS"/>
    <s v="Greenwood - Pickens 115 kV"/>
    <n v="100"/>
    <n v="100"/>
    <x v="0"/>
    <s v="Photovoltaic"/>
    <s v="Not Started"/>
    <d v="2026-06-01T00:00:00"/>
    <n v="100"/>
    <n v="100"/>
    <n v="100"/>
    <n v="100"/>
  </r>
  <r>
    <s v="J1510"/>
    <x v="1"/>
    <d v="2020-06-16T00:00:00"/>
    <d v="2023-11-17T00:00:00"/>
    <m/>
    <d v="2023-10-01T00:00:00"/>
    <s v="AMERICAN TRANSMISSION COMPANY"/>
    <s v="Wood"/>
    <m/>
    <m/>
    <s v="WI"/>
    <s v="DPP-2020"/>
    <s v="East (ATC)"/>
    <s v="GIA"/>
    <s v="NRIS"/>
    <s v="Arpin 345kV"/>
    <n v="100"/>
    <n v="100"/>
    <x v="0"/>
    <s v="Photovoltaic"/>
    <s v="Withdrawn"/>
    <m/>
    <n v="100"/>
    <n v="100"/>
    <n v="100"/>
    <n v="100"/>
  </r>
  <r>
    <s v="J1511"/>
    <x v="1"/>
    <d v="2020-06-19T00:00:00"/>
    <d v="2021-01-06T00:00:00"/>
    <m/>
    <d v="2023-08-31T00:00:00"/>
    <s v="NORTHERN STATES POWER COMPANY"/>
    <s v="Chisago"/>
    <m/>
    <m/>
    <s v="MN"/>
    <s v="DPP-2020"/>
    <s v="West"/>
    <s v="GIA"/>
    <s v="NRIS"/>
    <s v="Scandia to Lawrence Creek 69kV"/>
    <n v="26"/>
    <n v="26"/>
    <x v="0"/>
    <s v="Photovoltaic"/>
    <s v="Not Started"/>
    <m/>
    <n v="0"/>
    <n v="0"/>
    <n v="0"/>
    <n v="0"/>
  </r>
  <r>
    <s v="J1512"/>
    <x v="1"/>
    <d v="2020-06-19T00:00:00"/>
    <d v="2021-12-08T00:00:00"/>
    <m/>
    <d v="2023-09-01T00:00:00"/>
    <s v="AMERICAN TRANSMISSION COMPANY"/>
    <s v="Lafayette"/>
    <m/>
    <m/>
    <s v="WI"/>
    <s v="DPP-2020"/>
    <s v="East (ATC)"/>
    <s v="GIA"/>
    <s v="NRIS"/>
    <s v="Darlington 138KV"/>
    <n v="98.9"/>
    <n v="98.9"/>
    <x v="1"/>
    <s v="Wind Turbine"/>
    <s v="Not Started"/>
    <m/>
    <n v="0"/>
    <n v="0"/>
    <n v="0"/>
    <n v="0"/>
  </r>
  <r>
    <s v="J1513"/>
    <x v="0"/>
    <d v="2022-02-22T00:00:00"/>
    <m/>
    <m/>
    <d v="2023-10-01T00:00:00"/>
    <s v="AMERICAN TRANSMISSION COMPANY"/>
    <s v="Waupaca"/>
    <m/>
    <m/>
    <s v="WI"/>
    <s v="DPP-2020"/>
    <s v="East (ATC)"/>
    <s v="GIA"/>
    <s v="NRIS"/>
    <s v="Clintonville"/>
    <n v="300"/>
    <n v="300"/>
    <x v="0"/>
    <s v="Photovoltaic"/>
    <s v="Not Started"/>
    <d v="2026-08-01T00:00:00"/>
    <n v="300"/>
    <n v="300"/>
    <n v="300"/>
    <n v="200"/>
  </r>
  <r>
    <s v="J1514"/>
    <x v="0"/>
    <d v="2021-12-08T00:00:00"/>
    <m/>
    <m/>
    <d v="2023-08-31T00:00:00"/>
    <s v="ENTERGY ARKANSAS, LLC EATO"/>
    <s v="Mississippi"/>
    <m/>
    <m/>
    <s v="AR"/>
    <s v="DPP-2020"/>
    <s v="South"/>
    <s v="GIA"/>
    <s v="NRIS"/>
    <s v="Driver 203kV  Substation"/>
    <n v="100"/>
    <n v="100"/>
    <x v="0"/>
    <s v="Photovoltaic"/>
    <s v="Under Construction"/>
    <d v="2023-03-01T00:00:00"/>
    <n v="100"/>
    <n v="100"/>
    <n v="100"/>
    <n v="100"/>
  </r>
  <r>
    <s v="J1515"/>
    <x v="1"/>
    <d v="2020-06-19T00:00:00"/>
    <d v="2021-01-23T00:00:00"/>
    <m/>
    <d v="2023-10-01T00:00:00"/>
    <s v="METC"/>
    <s v="Midland"/>
    <m/>
    <m/>
    <s v="MI"/>
    <s v="DPP-2020"/>
    <s v="East (ITC)"/>
    <s v="GIA"/>
    <s v="NRIS"/>
    <s v="Tittabawassee  to Murphy 345kV"/>
    <n v="200"/>
    <n v="200"/>
    <x v="0"/>
    <s v="Photovoltaic"/>
    <s v="Not Started"/>
    <m/>
    <n v="0"/>
    <n v="0"/>
    <n v="0"/>
    <n v="0"/>
  </r>
  <r>
    <s v="J1516"/>
    <x v="1"/>
    <d v="2020-06-15T00:00:00"/>
    <d v="2025-06-18T00:00:00"/>
    <m/>
    <d v="2023-10-01T00:00:00"/>
    <s v="ITC"/>
    <s v="St. Clair"/>
    <m/>
    <m/>
    <s v="MI"/>
    <s v="DPP-2020"/>
    <s v="East (ITC)"/>
    <s v="GIA"/>
    <s v="NRIS"/>
    <s v="Fitz  120kV"/>
    <n v="100"/>
    <n v="100"/>
    <x v="0"/>
    <s v="Photovoltaic"/>
    <s v="Not Started"/>
    <d v="2026-08-01T00:00:00"/>
    <n v="100"/>
    <n v="100"/>
    <n v="100"/>
    <n v="100"/>
  </r>
  <r>
    <s v="J1517"/>
    <x v="1"/>
    <d v="2020-06-18T00:00:00"/>
    <d v="2023-07-17T00:00:00"/>
    <m/>
    <d v="2023-10-02T00:00:00"/>
    <s v="DUKE ENERGY INDIANA, LLC"/>
    <s v="Vermillion"/>
    <m/>
    <m/>
    <s v="IN"/>
    <s v="DPP-2020"/>
    <s v="Central"/>
    <s v="GIA"/>
    <s v="NRIS"/>
    <s v="Hillsdale North 230 kV"/>
    <n v="40"/>
    <n v="40"/>
    <x v="2"/>
    <s v="Battery Storage"/>
    <s v="Not Started"/>
    <m/>
    <n v="0"/>
    <n v="0"/>
    <n v="0"/>
    <n v="0"/>
  </r>
  <r>
    <s v="J1518"/>
    <x v="0"/>
    <d v="2024-08-29T00:00:00"/>
    <m/>
    <m/>
    <d v="2025-06-20T00:00:00"/>
    <s v="DUKE ENERGY INDIANA, LLC CIN"/>
    <s v="Vermillion"/>
    <m/>
    <m/>
    <s v="IN"/>
    <s v="DPP-2020"/>
    <s v="Central"/>
    <s v="GIA"/>
    <s v="NRIS"/>
    <s v="Hillsdale North"/>
    <n v="185"/>
    <n v="185"/>
    <x v="0"/>
    <s v="Photovoltaic"/>
    <s v="Not Started"/>
    <d v="2027-11-19T00:00:00"/>
    <n v="185"/>
    <n v="185"/>
    <n v="185"/>
    <n v="185"/>
  </r>
  <r>
    <s v="J1519"/>
    <x v="0"/>
    <d v="2020-06-18T00:00:00"/>
    <m/>
    <m/>
    <d v="2024-09-01T00:00:00"/>
    <s v="AMEREN MISSOURI"/>
    <s v="Bollinger"/>
    <m/>
    <m/>
    <s v="MO"/>
    <s v="DPP-2020"/>
    <s v="Central"/>
    <s v="GIA"/>
    <s v="NRIS"/>
    <s v="St. Francois to Lutesville 345 kV"/>
    <n v="200"/>
    <n v="200"/>
    <x v="0"/>
    <s v="Photovoltaic"/>
    <s v="Not Started"/>
    <d v="2025-12-01T00:00:00"/>
    <n v="200"/>
    <n v="200"/>
    <n v="180"/>
    <n v="180"/>
  </r>
  <r>
    <s v="J1520"/>
    <x v="0"/>
    <d v="2020-06-22T00:00:00"/>
    <m/>
    <m/>
    <d v="2024-10-31T00:00:00"/>
    <s v="ITC MIDWEST"/>
    <s v="Worth"/>
    <m/>
    <m/>
    <s v="IA"/>
    <s v="DPP-2020"/>
    <s v="West"/>
    <s v="GIA"/>
    <s v="NRIS"/>
    <s v="Other_"/>
    <n v="135"/>
    <n v="135"/>
    <x v="0"/>
    <s v="Photovoltaic"/>
    <s v="Under Construction"/>
    <d v="2027-10-31T00:00:00"/>
    <n v="135"/>
    <n v="108"/>
    <n v="135"/>
    <n v="108"/>
  </r>
  <r>
    <s v="J1521"/>
    <x v="1"/>
    <d v="2020-06-23T00:00:00"/>
    <d v="2021-11-16T00:00:00"/>
    <m/>
    <d v="2022-10-31T00:00:00"/>
    <s v="OTTER TAIL POWER COMPANY"/>
    <s v="Day"/>
    <m/>
    <m/>
    <s v="SD"/>
    <s v="DPP-2020"/>
    <s v="West"/>
    <s v="GIA"/>
    <s v="NRIS"/>
    <s v="Big Stone to Ellendale (BS3ELR) 345kV (J933)"/>
    <n v="199.5"/>
    <n v="199.5"/>
    <x v="1"/>
    <s v="Wind Turbine"/>
    <s v="Not Started"/>
    <m/>
    <n v="0"/>
    <n v="0"/>
    <n v="0"/>
    <n v="0"/>
  </r>
  <r>
    <s v="J1522"/>
    <x v="1"/>
    <d v="2020-06-12T00:00:00"/>
    <d v="2020-11-30T00:00:00"/>
    <m/>
    <d v="2023-10-01T00:00:00"/>
    <s v="METC"/>
    <s v="Muskegon"/>
    <m/>
    <m/>
    <s v="MI"/>
    <s v="DPP-2020"/>
    <s v="East (ITC)"/>
    <s v="GIA"/>
    <s v="NRIS"/>
    <s v="Grassmere 345kV"/>
    <n v="200"/>
    <n v="200"/>
    <x v="0"/>
    <s v="Photovoltaic"/>
    <s v="Not Started"/>
    <m/>
    <n v="0"/>
    <n v="0"/>
    <n v="0"/>
    <n v="0"/>
  </r>
  <r>
    <s v="J1523"/>
    <x v="1"/>
    <d v="2020-06-10T00:00:00"/>
    <d v="2023-02-10T00:00:00"/>
    <m/>
    <d v="2023-09-01T00:00:00"/>
    <s v="ENTERGY MISSISSIPPI, LLC."/>
    <s v="Leflore"/>
    <m/>
    <m/>
    <s v="MS"/>
    <s v="DPP-2020"/>
    <s v="South"/>
    <s v="GIA"/>
    <s v="NRIS"/>
    <s v="Greenwood - Pickens 115 kV"/>
    <n v="50"/>
    <n v="50"/>
    <x v="2"/>
    <s v="Battery Storage"/>
    <s v="Not Started"/>
    <m/>
    <n v="50"/>
    <n v="50"/>
    <n v="0"/>
    <n v="0"/>
  </r>
  <r>
    <s v="J1524"/>
    <x v="1"/>
    <d v="2020-06-19T00:00:00"/>
    <d v="2021-01-06T00:00:00"/>
    <m/>
    <d v="2023-08-31T00:00:00"/>
    <s v="NORTHERN STATES POWER COMPANY"/>
    <s v="Pipestone"/>
    <m/>
    <m/>
    <s v="MN"/>
    <s v="DPP-2020"/>
    <s v="West"/>
    <s v="GIA"/>
    <s v="NRIS"/>
    <s v="Buffalo Ridge to Pipestone 115kV"/>
    <n v="200"/>
    <n v="200"/>
    <x v="0"/>
    <s v="Photovoltaic"/>
    <s v="Not Started"/>
    <m/>
    <n v="0"/>
    <n v="0"/>
    <n v="0"/>
    <n v="0"/>
  </r>
  <r>
    <s v="J1525"/>
    <x v="0"/>
    <d v="2020-06-12T00:00:00"/>
    <m/>
    <m/>
    <d v="2023-10-01T00:00:00"/>
    <s v="ITC"/>
    <s v="Huron"/>
    <m/>
    <m/>
    <s v="MI"/>
    <s v="DPP-2020"/>
    <s v="East (ITC)"/>
    <s v="GIA"/>
    <s v="NRIS"/>
    <s v="GRASSMERE"/>
    <n v="200"/>
    <n v="200"/>
    <x v="5"/>
    <s v="Photovoltaic"/>
    <s v="Not Started"/>
    <d v="2026-04-30T00:00:00"/>
    <n v="200"/>
    <n v="200"/>
    <n v="200"/>
    <n v="200"/>
  </r>
  <r>
    <s v="J1526"/>
    <x v="1"/>
    <d v="2020-06-14T00:00:00"/>
    <d v="2024-09-12T00:00:00"/>
    <m/>
    <d v="2023-10-01T00:00:00"/>
    <s v="ITC"/>
    <s v="St. Clair"/>
    <m/>
    <m/>
    <s v="MI"/>
    <s v="DPP-2020"/>
    <s v="East (ITC)"/>
    <s v="GIA"/>
    <s v="NRIS"/>
    <s v="Greenwood 345kV"/>
    <n v="200"/>
    <n v="200"/>
    <x v="5"/>
    <s v="Photovoltaic"/>
    <s v="Withdrawn"/>
    <d v="2026-05-13T00:00:00"/>
    <n v="200"/>
    <n v="200"/>
    <n v="200"/>
    <n v="200"/>
  </r>
  <r>
    <s v="J1527"/>
    <x v="1"/>
    <d v="2020-06-23T00:00:00"/>
    <d v="2024-09-12T00:00:00"/>
    <m/>
    <d v="2023-04-01T00:00:00"/>
    <s v="METC"/>
    <s v="Ottawa"/>
    <m/>
    <m/>
    <s v="MI"/>
    <s v="DPP-2020"/>
    <s v="East (ITC)"/>
    <s v="GIA"/>
    <s v="NRIS"/>
    <s v="Kenowa 345kV"/>
    <n v="200"/>
    <n v="200"/>
    <x v="0"/>
    <s v="Photovoltaic"/>
    <s v="Withdrawn"/>
    <d v="2026-04-01T00:00:00"/>
    <n v="200"/>
    <n v="200"/>
    <n v="200"/>
    <n v="200"/>
  </r>
  <r>
    <s v="J1528"/>
    <x v="0"/>
    <d v="2022-03-17T00:00:00"/>
    <m/>
    <m/>
    <d v="2024-06-06T00:00:00"/>
    <s v="NORTHERN STATES POWER COMPANY"/>
    <s v="Dunn"/>
    <m/>
    <m/>
    <s v="WI"/>
    <s v="DPP-2020"/>
    <s v="West"/>
    <s v="GIA"/>
    <s v="NRIS"/>
    <s v="EAU CLAIRE (ENDPOINT A) TO AS KING (ENDPOINT B) 345 KV"/>
    <n v="0"/>
    <n v="0"/>
    <x v="2"/>
    <s v="Battery Storage"/>
    <s v="Not Started"/>
    <d v="2027-06-06T00:00:00"/>
    <n v="0"/>
    <n v="0"/>
    <n v="0"/>
    <n v="0"/>
  </r>
  <r>
    <s v="J1529"/>
    <x v="0"/>
    <d v="2021-04-16T00:00:00"/>
    <m/>
    <m/>
    <d v="2023-09-15T00:00:00"/>
    <s v="MIDAMERICAN ENERGY CO. MEC"/>
    <s v="Carroll"/>
    <m/>
    <m/>
    <s v="IA"/>
    <s v="DPP-2020"/>
    <s v="West"/>
    <s v="GIA"/>
    <s v="NRIS"/>
    <s v="Tap Carroll (635320) - Auburn (635328) 69 kV line at about midpoint"/>
    <n v="50"/>
    <n v="50"/>
    <x v="0"/>
    <s v="Photovoltaic"/>
    <s v="Not Started"/>
    <d v="2026-09-15T00:00:00"/>
    <n v="50"/>
    <n v="50"/>
    <n v="50"/>
    <n v="50"/>
  </r>
  <r>
    <s v="J1530"/>
    <x v="0"/>
    <d v="2021-04-16T00:00:00"/>
    <m/>
    <m/>
    <d v="2023-09-15T00:00:00"/>
    <s v="MIDAMERICAN ENERGY CO. MEC"/>
    <s v="Mills"/>
    <m/>
    <m/>
    <s v="IA"/>
    <s v="DPP-2020"/>
    <s v="West"/>
    <s v="GIA"/>
    <s v="NRIS"/>
    <s v="Tap Hastings (635033) - Macedonia (635069) 69 kV line at about midpoint"/>
    <n v="50"/>
    <n v="50"/>
    <x v="0"/>
    <s v="Photovoltaic"/>
    <s v="Not Started"/>
    <d v="2026-03-01T00:00:00"/>
    <n v="50"/>
    <n v="50"/>
    <n v="50"/>
    <n v="50"/>
  </r>
  <r>
    <s v="J1531"/>
    <x v="1"/>
    <d v="2020-06-23T00:00:00"/>
    <d v="2020-10-08T00:00:00"/>
    <m/>
    <d v="2023-05-01T00:00:00"/>
    <s v="NORTHERN STATES POWER COMPANY"/>
    <s v="Sherburne"/>
    <m/>
    <m/>
    <s v="MN"/>
    <s v="DPP-2020"/>
    <s v="West"/>
    <s v="GIA"/>
    <s v="NRIS"/>
    <s v="Sheroc Substation 345kV"/>
    <n v="200"/>
    <n v="200"/>
    <x v="0"/>
    <s v="Photovoltaic"/>
    <s v="Not Started"/>
    <m/>
    <n v="0"/>
    <n v="0"/>
    <n v="0"/>
    <n v="0"/>
  </r>
  <r>
    <s v="J1532"/>
    <x v="0"/>
    <d v="2021-04-16T00:00:00"/>
    <m/>
    <m/>
    <d v="2023-09-15T00:00:00"/>
    <s v="MIDAMERICAN ENERGY CO. MEC"/>
    <s v="Page"/>
    <m/>
    <m/>
    <s v="IA"/>
    <s v="DPP-2020"/>
    <s v="West"/>
    <s v="GIA"/>
    <s v="NRIS"/>
    <s v="Clarinda-Coburg 69 kV"/>
    <n v="50"/>
    <n v="50"/>
    <x v="0"/>
    <s v="Photovoltaic"/>
    <s v="Not Started"/>
    <d v="2026-09-15T00:00:00"/>
    <n v="50"/>
    <n v="50"/>
    <n v="50"/>
    <n v="50"/>
  </r>
  <r>
    <s v="J1533"/>
    <x v="1"/>
    <d v="2020-06-18T00:00:00"/>
    <d v="2021-11-17T00:00:00"/>
    <m/>
    <d v="2024-06-01T00:00:00"/>
    <s v="MIDAMERICAN ENERGY CO."/>
    <s v="Adams"/>
    <m/>
    <m/>
    <s v="IA"/>
    <s v="DPP-2020"/>
    <s v="West"/>
    <s v="GIA"/>
    <s v="NRIS"/>
    <s v="Creston-Adams County 161kV"/>
    <n v="200"/>
    <n v="200"/>
    <x v="0"/>
    <s v="Photovoltaic"/>
    <s v="Not Started"/>
    <m/>
    <n v="0"/>
    <n v="0"/>
    <n v="0"/>
    <n v="0"/>
  </r>
  <r>
    <s v="J1534"/>
    <x v="0"/>
    <d v="2025-04-14T00:00:00"/>
    <m/>
    <m/>
    <d v="2023-06-01T00:00:00"/>
    <s v="SOUTHERN MINNESOTA MUNICIPAL POWER AGENCY"/>
    <s v="Olmsted"/>
    <m/>
    <m/>
    <s v="MN"/>
    <s v="DPP-2020"/>
    <s v="West"/>
    <s v="GIA"/>
    <s v="NRIS"/>
    <s v="Byron"/>
    <n v="100"/>
    <n v="100"/>
    <x v="0"/>
    <s v="Photovoltaic"/>
    <s v="Not Started"/>
    <m/>
    <n v="100"/>
    <n v="100"/>
    <n v="100"/>
    <n v="100"/>
  </r>
  <r>
    <s v="J1535"/>
    <x v="1"/>
    <d v="2020-06-10T00:00:00"/>
    <d v="2021-03-15T00:00:00"/>
    <m/>
    <d v="2023-09-01T00:00:00"/>
    <s v="DUKE ENERGY INDIANA, LLC"/>
    <s v="Knox"/>
    <m/>
    <m/>
    <s v="IN"/>
    <s v="DPP-2020"/>
    <s v="Central"/>
    <s v="GIA"/>
    <s v="NRIS"/>
    <s v="Edwardsport - Peabody Tap 138 kV Line"/>
    <n v="50"/>
    <n v="50"/>
    <x v="2"/>
    <s v="Battery Storage"/>
    <s v="Not Started"/>
    <m/>
    <n v="0"/>
    <n v="0"/>
    <n v="0"/>
    <n v="0"/>
  </r>
  <r>
    <s v="J1536"/>
    <x v="1"/>
    <d v="2020-06-22T00:00:00"/>
    <d v="2020-11-24T00:00:00"/>
    <m/>
    <d v="2024-10-31T00:00:00"/>
    <s v="METC"/>
    <s v="Isabella"/>
    <m/>
    <m/>
    <s v="MI"/>
    <s v="DPP-2020"/>
    <s v="East (ITC)"/>
    <s v="GIA"/>
    <s v="NRIS"/>
    <s v="Summerton (1) 138 kV"/>
    <n v="150"/>
    <n v="150"/>
    <x v="1"/>
    <s v="Wind Turbine"/>
    <s v="Not Started"/>
    <m/>
    <n v="0"/>
    <n v="0"/>
    <n v="0"/>
    <n v="0"/>
  </r>
  <r>
    <s v="J1537"/>
    <x v="1"/>
    <d v="2020-06-23T00:00:00"/>
    <d v="2022-12-01T00:00:00"/>
    <m/>
    <d v="2024-07-04T00:00:00"/>
    <s v="METC"/>
    <s v="Genesee"/>
    <m/>
    <m/>
    <s v="MI"/>
    <s v="DPP-2020"/>
    <s v="East (ITC)"/>
    <s v="GIA"/>
    <s v="NRIS"/>
    <s v="Thetford #1  - Dort 138kV T-Line"/>
    <n v="150"/>
    <n v="150"/>
    <x v="0"/>
    <s v="Photovoltaic"/>
    <s v="Not Started"/>
    <m/>
    <n v="150"/>
    <n v="150"/>
    <n v="0"/>
    <n v="0"/>
  </r>
  <r>
    <s v="J1538"/>
    <x v="1"/>
    <d v="2020-06-24T00:00:00"/>
    <d v="2020-09-16T00:00:00"/>
    <m/>
    <d v="2023-04-20T00:00:00"/>
    <s v="ENTERGY LOUISIANA, LLC"/>
    <s v="Livingston"/>
    <m/>
    <m/>
    <s v="LA"/>
    <s v="DPP-2020"/>
    <s v="South"/>
    <s v="GIA"/>
    <s v="NRIS"/>
    <s v="Hammond - Coly 230 kV"/>
    <n v="268"/>
    <n v="268"/>
    <x v="0"/>
    <s v="Photovoltaic"/>
    <s v="Not Started"/>
    <m/>
    <n v="0"/>
    <n v="0"/>
    <n v="0"/>
    <n v="0"/>
  </r>
  <r>
    <s v="J1539"/>
    <x v="1"/>
    <d v="2020-06-24T00:00:00"/>
    <d v="2021-12-08T00:00:00"/>
    <m/>
    <d v="2023-04-20T00:00:00"/>
    <s v="ENTERGY LOUISIANA, LLC"/>
    <s v="West Baton Rouge"/>
    <m/>
    <m/>
    <s v="LA"/>
    <s v="DPP-2020"/>
    <s v="South"/>
    <s v="GIA"/>
    <s v="NRIS"/>
    <s v="J683 POI 138 kV"/>
    <n v="146"/>
    <n v="146"/>
    <x v="0"/>
    <s v="Photovoltaic"/>
    <s v="Not Started"/>
    <m/>
    <n v="0"/>
    <n v="0"/>
    <n v="0"/>
    <n v="0"/>
  </r>
  <r>
    <s v="J1540"/>
    <x v="1"/>
    <d v="2020-06-22T00:00:00"/>
    <d v="2020-12-02T00:00:00"/>
    <m/>
    <d v="2024-06-01T00:00:00"/>
    <s v="NORTHERN STATES POWER COMPANY"/>
    <s v="Cass"/>
    <m/>
    <m/>
    <s v="ND"/>
    <s v="DPP-2020"/>
    <s v="West"/>
    <s v="GIA"/>
    <s v="NRIS"/>
    <s v="Bison-Alexandria 345kV"/>
    <n v="200"/>
    <n v="200"/>
    <x v="0"/>
    <s v="Photovoltaic"/>
    <s v="Not Started"/>
    <m/>
    <n v="0"/>
    <n v="0"/>
    <n v="0"/>
    <n v="0"/>
  </r>
  <r>
    <s v="J1541"/>
    <x v="1"/>
    <d v="2020-06-21T00:00:00"/>
    <d v="2020-09-18T00:00:00"/>
    <m/>
    <d v="2023-10-01T00:00:00"/>
    <s v="ENTERGY LOUISIANA, LLC"/>
    <s v="Calcasieu"/>
    <m/>
    <m/>
    <s v="LA"/>
    <s v="DPP-2020"/>
    <s v="South"/>
    <s v="GIA"/>
    <s v="NRIS"/>
    <s v="Donaldsonville 230kV"/>
    <n v="200"/>
    <n v="200"/>
    <x v="0"/>
    <s v="Photovoltaic"/>
    <s v="Not Started"/>
    <m/>
    <n v="0"/>
    <n v="0"/>
    <n v="0"/>
    <n v="0"/>
  </r>
  <r>
    <s v="J1542"/>
    <x v="0"/>
    <d v="2020-06-14T00:00:00"/>
    <m/>
    <d v="2023-01-18T00:00:00"/>
    <d v="2023-10-01T00:00:00"/>
    <s v="ENTERGY LOUISIANA, LLC ELTO"/>
    <s v="St. James"/>
    <m/>
    <m/>
    <s v="LA"/>
    <s v="DPP-2020"/>
    <s v="South"/>
    <s v="GIA"/>
    <s v="NRIS"/>
    <s v="Thibodaux - Vacherie 230kV"/>
    <n v="135"/>
    <n v="135"/>
    <x v="0"/>
    <s v="Photovoltaic"/>
    <s v="Not Started"/>
    <d v="2026-06-01T00:00:00"/>
    <n v="150"/>
    <n v="30"/>
    <n v="135"/>
    <n v="0"/>
  </r>
  <r>
    <s v="J1543"/>
    <x v="1"/>
    <d v="2020-06-22T00:00:00"/>
    <d v="2020-09-18T00:00:00"/>
    <m/>
    <d v="2023-10-01T00:00:00"/>
    <s v="METC"/>
    <s v="Grand Traverse"/>
    <m/>
    <m/>
    <s v="MI"/>
    <s v="DPP-2020"/>
    <s v="East (ITC)"/>
    <s v="GIA"/>
    <s v="NRIS"/>
    <s v="Ludington to Keystone 345kV"/>
    <n v="200"/>
    <n v="200"/>
    <x v="0"/>
    <s v="Photovoltaic"/>
    <s v="Not Started"/>
    <m/>
    <n v="0"/>
    <n v="0"/>
    <n v="0"/>
    <n v="0"/>
  </r>
  <r>
    <s v="J1544"/>
    <x v="1"/>
    <d v="2020-06-24T00:00:00"/>
    <d v="2021-11-17T00:00:00"/>
    <m/>
    <d v="2023-09-01T00:00:00"/>
    <s v="MONTANA-DAKOTA UTILITIES CO."/>
    <s v="Morton"/>
    <m/>
    <m/>
    <s v="ND"/>
    <s v="DPP-2020"/>
    <s v="West"/>
    <s v="GIA"/>
    <s v="NRIS"/>
    <s v="Mandan BN-Northwest Mandan 115kV Line"/>
    <n v="200"/>
    <n v="200"/>
    <x v="0"/>
    <s v="Photovoltaic"/>
    <s v="Not Started"/>
    <m/>
    <n v="0"/>
    <n v="0"/>
    <n v="0"/>
    <n v="0"/>
  </r>
  <r>
    <s v="J1545"/>
    <x v="1"/>
    <d v="2020-06-22T00:00:00"/>
    <d v="2020-12-21T00:00:00"/>
    <m/>
    <d v="2024-01-15T00:00:00"/>
    <s v="ENTERGY LOUISIANA, LLC"/>
    <s v="Morehouse"/>
    <m/>
    <m/>
    <s v="LA"/>
    <s v="DPP-2020"/>
    <s v="South"/>
    <s v="GIA"/>
    <s v="NRIS"/>
    <s v="Crossett North to North Bastrop 115 kV"/>
    <n v="0"/>
    <n v="0"/>
    <x v="2"/>
    <s v="Battery Storage"/>
    <s v="Not Started"/>
    <m/>
    <n v="0"/>
    <n v="0"/>
    <n v="0"/>
    <n v="0"/>
  </r>
  <r>
    <s v="J1546"/>
    <x v="1"/>
    <d v="2020-06-22T00:00:00"/>
    <d v="2020-11-24T00:00:00"/>
    <m/>
    <d v="2023-10-31T00:00:00"/>
    <s v="ITC"/>
    <s v="Monroe"/>
    <m/>
    <m/>
    <s v="MI"/>
    <s v="DPP-2020"/>
    <s v="East (ITC)"/>
    <s v="GIA"/>
    <s v="NRIS"/>
    <s v="Milan - Monroe 345 kV"/>
    <n v="150"/>
    <n v="150"/>
    <x v="0"/>
    <s v="Photovoltaic"/>
    <s v="Not Started"/>
    <m/>
    <n v="0"/>
    <n v="0"/>
    <n v="0"/>
    <n v="0"/>
  </r>
  <r>
    <s v="J1547"/>
    <x v="1"/>
    <d v="2020-06-23T00:00:00"/>
    <d v="2020-10-01T00:00:00"/>
    <m/>
    <d v="2023-09-01T00:00:00"/>
    <s v="ITC MIDWEST"/>
    <s v="Franklin"/>
    <m/>
    <m/>
    <s v="IA"/>
    <s v="DPP-2020"/>
    <s v="West"/>
    <s v="GIA"/>
    <s v="NRIS"/>
    <s v="Killdeer to Blackhawk 345kV Line Tap"/>
    <n v="250"/>
    <n v="250"/>
    <x v="0"/>
    <s v="Photovoltaic"/>
    <s v="Not Started"/>
    <m/>
    <n v="0"/>
    <n v="0"/>
    <n v="0"/>
    <n v="0"/>
  </r>
  <r>
    <s v="J1548"/>
    <x v="1"/>
    <d v="2020-06-18T00:00:00"/>
    <d v="2020-12-18T00:00:00"/>
    <m/>
    <d v="2024-06-01T00:00:00"/>
    <s v="DUKE ENERGY INDIANA, LLC"/>
    <s v="Putnam"/>
    <m/>
    <m/>
    <s v="IN"/>
    <s v="DPP-2020"/>
    <s v="Central"/>
    <s v="GIA"/>
    <s v="NRIS"/>
    <s v="Amo-Edwardsport IGCC 345kV"/>
    <n v="200"/>
    <n v="200"/>
    <x v="0"/>
    <s v="Photovoltaic"/>
    <s v="Not Started"/>
    <m/>
    <n v="0"/>
    <n v="0"/>
    <n v="0"/>
    <n v="0"/>
  </r>
  <r>
    <s v="J1549"/>
    <x v="1"/>
    <d v="2020-06-23T00:00:00"/>
    <d v="2020-10-08T00:00:00"/>
    <m/>
    <d v="2024-06-01T00:00:00"/>
    <s v="ITC MIDWEST"/>
    <s v="Clinton"/>
    <m/>
    <m/>
    <s v="IA"/>
    <s v="DPP-2020"/>
    <s v="West"/>
    <s v="GIA"/>
    <s v="NRIS"/>
    <s v="Rock Creek-DeWitt 161kV line"/>
    <n v="125"/>
    <n v="125"/>
    <x v="0"/>
    <s v="Photovoltaic"/>
    <s v="Not Started"/>
    <m/>
    <n v="0"/>
    <n v="0"/>
    <n v="0"/>
    <n v="0"/>
  </r>
  <r>
    <s v="J1550"/>
    <x v="0"/>
    <d v="2020-06-22T00:00:00"/>
    <m/>
    <m/>
    <d v="2024-07-04T00:00:00"/>
    <s v="METC"/>
    <s v="Branch"/>
    <m/>
    <m/>
    <s v="MI"/>
    <s v="DPP-2020"/>
    <s v="East (ITC)"/>
    <s v="GIA"/>
    <s v="NRIS"/>
    <s v="BARTON LAKE - BATAVIA 138.0kV"/>
    <n v="200"/>
    <n v="200"/>
    <x v="0"/>
    <s v="Photovoltaic"/>
    <s v="In Service"/>
    <d v="2025-09-01T00:00:00"/>
    <n v="200"/>
    <n v="200"/>
    <n v="200"/>
    <n v="200"/>
  </r>
  <r>
    <s v="J1551"/>
    <x v="1"/>
    <d v="2020-06-22T00:00:00"/>
    <d v="2020-12-21T00:00:00"/>
    <m/>
    <d v="2024-01-15T00:00:00"/>
    <s v="ENTERGY LOUISIANA, LLC"/>
    <s v="Morehouse"/>
    <m/>
    <m/>
    <s v="LA"/>
    <s v="DPP-2020"/>
    <s v="South"/>
    <s v="GIA"/>
    <s v="NRIS"/>
    <s v="Crossett North to North Bastrop 115 kV"/>
    <n v="195"/>
    <n v="195"/>
    <x v="0"/>
    <s v="Photovoltaic"/>
    <s v="Not Started"/>
    <m/>
    <n v="0"/>
    <n v="0"/>
    <n v="0"/>
    <n v="0"/>
  </r>
  <r>
    <s v="J1552"/>
    <x v="1"/>
    <d v="2020-06-22T00:00:00"/>
    <d v="2022-01-06T00:00:00"/>
    <m/>
    <d v="2023-09-01T00:00:00"/>
    <s v="METC"/>
    <s v="Jackson"/>
    <m/>
    <m/>
    <s v="MI"/>
    <s v="DPP-2020"/>
    <s v="East (ITC)"/>
    <s v="GIA"/>
    <s v="NRIS"/>
    <s v="Blackstone to Marshall 138kV (J1310 POI)"/>
    <n v="100"/>
    <n v="100"/>
    <x v="0"/>
    <s v="Photovoltaic"/>
    <s v="Not Started"/>
    <m/>
    <n v="0"/>
    <n v="0"/>
    <n v="0"/>
    <n v="0"/>
  </r>
  <r>
    <s v="J1553"/>
    <x v="0"/>
    <d v="2021-12-03T00:00:00"/>
    <m/>
    <m/>
    <d v="2023-09-15T00:00:00"/>
    <s v="METC"/>
    <s v="Clinton"/>
    <m/>
    <m/>
    <s v="MI"/>
    <s v="DPP-2020"/>
    <s v="East (ITC)"/>
    <s v="GIA"/>
    <s v="NRIS"/>
    <s v="BINGHAM"/>
    <n v="150"/>
    <n v="150"/>
    <x v="0"/>
    <s v="Photovoltaic"/>
    <s v="Not Started"/>
    <d v="2025-08-02T00:00:00"/>
    <n v="150"/>
    <n v="150"/>
    <n v="150"/>
    <n v="150"/>
  </r>
  <r>
    <s v="J1554"/>
    <x v="1"/>
    <d v="2020-06-24T00:00:00"/>
    <d v="2020-11-24T00:00:00"/>
    <m/>
    <d v="2023-09-15T00:00:00"/>
    <s v="METC"/>
    <s v="Ionia"/>
    <m/>
    <m/>
    <s v="MI"/>
    <s v="DPP-2020"/>
    <s v="East (ITC)"/>
    <s v="GIA"/>
    <s v="NRIS"/>
    <s v="American Bumper Junction to David Junction 138Kv"/>
    <n v="150"/>
    <n v="150"/>
    <x v="0"/>
    <s v="Photovoltaic"/>
    <s v="Not Started"/>
    <m/>
    <n v="0"/>
    <n v="0"/>
    <n v="0"/>
    <n v="0"/>
  </r>
  <r>
    <s v="J1555"/>
    <x v="1"/>
    <d v="2020-06-24T00:00:00"/>
    <d v="2020-11-24T00:00:00"/>
    <m/>
    <d v="2023-09-15T00:00:00"/>
    <s v="METC"/>
    <s v="Hillsdale"/>
    <m/>
    <m/>
    <s v="MI"/>
    <s v="DPP-2020"/>
    <s v="East (ITC)"/>
    <s v="GIA"/>
    <s v="NRIS"/>
    <s v="Moore Road Substation 138kV"/>
    <n v="100"/>
    <n v="100"/>
    <x v="0"/>
    <s v="Photovoltaic"/>
    <s v="Not Started"/>
    <m/>
    <n v="0"/>
    <n v="0"/>
    <n v="0"/>
    <n v="0"/>
  </r>
  <r>
    <s v="J1556"/>
    <x v="1"/>
    <d v="2020-06-23T00:00:00"/>
    <d v="2021-02-23T00:00:00"/>
    <m/>
    <d v="2023-09-15T00:00:00"/>
    <s v="METC"/>
    <s v="Ottawa"/>
    <m/>
    <m/>
    <s v="MI"/>
    <s v="DPP-2020"/>
    <s v="East (ITC)"/>
    <s v="GIA"/>
    <s v="NRIS"/>
    <s v="Northern Fibre 138kV"/>
    <n v="200"/>
    <n v="200"/>
    <x v="0"/>
    <s v="Photovoltaic"/>
    <s v="Not Started"/>
    <m/>
    <n v="0"/>
    <n v="0"/>
    <n v="0"/>
    <n v="0"/>
  </r>
  <r>
    <s v="J1557"/>
    <x v="0"/>
    <d v="2020-06-23T00:00:00"/>
    <m/>
    <m/>
    <d v="2023-08-31T00:00:00"/>
    <s v="ITC"/>
    <s v="Sanilac"/>
    <m/>
    <m/>
    <s v="MI"/>
    <s v="DPP-2020"/>
    <s v="East (ITC)"/>
    <s v="GIA"/>
    <s v="NRIS"/>
    <s v="GREENWOOD - RAPSON (BANNER) 345.0kV"/>
    <n v="293"/>
    <n v="293"/>
    <x v="1"/>
    <s v="Wind Turbine"/>
    <s v="Not Started"/>
    <d v="2026-08-01T00:00:00"/>
    <n v="293"/>
    <n v="293"/>
    <n v="293"/>
    <n v="293"/>
  </r>
  <r>
    <s v="J1558"/>
    <x v="0"/>
    <d v="2020-06-18T00:00:00"/>
    <m/>
    <m/>
    <d v="2023-04-01T00:00:00"/>
    <s v="ENTERGY ARKANSAS, LLC EATO"/>
    <s v="Pope"/>
    <m/>
    <m/>
    <s v="AR"/>
    <s v="DPP-2020"/>
    <s v="South"/>
    <s v="GIA"/>
    <s v="NRIS"/>
    <s v="MORELAND"/>
    <n v="200"/>
    <n v="200"/>
    <x v="0"/>
    <s v="Photovoltaic"/>
    <s v="Not Started"/>
    <d v="2026-04-01T00:00:00"/>
    <n v="200"/>
    <n v="200"/>
    <n v="200"/>
    <n v="200"/>
  </r>
  <r>
    <s v="J1559"/>
    <x v="0"/>
    <d v="2020-06-18T00:00:00"/>
    <m/>
    <m/>
    <d v="2023-04-01T00:00:00"/>
    <s v="ENTERGY ARKANSAS, LLC EATO"/>
    <s v="Conway"/>
    <m/>
    <m/>
    <s v="AR"/>
    <s v="DPP-2020"/>
    <s v="South"/>
    <s v="GIA"/>
    <s v="NRIS"/>
    <s v="Morrilton East Substation (161kV bus)"/>
    <n v="200"/>
    <n v="200"/>
    <x v="0"/>
    <s v="Photovoltaic"/>
    <s v="Under Construction"/>
    <d v="2026-04-01T00:00:00"/>
    <n v="200"/>
    <n v="200"/>
    <n v="200"/>
    <n v="140"/>
  </r>
  <r>
    <s v="J1560"/>
    <x v="1"/>
    <d v="2020-06-18T00:00:00"/>
    <d v="2025-10-27T00:00:00"/>
    <m/>
    <d v="2023-04-01T00:00:00"/>
    <s v="CLECO POWER LLC"/>
    <s v="Iberia"/>
    <m/>
    <m/>
    <s v="LA"/>
    <s v="DPP-2020"/>
    <s v="South"/>
    <s v="GIA"/>
    <s v="NRIS"/>
    <s v="Patoutville Substation (138kV bus)"/>
    <n v="200"/>
    <n v="200"/>
    <x v="0"/>
    <s v="Photovoltaic"/>
    <s v="Not Started"/>
    <m/>
    <n v="0"/>
    <n v="0"/>
    <n v="0"/>
    <n v="0"/>
  </r>
  <r>
    <s v="J1561"/>
    <x v="0"/>
    <d v="2021-10-20T00:00:00"/>
    <m/>
    <d v="2023-01-18T00:00:00"/>
    <d v="2023-10-30T00:00:00"/>
    <s v="ENTERGY LOUISIANA, LLC ELTO"/>
    <s v="Acadia"/>
    <m/>
    <m/>
    <s v="LA"/>
    <s v="DPP-2020"/>
    <s v="South"/>
    <s v="GIA"/>
    <s v="NRIS"/>
    <s v="Richard 138kV"/>
    <n v="75"/>
    <n v="75"/>
    <x v="0"/>
    <s v="Photovoltaic"/>
    <s v="Not Started"/>
    <d v="2026-04-01T00:00:00"/>
    <n v="75"/>
    <n v="75"/>
    <n v="75"/>
    <n v="75"/>
  </r>
  <r>
    <s v="J1562"/>
    <x v="0"/>
    <d v="2020-06-12T00:00:00"/>
    <m/>
    <d v="2023-01-18T00:00:00"/>
    <d v="2023-09-01T00:00:00"/>
    <s v="ENTERGY ARKANSAS, LLC EATO"/>
    <s v="Mississippi"/>
    <m/>
    <m/>
    <s v="AR"/>
    <s v="DPP-2020"/>
    <s v="South"/>
    <s v="GIA"/>
    <s v="NRIS"/>
    <s v="BLYTHEVILLE I-55 - AECC BLYTHEVILLE NORTH 161.0kV"/>
    <n v="200"/>
    <n v="200"/>
    <x v="0"/>
    <s v="Photovoltaic"/>
    <s v="Not Started"/>
    <d v="2025-01-31T00:00:00"/>
    <n v="200"/>
    <n v="200"/>
    <n v="200"/>
    <n v="200"/>
  </r>
  <r>
    <s v="J1563"/>
    <x v="1"/>
    <d v="2020-06-18T00:00:00"/>
    <d v="2024-09-03T00:00:00"/>
    <m/>
    <d v="2023-04-01T00:00:00"/>
    <s v="DUKE ENERGY INDIANA, LLC"/>
    <s v="Putnam"/>
    <m/>
    <m/>
    <s v="IN"/>
    <s v="DPP-2020"/>
    <s v="Central"/>
    <s v="GIA"/>
    <s v="NRIS"/>
    <s v="Whitesville - Wabash River 230kV line"/>
    <n v="200"/>
    <n v="200"/>
    <x v="0"/>
    <s v="Photovoltaic"/>
    <s v="Not Started"/>
    <m/>
    <n v="200"/>
    <n v="200"/>
    <n v="0"/>
    <n v="0"/>
  </r>
  <r>
    <s v="J1564"/>
    <x v="0"/>
    <d v="2020-06-08T00:00:00"/>
    <m/>
    <d v="2023-01-18T00:00:00"/>
    <d v="2023-09-01T00:00:00"/>
    <s v="ENTERGY LOUISIANA, LLC ELTO"/>
    <s v="Washington"/>
    <m/>
    <m/>
    <s v="LA"/>
    <s v="DPP-2020"/>
    <s v="South"/>
    <s v="GIA"/>
    <s v="NRIS"/>
    <s v="Talisheek - Bogalusa 230 kV Line"/>
    <n v="100"/>
    <n v="100"/>
    <x v="0"/>
    <s v="Photovoltaic"/>
    <s v="Not Started"/>
    <d v="2025-12-22T00:00:00"/>
    <n v="100"/>
    <n v="100"/>
    <n v="100"/>
    <n v="100"/>
  </r>
  <r>
    <s v="J1565"/>
    <x v="1"/>
    <d v="2020-06-18T00:00:00"/>
    <d v="2024-01-16T00:00:00"/>
    <m/>
    <d v="2023-04-01T00:00:00"/>
    <s v="DUKE ENERGY INDIANA, LLC"/>
    <s v="Lawrence"/>
    <m/>
    <m/>
    <s v="IN"/>
    <s v="DPP-2020"/>
    <s v="Central"/>
    <s v="GIA"/>
    <s v="NRIS"/>
    <s v="Bedford - Columbus 345kV line (Line #34517)"/>
    <n v="200"/>
    <n v="200"/>
    <x v="0"/>
    <s v="Photovoltaic"/>
    <s v="Not Started"/>
    <m/>
    <n v="0"/>
    <n v="0"/>
    <n v="0"/>
    <n v="0"/>
  </r>
  <r>
    <s v="J1566"/>
    <x v="0"/>
    <d v="2022-02-11T00:00:00"/>
    <m/>
    <m/>
    <d v="2023-09-01T00:00:00"/>
    <s v="SOUTHERN MINNESOTA MUNICIPAL POWER AGENCY"/>
    <s v="Martin"/>
    <m/>
    <m/>
    <s v="MN"/>
    <s v="DPP-2020"/>
    <s v="West"/>
    <s v="GIA"/>
    <s v="NRIS"/>
    <s v="Rutland"/>
    <n v="150"/>
    <n v="150"/>
    <x v="0"/>
    <s v="Photovoltaic"/>
    <s v="Not Started"/>
    <d v="2026-09-01T00:00:00"/>
    <n v="150"/>
    <n v="150"/>
    <n v="150"/>
    <n v="150"/>
  </r>
  <r>
    <s v="J1567"/>
    <x v="1"/>
    <d v="2022-02-22T00:00:00"/>
    <d v="2023-06-22T00:00:00"/>
    <m/>
    <d v="2023-10-01T00:00:00"/>
    <s v="AMERICAN TRANSMISSION COMPANY"/>
    <s v="Outagamie"/>
    <m/>
    <m/>
    <s v="WI"/>
    <s v="DPP-2020"/>
    <s v="East (ATC)"/>
    <s v="GIA"/>
    <s v="NRIS"/>
    <s v="Werber W -  Hiway 22 345 kV line"/>
    <n v="150"/>
    <n v="150"/>
    <x v="0"/>
    <s v="Photovoltaic"/>
    <s v="Not Started"/>
    <m/>
    <n v="150"/>
    <n v="150"/>
    <n v="150"/>
    <n v="150"/>
  </r>
  <r>
    <s v="J1568"/>
    <x v="1"/>
    <d v="2020-06-23T00:00:00"/>
    <d v="2021-01-05T00:00:00"/>
    <m/>
    <d v="2023-08-31T00:00:00"/>
    <s v="NORTHERN STATES POWER COMPANY"/>
    <s v="Renville"/>
    <m/>
    <m/>
    <s v="MN"/>
    <s v="DPP-2020"/>
    <s v="West"/>
    <s v="GIA"/>
    <s v="NRIS"/>
    <s v="Franklin 115kV"/>
    <n v="100"/>
    <n v="100"/>
    <x v="0"/>
    <s v="Photovoltaic"/>
    <s v="Not Started"/>
    <m/>
    <n v="0"/>
    <n v="0"/>
    <n v="0"/>
    <n v="0"/>
  </r>
  <r>
    <s v="J1569"/>
    <x v="1"/>
    <d v="2020-06-22T00:00:00"/>
    <d v="2021-01-05T00:00:00"/>
    <m/>
    <d v="2023-08-31T00:00:00"/>
    <s v="NORTHERN STATES POWER COMPANY"/>
    <s v="Pierce"/>
    <m/>
    <m/>
    <s v="WI"/>
    <s v="DPP-2020"/>
    <s v="West"/>
    <s v="GIA"/>
    <s v="NRIS"/>
    <s v="Red Wing to Herbert 69kV (Redwing - Bay City - Esdaile - Herbert)"/>
    <n v="44"/>
    <n v="44"/>
    <x v="0"/>
    <s v="Photovoltaic"/>
    <s v="Not Started"/>
    <m/>
    <n v="0"/>
    <n v="0"/>
    <n v="0"/>
    <n v="0"/>
  </r>
  <r>
    <s v="J1570"/>
    <x v="1"/>
    <d v="2020-06-25T00:00:00"/>
    <d v="2020-10-08T00:00:00"/>
    <m/>
    <d v="2023-09-01T00:00:00"/>
    <s v="ITC MIDWEST"/>
    <s v="Rock"/>
    <m/>
    <m/>
    <s v="MN"/>
    <s v="DPP-2020"/>
    <s v="West"/>
    <s v="GIA"/>
    <s v="NRIS"/>
    <s v="Magnolia 161 kV"/>
    <n v="200"/>
    <n v="200"/>
    <x v="0"/>
    <s v="Photovoltaic"/>
    <s v="Not Started"/>
    <m/>
    <n v="0"/>
    <n v="0"/>
    <n v="0"/>
    <n v="0"/>
  </r>
  <r>
    <s v="J1571"/>
    <x v="0"/>
    <d v="2021-12-03T00:00:00"/>
    <m/>
    <m/>
    <d v="2023-09-15T00:00:00"/>
    <s v="METC"/>
    <s v="Lenawee"/>
    <m/>
    <m/>
    <s v="MI"/>
    <s v="DPP-2020"/>
    <s v="East (ITC)"/>
    <s v="GIA"/>
    <s v="NRIS"/>
    <s v="MOROCCO"/>
    <n v="200"/>
    <n v="200"/>
    <x v="0"/>
    <s v="Photovoltaic"/>
    <s v="Not Started"/>
    <d v="2025-04-15T00:00:00"/>
    <n v="175"/>
    <n v="175"/>
    <n v="175"/>
    <n v="175"/>
  </r>
  <r>
    <s v="J1572"/>
    <x v="0"/>
    <d v="2020-06-23T00:00:00"/>
    <m/>
    <m/>
    <d v="2023-10-15T00:00:00"/>
    <s v="NORTHERN STATES POWER COMPANY"/>
    <s v="Faribault"/>
    <m/>
    <m/>
    <s v="MN"/>
    <s v="DPP-2020"/>
    <s v="West"/>
    <s v="GIA"/>
    <s v="NRIS"/>
    <s v="Huntley to Blue Earth 161kV"/>
    <n v="150"/>
    <n v="150"/>
    <x v="5"/>
    <s v="Solar/Battery"/>
    <s v="Not Started"/>
    <m/>
    <n v="150"/>
    <n v="150"/>
    <n v="150"/>
    <n v="150"/>
  </r>
  <r>
    <s v="J1573"/>
    <x v="0"/>
    <d v="2020-06-22T00:00:00"/>
    <m/>
    <m/>
    <d v="2023-09-01T00:00:00"/>
    <s v="AMERICAN TRANSMISSION COMPANY"/>
    <s v="Portage"/>
    <m/>
    <m/>
    <s v="WI"/>
    <s v="DPP-2020"/>
    <s v="East (ATC)"/>
    <s v="GIA"/>
    <s v="NRIS"/>
    <s v="Plover"/>
    <n v="250"/>
    <n v="250"/>
    <x v="0"/>
    <s v="Photovoltaic"/>
    <s v="Not Started"/>
    <d v="2026-09-01T00:00:00"/>
    <n v="250"/>
    <n v="250"/>
    <n v="250"/>
    <n v="130"/>
  </r>
  <r>
    <s v="J1574"/>
    <x v="1"/>
    <d v="2020-06-24T00:00:00"/>
    <d v="2021-08-03T00:00:00"/>
    <m/>
    <d v="2023-08-01T00:00:00"/>
    <s v="ENTERGY LOUISIANA, LLC"/>
    <s v="West Carroll"/>
    <m/>
    <m/>
    <s v="LA"/>
    <s v="DPP-2020"/>
    <s v="South"/>
    <s v="GIA"/>
    <s v="NRIS"/>
    <s v="Darnell 115kV"/>
    <n v="99"/>
    <n v="99"/>
    <x v="5"/>
    <s v="Solar/Battery"/>
    <s v="Not Started"/>
    <m/>
    <n v="0"/>
    <n v="0"/>
    <n v="0"/>
    <n v="0"/>
  </r>
  <r>
    <s v="J1575"/>
    <x v="0"/>
    <d v="2020-06-25T00:00:00"/>
    <m/>
    <m/>
    <d v="2025-12-01T00:00:00"/>
    <s v="OTTER TAIL POWER COMPANY OTP"/>
    <s v="Marshall"/>
    <m/>
    <m/>
    <s v="MN"/>
    <s v="DPP-2020"/>
    <s v="West"/>
    <s v="GIA"/>
    <s v="NRIS"/>
    <s v="115 kV transmission line from Warsaw to Donaldson owned by Otter Tail Power Company"/>
    <n v="70"/>
    <n v="70"/>
    <x v="1"/>
    <s v="Wind Turbine"/>
    <s v="Not Started"/>
    <d v="2028-08-03T00:00:00"/>
    <n v="70"/>
    <n v="70"/>
    <n v="70"/>
    <n v="70"/>
  </r>
  <r>
    <s v="J1576"/>
    <x v="0"/>
    <d v="2022-03-03T00:00:00"/>
    <m/>
    <d v="2023-01-18T00:00:00"/>
    <d v="2026-01-15T00:00:00"/>
    <s v="ENTERGY LOUISIANA, LLC ELTO"/>
    <s v="Washington"/>
    <m/>
    <m/>
    <s v="LA"/>
    <s v="DPP-2020"/>
    <s v="South"/>
    <s v="GIA"/>
    <s v="NRIS"/>
    <s v="Angie to Adams Creek 230 kV"/>
    <n v="200"/>
    <n v="200"/>
    <x v="0"/>
    <s v="Photovoltaic"/>
    <s v="Not Started"/>
    <d v="2026-11-01T00:00:00"/>
    <n v="200"/>
    <n v="70"/>
    <n v="200"/>
    <n v="0"/>
  </r>
  <r>
    <s v="J1577"/>
    <x v="0"/>
    <d v="2020-06-25T00:00:00"/>
    <m/>
    <m/>
    <d v="2025-10-15T00:00:00"/>
    <s v="ENTERGY ARKANSAS, LLC"/>
    <s v="Grant"/>
    <m/>
    <m/>
    <s v="AR"/>
    <s v="DPP-2020"/>
    <s v="South"/>
    <s v="GIA"/>
    <s v="NRIS"/>
    <s v="HARDIN WEST SS - SHERIDAN 115.0kV"/>
    <n v="100"/>
    <n v="100"/>
    <x v="0"/>
    <s v="Photovoltaic"/>
    <s v="In Service"/>
    <d v="2025-05-01T00:00:00"/>
    <n v="100"/>
    <n v="100"/>
    <n v="100"/>
    <n v="100"/>
  </r>
  <r>
    <s v="J1578"/>
    <x v="1"/>
    <d v="2020-06-18T00:00:00"/>
    <d v="2025-08-20T00:00:00"/>
    <m/>
    <d v="2023-04-01T00:00:00"/>
    <s v="DUKE ENERGY INDIANA, LLC"/>
    <s v="Bartholomew"/>
    <m/>
    <m/>
    <s v="IN"/>
    <s v="DPP-2020"/>
    <s v="Central"/>
    <s v="GIA"/>
    <s v="NRIS"/>
    <s v="Columbus -Greenwood Clark Twp 230kV line (Circuit ID 23019)"/>
    <n v="200"/>
    <n v="200"/>
    <x v="0"/>
    <s v="Photovoltaic"/>
    <s v="Not Started"/>
    <m/>
    <n v="200"/>
    <n v="200"/>
    <n v="200"/>
    <n v="200"/>
  </r>
  <r>
    <s v="J1579"/>
    <x v="1"/>
    <d v="2020-06-18T00:00:00"/>
    <d v="2024-09-03T00:00:00"/>
    <m/>
    <d v="2023-04-01T00:00:00"/>
    <s v="AMEREN ILLINOIS"/>
    <s v="Edwards"/>
    <m/>
    <m/>
    <s v="IL"/>
    <s v="DPP-2020"/>
    <s v="Central"/>
    <s v="GIA"/>
    <s v="NRIS"/>
    <s v="Albion-Crossville 138kV Line"/>
    <n v="200"/>
    <n v="200"/>
    <x v="0"/>
    <s v="Photovoltaic"/>
    <s v="Not Started"/>
    <m/>
    <n v="200"/>
    <n v="200"/>
    <n v="0"/>
    <n v="0"/>
  </r>
  <r>
    <s v="J1580"/>
    <x v="1"/>
    <d v="2020-06-19T00:00:00"/>
    <d v="2020-11-30T00:00:00"/>
    <m/>
    <d v="2023-10-01T00:00:00"/>
    <s v="METC"/>
    <s v="Ottawa"/>
    <m/>
    <m/>
    <s v="MI"/>
    <s v="DPP-2020"/>
    <s v="East (ITC)"/>
    <s v="GIA"/>
    <s v="NRIS"/>
    <s v="Cobb - Archer Junction  138kV #2"/>
    <n v="100"/>
    <n v="100"/>
    <x v="0"/>
    <s v="Photovoltaic"/>
    <s v="Not Started"/>
    <m/>
    <n v="0"/>
    <n v="0"/>
    <n v="0"/>
    <n v="0"/>
  </r>
  <r>
    <s v="J1581"/>
    <x v="0"/>
    <d v="2024-04-17T00:00:00"/>
    <m/>
    <m/>
    <d v="2023-09-01T00:00:00"/>
    <s v="NORTHERN STATES POWER COMPANY"/>
    <s v="Nobles"/>
    <m/>
    <m/>
    <s v="MN"/>
    <s v="DPP-2020"/>
    <s v="West"/>
    <s v="GIA"/>
    <s v="NRIS"/>
    <s v="NOBLES COUNTY"/>
    <n v="200"/>
    <n v="200"/>
    <x v="0"/>
    <s v="Photovoltaic"/>
    <s v="Not Started"/>
    <d v="2026-09-01T00:00:00"/>
    <n v="200"/>
    <n v="200"/>
    <n v="200"/>
    <n v="200"/>
  </r>
  <r>
    <s v="J1582"/>
    <x v="1"/>
    <d v="2022-02-28T00:00:00"/>
    <d v="2023-01-31T00:00:00"/>
    <m/>
    <d v="2024-06-06T00:00:00"/>
    <s v="NORTHERN STATES POWER COMPANY"/>
    <s v="St. Croix"/>
    <m/>
    <m/>
    <s v="WI"/>
    <s v="DPP-2020"/>
    <s v="West"/>
    <s v="GIA"/>
    <s v="NRIS"/>
    <s v="Pine Lake to Three Lakes 115 kV"/>
    <n v="160"/>
    <n v="160"/>
    <x v="0"/>
    <s v="Photovoltaic"/>
    <s v="Not Started"/>
    <m/>
    <n v="160"/>
    <n v="160"/>
    <n v="0"/>
    <n v="0"/>
  </r>
  <r>
    <s v="J1583"/>
    <x v="0"/>
    <d v="2020-06-14T00:00:00"/>
    <m/>
    <d v="2023-01-18T00:00:00"/>
    <d v="2023-10-01T00:00:00"/>
    <s v="ENTERGY LOUISIANA, LLC ELTO"/>
    <s v="Iberville"/>
    <m/>
    <m/>
    <s v="LA"/>
    <s v="DPP-2020"/>
    <s v="South"/>
    <s v="GIA"/>
    <s v="NRIS"/>
    <s v="Donaldsonville - Evergreen 230kV"/>
    <n v="175"/>
    <n v="175"/>
    <x v="0"/>
    <s v="Photovoltaic"/>
    <s v="Not Started"/>
    <d v="2025-06-01T00:00:00"/>
    <n v="175"/>
    <n v="175"/>
    <n v="175"/>
    <n v="175"/>
  </r>
  <r>
    <s v="J1584"/>
    <x v="1"/>
    <d v="2020-06-21T00:00:00"/>
    <d v="2020-09-18T00:00:00"/>
    <m/>
    <d v="2023-10-01T00:00:00"/>
    <s v="ENTERGY LOUISIANA, LLC"/>
    <s v="Calcasieu"/>
    <m/>
    <m/>
    <s v="LA"/>
    <s v="DPP-2020"/>
    <s v="South"/>
    <s v="GIA"/>
    <s v="NRIS"/>
    <s v="Toomey  138kV"/>
    <n v="150"/>
    <n v="150"/>
    <x v="0"/>
    <s v="Photovoltaic"/>
    <s v="Not Started"/>
    <m/>
    <n v="0"/>
    <n v="0"/>
    <n v="0"/>
    <n v="0"/>
  </r>
  <r>
    <s v="J1585"/>
    <x v="1"/>
    <d v="2020-06-18T00:00:00"/>
    <d v="2023-11-28T00:00:00"/>
    <m/>
    <d v="2023-04-01T00:00:00"/>
    <s v="AMEREN MISSOURI"/>
    <s v="Moniteau"/>
    <m/>
    <m/>
    <s v="MO"/>
    <s v="DPP-2020"/>
    <s v="Central"/>
    <s v="GIA"/>
    <s v="NRIS"/>
    <s v="Apache Tap - Barnett 161kV line"/>
    <n v="200"/>
    <n v="200"/>
    <x v="0"/>
    <s v="Photovoltaic"/>
    <s v="Not Started"/>
    <m/>
    <n v="0"/>
    <n v="0"/>
    <n v="0"/>
    <n v="0"/>
  </r>
  <r>
    <s v="J1586"/>
    <x v="0"/>
    <d v="2020-06-25T00:00:00"/>
    <m/>
    <m/>
    <d v="2023-09-30T00:00:00"/>
    <s v="METC"/>
    <s v="Calhoun"/>
    <m/>
    <m/>
    <s v="MI"/>
    <s v="DPP-2020"/>
    <s v="East (ITC)"/>
    <s v="GIA"/>
    <s v="NRIS"/>
    <s v="Argenta to Tompkins 345kV line"/>
    <n v="499"/>
    <n v="499"/>
    <x v="5"/>
    <s v="Solar/Battery"/>
    <s v="Not Started"/>
    <d v="2025-06-01T00:00:00"/>
    <n v="499"/>
    <n v="499"/>
    <n v="499"/>
    <n v="499"/>
  </r>
  <r>
    <s v="J1587"/>
    <x v="0"/>
    <d v="2020-06-22T00:00:00"/>
    <m/>
    <m/>
    <d v="2023-09-01T00:00:00"/>
    <s v="ITC"/>
    <s v="Muskegon"/>
    <m/>
    <m/>
    <s v="MI"/>
    <s v="DPP-2020"/>
    <s v="East (ITC)"/>
    <s v="GIA"/>
    <s v="NRIS"/>
    <s v="Du Pont to Cobb 138 KV (J1375 POI)"/>
    <n v="100"/>
    <n v="100"/>
    <x v="0"/>
    <s v="Photovoltaic"/>
    <s v="Not Started"/>
    <d v="2025-09-08T00:00:00"/>
    <n v="100"/>
    <n v="100"/>
    <n v="100"/>
    <n v="100"/>
  </r>
  <r>
    <s v="J1588"/>
    <x v="0"/>
    <d v="2024-04-30T00:00:00"/>
    <m/>
    <m/>
    <d v="2023-09-01T00:00:00"/>
    <s v="NORTHERN STATES POWER COMPANY"/>
    <s v="Cass"/>
    <m/>
    <m/>
    <s v="ND"/>
    <s v="DPP-2020"/>
    <s v="West"/>
    <s v="GIA"/>
    <s v="NRIS"/>
    <s v="BISON"/>
    <n v="200"/>
    <n v="200"/>
    <x v="0"/>
    <s v="Photovoltaic"/>
    <s v="Not Started"/>
    <d v="2026-09-01T00:00:00"/>
    <n v="200"/>
    <n v="200"/>
    <n v="200"/>
    <n v="200"/>
  </r>
  <r>
    <s v="J1589"/>
    <x v="1"/>
    <d v="2020-06-23T00:00:00"/>
    <d v="2022-01-04T00:00:00"/>
    <m/>
    <d v="2022-12-15T00:00:00"/>
    <s v="METC"/>
    <s v="Clinton"/>
    <m/>
    <m/>
    <s v="MI"/>
    <s v="DPP-2020"/>
    <s v="East (ITC)"/>
    <s v="GIA"/>
    <s v="NRIS"/>
    <s v="Hubbardston - Tech Drive 138kV"/>
    <n v="150"/>
    <n v="150"/>
    <x v="0"/>
    <s v="Photovoltaic"/>
    <s v="Not Started"/>
    <m/>
    <n v="0"/>
    <n v="0"/>
    <n v="0"/>
    <n v="0"/>
  </r>
  <r>
    <s v="J1590"/>
    <x v="0"/>
    <d v="2024-06-05T00:00:00"/>
    <m/>
    <m/>
    <d v="2024-10-30T00:00:00"/>
    <s v="MIDAMERICAN ENERGY CO. MEC"/>
    <s v="Plymouth"/>
    <m/>
    <m/>
    <s v="IA"/>
    <s v="DPP-2020"/>
    <s v="West"/>
    <s v="GIA"/>
    <s v="NRIS"/>
    <s v="REMSEN TOWNSHIP"/>
    <n v="200"/>
    <n v="200"/>
    <x v="1"/>
    <s v="Wind Turbine"/>
    <s v="Not Started"/>
    <d v="2026-09-15T00:00:00"/>
    <n v="200"/>
    <n v="40"/>
    <n v="200"/>
    <n v="40"/>
  </r>
  <r>
    <s v="J1591"/>
    <x v="1"/>
    <d v="2020-06-22T00:00:00"/>
    <d v="2024-09-03T00:00:00"/>
    <m/>
    <d v="2023-09-01T00:00:00"/>
    <s v="DUKE ENERGY INDIANA, LLC"/>
    <s v="Clay"/>
    <m/>
    <m/>
    <s v="IN"/>
    <s v="DPP-2020"/>
    <s v="Central"/>
    <s v="GIA"/>
    <s v="NRIS"/>
    <s v="Staunton 138kV"/>
    <n v="150"/>
    <n v="150"/>
    <x v="0"/>
    <s v="Photovoltaic"/>
    <s v="Not Started"/>
    <m/>
    <n v="150"/>
    <n v="150"/>
    <n v="0"/>
    <n v="0"/>
  </r>
  <r>
    <s v="J1592"/>
    <x v="1"/>
    <d v="2020-06-18T00:00:00"/>
    <d v="2023-12-08T00:00:00"/>
    <m/>
    <d v="2023-04-01T00:00:00"/>
    <s v="ENTERGY ARKANSAS, LLC"/>
    <s v="Pope"/>
    <m/>
    <m/>
    <s v="AR"/>
    <s v="DPP-2020"/>
    <s v="South"/>
    <s v="GIA"/>
    <s v="NRIS"/>
    <s v="MORRILTON EAST - Atkins 161 kV"/>
    <n v="200"/>
    <n v="200"/>
    <x v="0"/>
    <s v="Photovoltaic"/>
    <s v="Not Started"/>
    <m/>
    <n v="200"/>
    <n v="200"/>
    <n v="0"/>
    <n v="0"/>
  </r>
  <r>
    <s v="J1593"/>
    <x v="1"/>
    <d v="2020-06-18T00:00:00"/>
    <d v="2024-09-03T00:00:00"/>
    <m/>
    <d v="2024-10-30T00:00:00"/>
    <s v="DUKE ENERGY INDIANA, LLC"/>
    <s v="Rush"/>
    <m/>
    <m/>
    <s v="IN"/>
    <s v="DPP-2020"/>
    <s v="Central"/>
    <s v="GIA"/>
    <s v="NRIS"/>
    <s v="Greensboro-Gwynneville 345kV"/>
    <n v="200"/>
    <n v="200"/>
    <x v="0"/>
    <s v="Photovoltaic"/>
    <s v="Not Started"/>
    <m/>
    <n v="200"/>
    <n v="200"/>
    <n v="0"/>
    <n v="0"/>
  </r>
  <r>
    <s v="J1594"/>
    <x v="1"/>
    <d v="2020-06-25T00:00:00"/>
    <d v="2021-11-17T00:00:00"/>
    <m/>
    <d v="2023-08-01T00:00:00"/>
    <s v="OTTER TAIL POWER COMPANY"/>
    <s v="Clark"/>
    <m/>
    <m/>
    <s v="SD"/>
    <s v="DPP-2020"/>
    <s v="West"/>
    <s v="GIA"/>
    <s v="NRIS"/>
    <s v="Big Stone to Ellendale 345 kV"/>
    <n v="200"/>
    <n v="200"/>
    <x v="1"/>
    <s v="Wind Turbine"/>
    <s v="Not Started"/>
    <m/>
    <n v="0"/>
    <n v="0"/>
    <n v="0"/>
    <n v="0"/>
  </r>
  <r>
    <s v="J1595"/>
    <x v="1"/>
    <d v="2020-06-19T00:00:00"/>
    <d v="2021-01-05T00:00:00"/>
    <m/>
    <d v="2023-08-31T00:00:00"/>
    <s v="ENTERGY LOUISIANA, LLC"/>
    <s v="St. Martin"/>
    <m/>
    <m/>
    <s v="LA"/>
    <s v="DPP-2020"/>
    <s v="South"/>
    <s v="GIA"/>
    <s v="NRIS"/>
    <s v="Kirk 138kV"/>
    <n v="100"/>
    <n v="100"/>
    <x v="0"/>
    <s v="Photovoltaic"/>
    <s v="Not Started"/>
    <m/>
    <n v="0"/>
    <n v="0"/>
    <n v="0"/>
    <n v="0"/>
  </r>
  <r>
    <s v="J1596"/>
    <x v="1"/>
    <d v="2020-06-18T00:00:00"/>
    <d v="2021-02-24T00:00:00"/>
    <m/>
    <d v="2023-10-15T00:00:00"/>
    <s v="AMERICAN TRANSMISSION COMPANY"/>
    <s v="Waushara"/>
    <m/>
    <m/>
    <s v="WI"/>
    <s v="DPP-2020"/>
    <s v="East (ATC)"/>
    <s v="GIA"/>
    <s v="NRIS"/>
    <s v="Sand Lake 138kV"/>
    <n v="100"/>
    <n v="100"/>
    <x v="0"/>
    <s v="Photovoltaic"/>
    <s v="Not Started"/>
    <m/>
    <n v="0"/>
    <n v="0"/>
    <n v="0"/>
    <n v="0"/>
  </r>
  <r>
    <s v="J1597"/>
    <x v="1"/>
    <d v="2020-06-23T00:00:00"/>
    <d v="2021-11-17T00:00:00"/>
    <m/>
    <d v="2023-09-01T00:00:00"/>
    <s v="GREAT RIVER ENERGY"/>
    <s v="Wadena"/>
    <m/>
    <m/>
    <s v="MN"/>
    <s v="DPP-2020"/>
    <s v="West"/>
    <s v="GIA"/>
    <s v="NRIS"/>
    <s v="Wing River Substation 230kV"/>
    <n v="75"/>
    <n v="75"/>
    <x v="0"/>
    <s v="Photovoltaic"/>
    <s v="Not Started"/>
    <m/>
    <n v="0"/>
    <n v="0"/>
    <n v="0"/>
    <n v="0"/>
  </r>
  <r>
    <s v="J1598"/>
    <x v="0"/>
    <d v="2023-12-11T00:00:00"/>
    <m/>
    <d v="2023-01-18T00:00:00"/>
    <d v="2023-09-15T00:00:00"/>
    <s v="ENTERGY LOUISIANA, LLC ELTO"/>
    <s v="Calcasieu"/>
    <m/>
    <m/>
    <s v="LA"/>
    <s v="DPP-2020"/>
    <s v="South"/>
    <s v="GIA"/>
    <s v="NRIS"/>
    <s v="Goos Ferry"/>
    <n v="325"/>
    <n v="325"/>
    <x v="0"/>
    <s v="Photovoltaic"/>
    <s v="Not Started"/>
    <d v="2026-09-01T00:00:00"/>
    <n v="325"/>
    <n v="0"/>
    <n v="325"/>
    <n v="0"/>
  </r>
  <r>
    <s v="J1599"/>
    <x v="1"/>
    <d v="2020-06-23T00:00:00"/>
    <d v="2026-02-13T00:00:00"/>
    <m/>
    <d v="2023-09-01T00:00:00"/>
    <s v="CLECO POWER LLC"/>
    <s v="Iberia"/>
    <m/>
    <m/>
    <s v="LA"/>
    <s v="DPP-2020"/>
    <s v="South"/>
    <s v="GIA"/>
    <s v="NRIS"/>
    <s v="Morbihan - Hopkins 138kV"/>
    <n v="100"/>
    <n v="100"/>
    <x v="5"/>
    <s v="Solar/Battery"/>
    <s v="Withdrawn"/>
    <d v="2025-09-01T00:00:00"/>
    <n v="100"/>
    <n v="100"/>
    <n v="100"/>
    <n v="100"/>
  </r>
  <r>
    <s v="J1600"/>
    <x v="1"/>
    <d v="2020-06-19T00:00:00"/>
    <d v="2023-07-17T00:00:00"/>
    <m/>
    <d v="2022-10-31T00:00:00"/>
    <s v="BIG RIVERS ELECTRIC CORPORATION"/>
    <s v="Meade"/>
    <m/>
    <m/>
    <s v="KY"/>
    <s v="DPP-2020"/>
    <s v="Central"/>
    <s v="GIA"/>
    <s v="NRIS"/>
    <s v="Flaherty Tap to Custer 69kV"/>
    <n v="40"/>
    <n v="40"/>
    <x v="0"/>
    <s v="Photovoltaic"/>
    <s v="Not Started"/>
    <m/>
    <n v="0"/>
    <n v="0"/>
    <n v="0"/>
    <n v="0"/>
  </r>
  <r>
    <s v="J1601"/>
    <x v="1"/>
    <d v="2020-06-09T00:00:00"/>
    <d v="2021-03-15T00:00:00"/>
    <m/>
    <d v="2023-09-01T00:00:00"/>
    <s v="DUKE ENERGY INDIANA, LLC"/>
    <s v="Marion"/>
    <m/>
    <m/>
    <s v="IN"/>
    <s v="DPP-2020"/>
    <s v="Central"/>
    <s v="GIA"/>
    <s v="NRIS"/>
    <s v="Merom - Gibson Station Tap 345 kV Line"/>
    <n v="50"/>
    <n v="50"/>
    <x v="2"/>
    <s v="Battery Storage"/>
    <s v="Not Started"/>
    <m/>
    <n v="0"/>
    <n v="0"/>
    <n v="0"/>
    <n v="0"/>
  </r>
  <r>
    <s v="J1602"/>
    <x v="0"/>
    <d v="2021-11-02T00:00:00"/>
    <m/>
    <d v="2023-01-18T00:00:00"/>
    <d v="2023-04-01T00:00:00"/>
    <s v="ENTERGY LOUISIANA, LLC ELTO"/>
    <s v="Ouachita"/>
    <m/>
    <m/>
    <s v="LA"/>
    <s v="DPP-2020"/>
    <s v="South"/>
    <s v="GIA"/>
    <s v="NRIS"/>
    <s v="Rilla 115kV substation (Same as J1239)"/>
    <n v="25"/>
    <n v="25"/>
    <x v="2"/>
    <s v="Battery Storage"/>
    <s v="Not Started"/>
    <d v="2024-10-15T00:00:00"/>
    <n v="25"/>
    <n v="25"/>
    <n v="25"/>
    <n v="25"/>
  </r>
  <r>
    <s v="J1603"/>
    <x v="0"/>
    <d v="2021-12-03T00:00:00"/>
    <m/>
    <m/>
    <d v="2023-09-15T00:00:00"/>
    <s v="METC"/>
    <s v="Otsego"/>
    <m/>
    <m/>
    <s v="MI"/>
    <s v="DPP-2020"/>
    <s v="East (ITC)"/>
    <s v="GIA"/>
    <s v="NRIS"/>
    <s v="Vantyle 138kV"/>
    <n v="200"/>
    <n v="200"/>
    <x v="0"/>
    <s v="Photovoltaic"/>
    <s v="Not Started"/>
    <d v="2025-08-02T00:00:00"/>
    <n v="200"/>
    <n v="200"/>
    <n v="200"/>
    <n v="200"/>
  </r>
  <r>
    <s v="J1604"/>
    <x v="0"/>
    <d v="2020-07-10T00:00:00"/>
    <m/>
    <m/>
    <d v="2023-08-31T00:00:00"/>
    <s v="HENDERSON UTILITY COMM DBA HENDERSON MUNICIPAL POWER AND LIGHT"/>
    <s v="Henderson"/>
    <m/>
    <m/>
    <s v="KY"/>
    <s v="DPP-2020"/>
    <s v="Central"/>
    <s v="GIA"/>
    <s v="NRIS"/>
    <s v="HMPL Sub No.7"/>
    <n v="50"/>
    <n v="50"/>
    <x v="0"/>
    <s v="Photovoltaic"/>
    <s v="Not Started"/>
    <d v="2026-08-31T00:00:00"/>
    <n v="50"/>
    <n v="50"/>
    <n v="50"/>
    <n v="50"/>
  </r>
  <r>
    <s v="J1605"/>
    <x v="0"/>
    <d v="2020-06-23T00:00:00"/>
    <m/>
    <m/>
    <d v="2023-09-01T00:00:00"/>
    <s v="NORTHERN STATES POWER COMPANY"/>
    <s v="Sherburne"/>
    <m/>
    <m/>
    <s v="MN"/>
    <s v="DPP-2020"/>
    <s v="West"/>
    <s v="GIA"/>
    <s v="NRIS"/>
    <s v="SHERBURNE CO"/>
    <n v="200"/>
    <n v="200"/>
    <x v="0"/>
    <s v="Photovoltaic"/>
    <s v="Not Started"/>
    <d v="2026-09-01T00:00:00"/>
    <n v="200"/>
    <n v="200"/>
    <n v="200"/>
    <n v="200"/>
  </r>
  <r>
    <s v="J1606"/>
    <x v="1"/>
    <d v="2020-06-24T00:00:00"/>
    <d v="2020-12-15T00:00:00"/>
    <m/>
    <d v="2023-06-01T00:00:00"/>
    <s v="DUKE ENERGY INDIANA, LLC"/>
    <s v="Fountain"/>
    <m/>
    <m/>
    <s v="IN"/>
    <s v="DPP-2020"/>
    <s v="Central"/>
    <s v="GIA"/>
    <s v="NRIS"/>
    <s v="Attica 230kV Substation"/>
    <n v="200"/>
    <n v="200"/>
    <x v="0"/>
    <s v="Photovoltaic"/>
    <s v="Not Started"/>
    <m/>
    <n v="0"/>
    <n v="0"/>
    <n v="0"/>
    <n v="0"/>
  </r>
  <r>
    <s v="J1607"/>
    <x v="0"/>
    <d v="2020-06-25T00:00:00"/>
    <m/>
    <m/>
    <d v="2024-01-15T00:00:00"/>
    <s v="ENTERGY ARKANSAS, LLC EATO"/>
    <s v="Grant"/>
    <m/>
    <m/>
    <s v="AR"/>
    <s v="DPP-2020"/>
    <s v="South"/>
    <s v="GIA"/>
    <s v="NRIS"/>
    <s v="Hardin West SS to Sheridan 115 kV"/>
    <n v="0"/>
    <n v="0"/>
    <x v="2"/>
    <s v="Battery Storage"/>
    <s v="Not Started"/>
    <d v="2025-05-01T00:00:00"/>
    <n v="0"/>
    <n v="0"/>
    <n v="0"/>
    <n v="0"/>
  </r>
  <r>
    <s v="J1608"/>
    <x v="1"/>
    <d v="2020-06-24T00:00:00"/>
    <d v="2020-11-24T00:00:00"/>
    <m/>
    <d v="2023-09-15T00:00:00"/>
    <s v="METC"/>
    <s v="Ingham"/>
    <m/>
    <m/>
    <s v="MI"/>
    <s v="DPP-2020"/>
    <s v="East (ITC)"/>
    <s v="GIA"/>
    <s v="NRIS"/>
    <s v="Tihart to Lovejoy Junction  138kv"/>
    <n v="100"/>
    <n v="100"/>
    <x v="0"/>
    <s v="Photovoltaic"/>
    <s v="Not Started"/>
    <m/>
    <n v="0"/>
    <n v="0"/>
    <n v="0"/>
    <n v="0"/>
  </r>
  <r>
    <s v="J1609"/>
    <x v="1"/>
    <d v="2020-06-20T00:00:00"/>
    <d v="2022-01-06T00:00:00"/>
    <m/>
    <d v="2023-09-01T00:00:00"/>
    <s v="CONSUMERS ENERGY COMPANY"/>
    <s v="St. Joseph"/>
    <m/>
    <m/>
    <s v="MI"/>
    <s v="DPP-2020"/>
    <s v="East (ITC)"/>
    <s v="GIA"/>
    <s v="NRIS"/>
    <s v="Simpson 138kV"/>
    <n v="125"/>
    <n v="125"/>
    <x v="0"/>
    <s v="Photovoltaic"/>
    <s v="Not Started"/>
    <m/>
    <n v="0"/>
    <n v="0"/>
    <n v="0"/>
    <n v="0"/>
  </r>
  <r>
    <s v="J1610"/>
    <x v="0"/>
    <d v="2020-06-16T00:00:00"/>
    <m/>
    <m/>
    <d v="2023-08-31T00:00:00"/>
    <s v="CITY WATER LIGHT &amp; POWER"/>
    <s v="Sangamon"/>
    <m/>
    <m/>
    <s v="IL"/>
    <s v="DPP-2020"/>
    <s v="Central"/>
    <s v="GIA"/>
    <s v="NRIS"/>
    <s v="Auburn North to Chatham Main 138kV"/>
    <n v="100"/>
    <n v="100"/>
    <x v="0"/>
    <s v="Photovoltaic"/>
    <s v="Not Started"/>
    <d v="2026-08-31T00:00:00"/>
    <n v="100"/>
    <n v="100"/>
    <n v="100"/>
    <n v="100"/>
  </r>
  <r>
    <s v="J1611"/>
    <x v="0"/>
    <d v="2020-06-23T00:00:00"/>
    <m/>
    <m/>
    <d v="2023-09-01T00:00:00"/>
    <s v="MINNESOTA POWER INC."/>
    <s v="Morrison"/>
    <m/>
    <m/>
    <s v="MN"/>
    <s v="DPP-2020"/>
    <s v="West"/>
    <s v="GIA"/>
    <s v="NRIS"/>
    <s v="Langdon 115 kV Sub"/>
    <n v="174"/>
    <n v="174"/>
    <x v="0"/>
    <s v="Photovoltaic"/>
    <s v="Not Started"/>
    <d v="2026-09-01T00:00:00"/>
    <n v="120"/>
    <n v="120"/>
    <n v="120"/>
    <n v="120"/>
  </r>
  <r>
    <s v="J1612"/>
    <x v="0"/>
    <d v="2020-06-08T00:00:00"/>
    <m/>
    <m/>
    <d v="2023-09-01T00:00:00"/>
    <s v="ENTERGY ARKANSAS, LLC EATO"/>
    <s v="Union"/>
    <m/>
    <m/>
    <s v="AR"/>
    <s v="DPP-2020"/>
    <s v="South"/>
    <s v="GIA"/>
    <s v="NRIS"/>
    <s v="El Dorado East - Sterlington 115 kV"/>
    <n v="100"/>
    <n v="100"/>
    <x v="0"/>
    <s v="Photovoltaic"/>
    <s v="Under Construction"/>
    <d v="2028-01-31T00:00:00"/>
    <n v="100"/>
    <n v="100"/>
    <n v="100"/>
    <n v="100"/>
  </r>
  <r>
    <s v="J1613"/>
    <x v="1"/>
    <d v="2020-06-25T00:00:00"/>
    <d v="2021-11-17T00:00:00"/>
    <m/>
    <d v="2023-08-01T00:00:00"/>
    <s v="NORTHERN STATES POWER COMPANY"/>
    <s v="Cass"/>
    <m/>
    <m/>
    <s v="ND"/>
    <s v="DPP-2020"/>
    <s v="West"/>
    <s v="GIA"/>
    <s v="NRIS"/>
    <s v="Bison Substation 345 kV"/>
    <n v="400"/>
    <n v="400"/>
    <x v="1"/>
    <s v="Wind Turbine"/>
    <s v="Not Started"/>
    <m/>
    <n v="0"/>
    <n v="0"/>
    <n v="0"/>
    <n v="0"/>
  </r>
  <r>
    <s v="J1614"/>
    <x v="0"/>
    <d v="2020-06-11T00:00:00"/>
    <m/>
    <m/>
    <d v="2024-02-15T00:00:00"/>
    <s v="METC"/>
    <s v="Muskegon"/>
    <m/>
    <m/>
    <s v="MI"/>
    <s v="DPP-2020"/>
    <s v="East (ITC)"/>
    <s v="GIA"/>
    <s v="NRIS"/>
    <s v="White Road - Four Mile 138kV line"/>
    <n v="250"/>
    <n v="250"/>
    <x v="0"/>
    <s v="Photovoltaic"/>
    <s v="Not Started"/>
    <d v="2025-08-26T00:00:00"/>
    <n v="250"/>
    <n v="250"/>
    <n v="250"/>
    <n v="250"/>
  </r>
  <r>
    <s v="J1615"/>
    <x v="0"/>
    <d v="2020-06-17T00:00:00"/>
    <m/>
    <m/>
    <d v="2023-10-01T00:00:00"/>
    <s v="AMERICAN TRANSMISSION COMPANY"/>
    <s v="Oconto"/>
    <m/>
    <m/>
    <s v="WI"/>
    <s v="DPP-2020"/>
    <s v="East (ATC)"/>
    <s v="GIA"/>
    <s v="NRIS"/>
    <s v="Morgan"/>
    <n v="150"/>
    <n v="150"/>
    <x v="0"/>
    <s v="Photovoltaic"/>
    <s v="Not Started"/>
    <d v="2026-08-01T00:00:00"/>
    <n v="150"/>
    <n v="150"/>
    <n v="150"/>
    <n v="150"/>
  </r>
  <r>
    <s v="J1616"/>
    <x v="0"/>
    <d v="2020-06-22T00:00:00"/>
    <m/>
    <m/>
    <d v="2023-08-31T00:00:00"/>
    <s v="DUKE ENERGY INDIANA, LLC CIN"/>
    <s v="Knox"/>
    <m/>
    <m/>
    <s v="IN"/>
    <s v="DPP-2020"/>
    <s v="Central"/>
    <s v="GIA"/>
    <s v="NRIS"/>
    <s v="Edwardsport"/>
    <n v="200"/>
    <n v="200"/>
    <x v="0"/>
    <s v="Photovoltaic"/>
    <s v="Not Started"/>
    <d v="2026-08-31T00:00:00"/>
    <n v="200"/>
    <n v="200"/>
    <n v="200"/>
    <n v="0"/>
  </r>
  <r>
    <s v="J1617"/>
    <x v="1"/>
    <d v="2020-06-23T00:00:00"/>
    <d v="2020-12-18T00:00:00"/>
    <m/>
    <d v="2023-09-15T00:00:00"/>
    <s v="AMEREN ILLINOIS"/>
    <s v="Vermilion"/>
    <m/>
    <m/>
    <s v="IL"/>
    <s v="DPP-2020"/>
    <s v="Central"/>
    <s v="GIA"/>
    <s v="NRIS"/>
    <s v="Bunsonville 138kV"/>
    <n v="200"/>
    <n v="200"/>
    <x v="0"/>
    <s v="Photovoltaic"/>
    <s v="Not Started"/>
    <m/>
    <n v="0"/>
    <n v="0"/>
    <n v="0"/>
    <n v="0"/>
  </r>
  <r>
    <s v="J1618"/>
    <x v="1"/>
    <d v="2020-06-18T00:00:00"/>
    <d v="2024-02-09T00:00:00"/>
    <m/>
    <d v="2023-04-01T00:00:00"/>
    <s v="ENTERGY LOUISIANA, LLC"/>
    <s v="Ascension"/>
    <m/>
    <m/>
    <s v="LA"/>
    <s v="DPP-2020"/>
    <s v="South"/>
    <s v="GIA"/>
    <s v="NRIS"/>
    <s v="ST. JAMES - WELCOME 230KV"/>
    <n v="200"/>
    <n v="200"/>
    <x v="0"/>
    <s v="Photovoltaic"/>
    <s v="Not Started"/>
    <m/>
    <n v="200"/>
    <n v="200"/>
    <n v="0"/>
    <n v="0"/>
  </r>
  <r>
    <s v="J1619"/>
    <x v="0"/>
    <d v="2020-06-22T00:00:00"/>
    <m/>
    <m/>
    <d v="2023-09-01T00:00:00"/>
    <s v="BIG RIVERS ELECTRIC CORPORATION BREC"/>
    <s v="Webster"/>
    <m/>
    <m/>
    <s v="KY"/>
    <s v="DPP-2020"/>
    <s v="Central"/>
    <s v="GIA"/>
    <s v="NRIS"/>
    <s v="Reid Switchyard 161kV"/>
    <n v="160"/>
    <n v="160"/>
    <x v="0"/>
    <s v="Photovoltaic"/>
    <s v="Not Started"/>
    <d v="2024-04-15T00:00:00"/>
    <n v="160"/>
    <n v="160"/>
    <n v="160"/>
    <n v="160"/>
  </r>
  <r>
    <s v="J1620"/>
    <x v="0"/>
    <d v="2024-04-17T00:00:00"/>
    <m/>
    <m/>
    <d v="2023-09-01T00:00:00"/>
    <s v="NORTHERN STATES POWER COMPANY"/>
    <s v="Pipestone"/>
    <m/>
    <m/>
    <s v="MN"/>
    <s v="DPP-2020"/>
    <s v="West"/>
    <s v="GIA"/>
    <s v="NRIS"/>
    <s v="Split Rock - Pipestone 115.0kV"/>
    <n v="125"/>
    <n v="125"/>
    <x v="0"/>
    <s v="Photovoltaic"/>
    <s v="Not Started"/>
    <d v="2026-06-01T00:00:00"/>
    <n v="125"/>
    <n v="0"/>
    <n v="125"/>
    <n v="0"/>
  </r>
  <r>
    <s v="J1621"/>
    <x v="1"/>
    <d v="2020-06-25T00:00:00"/>
    <d v="2021-11-17T00:00:00"/>
    <m/>
    <d v="2023-09-01T00:00:00"/>
    <s v="OTTER TAIL POWER COMPANY"/>
    <s v="McPherson"/>
    <m/>
    <m/>
    <s v="SD"/>
    <s v="DPP-2020"/>
    <s v="West"/>
    <s v="GIA"/>
    <s v="NRIS"/>
    <s v="Big Stone South to Ellendale 345kV"/>
    <n v="400"/>
    <n v="400"/>
    <x v="1"/>
    <s v="Wind Turbine"/>
    <s v="Not Started"/>
    <m/>
    <n v="0"/>
    <n v="0"/>
    <n v="0"/>
    <n v="0"/>
  </r>
  <r>
    <s v="J1622"/>
    <x v="1"/>
    <d v="2020-06-23T00:00:00"/>
    <d v="2022-12-13T00:00:00"/>
    <m/>
    <d v="2024-06-01T00:00:00"/>
    <s v="OTTER TAIL POWER COMPANY"/>
    <s v="Sheridan"/>
    <m/>
    <m/>
    <s v="ND"/>
    <s v="DPP-2020"/>
    <s v="West"/>
    <s v="GIA"/>
    <s v="NRIS"/>
    <s v="Harvey-Underwood 230kV"/>
    <n v="100"/>
    <n v="100"/>
    <x v="0"/>
    <s v="Photovoltaic"/>
    <s v="Not Started"/>
    <m/>
    <n v="100"/>
    <n v="100"/>
    <n v="0"/>
    <n v="0"/>
  </r>
  <r>
    <s v="J1623"/>
    <x v="1"/>
    <d v="2020-06-18T00:00:00"/>
    <d v="2020-12-18T00:00:00"/>
    <m/>
    <d v="2024-06-01T00:00:00"/>
    <s v="DUKE ENERGY INDIANA, LLC"/>
    <s v="Orange"/>
    <m/>
    <m/>
    <s v="IN"/>
    <s v="DPP-2020"/>
    <s v="Central"/>
    <s v="GIA"/>
    <s v="NRIS"/>
    <s v="Mitchell Lost River 345kV"/>
    <n v="200"/>
    <n v="200"/>
    <x v="0"/>
    <s v="Photovoltaic"/>
    <s v="Not Started"/>
    <m/>
    <n v="0"/>
    <n v="0"/>
    <n v="0"/>
    <n v="0"/>
  </r>
  <r>
    <s v="J1624"/>
    <x v="1"/>
    <d v="2020-06-22T00:00:00"/>
    <d v="2024-09-03T00:00:00"/>
    <m/>
    <d v="2024-08-04T00:00:00"/>
    <s v="DUKE ENERGY INDIANA, LLC"/>
    <s v="Bartholomew"/>
    <m/>
    <m/>
    <s v="IN"/>
    <s v="DPP-2020"/>
    <s v="Central"/>
    <s v="GIA"/>
    <s v="NRIS"/>
    <s v="Columbus Denois Cr - Columbus 345 230 kV Transmission Line"/>
    <n v="100"/>
    <n v="100"/>
    <x v="0"/>
    <s v="Photovoltaic"/>
    <s v="Not Started"/>
    <m/>
    <n v="100"/>
    <n v="100"/>
    <n v="0"/>
    <n v="0"/>
  </r>
  <r>
    <s v="J1625"/>
    <x v="1"/>
    <d v="2021-08-20T00:00:00"/>
    <d v="2024-09-03T00:00:00"/>
    <m/>
    <d v="2024-08-05T00:00:00"/>
    <s v="DUKE ENERGY INDIANA, LLC"/>
    <s v="Tipton"/>
    <m/>
    <m/>
    <s v="IN"/>
    <s v="DPP-2020"/>
    <s v="Central"/>
    <s v="GIA"/>
    <s v="NRIS"/>
    <s v="Kokomo - Tipton 230kV Transmission line"/>
    <n v="150"/>
    <n v="150"/>
    <x v="0"/>
    <s v="Photovoltaic"/>
    <s v="Not Started"/>
    <m/>
    <n v="120"/>
    <n v="120"/>
    <n v="0"/>
    <n v="0"/>
  </r>
  <r>
    <s v="J1626"/>
    <x v="0"/>
    <d v="2020-06-23T00:00:00"/>
    <m/>
    <m/>
    <d v="2024-08-05T00:00:00"/>
    <s v="AMEREN ILLINOIS"/>
    <s v="Fayette"/>
    <m/>
    <m/>
    <s v="IL"/>
    <s v="DPP-2020"/>
    <s v="Central"/>
    <s v="GIA"/>
    <s v="NRIS"/>
    <s v="Ramsey East 138kV bus"/>
    <n v="150"/>
    <n v="150"/>
    <x v="0"/>
    <s v="Photovoltaic"/>
    <s v="Not Started"/>
    <d v="2027-04-30T00:00:00"/>
    <n v="150"/>
    <n v="150"/>
    <n v="150"/>
    <n v="150"/>
  </r>
  <r>
    <s v="J1627"/>
    <x v="1"/>
    <d v="2020-06-23T00:00:00"/>
    <d v="2020-12-18T00:00:00"/>
    <m/>
    <d v="2022-08-31T00:00:00"/>
    <s v="NORTHERN INDIANA PUBLIC SERVICE COMPANY LLC"/>
    <s v="White"/>
    <m/>
    <m/>
    <s v="IN"/>
    <s v="DPP-2020"/>
    <s v="Central"/>
    <s v="GIA"/>
    <s v="NRIS"/>
    <s v="Reynolds 345KV"/>
    <n v="200"/>
    <n v="200"/>
    <x v="1"/>
    <s v="Wind Turbine"/>
    <s v="Not Started"/>
    <m/>
    <n v="0"/>
    <n v="0"/>
    <n v="0"/>
    <n v="0"/>
  </r>
  <r>
    <s v="J1628"/>
    <x v="1"/>
    <d v="2020-06-24T00:00:00"/>
    <d v="2020-12-18T00:00:00"/>
    <m/>
    <d v="2022-08-31T00:00:00"/>
    <s v="NORTHERN INDIANA PUBLIC SERVICE COMPANY LLC"/>
    <s v="White"/>
    <m/>
    <m/>
    <s v="IN"/>
    <s v="DPP-2020"/>
    <s v="Central"/>
    <s v="GIA"/>
    <s v="NRIS"/>
    <s v="Goodland to Reynolds 138KV"/>
    <n v="200"/>
    <n v="200"/>
    <x v="1"/>
    <s v="Wind Turbine"/>
    <s v="Not Started"/>
    <m/>
    <n v="0"/>
    <n v="0"/>
    <n v="0"/>
    <n v="0"/>
  </r>
  <r>
    <s v="J1629"/>
    <x v="0"/>
    <d v="2020-06-22T00:00:00"/>
    <m/>
    <m/>
    <d v="2024-07-18T00:00:00"/>
    <s v="AMERICAN TRANSMISSION COMPANY"/>
    <s v="Columbia"/>
    <m/>
    <m/>
    <s v="WI"/>
    <s v="DPP-2020"/>
    <s v="East (ATC)"/>
    <s v="GIA"/>
    <s v="NRIS"/>
    <s v="Columbia SW YD(ALTE) - South Fond Du Lac  SW YD 345 KV T-Line"/>
    <n v="200"/>
    <n v="200"/>
    <x v="0"/>
    <s v="Photovoltaic"/>
    <s v="Not Started"/>
    <d v="2027-07-18T00:00:00"/>
    <n v="200"/>
    <n v="200"/>
    <n v="200"/>
    <n v="200"/>
  </r>
  <r>
    <s v="J1630"/>
    <x v="1"/>
    <d v="2020-06-25T00:00:00"/>
    <d v="2021-12-08T00:00:00"/>
    <m/>
    <d v="2023-10-31T00:00:00"/>
    <s v="ENTERGY MISSISSIPPI, LLC."/>
    <s v="Madison"/>
    <m/>
    <m/>
    <s v="MS"/>
    <s v="DPP-2020"/>
    <s v="South"/>
    <s v="GIA"/>
    <s v="NRIS"/>
    <s v="Gerald Andrus-Tinnin Road 230 kV"/>
    <n v="150"/>
    <n v="150"/>
    <x v="0"/>
    <s v="Photovoltaic"/>
    <s v="Not Started"/>
    <m/>
    <n v="0"/>
    <n v="0"/>
    <n v="0"/>
    <n v="0"/>
  </r>
  <r>
    <s v="J1631"/>
    <x v="1"/>
    <d v="2020-06-24T00:00:00"/>
    <d v="2020-11-24T00:00:00"/>
    <m/>
    <d v="2023-09-15T00:00:00"/>
    <s v="AMERICAN TRANSMISSION COMPANY"/>
    <s v="Clark"/>
    <m/>
    <m/>
    <s v="WI"/>
    <s v="DPP-2020"/>
    <s v="East (ATC)"/>
    <s v="GIA"/>
    <s v="NRIS"/>
    <s v="Stonelake  to Gardner Park 345kV"/>
    <n v="200"/>
    <n v="200"/>
    <x v="1"/>
    <s v="Wind Turbine"/>
    <s v="Not Started"/>
    <m/>
    <n v="0"/>
    <n v="0"/>
    <n v="0"/>
    <n v="0"/>
  </r>
  <r>
    <s v="J1632"/>
    <x v="1"/>
    <d v="2020-06-22T00:00:00"/>
    <d v="2023-07-17T00:00:00"/>
    <m/>
    <d v="2023-09-01T00:00:00"/>
    <s v="BIG RIVERS ELECTRIC CORPORATION"/>
    <s v="Caldwell"/>
    <m/>
    <m/>
    <s v="KY"/>
    <s v="DPP-2020"/>
    <s v="Central"/>
    <s v="GIA"/>
    <s v="NRIS"/>
    <s v="Caldwell County -  Barkley 161kV"/>
    <n v="200"/>
    <n v="200"/>
    <x v="0"/>
    <s v="Photovoltaic"/>
    <s v="Not Started"/>
    <m/>
    <n v="0"/>
    <n v="0"/>
    <n v="0"/>
    <n v="0"/>
  </r>
  <r>
    <s v="J1633"/>
    <x v="1"/>
    <d v="2020-06-25T00:00:00"/>
    <d v="2021-12-08T00:00:00"/>
    <m/>
    <d v="2022-03-01T00:00:00"/>
    <s v="CLECO POWER LLC"/>
    <s v="Beauregard"/>
    <m/>
    <m/>
    <s v="LA"/>
    <s v="DPP-2020"/>
    <s v="South"/>
    <s v="GIA"/>
    <s v="NRIS"/>
    <s v="Cooper Switching - Penton Road 230 kV"/>
    <n v="0"/>
    <n v="0"/>
    <x v="2"/>
    <s v="Battery Storage"/>
    <s v="Not Started"/>
    <m/>
    <n v="0"/>
    <n v="0"/>
    <n v="0"/>
    <n v="0"/>
  </r>
  <r>
    <s v="J1634"/>
    <x v="1"/>
    <d v="2020-06-25T00:00:00"/>
    <d v="2021-12-08T00:00:00"/>
    <m/>
    <d v="2022-03-01T00:00:00"/>
    <s v="CLECO POWER LLC"/>
    <s v="Beauregard"/>
    <m/>
    <m/>
    <s v="LA"/>
    <s v="DPP-2020"/>
    <s v="South"/>
    <s v="GIA"/>
    <s v="NRIS"/>
    <s v="COOPER SWITCHING - PENTON ROAD 230 KV"/>
    <n v="100"/>
    <n v="100"/>
    <x v="0"/>
    <s v="Photovoltaic"/>
    <s v="Not Started"/>
    <m/>
    <n v="0"/>
    <n v="0"/>
    <n v="0"/>
    <n v="0"/>
  </r>
  <r>
    <s v="J1635"/>
    <x v="0"/>
    <d v="2020-06-24T00:00:00"/>
    <m/>
    <m/>
    <d v="2022-02-01T00:00:00"/>
    <s v="METC"/>
    <s v="Branch"/>
    <m/>
    <m/>
    <s v="MI"/>
    <s v="DPP-2020"/>
    <s v="East (ITC)"/>
    <s v="GIA"/>
    <s v="NRIS"/>
    <s v="BUTTERS - NEWTON (MI AVE) 138.0kV"/>
    <n v="100"/>
    <n v="100"/>
    <x v="2"/>
    <s v="Battery Storage"/>
    <s v="Not Started"/>
    <d v="2025-02-01T00:00:00"/>
    <n v="100"/>
    <n v="100"/>
    <n v="100"/>
    <n v="100"/>
  </r>
  <r>
    <s v="J1636"/>
    <x v="1"/>
    <d v="2020-06-23T00:00:00"/>
    <d v="2024-09-03T00:00:00"/>
    <m/>
    <d v="2023-09-01T00:00:00"/>
    <s v="AMEREN MISSOURI"/>
    <s v="Pike"/>
    <m/>
    <m/>
    <s v="MO"/>
    <s v="DPP-2020"/>
    <s v="Central"/>
    <s v="GIA"/>
    <s v="NRIS"/>
    <s v="Peno Creek Substation 161kV"/>
    <n v="44"/>
    <n v="44"/>
    <x v="0"/>
    <s v="Photovoltaic"/>
    <s v="Not Started"/>
    <m/>
    <n v="44"/>
    <n v="44"/>
    <n v="0"/>
    <n v="0"/>
  </r>
  <r>
    <s v="J1637"/>
    <x v="1"/>
    <d v="2020-06-23T00:00:00"/>
    <d v="2024-09-03T00:00:00"/>
    <m/>
    <d v="2023-09-01T00:00:00"/>
    <s v="DUKE ENERGY INDIANA, LLC"/>
    <s v="Knox"/>
    <m/>
    <m/>
    <s v="IN"/>
    <s v="DPP-2020"/>
    <s v="Central"/>
    <s v="GIA"/>
    <s v="NRIS"/>
    <s v="Wheatland Substation 345kV"/>
    <n v="150"/>
    <n v="150"/>
    <x v="0"/>
    <s v="Photovoltaic"/>
    <s v="Not Started"/>
    <m/>
    <n v="150"/>
    <n v="150"/>
    <n v="0"/>
    <n v="0"/>
  </r>
  <r>
    <s v="J1638"/>
    <x v="0"/>
    <d v="2022-02-11T00:00:00"/>
    <m/>
    <m/>
    <d v="2023-09-01T00:00:00"/>
    <s v="BIG RIVERS ELECTRIC CORPORATION BREC"/>
    <s v="Hancock"/>
    <m/>
    <m/>
    <s v="KY"/>
    <s v="DPP-2020"/>
    <s v="Central"/>
    <s v="GIA"/>
    <s v="NRIS"/>
    <s v="Skillman Substation 161kV"/>
    <n v="150"/>
    <n v="150"/>
    <x v="0"/>
    <s v="Photovoltaic"/>
    <s v="Not Started"/>
    <d v="2026-09-01T00:00:00"/>
    <n v="150"/>
    <n v="150"/>
    <n v="150"/>
    <n v="150"/>
  </r>
  <r>
    <s v="J1639"/>
    <x v="1"/>
    <d v="2020-06-24T00:00:00"/>
    <d v="2022-01-06T00:00:00"/>
    <m/>
    <d v="2022-02-01T00:00:00"/>
    <s v="METC"/>
    <s v="Lenawee"/>
    <m/>
    <m/>
    <s v="MI"/>
    <s v="DPP-2020"/>
    <s v="East (ITC)"/>
    <s v="GIA"/>
    <s v="NRIS"/>
    <s v="345kV Allen Junction to Morocco"/>
    <n v="100"/>
    <n v="100"/>
    <x v="2"/>
    <s v="Battery Storage"/>
    <s v="Not Started"/>
    <m/>
    <n v="0"/>
    <n v="0"/>
    <n v="0"/>
    <n v="0"/>
  </r>
  <r>
    <s v="J1640"/>
    <x v="1"/>
    <d v="2020-06-25T00:00:00"/>
    <d v="2020-09-22T00:00:00"/>
    <m/>
    <d v="2023-10-31T00:00:00"/>
    <s v="ENTERGY MISSISSIPPI, LLC."/>
    <s v="Hinds"/>
    <m/>
    <m/>
    <s v="MS"/>
    <s v="DPP-2020"/>
    <s v="South"/>
    <s v="GIA"/>
    <s v="NRIS"/>
    <s v="Beech Grove - Ray Braswell 115 kV"/>
    <n v="200"/>
    <n v="200"/>
    <x v="0"/>
    <s v="Photovoltaic"/>
    <s v="Not Started"/>
    <m/>
    <n v="0"/>
    <n v="0"/>
    <n v="0"/>
    <n v="0"/>
  </r>
  <r>
    <s v="J1641"/>
    <x v="0"/>
    <d v="2024-03-15T00:00:00"/>
    <m/>
    <m/>
    <d v="2023-09-01T00:00:00"/>
    <s v="HOOSIER ENERGY"/>
    <s v="Greene"/>
    <m/>
    <m/>
    <s v="IN"/>
    <s v="DPP-2020"/>
    <s v="Central"/>
    <s v="GIA"/>
    <s v="NRIS"/>
    <s v="Worthington Substation 138kV"/>
    <n v="150"/>
    <n v="150"/>
    <x v="0"/>
    <s v="Photovoltaic"/>
    <s v="Not Started"/>
    <d v="2026-09-01T00:00:00"/>
    <n v="150"/>
    <n v="150"/>
    <n v="150"/>
    <n v="150"/>
  </r>
  <r>
    <s v="J1642"/>
    <x v="0"/>
    <d v="2022-02-17T00:00:00"/>
    <m/>
    <m/>
    <d v="2023-10-15T00:00:00"/>
    <s v="SOUTHERN INDIANA GAS &amp; ELECTRIC COMPANY D/B/A CENTERPOINT ENERGY INDIANA SOUTH"/>
    <s v="Spencer"/>
    <m/>
    <m/>
    <s v="IN"/>
    <s v="DPP-2020"/>
    <s v="Central"/>
    <s v="GIA"/>
    <s v="NRIS"/>
    <s v="North East (Castle) - Culley 138kV"/>
    <n v="200"/>
    <n v="200"/>
    <x v="5"/>
    <s v="Solar/Battery"/>
    <s v="Not Started"/>
    <m/>
    <n v="200"/>
    <n v="200"/>
    <n v="200"/>
    <n v="200"/>
  </r>
  <r>
    <s v="J1643"/>
    <x v="1"/>
    <d v="2020-06-23T00:00:00"/>
    <d v="2020-11-30T00:00:00"/>
    <m/>
    <d v="2023-10-01T00:00:00"/>
    <s v="METC"/>
    <s v="Genesee"/>
    <m/>
    <m/>
    <s v="MI"/>
    <s v="DPP-2020"/>
    <s v="East (ITC)"/>
    <s v="GIA"/>
    <s v="NRIS"/>
    <s v="Delaney 138kV"/>
    <n v="50"/>
    <n v="50"/>
    <x v="0"/>
    <s v="Photovoltaic"/>
    <s v="Not Started"/>
    <m/>
    <n v="0"/>
    <n v="0"/>
    <n v="0"/>
    <n v="0"/>
  </r>
  <r>
    <s v="J1644"/>
    <x v="0"/>
    <d v="2020-06-10T00:00:00"/>
    <m/>
    <d v="2023-01-18T00:00:00"/>
    <d v="2023-10-01T00:00:00"/>
    <s v="ENTERGY LOUISIANA, LLC ELTO"/>
    <s v="St. Landry"/>
    <m/>
    <m/>
    <s v="LA"/>
    <s v="DPP-2020"/>
    <s v="South"/>
    <s v="GIA"/>
    <s v="NRIS"/>
    <s v="Champange - Plaisance"/>
    <n v="150"/>
    <n v="150"/>
    <x v="0"/>
    <s v="Photovoltaic"/>
    <s v="Under Construction"/>
    <d v="2024-12-15T00:00:00"/>
    <n v="150"/>
    <n v="0"/>
    <n v="150"/>
    <n v="0"/>
  </r>
  <r>
    <s v="J1645"/>
    <x v="1"/>
    <d v="2020-06-24T00:00:00"/>
    <d v="2020-12-23T00:00:00"/>
    <m/>
    <d v="2023-09-01T00:00:00"/>
    <s v="GREAT RIVER ENERGY"/>
    <s v="Renville"/>
    <m/>
    <m/>
    <s v="MN"/>
    <s v="DPP-2020"/>
    <s v="West"/>
    <s v="GIA"/>
    <s v="NRIS"/>
    <s v="Panther 230kV Substation"/>
    <n v="80"/>
    <n v="80"/>
    <x v="0"/>
    <s v="Photovoltaic"/>
    <s v="Not Started"/>
    <m/>
    <n v="0"/>
    <n v="0"/>
    <n v="0"/>
    <n v="0"/>
  </r>
  <r>
    <s v="J1646"/>
    <x v="0"/>
    <d v="2020-06-10T00:00:00"/>
    <m/>
    <m/>
    <d v="2023-10-01T00:00:00"/>
    <s v="NORTHERN INDIANA PUBLIC SERVICE COMPANY LLC NIPS"/>
    <s v="Newton"/>
    <m/>
    <m/>
    <s v="IN"/>
    <s v="DPP-2020"/>
    <s v="Central"/>
    <s v="GIA"/>
    <s v="NRIS"/>
    <s v="MORRISON DITCH"/>
    <n v="150"/>
    <n v="150"/>
    <x v="0"/>
    <s v="Photovoltaic"/>
    <s v="Not Started"/>
    <d v="2026-10-01T00:00:00"/>
    <n v="150"/>
    <n v="150"/>
    <n v="150"/>
    <n v="150"/>
  </r>
  <r>
    <s v="J1647"/>
    <x v="1"/>
    <d v="2020-06-24T00:00:00"/>
    <d v="2020-11-19T00:00:00"/>
    <m/>
    <d v="2023-09-01T00:00:00"/>
    <s v="NORTHERN STATES POWER COMPANY"/>
    <s v="Chippewa"/>
    <m/>
    <m/>
    <s v="MN"/>
    <s v="DPP-2020"/>
    <s v="West"/>
    <s v="GIA"/>
    <s v="NRIS"/>
    <s v="Maynard XMSN 115kV Substation"/>
    <n v="150"/>
    <n v="150"/>
    <x v="0"/>
    <s v="Photovoltaic"/>
    <s v="Not Started"/>
    <m/>
    <n v="0"/>
    <n v="0"/>
    <n v="0"/>
    <n v="0"/>
  </r>
  <r>
    <s v="J1648"/>
    <x v="1"/>
    <d v="2020-06-25T00:00:00"/>
    <d v="2020-12-14T00:00:00"/>
    <m/>
    <d v="2021-08-15T00:00:00"/>
    <s v="ENTERGY ARKANSAS, LLC"/>
    <s v="Searcy"/>
    <m/>
    <m/>
    <s v="AR"/>
    <s v="DPP-2020"/>
    <s v="South"/>
    <s v="GIA"/>
    <s v="NRIS"/>
    <s v="Searcy Price 161kV"/>
    <n v="10"/>
    <n v="10"/>
    <x v="5"/>
    <s v="Solar/Battery"/>
    <s v="Not Started"/>
    <m/>
    <n v="0"/>
    <n v="0"/>
    <n v="0"/>
    <n v="0"/>
  </r>
  <r>
    <s v="J1649"/>
    <x v="0"/>
    <d v="2021-03-10T00:00:00"/>
    <m/>
    <m/>
    <d v="2022-10-31T00:00:00"/>
    <s v="BIG RIVERS ELECTRIC CORPORATION BREC"/>
    <s v="McCracken"/>
    <m/>
    <m/>
    <s v="KY"/>
    <s v="DPP-2020"/>
    <s v="Central"/>
    <s v="GIA"/>
    <s v="NRIS"/>
    <s v="Shell - McCracken County 69.0kV"/>
    <n v="60"/>
    <n v="60"/>
    <x v="0"/>
    <s v="Photovoltaic"/>
    <s v="Not Started"/>
    <d v="2025-10-31T00:00:00"/>
    <n v="60"/>
    <n v="60"/>
    <n v="60"/>
    <n v="60"/>
  </r>
  <r>
    <s v="J1650"/>
    <x v="1"/>
    <d v="2020-06-23T00:00:00"/>
    <d v="2020-12-18T00:00:00"/>
    <m/>
    <d v="2023-09-15T00:00:00"/>
    <s v="AMEREN ILLINOIS"/>
    <s v="Logan"/>
    <m/>
    <m/>
    <s v="IL"/>
    <s v="DPP-2020"/>
    <s v="Central"/>
    <s v="GIA"/>
    <s v="NRIS"/>
    <s v="Latham 345kV"/>
    <n v="200"/>
    <n v="200"/>
    <x v="0"/>
    <s v="Photovoltaic"/>
    <s v="Not Started"/>
    <m/>
    <n v="0"/>
    <n v="0"/>
    <n v="0"/>
    <n v="0"/>
  </r>
  <r>
    <s v="J1651"/>
    <x v="0"/>
    <d v="2020-06-23T00:00:00"/>
    <m/>
    <m/>
    <d v="2023-08-31T00:00:00"/>
    <s v="AMEREN ILLINOIS"/>
    <s v="Logan"/>
    <m/>
    <m/>
    <s v="IL"/>
    <s v="DPP-2020"/>
    <s v="Central"/>
    <s v="GIA"/>
    <s v="NRIS"/>
    <s v="Howlett"/>
    <n v="149.5"/>
    <n v="149.5"/>
    <x v="0"/>
    <s v="Photovoltaic"/>
    <s v="Not Started"/>
    <d v="2028-02-01T00:00:00"/>
    <n v="105"/>
    <n v="105"/>
    <n v="105"/>
    <n v="31.5"/>
  </r>
  <r>
    <s v="J1652"/>
    <x v="1"/>
    <d v="2021-12-03T00:00:00"/>
    <d v="2023-07-17T00:00:00"/>
    <m/>
    <d v="2023-09-15T00:00:00"/>
    <s v="AMEREN ILLINOIS"/>
    <s v="Champaign"/>
    <m/>
    <m/>
    <s v="IL"/>
    <s v="DPP-2020"/>
    <s v="Central"/>
    <s v="GIA"/>
    <s v="NRIS"/>
    <s v="Sidney 138kV"/>
    <n v="116"/>
    <n v="116"/>
    <x v="0"/>
    <s v="Photovoltaic"/>
    <s v="Not Started"/>
    <m/>
    <n v="0"/>
    <n v="0"/>
    <n v="0"/>
    <n v="0"/>
  </r>
  <r>
    <s v="J1653"/>
    <x v="0"/>
    <d v="2021-12-03T00:00:00"/>
    <m/>
    <m/>
    <d v="2023-09-15T00:00:00"/>
    <s v="AMEREN ILLINOIS"/>
    <s v="Tazewell"/>
    <m/>
    <m/>
    <s v="IL"/>
    <s v="DPP-2020"/>
    <s v="Central"/>
    <s v="GIA"/>
    <s v="NRIS"/>
    <s v="San Jose Rail 138kV"/>
    <n v="150"/>
    <n v="150"/>
    <x v="0"/>
    <s v="Photovoltaic"/>
    <s v="Not Started"/>
    <d v="2026-09-15T00:00:00"/>
    <n v="150"/>
    <n v="150"/>
    <n v="150"/>
    <n v="0"/>
  </r>
  <r>
    <s v="J1654"/>
    <x v="1"/>
    <d v="2020-06-25T00:00:00"/>
    <d v="2023-02-22T00:00:00"/>
    <m/>
    <d v="2023-09-01T00:00:00"/>
    <s v="METC"/>
    <s v="Genesee"/>
    <m/>
    <m/>
    <s v="MI"/>
    <s v="DPP-2020"/>
    <s v="East (ITC)"/>
    <s v="GIA"/>
    <s v="NRIS"/>
    <s v="Goss-Thetford 345kV Line"/>
    <n v="200"/>
    <n v="200"/>
    <x v="0"/>
    <s v="Photovoltaic"/>
    <s v="Not Started"/>
    <m/>
    <n v="200"/>
    <n v="200"/>
    <n v="0"/>
    <n v="0"/>
  </r>
  <r>
    <s v="J1655"/>
    <x v="1"/>
    <d v="2021-12-03T00:00:00"/>
    <d v="2024-09-03T00:00:00"/>
    <m/>
    <d v="2022-09-15T00:00:00"/>
    <s v="AMEREN ILLINOIS"/>
    <s v="Jefferson"/>
    <m/>
    <m/>
    <s v="IL"/>
    <s v="DPP-2020"/>
    <s v="Central"/>
    <s v="GIA"/>
    <s v="NRIS"/>
    <s v="West Mt Vernon - Xenia 345kV Line (J1241)"/>
    <n v="50"/>
    <n v="50"/>
    <x v="2"/>
    <s v="Battery Storage"/>
    <s v="Not Started"/>
    <m/>
    <n v="50"/>
    <n v="50"/>
    <n v="0"/>
    <n v="0"/>
  </r>
  <r>
    <s v="J1656"/>
    <x v="1"/>
    <d v="2020-06-23T00:00:00"/>
    <d v="2025-03-19T00:00:00"/>
    <m/>
    <d v="2023-08-31T00:00:00"/>
    <s v="AMEREN ILLINOIS"/>
    <s v="Vermilion"/>
    <m/>
    <m/>
    <s v="IL"/>
    <s v="DPP-2020"/>
    <s v="Central"/>
    <s v="GIA"/>
    <s v="NRIS"/>
    <s v="Sydney to Bunsonville 345kV Line"/>
    <n v="412"/>
    <n v="412"/>
    <x v="5"/>
    <s v="Solar/Wind"/>
    <s v="Not Started"/>
    <m/>
    <n v="0"/>
    <n v="0"/>
    <n v="0"/>
    <n v="0"/>
  </r>
  <r>
    <s v="J1657"/>
    <x v="0"/>
    <d v="2020-06-25T00:00:00"/>
    <m/>
    <m/>
    <d v="2022-08-01T00:00:00"/>
    <s v="NORTHERN STATES POWER COMPANY"/>
    <s v="St. Croix"/>
    <m/>
    <m/>
    <s v="WI"/>
    <s v="DPP-2020"/>
    <s v="West"/>
    <s v="GIA"/>
    <s v="NRIS"/>
    <s v="Pine Lake to Apple River 161 kV"/>
    <n v="100"/>
    <n v="100"/>
    <x v="0"/>
    <s v="Photovoltaic"/>
    <s v="Not Started"/>
    <d v="2025-08-01T00:00:00"/>
    <n v="100"/>
    <n v="0"/>
    <n v="100"/>
    <n v="0"/>
  </r>
  <r>
    <s v="J1658"/>
    <x v="0"/>
    <d v="2025-05-19T00:00:00"/>
    <m/>
    <m/>
    <d v="2023-09-01T00:00:00"/>
    <s v="METC"/>
    <s v="Hillsdale"/>
    <m/>
    <m/>
    <s v="MI"/>
    <s v="DPP-2020"/>
    <s v="East (ITC)"/>
    <s v="GIA"/>
    <s v="NRIS"/>
    <s v="COLDWATER - MOORE ROAD 138.0kV"/>
    <n v="180"/>
    <n v="180"/>
    <x v="0"/>
    <s v="Photovoltaic"/>
    <s v="Not Started"/>
    <d v="2025-12-12T00:00:00"/>
    <n v="150"/>
    <n v="150"/>
    <n v="150"/>
    <n v="150"/>
  </r>
  <r>
    <s v="J1659"/>
    <x v="0"/>
    <d v="2020-06-25T00:00:00"/>
    <m/>
    <m/>
    <d v="2022-02-01T00:00:00"/>
    <s v="ITC"/>
    <s v="Washtenaw"/>
    <m/>
    <m/>
    <s v="MI"/>
    <s v="DPP-2020"/>
    <s v="East (ITC)"/>
    <s v="GIA"/>
    <s v="NRIS"/>
    <s v="DORSET"/>
    <n v="100"/>
    <n v="100"/>
    <x v="2"/>
    <s v="Battery Storage"/>
    <s v="Under Construction"/>
    <d v="2025-02-01T00:00:00"/>
    <n v="100"/>
    <n v="100"/>
    <n v="100"/>
    <n v="100"/>
  </r>
  <r>
    <s v="J1660"/>
    <x v="1"/>
    <d v="2020-06-24T00:00:00"/>
    <d v="2022-01-05T00:00:00"/>
    <m/>
    <d v="2023-09-01T00:00:00"/>
    <s v="METC"/>
    <s v="Genesee"/>
    <m/>
    <m/>
    <s v="MI"/>
    <s v="DPP-2020"/>
    <s v="East (ITC)"/>
    <s v="GIA"/>
    <s v="NRIS"/>
    <s v="Goss-Thetford 345kV Line"/>
    <n v="50"/>
    <n v="50"/>
    <x v="2"/>
    <s v="Battery Storage"/>
    <s v="Not Started"/>
    <m/>
    <n v="0"/>
    <n v="0"/>
    <n v="0"/>
    <n v="0"/>
  </r>
  <r>
    <s v="J1661"/>
    <x v="1"/>
    <d v="2020-06-24T00:00:00"/>
    <d v="2021-02-23T00:00:00"/>
    <m/>
    <d v="2023-09-01T00:00:00"/>
    <s v="ITC"/>
    <s v="Lapeer"/>
    <m/>
    <m/>
    <s v="MI"/>
    <s v="DPP-2020"/>
    <s v="East (ITC)"/>
    <s v="GIA"/>
    <s v="NRIS"/>
    <s v="Imlay Pump 120kV Substation"/>
    <n v="200"/>
    <n v="200"/>
    <x v="0"/>
    <s v="Photovoltaic"/>
    <s v="Not Started"/>
    <m/>
    <n v="0"/>
    <n v="0"/>
    <n v="0"/>
    <n v="0"/>
  </r>
  <r>
    <s v="J1662"/>
    <x v="1"/>
    <d v="2020-06-23T00:00:00"/>
    <d v="2023-10-17T00:00:00"/>
    <m/>
    <d v="2023-08-31T00:00:00"/>
    <s v="NORTHERN INDIANA PUBLIC SERVICE COMPANY LLC"/>
    <s v="Newton"/>
    <m/>
    <m/>
    <s v="IN"/>
    <s v="DPP-2020"/>
    <s v="Central"/>
    <s v="GIA"/>
    <s v="NRIS"/>
    <s v="Goodland Substation 138kV (Bus Name: 17Goodland)"/>
    <n v="200"/>
    <n v="200"/>
    <x v="0"/>
    <s v="Photovoltaic"/>
    <s v="Not Started"/>
    <m/>
    <n v="0"/>
    <n v="0"/>
    <n v="0"/>
    <n v="0"/>
  </r>
  <r>
    <s v="J1663"/>
    <x v="0"/>
    <d v="2021-12-03T00:00:00"/>
    <m/>
    <d v="2023-03-07T00:00:00"/>
    <d v="2023-09-15T00:00:00"/>
    <s v="METC"/>
    <s v="Ottawa"/>
    <m/>
    <m/>
    <s v="MI"/>
    <s v="DPP-2020"/>
    <s v="East (ITC)"/>
    <s v="GIA"/>
    <s v="NRIS"/>
    <s v="ARGENTA - TALLMADGE 345.0kV"/>
    <n v="200"/>
    <n v="200"/>
    <x v="0"/>
    <s v="Photovoltaic"/>
    <s v="Under Construction"/>
    <d v="2025-08-02T00:00:00"/>
    <n v="200"/>
    <n v="200"/>
    <n v="200"/>
    <n v="200"/>
  </r>
  <r>
    <s v="J1664"/>
    <x v="0"/>
    <d v="2020-06-24T00:00:00"/>
    <m/>
    <m/>
    <d v="2023-09-01T00:00:00"/>
    <s v="ITC"/>
    <s v="St. Clair"/>
    <m/>
    <m/>
    <s v="MI"/>
    <s v="DPP-2020"/>
    <s v="East (ITC)"/>
    <s v="GIA"/>
    <s v="NRIS"/>
    <s v="Carrigan 120kV Substation"/>
    <n v="200"/>
    <n v="200"/>
    <x v="0"/>
    <s v="Photovoltaic"/>
    <s v="Not Started"/>
    <d v="2026-09-01T00:00:00"/>
    <n v="100"/>
    <n v="100"/>
    <n v="100"/>
    <n v="100"/>
  </r>
  <r>
    <s v="J1665"/>
    <x v="1"/>
    <d v="2020-06-24T00:00:00"/>
    <d v="2022-01-05T00:00:00"/>
    <m/>
    <d v="2023-09-01T00:00:00"/>
    <s v="ITC"/>
    <s v="St. Clair"/>
    <m/>
    <m/>
    <s v="MI"/>
    <s v="DPP-2020"/>
    <s v="East (ITC)"/>
    <s v="GIA"/>
    <s v="NRIS"/>
    <s v="Carrigan 120kV Substation"/>
    <n v="50"/>
    <n v="50"/>
    <x v="2"/>
    <s v="Battery Storage"/>
    <s v="Not Started"/>
    <m/>
    <n v="0"/>
    <n v="0"/>
    <n v="0"/>
    <n v="0"/>
  </r>
  <r>
    <s v="J1666"/>
    <x v="1"/>
    <d v="2020-06-24T00:00:00"/>
    <d v="2022-01-06T00:00:00"/>
    <m/>
    <d v="2023-04-20T00:00:00"/>
    <s v="METC"/>
    <s v="Ingham"/>
    <m/>
    <m/>
    <s v="MI"/>
    <s v="DPP-2020"/>
    <s v="East (ITC)"/>
    <s v="GIA"/>
    <s v="NRIS"/>
    <s v="Oneida - Majestic 345 kV"/>
    <n v="300"/>
    <n v="300"/>
    <x v="1"/>
    <s v="Wind Turbine"/>
    <s v="Not Started"/>
    <m/>
    <n v="0"/>
    <n v="0"/>
    <n v="0"/>
    <n v="0"/>
  </r>
  <r>
    <s v="J1667"/>
    <x v="1"/>
    <d v="2020-06-24T00:00:00"/>
    <d v="2021-12-21T00:00:00"/>
    <m/>
    <d v="2023-04-20T00:00:00"/>
    <s v="METC"/>
    <s v="Isabella"/>
    <m/>
    <m/>
    <s v="MI"/>
    <s v="DPP-2020"/>
    <s v="East (ITC)"/>
    <s v="GIA"/>
    <s v="NRIS"/>
    <s v="Bard Rd to Clare Junction 138 kV"/>
    <n v="200"/>
    <n v="200"/>
    <x v="1"/>
    <s v="Wind Turbine"/>
    <s v="Not Started"/>
    <m/>
    <n v="0"/>
    <n v="0"/>
    <n v="0"/>
    <n v="0"/>
  </r>
  <r>
    <s v="J1668"/>
    <x v="1"/>
    <d v="2020-06-24T00:00:00"/>
    <d v="2021-12-08T00:00:00"/>
    <m/>
    <d v="2023-04-20T00:00:00"/>
    <s v="ENTERGY LOUISIANA, LLC"/>
    <s v="Iberville"/>
    <m/>
    <m/>
    <s v="LA"/>
    <s v="DPP-2020"/>
    <s v="South"/>
    <s v="GIA"/>
    <s v="NRIS"/>
    <s v="Donaldsonville - Evergreen 230 kV"/>
    <n v="194"/>
    <n v="194"/>
    <x v="0"/>
    <s v="Photovoltaic"/>
    <s v="Not Started"/>
    <m/>
    <n v="0"/>
    <n v="0"/>
    <n v="0"/>
    <n v="0"/>
  </r>
  <r>
    <s v="J1669"/>
    <x v="0"/>
    <d v="2020-06-23T00:00:00"/>
    <m/>
    <m/>
    <d v="2023-09-01T00:00:00"/>
    <s v="ENTERGY LOUISIANA, LLC ELTO"/>
    <s v="Jefferson Davis"/>
    <m/>
    <m/>
    <s v="LA"/>
    <s v="DPP-2020"/>
    <s v="South"/>
    <s v="GIA"/>
    <s v="ERIS"/>
    <s v="LAKE CHARLES BULK"/>
    <n v="165"/>
    <n v="165"/>
    <x v="0"/>
    <s v="Photovoltaic"/>
    <s v="Not Started"/>
    <d v="2025-12-04T00:00:00"/>
    <n v="165"/>
    <n v="0"/>
    <n v="165"/>
    <n v="0"/>
  </r>
  <r>
    <s v="J1670"/>
    <x v="0"/>
    <d v="2020-06-23T00:00:00"/>
    <m/>
    <m/>
    <d v="2023-10-15T00:00:00"/>
    <s v="ENTERGY ARKANSAS, LLC EATO"/>
    <s v="Mississippi"/>
    <m/>
    <m/>
    <s v="AR"/>
    <s v="DPP-2020"/>
    <s v="South"/>
    <s v="GIA"/>
    <s v="NRIS"/>
    <s v="Crooked Lake 161kV at J586 POI"/>
    <n v="50"/>
    <n v="50"/>
    <x v="0"/>
    <s v="Photovoltaic"/>
    <s v="Not Started"/>
    <d v="2025-03-15T00:00:00"/>
    <n v="50"/>
    <n v="50"/>
    <n v="50"/>
    <n v="50"/>
  </r>
  <r>
    <s v="J1671"/>
    <x v="0"/>
    <d v="2020-06-23T00:00:00"/>
    <m/>
    <m/>
    <d v="2023-08-31T00:00:00"/>
    <s v="ENTERGY TEXAS, INC. ETTO"/>
    <s v="Walker"/>
    <m/>
    <m/>
    <s v="TX"/>
    <s v="DPP-2020"/>
    <s v="South"/>
    <s v="GIA"/>
    <s v="ERIS"/>
    <s v="Rocky Creek to Lewis Creek 230kV"/>
    <n v="150"/>
    <n v="150"/>
    <x v="0"/>
    <s v="Photovoltaic"/>
    <s v="Under Construction"/>
    <d v="2025-12-04T00:00:00"/>
    <n v="150"/>
    <n v="0"/>
    <n v="150"/>
    <n v="0"/>
  </r>
  <r>
    <s v="J1672"/>
    <x v="0"/>
    <d v="2020-06-23T00:00:00"/>
    <m/>
    <d v="2023-01-18T00:00:00"/>
    <d v="2023-08-31T00:00:00"/>
    <s v="ENTERGY MISSISSIPPI, LLC. EMTO"/>
    <s v="Hinds"/>
    <m/>
    <m/>
    <s v="MS"/>
    <s v="DPP-2020"/>
    <s v="South"/>
    <s v="GIA"/>
    <s v="NRIS"/>
    <s v="Tinnin Road 230kV"/>
    <n v="150"/>
    <n v="150"/>
    <x v="0"/>
    <s v="Photovoltaic"/>
    <s v="Not Started"/>
    <d v="2025-11-16T00:00:00"/>
    <n v="150"/>
    <n v="150"/>
    <n v="150"/>
    <n v="150"/>
  </r>
  <r>
    <s v="J1673"/>
    <x v="0"/>
    <d v="2020-06-23T00:00:00"/>
    <m/>
    <m/>
    <d v="2024-01-15T00:00:00"/>
    <s v="CLECO POWER LLC CLEC"/>
    <s v="Sabine"/>
    <m/>
    <m/>
    <s v="LA"/>
    <s v="DPP-2020"/>
    <s v="South"/>
    <s v="GIA"/>
    <s v="NRIS"/>
    <s v="Fisher - Marthaville 230.0kV"/>
    <n v="200"/>
    <n v="200"/>
    <x v="0"/>
    <s v="Photovoltaic"/>
    <s v="Not Started"/>
    <d v="2025-03-01T00:00:00"/>
    <n v="200"/>
    <n v="100"/>
    <n v="200"/>
    <n v="100"/>
  </r>
  <r>
    <s v="J1674"/>
    <x v="1"/>
    <d v="2020-06-25T00:00:00"/>
    <d v="2020-12-21T00:00:00"/>
    <m/>
    <d v="2023-08-02T00:00:00"/>
    <s v="ENTERGY LOUISIANA, LLC"/>
    <s v="St. Tammany"/>
    <m/>
    <m/>
    <s v="LA"/>
    <s v="DPP-2020"/>
    <s v="South"/>
    <s v="GIA"/>
    <s v="NRIS"/>
    <s v="Talisheek - North Slidell 230kV Line"/>
    <n v="250"/>
    <n v="250"/>
    <x v="5"/>
    <s v="Solar/Battery"/>
    <s v="Not Started"/>
    <m/>
    <n v="0"/>
    <n v="0"/>
    <n v="0"/>
    <n v="0"/>
  </r>
  <r>
    <s v="J1675"/>
    <x v="1"/>
    <d v="2020-06-23T00:00:00"/>
    <d v="2021-02-13T00:00:00"/>
    <m/>
    <d v="2023-12-15T00:00:00"/>
    <s v="AMEREN TRANSMISSION COMPANY OF ILLINOIS"/>
    <s v="Edgar"/>
    <m/>
    <m/>
    <s v="IL"/>
    <s v="DPP-2020"/>
    <s v="Central"/>
    <s v="GIA"/>
    <s v="NRIS"/>
    <s v="Kansas 345kV"/>
    <n v="250"/>
    <n v="250"/>
    <x v="1"/>
    <s v="Wind Turbine"/>
    <s v="Not Started"/>
    <m/>
    <n v="0"/>
    <n v="0"/>
    <n v="0"/>
    <n v="0"/>
  </r>
  <r>
    <s v="J1676"/>
    <x v="1"/>
    <d v="2020-06-24T00:00:00"/>
    <d v="2024-09-03T00:00:00"/>
    <m/>
    <d v="2023-04-20T00:00:00"/>
    <s v="AMEREN ILLINOIS"/>
    <s v="McLean"/>
    <m/>
    <m/>
    <s v="IL"/>
    <s v="DPP-2020"/>
    <s v="Central"/>
    <s v="GIA"/>
    <s v="NRIS"/>
    <s v="Brokaw - Clinton 345 kV line"/>
    <n v="300"/>
    <n v="300"/>
    <x v="1"/>
    <s v="Wind Turbine"/>
    <s v="Not Started"/>
    <m/>
    <n v="300"/>
    <n v="300"/>
    <n v="0"/>
    <n v="0"/>
  </r>
  <r>
    <s v="J1677"/>
    <x v="0"/>
    <d v="2020-06-24T00:00:00"/>
    <m/>
    <m/>
    <d v="2023-04-20T00:00:00"/>
    <s v="AMEREN ILLINOIS"/>
    <s v="Macon"/>
    <m/>
    <m/>
    <s v="IL"/>
    <s v="DPP-2020"/>
    <s v="Central"/>
    <s v="GIA"/>
    <s v="NRIS"/>
    <s v="Leghorn 345 kV"/>
    <n v="180"/>
    <n v="180"/>
    <x v="0"/>
    <s v="Photovoltaic"/>
    <s v="Not Started"/>
    <d v="2026-01-29T00:00:00"/>
    <n v="150"/>
    <n v="150"/>
    <n v="150"/>
    <n v="150"/>
  </r>
  <r>
    <s v="J1678"/>
    <x v="1"/>
    <d v="2022-04-06T00:00:00"/>
    <d v="2024-09-03T00:00:00"/>
    <m/>
    <d v="2023-08-01T00:00:00"/>
    <s v="DUKE ENERGY INDIANA, LLC"/>
    <s v="Miami"/>
    <m/>
    <m/>
    <s v="IN"/>
    <s v="DPP-2020"/>
    <s v="Central"/>
    <s v="GIA"/>
    <s v="NRIS"/>
    <s v="Deedsville 345 kV"/>
    <n v="74.7"/>
    <n v="74.7"/>
    <x v="2"/>
    <s v="Battery Storage"/>
    <s v="Not Started"/>
    <m/>
    <n v="74.7"/>
    <n v="74.7"/>
    <n v="0"/>
    <n v="0"/>
  </r>
  <r>
    <s v="J1679"/>
    <x v="0"/>
    <d v="2020-06-24T00:00:00"/>
    <m/>
    <m/>
    <d v="2023-04-20T00:00:00"/>
    <s v="AMEREN ILLINOIS"/>
    <s v="Clay"/>
    <m/>
    <m/>
    <s v="IL"/>
    <s v="DPP-2020"/>
    <s v="Central"/>
    <s v="GIA"/>
    <s v="NRIS"/>
    <s v="7XENIA    - 7MTVERNW 345.0kV"/>
    <n v="125"/>
    <n v="125"/>
    <x v="0"/>
    <s v="Photovoltaic"/>
    <s v="Not Started"/>
    <d v="2026-04-20T00:00:00"/>
    <n v="125"/>
    <n v="125"/>
    <n v="125"/>
    <n v="125"/>
  </r>
  <r>
    <s v="J1680"/>
    <x v="1"/>
    <d v="2020-06-24T00:00:00"/>
    <d v="2024-09-03T00:00:00"/>
    <m/>
    <d v="2023-04-20T00:00:00"/>
    <s v="DUKE ENERGY INDIANA, LLC"/>
    <s v="Cass"/>
    <m/>
    <m/>
    <s v="IN"/>
    <s v="DPP-2020"/>
    <s v="Central"/>
    <s v="GIA"/>
    <s v="NRIS"/>
    <s v="345 kV Walton Substation"/>
    <n v="100"/>
    <n v="100"/>
    <x v="0"/>
    <s v="Photovoltaic"/>
    <s v="Not Started"/>
    <m/>
    <n v="100"/>
    <n v="100"/>
    <n v="0"/>
    <n v="0"/>
  </r>
  <r>
    <s v="J1681"/>
    <x v="1"/>
    <d v="2020-06-18T00:00:00"/>
    <d v="2023-07-17T00:00:00"/>
    <m/>
    <d v="2024-10-31T00:00:00"/>
    <s v="AMEREN MISSOURI"/>
    <s v="Maries"/>
    <m/>
    <m/>
    <s v="MO"/>
    <s v="DPP-2020"/>
    <s v="Central"/>
    <s v="GIA"/>
    <s v="NRIS"/>
    <s v="Bland to Franks 345kV line"/>
    <n v="200"/>
    <n v="200"/>
    <x v="0"/>
    <s v="Photovoltaic"/>
    <s v="Not Started"/>
    <m/>
    <n v="0"/>
    <n v="0"/>
    <n v="0"/>
    <n v="0"/>
  </r>
  <r>
    <s v="J1682"/>
    <x v="1"/>
    <d v="2020-06-25T00:00:00"/>
    <d v="2020-12-18T00:00:00"/>
    <m/>
    <d v="2024-10-01T00:00:00"/>
    <s v="DUKE ENERGY INDIANA, LLC"/>
    <s v="Boone"/>
    <m/>
    <m/>
    <s v="IN"/>
    <s v="DPP-2020"/>
    <s v="Central"/>
    <s v="GIA"/>
    <s v="NRIS"/>
    <s v="Hortonville to Whitestown 345 kV"/>
    <n v="300"/>
    <n v="300"/>
    <x v="0"/>
    <s v="Photovoltaic"/>
    <s v="Not Started"/>
    <m/>
    <n v="0"/>
    <n v="0"/>
    <n v="0"/>
    <n v="0"/>
  </r>
  <r>
    <s v="J1683"/>
    <x v="1"/>
    <d v="2020-06-25T00:00:00"/>
    <d v="2020-12-14T00:00:00"/>
    <m/>
    <d v="2023-08-01T00:00:00"/>
    <s v="NORTHERN INDIANA PUBLIC SERVICE COMPANY LLC"/>
    <s v="Porter"/>
    <m/>
    <m/>
    <s v="IN"/>
    <s v="DPP-2020"/>
    <s v="Central"/>
    <s v="GIA"/>
    <s v="NRIS"/>
    <s v="Babcock - Lake George 345 kV"/>
    <n v="75"/>
    <n v="75"/>
    <x v="2"/>
    <s v="Battery Storage"/>
    <s v="Not Started"/>
    <m/>
    <n v="0"/>
    <n v="0"/>
    <n v="0"/>
    <n v="0"/>
  </r>
  <r>
    <s v="J1684"/>
    <x v="0"/>
    <d v="2023-08-04T00:00:00"/>
    <m/>
    <m/>
    <d v="2023-04-20T00:00:00"/>
    <s v="NORTHERN INDIANA PUBLIC SERVICE COMPANY LLC NIPS"/>
    <s v="Starke"/>
    <m/>
    <m/>
    <s v="IN"/>
    <s v="DPP-2020"/>
    <s v="Central"/>
    <s v="GIA"/>
    <s v="NRIS"/>
    <s v="SCHAHFER GEN STA - BURR OAK 345.0kV"/>
    <n v="200"/>
    <n v="200"/>
    <x v="0"/>
    <s v="Photovoltaic"/>
    <s v="Not Started"/>
    <d v="2029-04-17T00:00:00"/>
    <n v="200"/>
    <n v="200"/>
    <n v="200"/>
    <n v="200"/>
  </r>
  <r>
    <s v="J1685"/>
    <x v="1"/>
    <d v="2020-06-25T00:00:00"/>
    <d v="2020-09-24T00:00:00"/>
    <m/>
    <d v="2023-09-30T00:00:00"/>
    <s v="ENTERGY LOUISIANA, LLC"/>
    <s v="Ascension"/>
    <m/>
    <m/>
    <s v="LA"/>
    <s v="DPP-2020"/>
    <s v="South"/>
    <s v="GIA"/>
    <s v="NRIS"/>
    <s v="Donaldsonville to Evergreen 230kV line"/>
    <n v="250"/>
    <n v="250"/>
    <x v="5"/>
    <s v="Solar/Battery"/>
    <s v="Not Started"/>
    <m/>
    <n v="0"/>
    <n v="0"/>
    <n v="0"/>
    <n v="0"/>
  </r>
  <r>
    <s v="J1686"/>
    <x v="0"/>
    <d v="2022-07-07T00:00:00"/>
    <m/>
    <m/>
    <d v="2023-09-04T00:00:00"/>
    <s v="CLECO POWER LLC CLEC"/>
    <s v="Evangeline"/>
    <m/>
    <m/>
    <s v="LA"/>
    <s v="DPP-2020"/>
    <s v="South"/>
    <s v="GIA"/>
    <s v="NRIS"/>
    <s v="Coughlin - Plaisance 138 kV"/>
    <n v="100"/>
    <n v="100"/>
    <x v="5"/>
    <s v="Solar/Battery"/>
    <s v="Not Started"/>
    <d v="2026-09-01T00:00:00"/>
    <n v="100"/>
    <n v="100"/>
    <n v="100"/>
    <n v="70"/>
  </r>
  <r>
    <s v="J1687"/>
    <x v="1"/>
    <d v="2021-12-03T00:00:00"/>
    <d v="2024-09-03T00:00:00"/>
    <m/>
    <d v="2026-09-01T00:00:00"/>
    <s v="HOOSIER ENERGY"/>
    <s v="Decatur"/>
    <m/>
    <m/>
    <s v="IN"/>
    <s v="DPP-2020"/>
    <s v="Central"/>
    <s v="GIA"/>
    <s v="NRIS"/>
    <s v="Decatur Switching Station 161kv"/>
    <n v="160"/>
    <n v="160"/>
    <x v="0"/>
    <s v="Photovoltaic"/>
    <s v="Not Started"/>
    <m/>
    <n v="160"/>
    <n v="160"/>
    <n v="0"/>
    <n v="0"/>
  </r>
  <r>
    <s v="J1688"/>
    <x v="1"/>
    <d v="2020-06-23T00:00:00"/>
    <d v="2020-10-02T00:00:00"/>
    <m/>
    <d v="2023-09-15T00:00:00"/>
    <s v="AMEREN ILLINOIS"/>
    <s v="Champaign"/>
    <m/>
    <m/>
    <s v="IL"/>
    <s v="DPP-2020"/>
    <s v="Central"/>
    <s v="GIA"/>
    <s v="NRIS"/>
    <s v="Rising 345kV"/>
    <n v="200"/>
    <n v="200"/>
    <x v="0"/>
    <s v="Photovoltaic"/>
    <s v="Not Started"/>
    <m/>
    <n v="0"/>
    <n v="0"/>
    <n v="0"/>
    <n v="0"/>
  </r>
  <r>
    <s v="J1689"/>
    <x v="1"/>
    <d v="2020-06-24T00:00:00"/>
    <d v="2020-12-18T00:00:00"/>
    <m/>
    <d v="2023-09-15T00:00:00"/>
    <s v="DUKE ENERGY INDIANA, LLC"/>
    <s v="Henry"/>
    <m/>
    <m/>
    <s v="IN"/>
    <s v="DPP-2020"/>
    <s v="Central"/>
    <s v="GIA"/>
    <s v="NRIS"/>
    <s v="Cadiz 138kV"/>
    <n v="150"/>
    <n v="150"/>
    <x v="0"/>
    <s v="Photovoltaic"/>
    <s v="Not Started"/>
    <m/>
    <n v="0"/>
    <n v="0"/>
    <n v="0"/>
    <n v="0"/>
  </r>
  <r>
    <s v="J1690"/>
    <x v="1"/>
    <d v="2020-06-24T00:00:00"/>
    <d v="2021-03-15T00:00:00"/>
    <m/>
    <d v="2023-09-15T00:00:00"/>
    <s v="DUKE ENERGY INDIANA, LLC"/>
    <s v="Henry"/>
    <m/>
    <m/>
    <s v="IN"/>
    <s v="DPP-2020"/>
    <s v="Central"/>
    <s v="GIA"/>
    <s v="NRIS"/>
    <s v="Lewisville 138kV"/>
    <n v="125"/>
    <n v="125"/>
    <x v="0"/>
    <s v="Photovoltaic"/>
    <s v="Not Started"/>
    <m/>
    <n v="0"/>
    <n v="0"/>
    <n v="0"/>
    <n v="0"/>
  </r>
  <r>
    <s v="J1691"/>
    <x v="0"/>
    <d v="2020-06-24T00:00:00"/>
    <m/>
    <m/>
    <d v="2023-06-01T00:00:00"/>
    <s v="DUKE ENERGY INDIANA, LLC CIN"/>
    <s v="Sullivan"/>
    <m/>
    <m/>
    <s v="IN"/>
    <s v="DPP-2020"/>
    <s v="Central"/>
    <s v="GIA"/>
    <s v="NRIS"/>
    <s v="Gibson Sta - Merom (HED) 345.0kV"/>
    <n v="200"/>
    <n v="200"/>
    <x v="0"/>
    <s v="Photovoltaic"/>
    <s v="Not Started"/>
    <d v="2026-06-01T00:00:00"/>
    <n v="200"/>
    <n v="200"/>
    <n v="200"/>
    <n v="0"/>
  </r>
  <r>
    <s v="J1692"/>
    <x v="1"/>
    <d v="2020-06-24T00:00:00"/>
    <d v="2020-12-03T00:00:00"/>
    <m/>
    <d v="2023-06-01T00:00:00"/>
    <s v="DUKE ENERGY INDIANA, LLC"/>
    <s v="Cass"/>
    <m/>
    <m/>
    <s v="IN"/>
    <s v="DPP-2020"/>
    <s v="Central"/>
    <s v="GIA"/>
    <s v="NRIS"/>
    <s v="Walton 345 kV  Substation"/>
    <n v="65"/>
    <n v="65"/>
    <x v="2"/>
    <s v="Battery Storage"/>
    <s v="Not Started"/>
    <m/>
    <n v="0"/>
    <n v="0"/>
    <n v="0"/>
    <n v="0"/>
  </r>
  <r>
    <s v="J1693"/>
    <x v="1"/>
    <d v="2020-06-24T00:00:00"/>
    <d v="2020-11-19T00:00:00"/>
    <m/>
    <d v="2023-09-01T00:00:00"/>
    <s v="NORTHERN STATES POWER COMPANY"/>
    <s v="Chippewa"/>
    <m/>
    <m/>
    <s v="MN"/>
    <s v="DPP-2020"/>
    <s v="West"/>
    <s v="GIA"/>
    <s v="NRIS"/>
    <s v="Maynard XMSN 115kV Substation"/>
    <n v="50"/>
    <n v="50"/>
    <x v="2"/>
    <s v="Battery Storage"/>
    <s v="Not Started"/>
    <m/>
    <n v="0"/>
    <n v="0"/>
    <n v="0"/>
    <n v="0"/>
  </r>
  <r>
    <s v="J1694"/>
    <x v="1"/>
    <d v="2020-06-23T00:00:00"/>
    <d v="2020-12-18T00:00:00"/>
    <m/>
    <d v="2024-06-01T00:00:00"/>
    <s v="DUKE ENERGY INDIANA, LLC"/>
    <s v="Lawrence"/>
    <m/>
    <m/>
    <s v="IN"/>
    <s v="DPP-2020"/>
    <s v="Central"/>
    <s v="GIA"/>
    <s v="NRIS"/>
    <s v="Lost River 345kV"/>
    <n v="100"/>
    <n v="100"/>
    <x v="0"/>
    <s v="Photovoltaic"/>
    <s v="Not Started"/>
    <m/>
    <n v="0"/>
    <n v="0"/>
    <n v="0"/>
    <n v="0"/>
  </r>
  <r>
    <s v="J1695"/>
    <x v="1"/>
    <d v="2023-12-12T00:00:00"/>
    <d v="2024-09-03T00:00:00"/>
    <m/>
    <d v="2023-09-01T00:00:00"/>
    <s v="AMEREN ILLINOIS"/>
    <s v="Perry"/>
    <m/>
    <m/>
    <s v="IL"/>
    <s v="DPP-2020"/>
    <s v="Central"/>
    <s v="GIA"/>
    <s v="NRIS"/>
    <s v="Aster 138kV Substation (Rebuild of North Coulterville 138kV)"/>
    <n v="50"/>
    <n v="50"/>
    <x v="2"/>
    <s v="Battery Storage"/>
    <s v="Not Started"/>
    <m/>
    <n v="50"/>
    <n v="50"/>
    <n v="0"/>
    <n v="0"/>
  </r>
  <r>
    <s v="J1696"/>
    <x v="0"/>
    <d v="2020-06-11T00:00:00"/>
    <m/>
    <m/>
    <d v="2023-10-01T00:00:00"/>
    <s v="BIG RIVERS ELECTRIC CORPORATION BREC"/>
    <s v="Henderson"/>
    <m/>
    <m/>
    <s v="KY"/>
    <s v="DPP-2020"/>
    <s v="Central"/>
    <s v="GIA"/>
    <s v="NRIS"/>
    <s v="Reid EHV 161kV"/>
    <n v="150"/>
    <n v="150"/>
    <x v="0"/>
    <s v="Photovoltaic"/>
    <s v="Not Started"/>
    <d v="2026-06-12T00:00:00"/>
    <n v="150"/>
    <n v="150"/>
    <n v="150"/>
    <n v="150"/>
  </r>
  <r>
    <s v="J1697"/>
    <x v="1"/>
    <d v="2020-06-18T00:00:00"/>
    <d v="2024-09-03T00:00:00"/>
    <m/>
    <d v="2023-04-01T00:00:00"/>
    <s v="DUKE ENERGY INDIANA, LLC"/>
    <s v="Lawrence"/>
    <m/>
    <m/>
    <s v="IN"/>
    <s v="DPP-2020"/>
    <s v="Central"/>
    <s v="GIA"/>
    <s v="NRIS"/>
    <s v="Shawswick to Pleasant Grove 138 kV"/>
    <n v="200"/>
    <n v="200"/>
    <x v="0"/>
    <s v="Photovoltaic"/>
    <s v="Not Started"/>
    <m/>
    <n v="200"/>
    <n v="200"/>
    <n v="0"/>
    <n v="0"/>
  </r>
  <r>
    <s v="J1698"/>
    <x v="1"/>
    <d v="2020-06-25T00:00:00"/>
    <d v="2020-12-21T00:00:00"/>
    <m/>
    <d v="2023-08-02T00:00:00"/>
    <s v="ENTERGY LOUISIANA, LLC"/>
    <s v="St. Tammany"/>
    <m/>
    <m/>
    <s v="LA"/>
    <s v="DPP-2020"/>
    <s v="South"/>
    <s v="GIA"/>
    <s v="NRIS"/>
    <s v="Talisheek - North Slidell 230kV Line"/>
    <n v="150"/>
    <n v="150"/>
    <x v="5"/>
    <s v="Solar/Battery"/>
    <s v="Not Started"/>
    <m/>
    <n v="0"/>
    <n v="0"/>
    <n v="0"/>
    <n v="0"/>
  </r>
  <r>
    <s v="J1699"/>
    <x v="1"/>
    <d v="2020-06-25T00:00:00"/>
    <d v="2023-07-17T00:00:00"/>
    <m/>
    <d v="2024-10-01T00:00:00"/>
    <s v="HOOSIER ENERGY"/>
    <s v="Shelby"/>
    <m/>
    <m/>
    <s v="IN"/>
    <s v="DPP-2020"/>
    <s v="Central"/>
    <s v="GIA"/>
    <s v="NRIS"/>
    <s v="HE Lewis Creek 69 kV"/>
    <n v="43"/>
    <n v="43"/>
    <x v="0"/>
    <s v="Photovoltaic"/>
    <s v="Not Started"/>
    <m/>
    <n v="0"/>
    <n v="0"/>
    <n v="0"/>
    <n v="0"/>
  </r>
  <r>
    <s v="J1700"/>
    <x v="1"/>
    <d v="2020-06-25T00:00:00"/>
    <d v="2020-10-22T00:00:00"/>
    <m/>
    <d v="2023-04-30T00:00:00"/>
    <s v="DUKE ENERGY INDIANA, LLC"/>
    <s v="Johnson"/>
    <m/>
    <m/>
    <s v="IN"/>
    <s v="DPP-2020"/>
    <s v="Central"/>
    <s v="GIA"/>
    <s v="NRIS"/>
    <s v="FRANKLIN 230KV"/>
    <n v="288"/>
    <n v="288"/>
    <x v="0"/>
    <s v="Photovoltaic"/>
    <s v="Not Started"/>
    <m/>
    <n v="0"/>
    <n v="0"/>
    <n v="0"/>
    <n v="0"/>
  </r>
  <r>
    <s v="J1701"/>
    <x v="0"/>
    <d v="2021-12-03T00:00:00"/>
    <m/>
    <m/>
    <d v="2023-09-15T00:00:00"/>
    <s v="AMEREN ILLINOIS"/>
    <s v="McDonough"/>
    <m/>
    <m/>
    <s v="IL"/>
    <s v="DPP-2020"/>
    <s v="Central"/>
    <s v="GIA"/>
    <s v="NRIS"/>
    <s v="Macomb to Ipava 138kV line"/>
    <n v="200"/>
    <n v="200"/>
    <x v="1"/>
    <s v="Wind Turbine"/>
    <s v="Not Started"/>
    <d v="2026-09-15T00:00:00"/>
    <n v="200"/>
    <n v="200"/>
    <n v="200"/>
    <n v="191"/>
  </r>
  <r>
    <s v="J1702"/>
    <x v="1"/>
    <d v="2020-06-24T00:00:00"/>
    <d v="2020-12-14T00:00:00"/>
    <m/>
    <d v="2023-04-20T00:00:00"/>
    <s v="AMEREN TRANSMISSION COMPANY OF ILLINOIS"/>
    <s v="Shelby"/>
    <m/>
    <m/>
    <s v="IL"/>
    <s v="DPP-2020"/>
    <s v="Central"/>
    <s v="GIA"/>
    <s v="NRIS"/>
    <s v="Faraday 345 kV"/>
    <n v="300"/>
    <n v="300"/>
    <x v="1"/>
    <s v="Wind Turbine"/>
    <s v="Not Started"/>
    <m/>
    <n v="0"/>
    <n v="0"/>
    <n v="0"/>
    <n v="0"/>
  </r>
  <r>
    <s v="J1703"/>
    <x v="1"/>
    <d v="2022-02-11T00:00:00"/>
    <d v="2023-07-17T00:00:00"/>
    <m/>
    <d v="2023-09-01T00:00:00"/>
    <s v="BIG RIVERS ELECTRIC CORPORATION"/>
    <s v="Webster"/>
    <m/>
    <m/>
    <s v="KY"/>
    <s v="DPP-2020"/>
    <s v="Central"/>
    <s v="GIA"/>
    <s v="NRIS"/>
    <s v="Reid to Hopkins County 161kV"/>
    <n v="74"/>
    <n v="74"/>
    <x v="0"/>
    <s v="Photovoltaic"/>
    <s v="Not Started"/>
    <m/>
    <n v="0"/>
    <n v="0"/>
    <n v="0"/>
    <n v="0"/>
  </r>
  <r>
    <s v="J1704"/>
    <x v="1"/>
    <d v="2020-06-25T00:00:00"/>
    <d v="2023-11-28T00:00:00"/>
    <m/>
    <d v="2023-09-01T00:00:00"/>
    <s v="DUKE ENERGY INDIANA, LLC"/>
    <s v="Shelby"/>
    <m/>
    <m/>
    <s v="IN"/>
    <s v="DPP-2020"/>
    <s v="Central"/>
    <s v="GIA"/>
    <s v="NRIS"/>
    <s v="Gwynneville 345kV Substation"/>
    <n v="50"/>
    <n v="50"/>
    <x v="2"/>
    <s v="Battery Storage"/>
    <s v="Not Started"/>
    <m/>
    <n v="0"/>
    <n v="0"/>
    <n v="50"/>
    <n v="50"/>
  </r>
  <r>
    <s v="J1705"/>
    <x v="1"/>
    <d v="2020-06-25T00:00:00"/>
    <d v="2021-02-23T00:00:00"/>
    <m/>
    <d v="2024-02-20T00:00:00"/>
    <s v="AMERICAN TRANSMISSION COMPANY"/>
    <s v="Columbia"/>
    <m/>
    <m/>
    <s v="WI"/>
    <s v="DPP-2020"/>
    <s v="East (ATC)"/>
    <s v="GIA"/>
    <s v="NRIS"/>
    <s v="South Fond du Lac (Endpoint A) to Columbia (Endpoint B)  345 kV"/>
    <n v="200"/>
    <n v="200"/>
    <x v="0"/>
    <s v="Photovoltaic"/>
    <s v="Not Started"/>
    <m/>
    <n v="0"/>
    <n v="0"/>
    <n v="0"/>
    <n v="0"/>
  </r>
  <r>
    <s v="J1706"/>
    <x v="0"/>
    <d v="2020-06-23T00:00:00"/>
    <m/>
    <m/>
    <d v="2025-06-01T00:00:00"/>
    <s v="AMERICAN TRANSMISSION COMPANY"/>
    <s v="Green"/>
    <m/>
    <m/>
    <s v="WI"/>
    <s v="DPP-2020"/>
    <s v="East (ATC)"/>
    <s v="GIA"/>
    <s v="NRIS"/>
    <s v="North Monroe 138 kV"/>
    <n v="100"/>
    <n v="100"/>
    <x v="0"/>
    <s v="Photovoltaic"/>
    <s v="Not Started"/>
    <d v="2028-06-01T00:00:00"/>
    <n v="100"/>
    <n v="100"/>
    <n v="100"/>
    <n v="100"/>
  </r>
  <r>
    <s v="J1707"/>
    <x v="1"/>
    <d v="2021-10-22T00:00:00"/>
    <d v="2023-07-17T00:00:00"/>
    <m/>
    <d v="2023-04-20T00:00:00"/>
    <s v="SOUTHERN INDIANA GAS &amp; ELECTRIC COMPANY D/B/A CENTERPOINT ENERGY INDIANA SOUTH"/>
    <s v="Dubois"/>
    <m/>
    <m/>
    <s v="IN"/>
    <s v="DPP-2020"/>
    <s v="Central"/>
    <s v="GIA"/>
    <s v="NRIS"/>
    <s v="DUFF 345KV"/>
    <n v="72"/>
    <n v="72"/>
    <x v="0"/>
    <s v="Photovoltaic"/>
    <s v="Not Started"/>
    <m/>
    <n v="0"/>
    <n v="0"/>
    <n v="0"/>
    <n v="0"/>
  </r>
  <r>
    <s v="J1708"/>
    <x v="1"/>
    <d v="2020-06-23T00:00:00"/>
    <d v="2023-06-22T00:00:00"/>
    <m/>
    <d v="2025-06-01T00:00:00"/>
    <s v="AMERICAN TRANSMISSION COMPANY"/>
    <s v="Grant"/>
    <m/>
    <m/>
    <s v="WI"/>
    <s v="DPP-2020"/>
    <s v="East (ATC)"/>
    <s v="GIA"/>
    <s v="NRIS"/>
    <s v="J947 Interconnection Substation"/>
    <n v="75"/>
    <n v="75"/>
    <x v="0"/>
    <s v="Photovoltaic"/>
    <s v="Not Started"/>
    <m/>
    <n v="75"/>
    <n v="75"/>
    <n v="75"/>
    <n v="75"/>
  </r>
  <r>
    <s v="J1709"/>
    <x v="1"/>
    <d v="2022-01-21T00:00:00"/>
    <d v="2024-10-15T00:00:00"/>
    <d v="2023-01-18T00:00:00"/>
    <d v="2022-02-01T00:00:00"/>
    <s v="ENTERGY TEXAS, INC."/>
    <s v="Grimes"/>
    <m/>
    <m/>
    <s v="TX"/>
    <s v="DPP-2020"/>
    <s v="South"/>
    <s v="GIA"/>
    <s v="ERIS"/>
    <s v="138 kV Grimes"/>
    <n v="100"/>
    <n v="100"/>
    <x v="2"/>
    <s v="Battery Storage"/>
    <s v="Withdrawn"/>
    <d v="2025-02-01T00:00:00"/>
    <n v="100"/>
    <n v="0"/>
    <n v="100"/>
    <n v="0"/>
  </r>
  <r>
    <s v="J1710"/>
    <x v="0"/>
    <d v="2020-06-25T00:00:00"/>
    <m/>
    <m/>
    <d v="2023-09-13T00:00:00"/>
    <s v="ENTERGY ARKANSAS, LLC EATO"/>
    <s v="Lee"/>
    <m/>
    <m/>
    <s v="AR"/>
    <s v="DPP-2020"/>
    <s v="South"/>
    <s v="GIA"/>
    <s v="NRIS"/>
    <s v="KEO EHV"/>
    <n v="300"/>
    <n v="300"/>
    <x v="0"/>
    <s v="Photovoltaic"/>
    <s v="Not Started"/>
    <d v="2026-09-13T00:00:00"/>
    <n v="300"/>
    <n v="300"/>
    <n v="300"/>
    <n v="300"/>
  </r>
  <r>
    <s v="J1711"/>
    <x v="1"/>
    <d v="2020-06-24T00:00:00"/>
    <d v="2020-11-30T00:00:00"/>
    <m/>
    <d v="2023-09-01T00:00:00"/>
    <s v="AMERICAN TRANSMISSION COMPANY"/>
    <s v="Green"/>
    <m/>
    <m/>
    <s v="WI"/>
    <s v="DPP-2020"/>
    <s v="East (ATC)"/>
    <s v="GIA"/>
    <s v="NRIS"/>
    <s v="North Monroe 138kV Substation"/>
    <n v="100"/>
    <n v="100"/>
    <x v="0"/>
    <s v="Photovoltaic"/>
    <s v="Not Started"/>
    <m/>
    <n v="0"/>
    <n v="0"/>
    <n v="0"/>
    <n v="0"/>
  </r>
  <r>
    <s v="J1712"/>
    <x v="0"/>
    <d v="2020-06-23T00:00:00"/>
    <m/>
    <m/>
    <d v="2022-12-15T00:00:00"/>
    <s v="AMEREN ILLINOIS"/>
    <s v="Perry"/>
    <m/>
    <m/>
    <s v="IL"/>
    <s v="DPP-2020"/>
    <s v="Central"/>
    <s v="GIA"/>
    <s v="NRIS"/>
    <s v="North Coulterville - COMM 345kV"/>
    <n v="300"/>
    <n v="300"/>
    <x v="0"/>
    <s v="Photovoltaic"/>
    <s v="Not Started"/>
    <d v="2025-12-15T00:00:00"/>
    <n v="300"/>
    <n v="300"/>
    <n v="300"/>
    <n v="300"/>
  </r>
  <r>
    <s v="J1713"/>
    <x v="1"/>
    <d v="2020-06-24T00:00:00"/>
    <d v="2024-09-03T00:00:00"/>
    <m/>
    <d v="2022-08-01T00:00:00"/>
    <s v="AMEREN TRANSMISSION COMPANY OF ILLINOIS"/>
    <s v="Macon"/>
    <m/>
    <m/>
    <s v="IL"/>
    <s v="DPP-2020"/>
    <s v="Central"/>
    <s v="GIA"/>
    <s v="NRIS"/>
    <s v="Faraday (138 kV)"/>
    <n v="147.19999999999999"/>
    <n v="147.19999999999999"/>
    <x v="1"/>
    <s v="Wind Turbine"/>
    <s v="Not Started"/>
    <m/>
    <n v="147.19"/>
    <n v="147.19"/>
    <n v="0"/>
    <n v="0"/>
  </r>
  <r>
    <s v="J1714"/>
    <x v="0"/>
    <d v="2020-06-25T00:00:00"/>
    <m/>
    <m/>
    <d v="2023-09-01T00:00:00"/>
    <s v="AMEREN ILLINOIS"/>
    <s v="Fayette"/>
    <m/>
    <m/>
    <s v="IL"/>
    <s v="DPP-2020"/>
    <s v="Central"/>
    <s v="GIA"/>
    <s v="NRIS"/>
    <s v="Ramsey East 138kV Substation"/>
    <n v="100"/>
    <n v="100"/>
    <x v="0"/>
    <s v="Photovoltaic"/>
    <s v="Not Started"/>
    <d v="2026-12-01T00:00:00"/>
    <n v="100"/>
    <n v="100"/>
    <n v="100"/>
    <n v="100"/>
  </r>
  <r>
    <s v="J1715"/>
    <x v="1"/>
    <d v="2020-06-24T00:00:00"/>
    <d v="2020-12-18T00:00:00"/>
    <m/>
    <d v="2023-09-15T00:00:00"/>
    <s v="HOOSIER ENERGY"/>
    <s v="Decatur"/>
    <m/>
    <m/>
    <s v="IN"/>
    <s v="DPP-2020"/>
    <s v="Central"/>
    <s v="GIA"/>
    <s v="NRIS"/>
    <s v="HE Westport 138kV"/>
    <n v="145"/>
    <n v="145"/>
    <x v="0"/>
    <s v="Photovoltaic"/>
    <s v="Not Started"/>
    <m/>
    <n v="0"/>
    <n v="0"/>
    <n v="0"/>
    <n v="0"/>
  </r>
  <r>
    <s v="J1716"/>
    <x v="1"/>
    <d v="2020-06-24T00:00:00"/>
    <d v="2024-10-21T00:00:00"/>
    <m/>
    <d v="2022-08-01T00:00:00"/>
    <s v="AMERICAN TRANSMISSION COMPANY"/>
    <s v="Fond du Lac"/>
    <m/>
    <m/>
    <s v="WI"/>
    <s v="DPP-2020"/>
    <s v="East (ATC)"/>
    <s v="GIA"/>
    <s v="NRIS"/>
    <s v="South Fond du Lac - Fitzgerald 345.0kV"/>
    <n v="100"/>
    <n v="100"/>
    <x v="0"/>
    <s v="Photovoltaic"/>
    <s v="Withdrawn"/>
    <d v="2025-08-01T00:00:00"/>
    <n v="100"/>
    <n v="0"/>
    <n v="100"/>
    <n v="0"/>
  </r>
  <r>
    <s v="J1717"/>
    <x v="1"/>
    <d v="2020-06-24T00:00:00"/>
    <d v="2020-12-18T00:00:00"/>
    <m/>
    <d v="2023-09-15T00:00:00"/>
    <s v="DUKE ENERGY INDIANA, LLC"/>
    <s v="Decatur"/>
    <m/>
    <m/>
    <s v="IN"/>
    <s v="DPP-2020"/>
    <s v="Central"/>
    <s v="GIA"/>
    <s v="NRIS"/>
    <s v="Greensburg 138kV"/>
    <n v="150"/>
    <n v="150"/>
    <x v="0"/>
    <s v="Photovoltaic"/>
    <s v="Not Started"/>
    <m/>
    <n v="0"/>
    <n v="0"/>
    <n v="0"/>
    <n v="0"/>
  </r>
  <r>
    <s v="J1718"/>
    <x v="1"/>
    <d v="2020-06-24T00:00:00"/>
    <d v="2020-09-18T00:00:00"/>
    <m/>
    <d v="2023-09-15T00:00:00"/>
    <s v="AMEREN ILLINOIS"/>
    <s v="Vermilion"/>
    <m/>
    <m/>
    <s v="IL"/>
    <s v="DPP-2020"/>
    <s v="Central"/>
    <s v="GIA"/>
    <s v="NRIS"/>
    <s v="Bunsonville 345kV"/>
    <n v="200"/>
    <n v="200"/>
    <x v="1"/>
    <s v="Wind Turbine"/>
    <s v="Not Started"/>
    <m/>
    <n v="0"/>
    <n v="0"/>
    <n v="0"/>
    <n v="0"/>
  </r>
  <r>
    <s v="J1719"/>
    <x v="1"/>
    <d v="2020-06-24T00:00:00"/>
    <d v="2021-12-08T00:00:00"/>
    <m/>
    <d v="2023-09-01T00:00:00"/>
    <s v="AMERICAN TRANSMISSION COMPANY"/>
    <s v="Waushara"/>
    <m/>
    <m/>
    <s v="WI"/>
    <s v="DPP-2020"/>
    <s v="East (ATC)"/>
    <s v="GIA"/>
    <s v="NRIS"/>
    <s v="Sand Lake 138kV Substation"/>
    <n v="100"/>
    <n v="100"/>
    <x v="0"/>
    <s v="Photovoltaic"/>
    <s v="Not Started"/>
    <m/>
    <n v="0"/>
    <n v="0"/>
    <n v="0"/>
    <n v="0"/>
  </r>
  <r>
    <s v="J1720"/>
    <x v="1"/>
    <d v="2020-06-22T00:00:00"/>
    <d v="2021-12-08T00:00:00"/>
    <m/>
    <d v="2024-05-20T00:00:00"/>
    <s v="AMERICAN TRANSMISSION COMPANY"/>
    <s v="Columbia"/>
    <m/>
    <m/>
    <s v="WI"/>
    <s v="DPP-2020"/>
    <s v="East (ATC)"/>
    <s v="GIA"/>
    <s v="NRIS"/>
    <s v="Fountain Prairie -North Randolph   138kV Transmission Line"/>
    <n v="99"/>
    <n v="99"/>
    <x v="0"/>
    <s v="Photovoltaic"/>
    <s v="Not Started"/>
    <m/>
    <n v="0"/>
    <n v="0"/>
    <n v="0"/>
    <n v="0"/>
  </r>
  <r>
    <s v="J1721"/>
    <x v="1"/>
    <d v="2020-06-24T00:00:00"/>
    <d v="2025-11-26T00:00:00"/>
    <m/>
    <d v="2023-06-01T00:00:00"/>
    <s v="DUKE ENERGY INDIANA, LLC"/>
    <s v="Vigo"/>
    <m/>
    <m/>
    <s v="IN"/>
    <s v="DPP-2020"/>
    <s v="Central"/>
    <s v="GIA"/>
    <s v="NRIS"/>
    <s v="TH Pfizer Jct. - Worthington (HED)"/>
    <n v="175.12"/>
    <n v="175.12"/>
    <x v="0"/>
    <s v="Photovoltaic"/>
    <s v="Withdrawn"/>
    <d v="2026-06-01T00:00:00"/>
    <n v="175.12"/>
    <n v="175.12"/>
    <n v="175.12"/>
    <n v="175.12"/>
  </r>
  <r>
    <s v="J1722"/>
    <x v="1"/>
    <d v="2020-06-22T00:00:00"/>
    <d v="2021-12-08T00:00:00"/>
    <m/>
    <d v="2024-02-09T00:00:00"/>
    <s v="ENTERGY ARKANSAS, LLC"/>
    <s v="Lonoke"/>
    <m/>
    <m/>
    <s v="AR"/>
    <s v="DPP-2020"/>
    <s v="South"/>
    <s v="GIA"/>
    <s v="NRIS"/>
    <s v="Galloway - Remigton 115kV  Transmission Line"/>
    <n v="100"/>
    <n v="100"/>
    <x v="0"/>
    <s v="Photovoltaic"/>
    <s v="Not Started"/>
    <m/>
    <n v="0"/>
    <n v="0"/>
    <n v="0"/>
    <n v="0"/>
  </r>
  <r>
    <s v="J1723"/>
    <x v="1"/>
    <d v="2021-11-02T00:00:00"/>
    <d v="2022-08-05T00:00:00"/>
    <m/>
    <d v="2023-04-01T00:00:00"/>
    <s v="ENTERGY ARKANSAS, LLC"/>
    <s v="Cross"/>
    <m/>
    <m/>
    <s v="AR"/>
    <s v="DPP-2020"/>
    <s v="South"/>
    <s v="GIA"/>
    <s v="NRIS"/>
    <s v="Wynne East to Wynne South 161kV line (J1125 sub)"/>
    <n v="10"/>
    <n v="10"/>
    <x v="2"/>
    <s v="Battery Storage"/>
    <s v="Not Started"/>
    <m/>
    <n v="10"/>
    <n v="10"/>
    <n v="10"/>
    <n v="10"/>
  </r>
  <r>
    <s v="J1724"/>
    <x v="0"/>
    <d v="2021-12-03T00:00:00"/>
    <m/>
    <m/>
    <d v="2023-09-15T00:00:00"/>
    <s v="NORTHERN INDIANA PUBLIC SERVICE COMPANY LLC NIPS"/>
    <s v="LaPorte"/>
    <m/>
    <m/>
    <s v="IN"/>
    <s v="DPP-2020"/>
    <s v="Central"/>
    <s v="GIA"/>
    <s v="NRIS"/>
    <s v="LNG - STILLWELL 138kV line"/>
    <n v="150"/>
    <n v="150"/>
    <x v="0"/>
    <s v="Photovoltaic"/>
    <s v="Not Started"/>
    <m/>
    <n v="150"/>
    <n v="150"/>
    <n v="150"/>
    <n v="150"/>
  </r>
  <r>
    <s v="J1725"/>
    <x v="0"/>
    <d v="2020-06-23T00:00:00"/>
    <m/>
    <m/>
    <d v="2024-09-01T00:00:00"/>
    <s v="AMEREN ILLINOIS"/>
    <s v="Tazewell"/>
    <m/>
    <m/>
    <s v="IL"/>
    <s v="DPP-2020"/>
    <s v="Central"/>
    <s v="GIA"/>
    <s v="NRIS"/>
    <s v="San Jose Rail Splitter 138KV (G515)"/>
    <n v="100"/>
    <n v="100"/>
    <x v="1"/>
    <s v="Wind Turbine"/>
    <s v="Not Started"/>
    <d v="2027-06-01T00:00:00"/>
    <n v="100"/>
    <n v="100"/>
    <n v="100"/>
    <n v="14"/>
  </r>
  <r>
    <s v="J1726"/>
    <x v="1"/>
    <d v="2020-06-15T00:00:00"/>
    <d v="2024-09-03T00:00:00"/>
    <m/>
    <d v="2023-10-01T00:00:00"/>
    <s v="NORTHERN INDIANA PUBLIC SERVICE COMPANY LLC"/>
    <s v="Pulaski"/>
    <m/>
    <m/>
    <s v="IN"/>
    <s v="DPP-2020"/>
    <s v="Central"/>
    <s v="GIA"/>
    <s v="NRIS"/>
    <s v="Reynolds - Burr 345kV"/>
    <n v="200"/>
    <n v="200"/>
    <x v="0"/>
    <s v="Photovoltaic"/>
    <s v="Not Started"/>
    <m/>
    <n v="200"/>
    <n v="200"/>
    <n v="0"/>
    <n v="0"/>
  </r>
  <r>
    <s v="J1727"/>
    <x v="1"/>
    <d v="2020-06-24T00:00:00"/>
    <d v="2020-10-08T00:00:00"/>
    <m/>
    <d v="2023-12-01T00:00:00"/>
    <s v="ITC MIDWEST"/>
    <s v="Hancock"/>
    <m/>
    <m/>
    <s v="IA"/>
    <s v="DPP-2020"/>
    <s v="West"/>
    <s v="GIA"/>
    <s v="NRIS"/>
    <s v="Lime Creek 161kV"/>
    <n v="33.75"/>
    <n v="33.75"/>
    <x v="1"/>
    <s v="Wind Turbine"/>
    <s v="Not Started"/>
    <m/>
    <n v="0"/>
    <n v="0"/>
    <n v="0"/>
    <n v="0"/>
  </r>
  <r>
    <s v="J1728"/>
    <x v="1"/>
    <d v="2020-06-25T00:00:00"/>
    <d v="2020-10-08T00:00:00"/>
    <m/>
    <d v="2023-12-01T00:00:00"/>
    <s v="ITC MIDWEST"/>
    <s v="Story"/>
    <m/>
    <m/>
    <s v="IA"/>
    <s v="DPP-2020"/>
    <s v="West"/>
    <s v="GIA"/>
    <s v="NRIS-Only"/>
    <s v="Story County Substation 161kV"/>
    <n v="39"/>
    <n v="39"/>
    <x v="1"/>
    <s v="Wind Turbine"/>
    <s v="Not Started"/>
    <m/>
    <n v="0"/>
    <n v="0"/>
    <n v="0"/>
    <n v="0"/>
  </r>
  <r>
    <s v="J1729"/>
    <x v="1"/>
    <d v="2020-06-24T00:00:00"/>
    <d v="2020-10-08T00:00:00"/>
    <m/>
    <d v="2023-12-01T00:00:00"/>
    <s v="ITC MIDWEST"/>
    <s v="Hancock"/>
    <m/>
    <m/>
    <s v="IA"/>
    <s v="DPP-2020"/>
    <s v="West"/>
    <s v="GIA"/>
    <s v="NRIS-Only"/>
    <s v="Lime Creek 161kV"/>
    <n v="43"/>
    <n v="43"/>
    <x v="1"/>
    <s v="Wind Turbine"/>
    <s v="Not Started"/>
    <m/>
    <n v="0"/>
    <n v="0"/>
    <n v="0"/>
    <n v="0"/>
  </r>
  <r>
    <s v="J1730"/>
    <x v="0"/>
    <d v="2022-03-17T00:00:00"/>
    <m/>
    <m/>
    <d v="2024-06-06T00:00:00"/>
    <s v="NORTHERN STATES POWER COMPANY"/>
    <s v="Dunn"/>
    <m/>
    <m/>
    <s v="WI"/>
    <s v="DPP-2020"/>
    <s v="West"/>
    <s v="GIA"/>
    <s v="NRIS"/>
    <s v="Eau Claire to AS King 345 kV"/>
    <n v="300"/>
    <n v="300"/>
    <x v="0"/>
    <s v="Photovoltaic"/>
    <s v="Under Construction"/>
    <d v="2027-06-06T00:00:00"/>
    <n v="300"/>
    <n v="300"/>
    <n v="300"/>
    <n v="300"/>
  </r>
  <r>
    <s v="J1731"/>
    <x v="1"/>
    <d v="2020-06-24T00:00:00"/>
    <d v="2021-03-12T00:00:00"/>
    <m/>
    <d v="2022-02-01T00:00:00"/>
    <s v="INDIANAPOLIS POWER &amp; LIGHT COMPANY"/>
    <s v="Madison"/>
    <m/>
    <m/>
    <s v="IN"/>
    <s v="DPP-2020"/>
    <s v="Central"/>
    <s v="GIA"/>
    <s v="NRIS"/>
    <s v="Noblesville to Fall Creek 345 kV"/>
    <n v="100"/>
    <n v="100"/>
    <x v="2"/>
    <s v="Battery Storage"/>
    <s v="Not Started"/>
    <m/>
    <n v="0"/>
    <n v="0"/>
    <n v="0"/>
    <n v="0"/>
  </r>
  <r>
    <s v="J1732"/>
    <x v="0"/>
    <d v="2020-06-24T00:00:00"/>
    <m/>
    <m/>
    <d v="2024-12-31T00:00:00"/>
    <s v="AMERICAN TRANSMISSION COMPANY"/>
    <s v="Columbia"/>
    <m/>
    <m/>
    <s v="WI"/>
    <s v="DPP-2020"/>
    <s v="East (ATC)"/>
    <s v="GIA"/>
    <s v="NRIS"/>
    <s v="ACEC Lewiston Tap (X-68) - ACEC Lewiston 138.0kV"/>
    <n v="98.4"/>
    <n v="98.4"/>
    <x v="0"/>
    <s v="Photovoltaic"/>
    <s v="Not Started"/>
    <d v="2025-12-31T00:00:00"/>
    <n v="98.4"/>
    <n v="98.4"/>
    <n v="98.4"/>
    <n v="98.4"/>
  </r>
  <r>
    <s v="J1733"/>
    <x v="1"/>
    <d v="2020-06-24T00:00:00"/>
    <d v="2021-11-17T00:00:00"/>
    <m/>
    <d v="2025-06-01T00:00:00"/>
    <s v="ITC MIDWEST"/>
    <s v="Allamakee"/>
    <m/>
    <m/>
    <s v="IA"/>
    <s v="DPP-2020"/>
    <s v="West"/>
    <s v="GIA"/>
    <s v="NRIS"/>
    <s v="Lansing 161 kV"/>
    <n v="50"/>
    <n v="50"/>
    <x v="2"/>
    <s v="Battery Storage"/>
    <s v="Not Started"/>
    <m/>
    <n v="0"/>
    <n v="0"/>
    <n v="0"/>
    <n v="0"/>
  </r>
  <r>
    <s v="J1734"/>
    <x v="0"/>
    <d v="2020-06-24T00:00:00"/>
    <m/>
    <m/>
    <d v="2025-06-01T00:00:00"/>
    <s v="ITC MIDWEST"/>
    <s v="Lee"/>
    <m/>
    <m/>
    <s v="IA"/>
    <s v="DPP-2020"/>
    <s v="West"/>
    <s v="GIA"/>
    <s v="NRIS"/>
    <s v="Burlington Generation - Wever 161kV"/>
    <n v="150"/>
    <n v="150"/>
    <x v="0"/>
    <s v="Photovoltaic"/>
    <s v="In Service (with Provisional GIA)"/>
    <d v="2024-06-30T00:00:00"/>
    <n v="150"/>
    <n v="150"/>
    <n v="150"/>
    <n v="150"/>
  </r>
  <r>
    <s v="J1735"/>
    <x v="1"/>
    <d v="2020-06-23T00:00:00"/>
    <d v="2023-06-22T00:00:00"/>
    <m/>
    <d v="2025-06-01T00:00:00"/>
    <s v="AMERICAN TRANSMISSION COMPANY"/>
    <s v="Rock"/>
    <m/>
    <m/>
    <s v="WI"/>
    <s v="DPP-2020"/>
    <s v="East (ATC)"/>
    <s v="GIA"/>
    <s v="NRIS"/>
    <s v="J1304 POI 138 kV Substation"/>
    <n v="75"/>
    <n v="75"/>
    <x v="0"/>
    <s v="Photovoltaic"/>
    <s v="Not Started"/>
    <m/>
    <n v="75"/>
    <n v="75"/>
    <n v="75"/>
    <n v="75"/>
  </r>
  <r>
    <s v="J1736"/>
    <x v="0"/>
    <d v="2020-06-22T00:00:00"/>
    <m/>
    <m/>
    <d v="2023-08-31T00:00:00"/>
    <s v="SOUTHERN INDIANA GAS &amp; ELECTRIC COMPANY D/B/A CENTERPOINT ENERGY INDIANA SOUTH"/>
    <s v="Dubois"/>
    <m/>
    <m/>
    <s v="IN"/>
    <s v="DPP-2020"/>
    <s v="Central"/>
    <s v="GIA"/>
    <s v="NRIS"/>
    <s v="Duff 138kV"/>
    <n v="100"/>
    <n v="100"/>
    <x v="0"/>
    <s v="Photovoltaic"/>
    <s v="Not Started"/>
    <m/>
    <n v="100"/>
    <n v="100"/>
    <n v="100"/>
    <n v="100"/>
  </r>
  <r>
    <s v="J1737"/>
    <x v="1"/>
    <d v="2021-10-22T00:00:00"/>
    <d v="2023-07-17T00:00:00"/>
    <m/>
    <d v="2023-04-20T00:00:00"/>
    <s v="DUKE ENERGY INDIANA, LLC"/>
    <s v="Rush"/>
    <m/>
    <m/>
    <s v="IN"/>
    <s v="DPP-2020"/>
    <s v="Central"/>
    <s v="GIA"/>
    <s v="NRIS"/>
    <s v="Gwynville 345 kV"/>
    <n v="210"/>
    <n v="210"/>
    <x v="0"/>
    <s v="Photovoltaic"/>
    <s v="Not Started"/>
    <m/>
    <n v="0"/>
    <n v="0"/>
    <n v="0"/>
    <n v="0"/>
  </r>
  <r>
    <s v="J1738"/>
    <x v="1"/>
    <d v="2020-06-24T00:00:00"/>
    <d v="2020-12-02T00:00:00"/>
    <m/>
    <d v="2023-05-15T00:00:00"/>
    <s v="MONTANA-DAKOTA UTILITIES CO."/>
    <s v="McPherson"/>
    <m/>
    <m/>
    <s v="SD"/>
    <s v="DPP-2020"/>
    <s v="West"/>
    <s v="GIA"/>
    <s v="NRIS"/>
    <s v="Leola Substation 41.6kV"/>
    <n v="20"/>
    <n v="20"/>
    <x v="5"/>
    <s v="Solar/Battery"/>
    <s v="Not Started"/>
    <m/>
    <n v="0"/>
    <n v="0"/>
    <n v="0"/>
    <n v="0"/>
  </r>
  <r>
    <s v="J1739"/>
    <x v="1"/>
    <d v="2020-06-24T00:00:00"/>
    <d v="2021-02-23T00:00:00"/>
    <m/>
    <d v="2023-09-01T00:00:00"/>
    <s v="AMERICAN TRANSMISSION COMPANY"/>
    <s v="Waushara"/>
    <m/>
    <m/>
    <s v="WI"/>
    <s v="DPP-2020"/>
    <s v="East (ATC)"/>
    <s v="GIA"/>
    <s v="NRIS"/>
    <s v="Sand Lake 138kV Substation"/>
    <n v="50"/>
    <n v="50"/>
    <x v="2"/>
    <s v="Battery Storage"/>
    <s v="Not Started"/>
    <m/>
    <n v="0"/>
    <n v="0"/>
    <n v="0"/>
    <n v="0"/>
  </r>
  <r>
    <s v="J1740"/>
    <x v="1"/>
    <d v="2020-06-25T00:00:00"/>
    <d v="2021-12-08T00:00:00"/>
    <m/>
    <d v="2023-09-01T00:00:00"/>
    <s v="AMERICAN TRANSMISSION COMPANY"/>
    <s v="Walworth"/>
    <m/>
    <m/>
    <s v="WI"/>
    <s v="DPP-2020"/>
    <s v="East (ATC)"/>
    <s v="GIA"/>
    <s v="NRIS"/>
    <s v="University to Mukwanago 138kV Line"/>
    <n v="100"/>
    <n v="100"/>
    <x v="0"/>
    <s v="Photovoltaic"/>
    <s v="Not Started"/>
    <m/>
    <n v="0"/>
    <n v="0"/>
    <n v="0"/>
    <n v="0"/>
  </r>
  <r>
    <s v="J1741"/>
    <x v="1"/>
    <d v="2020-06-24T00:00:00"/>
    <d v="2020-12-03T00:00:00"/>
    <m/>
    <d v="2023-06-01T00:00:00"/>
    <s v="DUKE ENERGY INDIANA, LLC"/>
    <s v="Cass"/>
    <m/>
    <m/>
    <s v="IN"/>
    <s v="DPP-2020"/>
    <s v="Central"/>
    <s v="GIA"/>
    <s v="NRIS"/>
    <s v="Walton 345kV  Substation"/>
    <n v="270"/>
    <n v="270"/>
    <x v="0"/>
    <s v="Photovoltaic"/>
    <s v="Not Started"/>
    <m/>
    <n v="0"/>
    <n v="0"/>
    <n v="0"/>
    <n v="0"/>
  </r>
  <r>
    <s v="J1742"/>
    <x v="1"/>
    <d v="2020-06-25T00:00:00"/>
    <d v="2020-12-14T00:00:00"/>
    <m/>
    <d v="2023-08-01T00:00:00"/>
    <s v="NORTHERN INDIANA PUBLIC SERVICE COMPANY LLC"/>
    <s v="Porter"/>
    <m/>
    <m/>
    <s v="IN"/>
    <s v="DPP-2020"/>
    <s v="Central"/>
    <s v="GIA"/>
    <s v="NRIS"/>
    <s v="Babcock - Lake George 345 kV"/>
    <n v="294.10000000000002"/>
    <n v="294.10000000000002"/>
    <x v="0"/>
    <s v="Photovoltaic"/>
    <s v="Not Started"/>
    <m/>
    <n v="0"/>
    <n v="0"/>
    <n v="0"/>
    <n v="0"/>
  </r>
  <r>
    <s v="J1743"/>
    <x v="0"/>
    <d v="2022-04-06T00:00:00"/>
    <m/>
    <m/>
    <d v="2023-08-01T00:00:00"/>
    <s v="DUKE ENERGY INDIANA, LLC CIN"/>
    <s v="Miami"/>
    <m/>
    <m/>
    <s v="IN"/>
    <s v="DPP-2020"/>
    <s v="Central"/>
    <s v="GIA"/>
    <s v="NRIS"/>
    <s v="Deedsville 345 kV Substation"/>
    <n v="292.89999999999998"/>
    <n v="292.89999999999998"/>
    <x v="0"/>
    <s v="Photovoltaic"/>
    <s v="Not Started"/>
    <d v="2026-08-01T00:00:00"/>
    <n v="292.89"/>
    <n v="292.89"/>
    <n v="292.89"/>
    <n v="292.89"/>
  </r>
  <r>
    <s v="J1744"/>
    <x v="0"/>
    <d v="2022-04-05T00:00:00"/>
    <m/>
    <m/>
    <d v="2023-08-01T00:00:00"/>
    <s v="AMEREN ILLINOIS"/>
    <s v="Cumberland"/>
    <m/>
    <m/>
    <s v="IL"/>
    <s v="DPP-2020"/>
    <s v="Central"/>
    <s v="GIA"/>
    <s v="NRIS"/>
    <s v="Hutsonville - Neoga 138 kV"/>
    <n v="149.5"/>
    <n v="149.5"/>
    <x v="0"/>
    <s v="Photovoltaic"/>
    <s v="Not Started"/>
    <d v="2027-06-01T00:00:00"/>
    <n v="149.5"/>
    <n v="149.5"/>
    <n v="149.5"/>
    <n v="149.5"/>
  </r>
  <r>
    <s v="J1745"/>
    <x v="0"/>
    <d v="2020-06-23T00:00:00"/>
    <m/>
    <m/>
    <d v="2025-06-01T00:00:00"/>
    <s v="AMERICAN TRANSMISSION COMPANY"/>
    <s v="Winnebago"/>
    <m/>
    <m/>
    <s v="WI"/>
    <s v="DPP-2020"/>
    <s v="East (ATC)"/>
    <s v="GIA"/>
    <s v="NRIS"/>
    <s v="Fitzgerald 138 kV"/>
    <n v="100"/>
    <n v="100"/>
    <x v="0"/>
    <s v="Photovoltaic"/>
    <s v="Not Started"/>
    <d v="2028-06-01T00:00:00"/>
    <n v="100"/>
    <n v="100"/>
    <n v="100"/>
    <n v="100"/>
  </r>
  <r>
    <s v="J1746"/>
    <x v="0"/>
    <d v="2020-06-24T00:00:00"/>
    <m/>
    <m/>
    <d v="2025-06-01T00:00:00"/>
    <s v="AMERICAN TRANSMISSION COMPANY"/>
    <s v="Columbia"/>
    <m/>
    <m/>
    <s v="WI"/>
    <s v="DPP-2020"/>
    <s v="East (ATC)"/>
    <s v="GIA"/>
    <s v="NRIS"/>
    <s v="Columbia 138 kV"/>
    <n v="150"/>
    <n v="150"/>
    <x v="0"/>
    <s v="Photovoltaic"/>
    <s v="Not Started"/>
    <d v="2028-06-12T00:00:00"/>
    <n v="150"/>
    <n v="150"/>
    <n v="150"/>
    <n v="150"/>
  </r>
  <r>
    <s v="J1747"/>
    <x v="0"/>
    <d v="2020-06-23T00:00:00"/>
    <m/>
    <m/>
    <d v="2022-02-28T00:00:00"/>
    <s v="ENTERGY MISSISSIPPI, LLC. EMTO"/>
    <s v="Madison"/>
    <m/>
    <m/>
    <s v="MS"/>
    <s v="DPP-2020"/>
    <s v="South"/>
    <s v="GIA"/>
    <s v="NRIS"/>
    <s v="J830 POI"/>
    <n v="50"/>
    <n v="50"/>
    <x v="0"/>
    <s v="Photovoltaic"/>
    <s v="Under Construction"/>
    <d v="2024-07-31T00:00:00"/>
    <n v="50"/>
    <n v="50"/>
    <n v="50"/>
    <n v="50"/>
  </r>
  <r>
    <s v="J1748"/>
    <x v="0"/>
    <d v="2020-07-17T00:00:00"/>
    <m/>
    <d v="2022-11-29T00:00:00"/>
    <d v="2023-08-15T00:00:00"/>
    <s v="ENTERGY MISSISSIPPI, LLC. EMTO"/>
    <s v="DeSoto"/>
    <m/>
    <m/>
    <s v="MS"/>
    <s v="DPP-2020"/>
    <s v="South"/>
    <s v="GIA"/>
    <s v="NRIS"/>
    <s v="Twinkletown 230 kV"/>
    <n v="100"/>
    <n v="100"/>
    <x v="0"/>
    <s v="Photovoltaic"/>
    <s v="Not Started"/>
    <d v="2025-04-01T00:00:00"/>
    <n v="100"/>
    <n v="100"/>
    <n v="100"/>
    <n v="100"/>
  </r>
  <r>
    <s v="J1749"/>
    <x v="1"/>
    <d v="2020-06-24T00:00:00"/>
    <d v="2021-12-08T00:00:00"/>
    <m/>
    <d v="2022-08-01T00:00:00"/>
    <s v="ENTERGY LOUISIANA, LLC"/>
    <s v="West Baton Rouge"/>
    <m/>
    <m/>
    <s v="LA"/>
    <s v="DPP-2020"/>
    <s v="South"/>
    <s v="GIA"/>
    <s v="NRIS"/>
    <s v="Addis - Big Cajun 230kV"/>
    <n v="50"/>
    <n v="50"/>
    <x v="5"/>
    <s v="Solar/Battery"/>
    <s v="Not Started"/>
    <m/>
    <n v="0"/>
    <n v="0"/>
    <n v="0"/>
    <n v="0"/>
  </r>
  <r>
    <s v="J1750"/>
    <x v="0"/>
    <d v="2022-04-06T00:00:00"/>
    <m/>
    <m/>
    <d v="2023-08-01T00:00:00"/>
    <s v="AMERICAN TRANSMISSION COMPANY"/>
    <s v="Marquette"/>
    <m/>
    <m/>
    <s v="MI"/>
    <s v="DPP-2020"/>
    <s v="East (ATC)"/>
    <s v="GIA"/>
    <s v="NRIS"/>
    <s v="Other_"/>
    <n v="149.69999999999999"/>
    <n v="149.69999999999999"/>
    <x v="0"/>
    <s v="Photovoltaic"/>
    <s v="Under Construction"/>
    <d v="2026-08-01T00:00:00"/>
    <n v="149.69999999999999"/>
    <n v="149.69999999999999"/>
    <n v="149.69999999999999"/>
    <n v="149.69999999999999"/>
  </r>
  <r>
    <s v="J1751"/>
    <x v="0"/>
    <d v="2022-04-06T00:00:00"/>
    <m/>
    <m/>
    <d v="2023-08-01T00:00:00"/>
    <s v="AMERICAN TRANSMISSION COMPANY"/>
    <s v="Wood"/>
    <m/>
    <m/>
    <s v="WI"/>
    <s v="DPP-2020"/>
    <s v="East (ATC)"/>
    <s v="GIA"/>
    <s v="NRIS"/>
    <s v="Saratoga - Badger West 138.0kV"/>
    <n v="150.5"/>
    <n v="150.5"/>
    <x v="0"/>
    <s v="Photovoltaic"/>
    <s v="Not Started"/>
    <d v="2026-05-02T00:00:00"/>
    <n v="150.5"/>
    <n v="150.5"/>
    <n v="150.5"/>
    <n v="150.5"/>
  </r>
  <r>
    <s v="J1752"/>
    <x v="0"/>
    <d v="2022-05-06T00:00:00"/>
    <m/>
    <m/>
    <d v="2023-08-01T00:00:00"/>
    <s v="AMERICAN TRANSMISSION COMPANY"/>
    <s v="Portage"/>
    <m/>
    <m/>
    <s v="WI"/>
    <s v="DPP-2020"/>
    <s v="East (ATC)"/>
    <s v="GIA"/>
    <s v="NRIS"/>
    <s v="Golden Sands - Arnott (O-119)"/>
    <n v="148.1"/>
    <n v="148.1"/>
    <x v="0"/>
    <s v="Photovoltaic"/>
    <s v="Under Construction"/>
    <d v="2026-08-01T00:00:00"/>
    <n v="148.1"/>
    <n v="148.1"/>
    <n v="148.1"/>
    <n v="148.1"/>
  </r>
  <r>
    <s v="J1753"/>
    <x v="1"/>
    <d v="2020-06-23T00:00:00"/>
    <d v="2020-12-01T00:00:00"/>
    <m/>
    <d v="2024-06-01T00:00:00"/>
    <s v="AMERICAN TRANSMISSION COMPANY"/>
    <s v="Green"/>
    <m/>
    <m/>
    <s v="WI"/>
    <s v="DPP-2020"/>
    <s v="East (ATC)"/>
    <s v="GIA"/>
    <s v="NRIS"/>
    <s v="Columbia-South Fond du Lac 345kV"/>
    <n v="300"/>
    <n v="300"/>
    <x v="0"/>
    <s v="Photovoltaic"/>
    <s v="Not Started"/>
    <m/>
    <n v="0"/>
    <n v="0"/>
    <n v="0"/>
    <n v="0"/>
  </r>
  <r>
    <s v="J1754"/>
    <x v="1"/>
    <d v="2020-06-25T00:00:00"/>
    <d v="2022-12-12T00:00:00"/>
    <m/>
    <d v="2023-04-01T00:00:00"/>
    <s v="GREAT RIVER ENERGY"/>
    <s v="McHenry"/>
    <m/>
    <m/>
    <s v="ND"/>
    <s v="DPP-2020"/>
    <s v="West"/>
    <s v="GIA"/>
    <s v="NRIS"/>
    <s v="McHenry ND"/>
    <n v="200"/>
    <n v="200"/>
    <x v="1"/>
    <s v="Wind Turbine"/>
    <s v="Not Started"/>
    <m/>
    <n v="200"/>
    <n v="200"/>
    <n v="0"/>
    <n v="0"/>
  </r>
  <r>
    <s v="J1755"/>
    <x v="0"/>
    <d v="2020-06-25T00:00:00"/>
    <m/>
    <m/>
    <d v="2022-08-01T00:00:00"/>
    <s v="AMEREN ILLINOIS"/>
    <s v="Bureau"/>
    <m/>
    <m/>
    <s v="IL"/>
    <s v="DPP-2020"/>
    <s v="Central"/>
    <s v="GIA"/>
    <s v="NRIS"/>
    <s v="Bureau County 138 kV"/>
    <n v="147.19999999999999"/>
    <n v="147.19999999999999"/>
    <x v="1"/>
    <s v="Wind Turbine"/>
    <s v="Not Started"/>
    <d v="2025-08-01T00:00:00"/>
    <n v="147.19"/>
    <n v="147.19"/>
    <n v="147.19"/>
    <n v="147.19"/>
  </r>
  <r>
    <s v="J1756"/>
    <x v="1"/>
    <d v="2020-06-25T00:00:00"/>
    <d v="2023-07-17T00:00:00"/>
    <m/>
    <d v="2023-03-31T00:00:00"/>
    <s v="INDIANAPOLIS POWER &amp; LIGHT COMPANY"/>
    <s v="Shelby"/>
    <m/>
    <m/>
    <s v="IN"/>
    <s v="DPP-2020"/>
    <s v="Central"/>
    <s v="GIA"/>
    <s v="NRIS"/>
    <s v="Gwynneville to Sunnyside 345kV"/>
    <n v="309"/>
    <n v="309"/>
    <x v="5"/>
    <s v="Solar/Battery"/>
    <s v="Not Started"/>
    <m/>
    <n v="0"/>
    <n v="0"/>
    <n v="0"/>
    <n v="0"/>
  </r>
  <r>
    <s v="J1757"/>
    <x v="1"/>
    <d v="2020-06-24T00:00:00"/>
    <d v="2020-12-14T00:00:00"/>
    <m/>
    <d v="2023-04-20T00:00:00"/>
    <s v="AMEREN TRANSMISSION COMPANY OF ILLINOIS"/>
    <s v="Coles"/>
    <m/>
    <m/>
    <s v="IL"/>
    <s v="DPP-2020"/>
    <s v="Central"/>
    <s v="GIA"/>
    <s v="NRIS"/>
    <s v="Kansas - Faraday 345 kV"/>
    <n v="300"/>
    <n v="300"/>
    <x v="1"/>
    <s v="Wind Turbine"/>
    <s v="Not Started"/>
    <m/>
    <n v="0"/>
    <n v="0"/>
    <n v="0"/>
    <n v="0"/>
  </r>
  <r>
    <s v="J1758"/>
    <x v="1"/>
    <d v="2020-06-24T00:00:00"/>
    <d v="2020-10-08T00:00:00"/>
    <m/>
    <d v="2023-12-01T00:00:00"/>
    <s v="NORTHERN STATES POWER COMPANY"/>
    <s v="Barnes"/>
    <m/>
    <m/>
    <s v="ND"/>
    <s v="DPP-2020"/>
    <s v="West"/>
    <s v="GIA"/>
    <s v="NRIS"/>
    <s v="Pillsburry Substation  230kV"/>
    <n v="42"/>
    <n v="42"/>
    <x v="1"/>
    <s v="Wind Turbine"/>
    <s v="Not Started"/>
    <m/>
    <n v="0"/>
    <n v="0"/>
    <n v="0"/>
    <n v="0"/>
  </r>
  <r>
    <s v="J1759"/>
    <x v="0"/>
    <d v="2020-06-23T00:00:00"/>
    <m/>
    <m/>
    <d v="2024-01-15T00:00:00"/>
    <s v="CLECO POWER LLC CLEC"/>
    <s v="Sabine"/>
    <m/>
    <m/>
    <s v="LA"/>
    <s v="DPP-2020"/>
    <s v="South"/>
    <s v="GIA"/>
    <s v="NRIS"/>
    <s v="Fisher to Mansfield Compressor 230 kV"/>
    <n v="0"/>
    <n v="0"/>
    <x v="2"/>
    <s v="Battery Storage"/>
    <s v="Not Started"/>
    <d v="2025-03-01T00:00:00"/>
    <n v="0"/>
    <n v="0"/>
    <n v="0"/>
    <n v="0"/>
  </r>
  <r>
    <s v="J1760"/>
    <x v="0"/>
    <d v="2020-06-15T00:00:00"/>
    <m/>
    <d v="2023-01-18T00:00:00"/>
    <d v="2023-10-01T00:00:00"/>
    <s v="ENTERGY TEXAS, INC. ETTO"/>
    <s v="Liberty"/>
    <m/>
    <m/>
    <s v="TX"/>
    <s v="DPP-2020"/>
    <s v="South"/>
    <s v="GIA"/>
    <s v="NRIS"/>
    <s v="Timberland 230kV"/>
    <n v="205"/>
    <n v="205"/>
    <x v="0"/>
    <s v="Photovoltaic"/>
    <s v="Not Started"/>
    <d v="2023-06-01T00:00:00"/>
    <n v="215"/>
    <n v="60"/>
    <n v="205"/>
    <n v="60"/>
  </r>
  <r>
    <s v="J1761"/>
    <x v="1"/>
    <d v="2020-06-24T00:00:00"/>
    <d v="2020-10-08T00:00:00"/>
    <m/>
    <d v="2023-12-01T00:00:00"/>
    <s v="NORTHERN STATES POWER COMPANY"/>
    <s v="Barnes"/>
    <m/>
    <m/>
    <s v="ND"/>
    <s v="DPP-2020"/>
    <s v="West"/>
    <s v="GIA"/>
    <s v="E-NRIS"/>
    <s v="Maple River 230kV"/>
    <n v="39"/>
    <n v="39"/>
    <x v="1"/>
    <s v="Wind Turbine"/>
    <s v="Not Started"/>
    <m/>
    <n v="0"/>
    <n v="0"/>
    <n v="0"/>
    <n v="0"/>
  </r>
  <r>
    <s v="J1762"/>
    <x v="1"/>
    <d v="2020-06-24T00:00:00"/>
    <d v="2021-02-19T00:00:00"/>
    <m/>
    <d v="2023-09-15T00:00:00"/>
    <s v="AMERICAN TRANSMISSION COMPANY"/>
    <s v="Iron"/>
    <m/>
    <m/>
    <s v="MI"/>
    <s v="DPP-2020"/>
    <s v="East (ATC)"/>
    <s v="GIA"/>
    <s v="NRIS"/>
    <s v="Crystal Falls - Aspen 69 kV"/>
    <n v="22.5"/>
    <n v="22.5"/>
    <x v="0"/>
    <s v="Photovoltaic"/>
    <s v="Not Started"/>
    <m/>
    <n v="0"/>
    <n v="0"/>
    <n v="0"/>
    <n v="0"/>
  </r>
  <r>
    <s v="J1763"/>
    <x v="1"/>
    <d v="2020-06-25T00:00:00"/>
    <d v="2020-12-21T00:00:00"/>
    <m/>
    <d v="2023-12-01T00:00:00"/>
    <s v="OTTER TAIL POWER COMPANY"/>
    <s v="Cavalier"/>
    <m/>
    <m/>
    <s v="ND"/>
    <s v="DPP-2020"/>
    <s v="West"/>
    <s v="GIA"/>
    <s v="NRIS-Only"/>
    <s v="Langdon Substation 115kV"/>
    <n v="33"/>
    <n v="33"/>
    <x v="1"/>
    <s v="Wind Turbine"/>
    <s v="Not Started"/>
    <m/>
    <n v="0"/>
    <n v="0"/>
    <n v="0"/>
    <n v="0"/>
  </r>
  <r>
    <s v="J1764"/>
    <x v="1"/>
    <d v="2020-06-24T00:00:00"/>
    <d v="2020-12-01T00:00:00"/>
    <m/>
    <d v="2023-09-01T00:00:00"/>
    <s v="WABASH VALLEY POWER ASSOCIATION, INC."/>
    <s v="Perry"/>
    <m/>
    <m/>
    <s v="MO"/>
    <s v="DPP-2020"/>
    <s v="Central"/>
    <s v="GIA"/>
    <s v="NRIS"/>
    <s v="Seminary/Perryville 138kV"/>
    <n v="125"/>
    <n v="125"/>
    <x v="0"/>
    <s v="Photovoltaic"/>
    <s v="Not Started"/>
    <m/>
    <n v="0"/>
    <n v="0"/>
    <n v="0"/>
    <n v="0"/>
  </r>
  <r>
    <s v="J1765"/>
    <x v="1"/>
    <d v="2020-06-11T00:00:00"/>
    <d v="2023-07-17T00:00:00"/>
    <m/>
    <d v="2023-10-01T00:00:00"/>
    <s v="DUKE ENERGY INDIANA, LLC"/>
    <s v="Tipton"/>
    <m/>
    <m/>
    <s v="IN"/>
    <s v="DPP-2020"/>
    <s v="Central"/>
    <s v="GIA"/>
    <s v="NRIS"/>
    <s v="Tipton West Substation 230kV"/>
    <n v="93.2"/>
    <n v="93.2"/>
    <x v="0"/>
    <s v="Photovoltaic"/>
    <s v="Not Started"/>
    <m/>
    <n v="0"/>
    <n v="0"/>
    <n v="0"/>
    <n v="0"/>
  </r>
  <r>
    <s v="J1766"/>
    <x v="1"/>
    <d v="2020-06-24T00:00:00"/>
    <d v="2021-11-17T00:00:00"/>
    <m/>
    <d v="2023-10-15T00:00:00"/>
    <s v="MONTANA-DAKOTA UTILITIES CO."/>
    <s v="Fallon"/>
    <m/>
    <m/>
    <s v="MT"/>
    <s v="DPP-2020"/>
    <s v="West"/>
    <s v="GIA"/>
    <s v="NRIS"/>
    <s v="Keystone XL (Pumping station - 14) - 115kV"/>
    <n v="20"/>
    <n v="20"/>
    <x v="5"/>
    <s v="Solar/Battery"/>
    <s v="Not Started"/>
    <m/>
    <n v="0"/>
    <n v="0"/>
    <n v="0"/>
    <n v="0"/>
  </r>
  <r>
    <s v="J1767"/>
    <x v="1"/>
    <d v="2020-06-25T00:00:00"/>
    <d v="2020-10-08T00:00:00"/>
    <m/>
    <d v="2023-12-01T00:00:00"/>
    <s v="ITC MIDWEST"/>
    <s v="Hancock"/>
    <m/>
    <m/>
    <s v="IA"/>
    <s v="DPP-2020"/>
    <s v="West"/>
    <s v="GIA"/>
    <s v="NRIS-Only"/>
    <s v="Burt to Emery  161kV"/>
    <n v="37"/>
    <n v="37"/>
    <x v="1"/>
    <s v="Wind Turbine"/>
    <s v="Not Started"/>
    <m/>
    <n v="0"/>
    <n v="0"/>
    <n v="0"/>
    <n v="0"/>
  </r>
  <r>
    <s v="J1768"/>
    <x v="1"/>
    <d v="2020-06-16T00:00:00"/>
    <d v="2020-12-18T00:00:00"/>
    <m/>
    <d v="2023-04-01T00:00:00"/>
    <s v="DUKE ENERGY INDIANA, LLC"/>
    <s v="Orange"/>
    <m/>
    <m/>
    <s v="IN"/>
    <s v="DPP-2020"/>
    <s v="Central"/>
    <s v="GIA"/>
    <s v="NRIS"/>
    <s v="Lost River Substation  345"/>
    <n v="200"/>
    <n v="200"/>
    <x v="0"/>
    <s v="Photovoltaic"/>
    <s v="Not Started"/>
    <m/>
    <n v="0"/>
    <n v="0"/>
    <n v="0"/>
    <n v="0"/>
  </r>
  <r>
    <s v="J1769"/>
    <x v="0"/>
    <d v="2020-06-25T00:00:00"/>
    <m/>
    <m/>
    <d v="2023-10-01T00:00:00"/>
    <s v="DAIRYLAND POWER COOPERATIVE DPC"/>
    <s v="Howard"/>
    <m/>
    <m/>
    <s v="IA"/>
    <s v="DPP-2020"/>
    <s v="West"/>
    <s v="GIA"/>
    <s v="NRIS"/>
    <s v="Beaver Creek to Rice 161 kV line tap (same POI as J898)"/>
    <n v="120"/>
    <n v="120"/>
    <x v="1"/>
    <s v="Wind Turbine"/>
    <s v="Not Started"/>
    <d v="2026-09-01T00:00:00"/>
    <n v="80"/>
    <n v="0"/>
    <n v="80"/>
    <n v="0"/>
  </r>
  <r>
    <s v="J1770"/>
    <x v="1"/>
    <d v="2020-06-19T00:00:00"/>
    <d v="2024-09-03T00:00:00"/>
    <m/>
    <d v="2024-10-31T00:00:00"/>
    <s v="AMEREN ILLINOIS"/>
    <s v="Vermilion"/>
    <m/>
    <m/>
    <s v="IL"/>
    <s v="DPP-2020"/>
    <s v="Central"/>
    <s v="GIA"/>
    <s v="ERIS"/>
    <s v="Hoopston 138kV"/>
    <n v="150"/>
    <n v="150"/>
    <x v="1"/>
    <s v="Wind Turbine"/>
    <s v="Not Started"/>
    <m/>
    <n v="150"/>
    <n v="0"/>
    <n v="0"/>
    <n v="0"/>
  </r>
  <r>
    <s v="J1771"/>
    <x v="1"/>
    <d v="2020-06-25T00:00:00"/>
    <d v="2021-03-15T00:00:00"/>
    <m/>
    <d v="2023-08-01T00:00:00"/>
    <s v="AMEREN ILLINOIS"/>
    <s v="Cumberland"/>
    <m/>
    <m/>
    <s v="IL"/>
    <s v="DPP-2020"/>
    <s v="Central"/>
    <s v="GIA"/>
    <s v="NRIS"/>
    <s v="Casey - Sullivan 345 kV"/>
    <n v="197.3"/>
    <n v="197.3"/>
    <x v="0"/>
    <s v="Photovoltaic"/>
    <s v="Not Started"/>
    <m/>
    <n v="0"/>
    <n v="0"/>
    <n v="0"/>
    <n v="0"/>
  </r>
  <r>
    <s v="J1772"/>
    <x v="0"/>
    <d v="2020-06-22T00:00:00"/>
    <m/>
    <m/>
    <d v="2023-08-31T00:00:00"/>
    <s v="NORTHERN INDIANA PUBLIC SERVICE COMPANY LLC NIPS"/>
    <s v="White"/>
    <m/>
    <m/>
    <s v="IN"/>
    <s v="DPP-2020"/>
    <s v="Central"/>
    <s v="GIA"/>
    <s v="NRIS"/>
    <s v="Reynolds 345KV"/>
    <n v="200"/>
    <n v="200"/>
    <x v="0"/>
    <s v="Photovoltaic"/>
    <s v="Not Started"/>
    <d v="2026-03-31T00:00:00"/>
    <n v="200"/>
    <n v="200"/>
    <n v="200"/>
    <n v="200"/>
  </r>
  <r>
    <s v="J1773"/>
    <x v="0"/>
    <d v="2020-06-22T00:00:00"/>
    <m/>
    <m/>
    <d v="2024-04-15T00:00:00"/>
    <s v="AMERICAN TRANSMISSION COMPANY"/>
    <s v="Lafayette"/>
    <m/>
    <m/>
    <s v="WI"/>
    <s v="DPP-2020"/>
    <s v="East (ATC)"/>
    <s v="GIA"/>
    <s v="NRIS"/>
    <s v="Hill Valley to Cardinal 345kV"/>
    <n v="300"/>
    <n v="300"/>
    <x v="1"/>
    <s v="Wind Turbine"/>
    <s v="Not Started"/>
    <d v="2027-04-01T00:00:00"/>
    <n v="300"/>
    <n v="300"/>
    <n v="300"/>
    <n v="300"/>
  </r>
  <r>
    <s v="J1774"/>
    <x v="1"/>
    <d v="2020-06-24T00:00:00"/>
    <d v="2023-07-20T00:00:00"/>
    <m/>
    <d v="2023-05-01T00:00:00"/>
    <s v="DUKE ENERGY INDIANA, LLC"/>
    <s v="Warren"/>
    <m/>
    <m/>
    <s v="IN"/>
    <s v="DPP-2020"/>
    <s v="Central"/>
    <s v="GIA"/>
    <s v="NRIS-Only"/>
    <s v="Cayuga 345kV"/>
    <n v="50"/>
    <n v="50"/>
    <x v="1"/>
    <s v="Wind Turbine"/>
    <s v="Not Started"/>
    <m/>
    <n v="0"/>
    <n v="0"/>
    <n v="0"/>
    <n v="0"/>
  </r>
  <r>
    <s v="J1775"/>
    <x v="1"/>
    <d v="2020-06-25T00:00:00"/>
    <d v="2020-11-11T00:00:00"/>
    <m/>
    <d v="2023-12-01T00:00:00"/>
    <s v="AMERICAN TRANSMISSION COMPANY"/>
    <s v="Calumet"/>
    <m/>
    <m/>
    <s v="WI"/>
    <s v="DPP-2020"/>
    <s v="East (ATC)"/>
    <s v="GIA"/>
    <s v="NRIS"/>
    <s v="Forest Junction Substation 345kV"/>
    <n v="150"/>
    <n v="150"/>
    <x v="0"/>
    <s v="Photovoltaic"/>
    <s v="Not Started"/>
    <m/>
    <n v="0"/>
    <n v="0"/>
    <n v="0"/>
    <n v="0"/>
  </r>
  <r>
    <s v="J1776"/>
    <x v="1"/>
    <d v="2020-06-25T00:00:00"/>
    <d v="2020-10-08T00:00:00"/>
    <m/>
    <d v="2023-12-01T00:00:00"/>
    <s v="ITC MIDWEST"/>
    <s v="Osceola"/>
    <m/>
    <m/>
    <s v="IA"/>
    <s v="DPP-2020"/>
    <s v="West"/>
    <s v="GIA"/>
    <s v="NRIS-Only"/>
    <s v="Dickinson County Switch Yard 161kV"/>
    <n v="34"/>
    <n v="34"/>
    <x v="1"/>
    <s v="Wind Turbine"/>
    <s v="Not Started"/>
    <m/>
    <n v="0"/>
    <n v="0"/>
    <n v="0"/>
    <n v="0"/>
  </r>
  <r>
    <s v="J1777"/>
    <x v="0"/>
    <d v="2020-06-25T00:00:00"/>
    <m/>
    <m/>
    <d v="2023-09-01T00:00:00"/>
    <s v="AMEREN ILLINOIS"/>
    <s v="Perry"/>
    <m/>
    <m/>
    <s v="IL"/>
    <s v="DPP-2020"/>
    <s v="Central"/>
    <s v="GIA"/>
    <s v="NRIS"/>
    <s v="Aster 138kV Substation"/>
    <n v="100"/>
    <n v="100"/>
    <x v="0"/>
    <s v="Photovoltaic"/>
    <s v="Not Started"/>
    <d v="2026-12-31T00:00:00"/>
    <n v="100"/>
    <n v="100"/>
    <n v="100"/>
    <n v="100"/>
  </r>
  <r>
    <s v="J1778"/>
    <x v="0"/>
    <d v="2020-06-22T00:00:00"/>
    <m/>
    <m/>
    <d v="2024-10-31T00:00:00"/>
    <s v="AMERICAN TRANSMISSION COMPANY"/>
    <s v="Kenosha"/>
    <m/>
    <m/>
    <s v="WI"/>
    <s v="DPP-2020"/>
    <s v="East (ATC)"/>
    <s v="GIA"/>
    <s v="NRIS"/>
    <s v="Paris 138 kV"/>
    <n v="100"/>
    <n v="100"/>
    <x v="0"/>
    <s v="Photovoltaic"/>
    <s v="Not Started"/>
    <d v="2027-03-30T00:00:00"/>
    <n v="100"/>
    <n v="50"/>
    <n v="100"/>
    <n v="50"/>
  </r>
  <r>
    <s v="J1779"/>
    <x v="0"/>
    <d v="2021-09-01T00:00:00"/>
    <m/>
    <m/>
    <d v="2024-10-31T00:00:00"/>
    <s v="AMERICAN TRANSMISSION COMPANY"/>
    <s v="Dane"/>
    <m/>
    <m/>
    <s v="WI"/>
    <s v="DPP-2020"/>
    <s v="East (ATC)"/>
    <s v="GIA"/>
    <s v="NRIS"/>
    <s v="Rockdale"/>
    <n v="200"/>
    <n v="200"/>
    <x v="5"/>
    <s v="Solar/Battery"/>
    <s v="Not Started"/>
    <d v="2027-10-27T00:00:00"/>
    <n v="200"/>
    <n v="200"/>
    <n v="200"/>
    <n v="200"/>
  </r>
  <r>
    <s v="J1780"/>
    <x v="0"/>
    <d v="2020-06-23T00:00:00"/>
    <m/>
    <m/>
    <d v="2023-08-15T00:00:00"/>
    <s v="DUKE ENERGY INDIANA, LLC CIN"/>
    <s v="Montgomery"/>
    <m/>
    <m/>
    <s v="IN"/>
    <s v="DPP-2020"/>
    <s v="Central"/>
    <s v="GIA"/>
    <s v="NRIS"/>
    <s v="Other_"/>
    <n v="200"/>
    <n v="200"/>
    <x v="0"/>
    <s v="Photovoltaic"/>
    <s v="Not Started"/>
    <d v="2026-08-15T00:00:00"/>
    <n v="200"/>
    <n v="200"/>
    <n v="200"/>
    <n v="200"/>
  </r>
  <r>
    <s v="J1781"/>
    <x v="0"/>
    <d v="2020-06-22T00:00:00"/>
    <m/>
    <m/>
    <d v="2024-04-15T00:00:00"/>
    <s v="AMERICAN TRANSMISSION COMPANY"/>
    <s v="Iowa"/>
    <m/>
    <m/>
    <s v="WI"/>
    <s v="DPP-2020"/>
    <s v="East (ATC)"/>
    <s v="GIA"/>
    <s v="NRIS"/>
    <s v="Hill Valley 345kV"/>
    <n v="300"/>
    <n v="300"/>
    <x v="1"/>
    <s v="Wind Turbine"/>
    <s v="Under Construction"/>
    <d v="2027-04-01T00:00:00"/>
    <n v="300"/>
    <n v="300"/>
    <n v="300"/>
    <n v="300"/>
  </r>
  <r>
    <s v="J1782"/>
    <x v="1"/>
    <d v="2020-06-23T00:00:00"/>
    <d v="2026-08-10T00:00:00"/>
    <m/>
    <d v="2025-03-01T00:00:00"/>
    <s v="DUKE ENERGY INDIANA, LLC CIN"/>
    <s v="Montgomery"/>
    <m/>
    <m/>
    <s v="IN"/>
    <s v="DPP-2020"/>
    <s v="Central"/>
    <s v="GIA"/>
    <s v="NRIS"/>
    <s v="WABASH RIVER GEN. STA. TO WHITESVILLE SOUTH SUB 230kV"/>
    <n v="150"/>
    <n v="150"/>
    <x v="0"/>
    <s v="Photovoltaic"/>
    <s v="Not Started"/>
    <m/>
    <n v="150"/>
    <n v="150"/>
    <n v="150"/>
    <n v="150"/>
  </r>
  <r>
    <s v="J1783"/>
    <x v="1"/>
    <d v="2020-06-23T00:00:00"/>
    <d v="2026-08-10T00:00:00"/>
    <m/>
    <d v="2025-03-01T00:00:00"/>
    <s v="DUKE ENERGY INDIANA, LLC CIN"/>
    <s v="Montgomery"/>
    <m/>
    <m/>
    <s v="IN"/>
    <s v="DPP-2020"/>
    <s v="Central"/>
    <s v="GIA"/>
    <s v="NRIS"/>
    <s v="WABASH RIVER GEN. STA. TO WHITESVILLE SOUTH SUB 230 kV"/>
    <n v="150"/>
    <n v="150"/>
    <x v="0"/>
    <s v="Photovoltaic"/>
    <s v="Not Started"/>
    <m/>
    <n v="150"/>
    <n v="150"/>
    <n v="150"/>
    <n v="150"/>
  </r>
  <r>
    <s v="J1784"/>
    <x v="1"/>
    <d v="2020-06-23T00:00:00"/>
    <d v="2023-07-17T00:00:00"/>
    <m/>
    <d v="2023-09-01T00:00:00"/>
    <s v="DUKE ENERGY INDIANA, LLC"/>
    <s v="Henry"/>
    <m/>
    <m/>
    <s v="IN"/>
    <s v="DPP-2020"/>
    <s v="Central"/>
    <s v="GIA"/>
    <s v="NRIS"/>
    <s v="New Castle to Hagerstown 69 kV"/>
    <n v="39"/>
    <n v="39"/>
    <x v="0"/>
    <s v="Photovoltaic"/>
    <s v="Not Started"/>
    <m/>
    <n v="0"/>
    <n v="0"/>
    <n v="0"/>
    <n v="0"/>
  </r>
  <r>
    <s v="J1785"/>
    <x v="1"/>
    <d v="2022-01-11T00:00:00"/>
    <d v="2026-01-09T00:00:00"/>
    <m/>
    <d v="2024-07-12T00:00:00"/>
    <s v="NORTHERN INDIANA PUBLIC SERVICE COMPANY LLC"/>
    <s v="LaPorte"/>
    <m/>
    <m/>
    <s v="IN"/>
    <s v="DPP-2020"/>
    <s v="Central"/>
    <s v="GIA"/>
    <s v="NRIS"/>
    <s v="Maple 69 kV"/>
    <n v="100"/>
    <n v="100"/>
    <x v="0"/>
    <s v="Photovoltaic"/>
    <s v="Not Started"/>
    <m/>
    <n v="100"/>
    <n v="100"/>
    <n v="90"/>
    <n v="90"/>
  </r>
  <r>
    <s v="J1786"/>
    <x v="0"/>
    <d v="2020-06-24T00:00:00"/>
    <m/>
    <m/>
    <d v="2023-06-01T00:00:00"/>
    <s v="DUKE ENERGY INDIANA, LLC CIN"/>
    <s v="Sullivan"/>
    <m/>
    <m/>
    <s v="IN"/>
    <s v="DPP-2020"/>
    <s v="Central"/>
    <s v="GIA"/>
    <s v="NRIS"/>
    <s v="Gibson Sta - Merom (HED) 345.0kV"/>
    <n v="200"/>
    <n v="200"/>
    <x v="0"/>
    <s v="Photovoltaic"/>
    <s v="Not Started"/>
    <d v="2026-06-01T00:00:00"/>
    <n v="200"/>
    <n v="200"/>
    <n v="200"/>
    <n v="0"/>
  </r>
  <r>
    <s v="J1787"/>
    <x v="1"/>
    <d v="2020-06-25T00:00:00"/>
    <d v="2020-09-22T00:00:00"/>
    <m/>
    <d v="2023-10-31T00:00:00"/>
    <s v="ENTERGY MISSISSIPPI, LLC."/>
    <s v="Hinds"/>
    <m/>
    <m/>
    <s v="MS"/>
    <s v="DPP-2020"/>
    <s v="South"/>
    <s v="GIA"/>
    <s v="NRIS"/>
    <s v="Beech Grove - Ray Braswell 115 kV"/>
    <n v="0"/>
    <n v="0"/>
    <x v="2"/>
    <s v="Battery Storage"/>
    <s v="Not Started"/>
    <m/>
    <n v="0"/>
    <n v="0"/>
    <n v="0"/>
    <n v="0"/>
  </r>
  <r>
    <s v="J1788"/>
    <x v="1"/>
    <d v="2020-06-25T00:00:00"/>
    <d v="2020-09-24T00:00:00"/>
    <m/>
    <d v="2023-02-28T00:00:00"/>
    <s v="CLECO POWER LLC"/>
    <s v="St. Mary"/>
    <m/>
    <m/>
    <s v="LA"/>
    <s v="DPP-2020"/>
    <s v="South"/>
    <s v="GIA"/>
    <s v="NRIS"/>
    <s v="Caneland 230 kV"/>
    <n v="120"/>
    <n v="120"/>
    <x v="0"/>
    <s v="Photovoltaic"/>
    <s v="Not Started"/>
    <m/>
    <n v="0"/>
    <n v="0"/>
    <n v="0"/>
    <n v="0"/>
  </r>
  <r>
    <s v="J1789"/>
    <x v="1"/>
    <d v="2020-06-25T00:00:00"/>
    <d v="2021-12-08T00:00:00"/>
    <m/>
    <d v="2021-10-01T00:00:00"/>
    <s v="ENTERGY ARKANSAS, LLC"/>
    <s v="Monroe"/>
    <m/>
    <m/>
    <s v="AR"/>
    <s v="DPP-2020"/>
    <s v="South"/>
    <s v="GIA"/>
    <s v="NRIS"/>
    <s v="Brinkley East to Clarendon 115 kV"/>
    <n v="5.99"/>
    <n v="5.99"/>
    <x v="0"/>
    <s v="Photovoltaic"/>
    <s v="Not Started"/>
    <m/>
    <n v="0"/>
    <n v="0"/>
    <n v="0"/>
    <n v="0"/>
  </r>
  <r>
    <s v="J1790"/>
    <x v="1"/>
    <d v="2020-06-25T00:00:00"/>
    <d v="2023-02-16T00:00:00"/>
    <m/>
    <d v="2022-03-01T00:00:00"/>
    <s v="ENTERGY ARKANSAS, LLC"/>
    <s v="Ashley"/>
    <m/>
    <m/>
    <s v="AR"/>
    <s v="DPP-2020"/>
    <s v="South"/>
    <s v="GIA"/>
    <s v="NRIS"/>
    <s v="Crossett - Monticello East 115 kV Line"/>
    <n v="0"/>
    <n v="0"/>
    <x v="2"/>
    <s v="Battery Storage"/>
    <s v="Not Started"/>
    <m/>
    <n v="0"/>
    <n v="0"/>
    <n v="0"/>
    <n v="0"/>
  </r>
  <r>
    <s v="J1791"/>
    <x v="1"/>
    <d v="2020-06-25T00:00:00"/>
    <d v="2021-12-08T00:00:00"/>
    <m/>
    <d v="2023-10-31T00:00:00"/>
    <s v="ENTERGY MISSISSIPPI, LLC."/>
    <s v="Madison"/>
    <m/>
    <m/>
    <s v="MS"/>
    <s v="DPP-2020"/>
    <s v="South"/>
    <s v="GIA"/>
    <s v="NRIS"/>
    <s v="Gerald Andrus-Tinnin Road 230 kV"/>
    <n v="0"/>
    <n v="0"/>
    <x v="2"/>
    <s v="Battery Storage"/>
    <s v="Not Started"/>
    <m/>
    <n v="0"/>
    <n v="0"/>
    <n v="0"/>
    <n v="0"/>
  </r>
  <r>
    <s v="J1792"/>
    <x v="1"/>
    <d v="2020-06-24T00:00:00"/>
    <d v="2021-02-19T00:00:00"/>
    <m/>
    <d v="2023-09-15T00:00:00"/>
    <s v="AMERICAN TRANSMISSION COMPANY"/>
    <s v="Houghton"/>
    <m/>
    <m/>
    <s v="MI"/>
    <s v="DPP-2020"/>
    <s v="East (ATC)"/>
    <s v="GIA"/>
    <s v="NRIS"/>
    <s v="New Tap of the Ontonagan to Rockland Jct 69kV Line approx. 2.2 mi. north of Rockland Jct."/>
    <n v="22.5"/>
    <n v="22.5"/>
    <x v="0"/>
    <s v="Photovoltaic"/>
    <s v="Not Started"/>
    <m/>
    <n v="0"/>
    <n v="0"/>
    <n v="0"/>
    <n v="0"/>
  </r>
  <r>
    <s v="J1793"/>
    <x v="0"/>
    <d v="2020-06-23T00:00:00"/>
    <m/>
    <m/>
    <d v="2025-06-01T00:00:00"/>
    <s v="AMERICAN TRANSMISSION COMPANY"/>
    <s v="Sheboygan"/>
    <m/>
    <m/>
    <s v="WI"/>
    <s v="DPP-2020"/>
    <s v="East (ATC)"/>
    <s v="GIA"/>
    <s v="NRIS"/>
    <s v="Holland 138 kV"/>
    <n v="75"/>
    <n v="75"/>
    <x v="0"/>
    <s v="Photovoltaic"/>
    <s v="Not Started"/>
    <d v="2028-06-01T00:00:00"/>
    <n v="75"/>
    <n v="75"/>
    <n v="75"/>
    <n v="75"/>
  </r>
  <r>
    <s v="J1794"/>
    <x v="0"/>
    <d v="2020-06-22T00:00:00"/>
    <m/>
    <d v="2022-11-18T00:00:00"/>
    <d v="2023-08-31T00:00:00"/>
    <s v="ENTERGY LOUISIANA, LLC ELTO"/>
    <s v="Acadia"/>
    <m/>
    <m/>
    <s v="LA"/>
    <s v="DPP-2020"/>
    <s v="South"/>
    <s v="GIA"/>
    <s v="ERIS"/>
    <s v="RICHARD - SCOTT 138.0kV"/>
    <n v="150"/>
    <n v="150"/>
    <x v="0"/>
    <s v="Photovoltaic"/>
    <s v="Not Started"/>
    <d v="2025-05-26T00:00:00"/>
    <n v="150"/>
    <n v="0"/>
    <n v="150"/>
    <n v="0"/>
  </r>
  <r>
    <s v="J1795"/>
    <x v="0"/>
    <d v="2020-06-22T00:00:00"/>
    <m/>
    <m/>
    <d v="2023-08-31T00:00:00"/>
    <s v="ENTERGY LOUISIANA, LLC ELTO"/>
    <s v="Acadia"/>
    <m/>
    <m/>
    <s v="LA"/>
    <s v="DPP-2020"/>
    <s v="South"/>
    <s v="GIA"/>
    <s v="ERIS"/>
    <s v="Bayou Cove to Richard 138kV (Circuit 258)"/>
    <n v="100"/>
    <n v="100"/>
    <x v="0"/>
    <s v="Photovoltaic"/>
    <s v="Not Started"/>
    <d v="2025-12-04T00:00:00"/>
    <n v="100"/>
    <n v="0"/>
    <n v="100"/>
    <n v="0"/>
  </r>
  <r>
    <s v="J1796"/>
    <x v="1"/>
    <d v="2020-06-25T00:00:00"/>
    <d v="2021-12-08T00:00:00"/>
    <m/>
    <d v="2023-02-28T00:00:00"/>
    <s v="CLECO POWER LLC"/>
    <s v="Evangeline"/>
    <m/>
    <m/>
    <s v="LA"/>
    <s v="DPP-2020"/>
    <s v="South"/>
    <s v="GIA"/>
    <s v="NRIS"/>
    <s v="Pine Prairie to Coughlin 138 kV"/>
    <n v="150"/>
    <n v="150"/>
    <x v="0"/>
    <s v="Photovoltaic"/>
    <s v="Not Started"/>
    <m/>
    <n v="0"/>
    <n v="0"/>
    <n v="0"/>
    <n v="0"/>
  </r>
  <r>
    <s v="J1797"/>
    <x v="1"/>
    <d v="2020-06-18T00:00:00"/>
    <d v="2021-12-08T00:00:00"/>
    <m/>
    <d v="2023-10-31T00:00:00"/>
    <s v="ENTERGY LOUISIANA, LLC"/>
    <s v="St. John the Baptist"/>
    <m/>
    <m/>
    <s v="LA"/>
    <s v="DPP-2020"/>
    <s v="South"/>
    <s v="GIA"/>
    <s v="NRIS"/>
    <s v="Waterford 230kV"/>
    <n v="100"/>
    <n v="100"/>
    <x v="0"/>
    <s v="Photovoltaic"/>
    <s v="Not Started"/>
    <m/>
    <n v="0"/>
    <n v="0"/>
    <n v="0"/>
    <n v="0"/>
  </r>
  <r>
    <s v="J1798"/>
    <x v="0"/>
    <d v="2020-06-24T00:00:00"/>
    <m/>
    <m/>
    <d v="2021-06-01T00:00:00"/>
    <s v="ITC"/>
    <s v="Wayne"/>
    <m/>
    <m/>
    <s v="MI"/>
    <s v="DPP-2020"/>
    <s v="East (ITC)"/>
    <s v="GIA"/>
    <s v="ERIS"/>
    <s v="Waterman 120kV"/>
    <n v="0"/>
    <n v="25"/>
    <x v="3"/>
    <s v="Combined Cycle"/>
    <s v="Not Started"/>
    <d v="2023-03-01T00:00:00"/>
    <n v="25"/>
    <n v="0"/>
    <n v="25"/>
    <n v="0"/>
  </r>
  <r>
    <s v="J1799"/>
    <x v="1"/>
    <d v="2020-06-23T00:00:00"/>
    <d v="2021-02-13T00:00:00"/>
    <m/>
    <d v="2022-02-15T00:00:00"/>
    <s v="AMEREN ILLINOIS"/>
    <s v="Pulaski"/>
    <m/>
    <m/>
    <s v="IL"/>
    <s v="DPP-2020"/>
    <s v="Central"/>
    <s v="GIA"/>
    <s v="E-NRIS"/>
    <s v="Joppa 345 kV"/>
    <n v="100"/>
    <n v="100"/>
    <x v="0"/>
    <s v="Photovoltaic"/>
    <s v="Not Started"/>
    <m/>
    <n v="0"/>
    <n v="0"/>
    <n v="0"/>
    <n v="0"/>
  </r>
  <r>
    <s v="J1800"/>
    <x v="1"/>
    <d v="2020-06-25T00:00:00"/>
    <d v="2020-10-08T00:00:00"/>
    <m/>
    <d v="2023-12-01T00:00:00"/>
    <s v="ITC MIDWEST"/>
    <s v="Mower"/>
    <m/>
    <m/>
    <s v="MN"/>
    <s v="DPP-2020"/>
    <s v="West"/>
    <s v="GIA"/>
    <s v="NRIS-Only"/>
    <s v="Adams Switch Yard 161kV"/>
    <n v="25"/>
    <n v="25"/>
    <x v="1"/>
    <s v="Wind Turbine"/>
    <s v="Not Started"/>
    <m/>
    <n v="0"/>
    <n v="0"/>
    <n v="0"/>
    <n v="0"/>
  </r>
  <r>
    <s v="J1801"/>
    <x v="1"/>
    <d v="2020-06-25T00:00:00"/>
    <d v="2021-11-17T00:00:00"/>
    <m/>
    <d v="2023-12-01T00:00:00"/>
    <s v="ITC MIDWEST"/>
    <s v="Story"/>
    <m/>
    <m/>
    <s v="IA"/>
    <s v="DPP-2020"/>
    <s v="West"/>
    <s v="GIA"/>
    <s v="NRIS-Only"/>
    <s v="Story County Substation 161kV"/>
    <n v="39"/>
    <n v="39"/>
    <x v="1"/>
    <s v="Wind Turbine"/>
    <s v="Not Started"/>
    <m/>
    <n v="0"/>
    <n v="0"/>
    <n v="0"/>
    <n v="0"/>
  </r>
  <r>
    <s v="J1802"/>
    <x v="0"/>
    <d v="2020-06-18T00:00:00"/>
    <m/>
    <m/>
    <d v="2024-10-30T00:00:00"/>
    <s v="NORTHERN INDIANA PUBLIC SERVICE COMPANY LLC NIPS"/>
    <s v="Marshall"/>
    <m/>
    <m/>
    <s v="IN"/>
    <s v="DPP-2020"/>
    <s v="Central"/>
    <s v="GIA"/>
    <s v="NRIS"/>
    <s v="Burr Oak 138kV"/>
    <n v="150"/>
    <n v="150"/>
    <x v="0"/>
    <s v="Photovoltaic"/>
    <s v="Not Started"/>
    <m/>
    <n v="150"/>
    <n v="150"/>
    <n v="150"/>
    <n v="150"/>
  </r>
  <r>
    <s v="J1803"/>
    <x v="1"/>
    <d v="2020-06-24T00:00:00"/>
    <d v="2023-02-28T00:00:00"/>
    <m/>
    <d v="2021-09-15T00:00:00"/>
    <s v="AMERICAN TRANSMISSION COMPANY"/>
    <s v="Houghton"/>
    <m/>
    <m/>
    <s v="MI"/>
    <s v="DPP-2020"/>
    <s v="East (ATC)"/>
    <s v="GIA"/>
    <s v="NRIS"/>
    <s v="Winona-Atlantic 69 kV"/>
    <n v="1.6"/>
    <n v="1.6"/>
    <x v="1"/>
    <s v="Wind Turbine"/>
    <s v="Not Started"/>
    <m/>
    <n v="1.6"/>
    <n v="1.6"/>
    <n v="0"/>
    <n v="0"/>
  </r>
  <r>
    <s v="J1804"/>
    <x v="1"/>
    <d v="2022-02-28T00:00:00"/>
    <d v="2023-01-31T00:00:00"/>
    <m/>
    <d v="2024-06-06T00:00:00"/>
    <s v="NORTHERN STATES POWER COMPANY"/>
    <s v="St. Croix"/>
    <m/>
    <m/>
    <s v="WI"/>
    <s v="DPP-2020"/>
    <s v="West"/>
    <s v="GIA"/>
    <s v="NRIS"/>
    <s v="PINE LAKE TO THREE LAKES 115 KV"/>
    <n v="0"/>
    <n v="0"/>
    <x v="2"/>
    <s v="Battery Storage"/>
    <s v="Not Started"/>
    <m/>
    <n v="0"/>
    <n v="0"/>
    <n v="0"/>
    <n v="0"/>
  </r>
  <r>
    <s v="J1805"/>
    <x v="1"/>
    <d v="2022-01-11T00:00:00"/>
    <d v="2026-01-09T00:00:00"/>
    <m/>
    <d v="2024-04-12T00:00:00"/>
    <s v="NORTHERN INDIANA PUBLIC SERVICE COMPANY LLC"/>
    <s v="LaPorte"/>
    <m/>
    <m/>
    <s v="IN"/>
    <s v="DPP-2020"/>
    <s v="Central"/>
    <s v="GIA"/>
    <s v="NRIS"/>
    <s v="Maple 69 kV"/>
    <n v="0"/>
    <n v="0"/>
    <x v="2"/>
    <s v="Battery Storage"/>
    <s v="Not Started"/>
    <m/>
    <n v="0"/>
    <n v="0"/>
    <n v="0"/>
    <n v="0"/>
  </r>
  <r>
    <s v="J1806"/>
    <x v="1"/>
    <d v="2020-06-20T00:00:00"/>
    <d v="2023-07-17T00:00:00"/>
    <m/>
    <d v="2022-09-01T00:00:00"/>
    <s v="DUKE ENERGY INDIANA, LLC"/>
    <s v="Henry"/>
    <m/>
    <m/>
    <s v="IN"/>
    <s v="DPP-2020"/>
    <s v="Central"/>
    <s v="GIA"/>
    <s v="NRIS"/>
    <s v="Greensboro Substation 345kV"/>
    <n v="30"/>
    <n v="30"/>
    <x v="2"/>
    <s v="Battery Storage"/>
    <s v="Not Started"/>
    <m/>
    <n v="0"/>
    <n v="0"/>
    <n v="0"/>
    <n v="0"/>
  </r>
  <r>
    <s v="J1807"/>
    <x v="1"/>
    <d v="2020-06-23T00:00:00"/>
    <d v="2020-12-18T00:00:00"/>
    <m/>
    <d v="2023-05-01T00:00:00"/>
    <s v="DUKE ENERGY INDIANA, LLC"/>
    <s v="Washington"/>
    <m/>
    <m/>
    <s v="IN"/>
    <s v="DPP-2020"/>
    <s v="Central"/>
    <s v="GIA"/>
    <s v="NRIS"/>
    <s v="Mount Tabor 138kV"/>
    <n v="150"/>
    <n v="150"/>
    <x v="0"/>
    <s v="Photovoltaic"/>
    <s v="Not Started"/>
    <m/>
    <n v="0"/>
    <n v="0"/>
    <n v="0"/>
    <n v="0"/>
  </r>
  <r>
    <s v="J1808"/>
    <x v="0"/>
    <d v="2020-06-25T00:00:00"/>
    <m/>
    <m/>
    <d v="2023-02-28T00:00:00"/>
    <s v="DAIRYLAND POWER COOPERATIVE DPC"/>
    <s v="Barron"/>
    <m/>
    <m/>
    <s v="WI"/>
    <s v="DPP-2020"/>
    <s v="West"/>
    <s v="GIA"/>
    <s v="NRIS"/>
    <s v="Barron 161 kV"/>
    <n v="200"/>
    <n v="200"/>
    <x v="0"/>
    <s v="Photovoltaic"/>
    <s v="Not Started"/>
    <d v="2026-02-28T00:00:00"/>
    <n v="148"/>
    <n v="0"/>
    <n v="148"/>
    <n v="0"/>
  </r>
  <r>
    <s v="J1809"/>
    <x v="1"/>
    <d v="2020-06-24T00:00:00"/>
    <d v="2021-02-19T00:00:00"/>
    <m/>
    <d v="2023-08-15T00:00:00"/>
    <s v="AMERICAN TRANSMISSION COMPANY"/>
    <s v="Houghton"/>
    <m/>
    <m/>
    <s v="MI"/>
    <s v="DPP-2020"/>
    <s v="East (ATC)"/>
    <s v="GIA"/>
    <s v="NRIS"/>
    <s v="Atlantic -Silver River 138 kV"/>
    <n v="62.5"/>
    <n v="62.5"/>
    <x v="0"/>
    <s v="Photovoltaic"/>
    <s v="Not Started"/>
    <m/>
    <n v="0"/>
    <n v="0"/>
    <n v="0"/>
    <n v="0"/>
  </r>
  <r>
    <s v="J1810"/>
    <x v="1"/>
    <d v="2020-06-20T00:00:00"/>
    <d v="2023-07-17T00:00:00"/>
    <m/>
    <d v="2023-09-01T00:00:00"/>
    <s v="NORTHERN INDIANA PUBLIC SERVICE COMPANY LLC"/>
    <s v="White"/>
    <m/>
    <m/>
    <s v="IN"/>
    <s v="DPP-2020"/>
    <s v="Central"/>
    <s v="GIA"/>
    <s v="NRIS"/>
    <s v="Reynolds 345kV to Burr Oaks 345kV"/>
    <n v="60"/>
    <n v="60"/>
    <x v="5"/>
    <s v="Solar/Battery"/>
    <s v="Not Started"/>
    <m/>
    <n v="0"/>
    <n v="0"/>
    <n v="0"/>
    <n v="0"/>
  </r>
  <r>
    <s v="J1811"/>
    <x v="1"/>
    <d v="2020-06-19T00:00:00"/>
    <d v="2021-12-08T00:00:00"/>
    <m/>
    <d v="2023-10-31T00:00:00"/>
    <s v="ENTERGY ARKANSAS, LLC"/>
    <s v="Independence"/>
    <m/>
    <m/>
    <s v="AR"/>
    <s v="DPP-2020"/>
    <s v="South"/>
    <s v="GIA"/>
    <s v="NRIS"/>
    <s v="Independence 161 kV"/>
    <n v="150"/>
    <n v="150"/>
    <x v="0"/>
    <s v="Photovoltaic"/>
    <s v="Not Started"/>
    <m/>
    <n v="0"/>
    <n v="0"/>
    <n v="0"/>
    <n v="0"/>
  </r>
  <r>
    <s v="J1812"/>
    <x v="1"/>
    <d v="2020-06-25T00:00:00"/>
    <d v="2021-12-08T00:00:00"/>
    <m/>
    <d v="2024-09-01T00:00:00"/>
    <s v="ENTERGY TEXAS, INC."/>
    <s v="Chambers"/>
    <m/>
    <m/>
    <s v="TX"/>
    <s v="DPP-2020"/>
    <s v="South"/>
    <s v="GIA"/>
    <s v="NRIS"/>
    <s v="Stowell 230 kV"/>
    <n v="294.25"/>
    <n v="294.25"/>
    <x v="1"/>
    <s v="Wind Turbine"/>
    <s v="Not Started"/>
    <m/>
    <n v="0"/>
    <n v="0"/>
    <n v="0"/>
    <n v="0"/>
  </r>
  <r>
    <s v="J1813"/>
    <x v="0"/>
    <d v="2022-07-07T00:00:00"/>
    <m/>
    <m/>
    <d v="2020-03-20T00:00:00"/>
    <s v="ENTERGY MISSISSIPPI, LLC. EMTO"/>
    <s v="DeSoto"/>
    <m/>
    <m/>
    <s v="MS"/>
    <s v="DPP-2020"/>
    <s v="South"/>
    <s v="GIA"/>
    <s v="ERIS"/>
    <s v="Entergy Freeport 230 kV Substation"/>
    <n v="920"/>
    <n v="1005"/>
    <x v="3"/>
    <s v="Combined Cycle"/>
    <s v="Not Started"/>
    <d v="2002-03-20T00:00:00"/>
    <n v="205"/>
    <n v="0"/>
    <n v="205"/>
    <n v="0"/>
  </r>
  <r>
    <s v="J1814"/>
    <x v="0"/>
    <d v="2020-06-24T00:00:00"/>
    <m/>
    <m/>
    <d v="2023-09-15T00:00:00"/>
    <s v="AMERICAN TRANSMISSION COMPANY"/>
    <s v="Dickinson"/>
    <m/>
    <m/>
    <s v="MI"/>
    <s v="DPP-2020"/>
    <s v="East (ATC)"/>
    <s v="GIA"/>
    <s v="NRIS"/>
    <s v="Nordic"/>
    <n v="22.5"/>
    <n v="22.5"/>
    <x v="0"/>
    <s v="Photovoltaic"/>
    <s v="Not Started"/>
    <d v="2026-09-15T00:00:00"/>
    <n v="22.5"/>
    <n v="22.5"/>
    <n v="22.5"/>
    <n v="22.5"/>
  </r>
  <r>
    <s v="J1815"/>
    <x v="1"/>
    <d v="2022-03-16T00:00:00"/>
    <d v="2024-09-03T00:00:00"/>
    <m/>
    <d v="2023-08-01T00:00:00"/>
    <s v="DUKE ENERGY INDIANA, LLC"/>
    <s v="Montgomery"/>
    <m/>
    <m/>
    <s v="IN"/>
    <s v="DPP-2020"/>
    <s v="Central"/>
    <s v="GIA"/>
    <s v="NRIS"/>
    <s v="Linden Junction - Crawfordsville 138 kV"/>
    <n v="180"/>
    <n v="180"/>
    <x v="0"/>
    <s v="Photovoltaic"/>
    <s v="Not Started"/>
    <m/>
    <n v="130"/>
    <n v="130"/>
    <n v="0"/>
    <n v="0"/>
  </r>
  <r>
    <s v="J1816"/>
    <x v="0"/>
    <d v="2022-03-17T00:00:00"/>
    <m/>
    <m/>
    <d v="2025-10-30T00:00:00"/>
    <s v="ENTERGY ARKANSAS, LLC EATO"/>
    <s v="Cross"/>
    <m/>
    <m/>
    <s v="AR"/>
    <s v="DPP-2020"/>
    <s v="South"/>
    <s v="GIA"/>
    <s v="NRIS"/>
    <s v="FISHER - CHERRY VALLEY 161.0kV"/>
    <n v="135"/>
    <n v="135"/>
    <x v="0"/>
    <s v="Photovoltaic"/>
    <s v="Not Started"/>
    <d v="2025-11-01T00:00:00"/>
    <n v="135"/>
    <n v="100"/>
    <n v="135"/>
    <n v="100"/>
  </r>
  <r>
    <s v="J1817"/>
    <x v="1"/>
    <d v="2020-07-28T00:00:00"/>
    <d v="2023-02-28T00:00:00"/>
    <m/>
    <d v="2021-09-15T00:00:00"/>
    <s v="AMERICAN TRANSMISSION COMPANY"/>
    <s v="Houghton"/>
    <m/>
    <m/>
    <s v="MI"/>
    <s v="DPP-2020"/>
    <s v="East (ATC)"/>
    <s v="GIA"/>
    <s v="NRIS"/>
    <s v="ATC WInona-Atlantic Minw 69 kV tap (J1244)"/>
    <n v="20"/>
    <n v="20"/>
    <x v="1"/>
    <s v="Wind Turbine"/>
    <s v="Not Started"/>
    <m/>
    <n v="20"/>
    <n v="20"/>
    <n v="0"/>
    <n v="0"/>
  </r>
  <r>
    <s v="J1818"/>
    <x v="0"/>
    <d v="2020-06-19T00:00:00"/>
    <m/>
    <d v="2023-01-18T00:00:00"/>
    <d v="2023-10-01T00:00:00"/>
    <s v="LAFAYETTE UTILITIES SYSTEM"/>
    <s v="Lafayette"/>
    <m/>
    <m/>
    <s v="LA"/>
    <s v="DPP-2020"/>
    <s v="South"/>
    <s v="GIA"/>
    <s v="NRIS"/>
    <s v="Northeast (Moss) 69kV"/>
    <n v="80"/>
    <n v="80"/>
    <x v="0"/>
    <s v="Photovoltaic"/>
    <s v="Not Started"/>
    <d v="2026-06-30T00:00:00"/>
    <n v="80"/>
    <n v="80"/>
    <n v="80"/>
    <n v="80"/>
  </r>
  <r>
    <s v="J1819"/>
    <x v="0"/>
    <d v="2020-06-25T00:00:00"/>
    <m/>
    <m/>
    <d v="2023-09-13T00:00:00"/>
    <s v="ENTERGY ARKANSAS, LLC EATO"/>
    <s v="Lee"/>
    <m/>
    <m/>
    <s v="AR"/>
    <s v="DPP-2020"/>
    <s v="South"/>
    <s v="GIA"/>
    <s v="NRIS"/>
    <s v="WEST MEMPHIS EHV - KEO EHV 500.0kV"/>
    <n v="0"/>
    <n v="0"/>
    <x v="2"/>
    <s v="Battery Storage"/>
    <s v="Not Started"/>
    <d v="2026-09-13T00:00:00"/>
    <n v="0"/>
    <n v="0"/>
    <n v="0"/>
    <n v="0"/>
  </r>
  <r>
    <s v="J1820"/>
    <x v="0"/>
    <d v="2020-06-25T00:00:00"/>
    <m/>
    <m/>
    <d v="2023-09-13T00:00:00"/>
    <s v="ENTERGY ARKANSAS, LLC EATO"/>
    <s v="Lee"/>
    <m/>
    <m/>
    <s v="AR"/>
    <s v="DPP-2020"/>
    <s v="South"/>
    <s v="GIA"/>
    <s v="NRIS"/>
    <s v="WEST MEMPHIS EHV - KEO EHV 500.0kV"/>
    <n v="100"/>
    <n v="100"/>
    <x v="0"/>
    <s v="Photovoltaic"/>
    <s v="Not Started"/>
    <d v="2026-09-13T00:00:00"/>
    <n v="100"/>
    <n v="100"/>
    <n v="100"/>
    <n v="100"/>
  </r>
  <r>
    <s v="J1821"/>
    <x v="0"/>
    <d v="2020-06-25T00:00:00"/>
    <m/>
    <m/>
    <d v="2023-09-13T00:00:00"/>
    <s v="ENTERGY ARKANSAS, LLC EATO"/>
    <s v="Lee"/>
    <m/>
    <m/>
    <s v="AR"/>
    <s v="DPP-2020"/>
    <s v="South"/>
    <s v="GIA"/>
    <s v="NRIS"/>
    <s v="WEST MEMPHIS EHV - KEO EHV 500.0kV"/>
    <n v="0"/>
    <n v="0"/>
    <x v="2"/>
    <s v="Battery Storage"/>
    <s v="Not Started"/>
    <d v="2026-09-13T00:00:00"/>
    <n v="0"/>
    <n v="0"/>
    <n v="0"/>
    <n v="0"/>
  </r>
  <r>
    <s v="J1822"/>
    <x v="1"/>
    <d v="2020-06-25T00:00:00"/>
    <d v="2021-01-04T00:00:00"/>
    <m/>
    <d v="2023-06-01T00:00:00"/>
    <s v="ITC MIDWEST"/>
    <s v="Franklin"/>
    <m/>
    <m/>
    <s v="IA"/>
    <s v="DPP-2020"/>
    <s v="West"/>
    <s v="GIA"/>
    <s v="NRIS"/>
    <s v="KILLDEER3 (631199) 345 KV TO BLACKHAWK (636199) 345 kv line Tap"/>
    <n v="200"/>
    <n v="200"/>
    <x v="1"/>
    <s v="Wind Turbine"/>
    <s v="Not Started"/>
    <m/>
    <n v="0"/>
    <n v="0"/>
    <n v="0"/>
    <n v="0"/>
  </r>
  <r>
    <s v="J1823"/>
    <x v="1"/>
    <d v="2020-06-24T00:00:00"/>
    <d v="2021-02-19T00:00:00"/>
    <m/>
    <d v="2023-09-15T00:00:00"/>
    <s v="AMERICAN TRANSMISSION COMPANY"/>
    <s v="Houghton"/>
    <m/>
    <m/>
    <s v="MI"/>
    <s v="DPP-2020"/>
    <s v="East (ATC)"/>
    <s v="GIA"/>
    <s v="NRIS"/>
    <s v="Portage (UPPCO) - Atlantic 69 kV"/>
    <n v="62.5"/>
    <n v="62.5"/>
    <x v="0"/>
    <s v="Photovoltaic"/>
    <s v="Not Started"/>
    <m/>
    <n v="0"/>
    <n v="0"/>
    <n v="0"/>
    <n v="0"/>
  </r>
  <r>
    <s v="J1824"/>
    <x v="0"/>
    <d v="2020-06-24T00:00:00"/>
    <m/>
    <m/>
    <d v="2024-12-31T00:00:00"/>
    <s v="AMERICAN TRANSMISSION COMPANY"/>
    <s v="Columbia"/>
    <m/>
    <m/>
    <s v="WI"/>
    <s v="DPP-2020"/>
    <s v="East (ATC)"/>
    <s v="GIA"/>
    <s v="NRIS"/>
    <s v="Academy 138KV"/>
    <n v="73.8"/>
    <n v="73.8"/>
    <x v="0"/>
    <s v="Photovoltaic"/>
    <s v="Not Started"/>
    <d v="2025-12-31T00:00:00"/>
    <n v="67"/>
    <n v="67"/>
    <n v="67"/>
    <n v="67"/>
  </r>
  <r>
    <s v="J1825"/>
    <x v="1"/>
    <d v="2020-06-25T00:00:00"/>
    <d v="2020-12-18T00:00:00"/>
    <m/>
    <d v="2024-10-01T00:00:00"/>
    <s v="DUKE ENERGY INDIANA, LLC"/>
    <s v="Decatur"/>
    <m/>
    <m/>
    <s v="IN"/>
    <s v="DPP-2020"/>
    <s v="Central"/>
    <s v="GIA"/>
    <s v="NRIS"/>
    <s v="Westport"/>
    <n v="100"/>
    <n v="100"/>
    <x v="0"/>
    <s v="Photovoltaic"/>
    <s v="Not Started"/>
    <m/>
    <n v="0"/>
    <n v="0"/>
    <n v="0"/>
    <n v="0"/>
  </r>
  <r>
    <s v="J1826"/>
    <x v="0"/>
    <d v="2022-09-08T00:00:00"/>
    <m/>
    <m/>
    <d v="2022-03-01T00:00:00"/>
    <s v="NORTHERN STATES POWER COMPANY"/>
    <s v="Dakota"/>
    <m/>
    <m/>
    <s v="MN"/>
    <s v="DPP-2020"/>
    <s v="West"/>
    <s v="GIA"/>
    <s v="NRIS"/>
    <s v="Cannon Falls Transmission 69 kV"/>
    <n v="4"/>
    <n v="4"/>
    <x v="6"/>
    <s v="Hydroelectric"/>
    <s v="Not Started"/>
    <d v="2024-08-30T00:00:00"/>
    <n v="4"/>
    <n v="0"/>
    <n v="4"/>
    <n v="0"/>
  </r>
  <r>
    <s v="J1827"/>
    <x v="0"/>
    <d v="2021-10-20T00:00:00"/>
    <m/>
    <d v="2023-01-18T00:00:00"/>
    <d v="2023-10-31T00:00:00"/>
    <s v="ENTERGY LOUISIANA, LLC ELTO"/>
    <s v="Morehouse"/>
    <m/>
    <m/>
    <s v="LA"/>
    <s v="DPP-2020"/>
    <s v="South"/>
    <s v="GIA"/>
    <s v="NRIS"/>
    <s v="bastrop tap point"/>
    <n v="90"/>
    <n v="90"/>
    <x v="0"/>
    <s v="Photovoltaic"/>
    <s v="Not Started"/>
    <d v="2026-04-01T00:00:00"/>
    <n v="90"/>
    <n v="90"/>
    <n v="90"/>
    <n v="0"/>
  </r>
  <r>
    <s v="J1828"/>
    <x v="1"/>
    <d v="2020-06-25T00:00:00"/>
    <d v="2021-03-12T00:00:00"/>
    <m/>
    <d v="2024-08-20T00:00:00"/>
    <s v="AMEREN ILLINOIS"/>
    <s v="Sangamon"/>
    <m/>
    <m/>
    <s v="IL"/>
    <s v="DPP-2020"/>
    <s v="Central"/>
    <s v="GIA"/>
    <s v="ERIS"/>
    <s v="Austin-1 138 kV substation"/>
    <n v="99.2"/>
    <n v="99.2"/>
    <x v="5"/>
    <s v="Solar/Wind/Battery"/>
    <s v="Not Started"/>
    <m/>
    <n v="0"/>
    <n v="0"/>
    <n v="0"/>
    <n v="0"/>
  </r>
  <r>
    <s v="J1829"/>
    <x v="1"/>
    <d v="2020-06-25T00:00:00"/>
    <d v="2023-07-17T00:00:00"/>
    <m/>
    <d v="2024-10-01T00:00:00"/>
    <s v="DUKE ENERGY INDIANA, LLC"/>
    <s v="Shelby"/>
    <m/>
    <m/>
    <s v="IN"/>
    <s v="DPP-2020"/>
    <s v="Central"/>
    <s v="GIA"/>
    <s v="NRIS"/>
    <s v="DEI's Columbus to Clark Twp. 230 kV (one of the two 230 kV circuits going from Columbus to Five Poin"/>
    <n v="180"/>
    <n v="180"/>
    <x v="0"/>
    <s v="Photovoltaic"/>
    <s v="Not Started"/>
    <m/>
    <n v="0"/>
    <n v="0"/>
    <n v="0"/>
    <n v="0"/>
  </r>
  <r>
    <s v="J1830"/>
    <x v="1"/>
    <d v="2020-06-23T00:00:00"/>
    <d v="2024-09-03T00:00:00"/>
    <m/>
    <d v="2023-09-01T00:00:00"/>
    <s v="AMEREN ILLINOIS"/>
    <s v="Pulaski"/>
    <m/>
    <m/>
    <s v="IL"/>
    <s v="DPP-2020"/>
    <s v="Central"/>
    <s v="GIA"/>
    <s v="NRIS"/>
    <s v="Kelso - Joppa (Massac) 345 kV line"/>
    <n v="200"/>
    <n v="200"/>
    <x v="5"/>
    <s v="Solar/Battery"/>
    <s v="Not Started"/>
    <m/>
    <n v="200"/>
    <n v="200"/>
    <n v="0"/>
    <n v="0"/>
  </r>
  <r>
    <s v="J1831"/>
    <x v="0"/>
    <d v="2020-06-25T00:00:00"/>
    <m/>
    <m/>
    <d v="2023-10-31T00:00:00"/>
    <s v="AMEREN ILLINOIS"/>
    <s v="Menard"/>
    <m/>
    <m/>
    <s v="IL"/>
    <s v="DPP-2020"/>
    <s v="Central"/>
    <s v="GIA"/>
    <s v="NRIS"/>
    <s v="Shockey 138kV"/>
    <n v="200"/>
    <n v="200"/>
    <x v="1"/>
    <s v="Wind Turbine"/>
    <s v="Not Started"/>
    <d v="2026-08-15T00:00:00"/>
    <n v="200"/>
    <n v="200"/>
    <n v="200"/>
    <n v="175"/>
  </r>
  <r>
    <s v="J1832"/>
    <x v="0"/>
    <d v="2020-06-25T00:00:00"/>
    <m/>
    <m/>
    <d v="2023-04-01T00:00:00"/>
    <s v="CLECO POWER LLC CLEC"/>
    <s v="St. Landry"/>
    <m/>
    <m/>
    <s v="LA"/>
    <s v="DPP-2020"/>
    <s v="South"/>
    <s v="GIA"/>
    <s v="NRIS"/>
    <s v="Plaisance 138kV"/>
    <n v="145.09"/>
    <n v="145.09"/>
    <x v="0"/>
    <s v="Photovoltaic"/>
    <s v="In Service"/>
    <d v="2024-07-15T00:00:00"/>
    <n v="150"/>
    <n v="150"/>
    <n v="145"/>
    <n v="90"/>
  </r>
  <r>
    <s v="J1833"/>
    <x v="0"/>
    <d v="2021-10-19T00:00:00"/>
    <m/>
    <d v="2023-01-18T00:00:00"/>
    <d v="2026-05-01T00:00:00"/>
    <s v="ENTERGY LOUISIANA, LLC ELTO"/>
    <s v="Lafourche"/>
    <m/>
    <m/>
    <s v="LA"/>
    <s v="DPP-2020"/>
    <s v="South"/>
    <s v="GIA"/>
    <s v="ERIS"/>
    <s v="Leeville 115kV"/>
    <n v="115.1"/>
    <n v="115.1"/>
    <x v="3"/>
    <s v="Piston (Engine), Internal Combustion (Diesel)"/>
    <s v="Not Started"/>
    <d v="2025-10-01T00:00:00"/>
    <n v="115.1"/>
    <n v="115.1"/>
    <n v="115.1"/>
    <n v="0"/>
  </r>
  <r>
    <s v="J1834"/>
    <x v="0"/>
    <d v="2021-12-16T00:00:00"/>
    <m/>
    <m/>
    <d v="2025-04-25T00:00:00"/>
    <s v="ENTERGY TEXAS, INC. ETTO"/>
    <s v="Orange"/>
    <m/>
    <m/>
    <s v="TX"/>
    <s v="DPP-2020"/>
    <s v="South"/>
    <s v="GIA"/>
    <s v="NRIS"/>
    <s v="Sabine 138/230 kV Substation"/>
    <n v="66.7"/>
    <n v="126"/>
    <x v="3"/>
    <s v="Combined Cycle"/>
    <s v="Not Started"/>
    <d v="2025-05-25T00:00:00"/>
    <n v="126"/>
    <n v="66.7"/>
    <n v="126"/>
    <n v="66.7"/>
  </r>
  <r>
    <s v="J1835"/>
    <x v="1"/>
    <d v="2020-06-25T00:00:00"/>
    <d v="2024-09-03T00:00:00"/>
    <m/>
    <d v="2023-06-01T00:00:00"/>
    <s v="SOUTHERN INDIANA GAS &amp; ELECTRIC COMPANY D/B/A CENTERPOINT ENERGY INDIANA SOUTH"/>
    <s v="Spencer"/>
    <m/>
    <m/>
    <s v="IN"/>
    <s v="DPP-2020"/>
    <s v="Central"/>
    <s v="GIA"/>
    <s v="NRIS"/>
    <s v="Culley to Grandview 138 KV line tap"/>
    <n v="200"/>
    <n v="200"/>
    <x v="1"/>
    <s v="Wind Turbine"/>
    <s v="Not Started"/>
    <m/>
    <n v="200"/>
    <n v="200"/>
    <n v="0"/>
    <n v="0"/>
  </r>
  <r>
    <s v="J1836"/>
    <x v="0"/>
    <d v="2020-06-23T00:00:00"/>
    <m/>
    <m/>
    <d v="2025-08-01T00:00:00"/>
    <s v="AMEREN MISSOURI"/>
    <s v="Callaway"/>
    <m/>
    <m/>
    <s v="MO"/>
    <s v="DPP-2020"/>
    <s v="Central"/>
    <s v="GIA"/>
    <s v="NRIS"/>
    <s v="Montgomery- Callaway- 7"/>
    <n v="300"/>
    <n v="300"/>
    <x v="0"/>
    <s v="Photovoltaic"/>
    <s v="Not Started"/>
    <d v="2027-12-30T00:00:00"/>
    <n v="300"/>
    <n v="300"/>
    <n v="275"/>
    <n v="275"/>
  </r>
  <r>
    <s v="J1837"/>
    <x v="1"/>
    <d v="2020-06-25T00:00:00"/>
    <d v="2021-03-12T00:00:00"/>
    <m/>
    <d v="2023-06-01T00:00:00"/>
    <s v="AMEREN ILLINOIS"/>
    <s v="Shelby"/>
    <m/>
    <m/>
    <s v="IL"/>
    <s v="DPP-2020"/>
    <s v="Central"/>
    <s v="GIA"/>
    <s v="NRIS"/>
    <s v="Pana - Route 51 138kV"/>
    <n v="200"/>
    <n v="200"/>
    <x v="1"/>
    <s v="Wind Turbine"/>
    <s v="Not Started"/>
    <m/>
    <n v="0"/>
    <n v="0"/>
    <n v="0"/>
    <n v="0"/>
  </r>
  <r>
    <s v="J1838"/>
    <x v="1"/>
    <d v="2020-06-25T00:00:00"/>
    <d v="2021-02-23T00:00:00"/>
    <m/>
    <d v="2025-02-12T00:00:00"/>
    <s v="AMERICAN TRANSMISSION COMPANY"/>
    <s v="Dane"/>
    <m/>
    <m/>
    <s v="WI"/>
    <s v="DPP-2020"/>
    <s v="East (ATC)"/>
    <s v="GIA"/>
    <s v="NRIS"/>
    <s v="Christiana 138 kV"/>
    <n v="320"/>
    <n v="320"/>
    <x v="3"/>
    <s v="Combined-Cycle ‚Äì Steam Plant"/>
    <s v="Not Started"/>
    <m/>
    <n v="0"/>
    <n v="0"/>
    <n v="0"/>
    <n v="0"/>
  </r>
  <r>
    <s v="J1839"/>
    <x v="0"/>
    <d v="2020-06-25T00:00:00"/>
    <m/>
    <m/>
    <d v="2027-01-01T00:00:00"/>
    <s v="AMEREN ILLINOIS"/>
    <s v="Macon"/>
    <m/>
    <m/>
    <s v="IL"/>
    <s v="DPP-2020"/>
    <s v="Central"/>
    <s v="GIA"/>
    <s v="NRIS"/>
    <s v="Decatur ADM North 138 kV"/>
    <n v="325"/>
    <n v="340.3"/>
    <x v="3"/>
    <s v="Combustion Turbine (Simple Cycle)"/>
    <s v="Not Started"/>
    <d v="2026-11-01T00:00:00"/>
    <n v="340.3"/>
    <n v="340.3"/>
    <n v="340.3"/>
    <n v="340.3"/>
  </r>
  <r>
    <s v="J1840"/>
    <x v="0"/>
    <d v="2020-06-25T00:00:00"/>
    <m/>
    <m/>
    <d v="2023-08-30T00:00:00"/>
    <s v="AMEREN ILLINOIS"/>
    <s v="De Witt"/>
    <m/>
    <m/>
    <s v="IL"/>
    <s v="DPP-2020"/>
    <s v="Central"/>
    <s v="GIA"/>
    <s v="NRIS"/>
    <s v="Clinton to Goose Creek-4545 345kV line"/>
    <n v="250"/>
    <n v="250"/>
    <x v="0"/>
    <s v="Photovoltaic"/>
    <s v="Not Started"/>
    <m/>
    <n v="250"/>
    <n v="250"/>
    <n v="250"/>
    <n v="250"/>
  </r>
  <r>
    <s v="J1841"/>
    <x v="1"/>
    <d v="2020-06-25T00:00:00"/>
    <d v="2021-12-08T00:00:00"/>
    <m/>
    <d v="2023-06-01T00:00:00"/>
    <s v="ENTERGY ARKANSAS, LLC"/>
    <s v="Cross"/>
    <m/>
    <m/>
    <s v="AR"/>
    <s v="DPP-2020"/>
    <s v="South"/>
    <s v="GIA"/>
    <s v="NRIS"/>
    <s v="Forrest City to Wynne S 161 KV Line"/>
    <n v="52"/>
    <n v="52"/>
    <x v="1"/>
    <s v="Wind Turbine"/>
    <s v="Not Started"/>
    <m/>
    <n v="0"/>
    <n v="0"/>
    <n v="0"/>
    <n v="0"/>
  </r>
  <r>
    <s v="J1842"/>
    <x v="0"/>
    <d v="2021-10-19T00:00:00"/>
    <m/>
    <m/>
    <d v="2026-02-02T00:00:00"/>
    <s v="ENTERGY ARKANSAS, LLC EATO"/>
    <s v="Cross"/>
    <m/>
    <m/>
    <s v="AR"/>
    <s v="DPP-2020"/>
    <s v="South"/>
    <s v="GIA"/>
    <s v="NRIS-Only"/>
    <s v="FORREST CITY N SS - WYNNE SOUTH 161.0kV"/>
    <n v="135"/>
    <n v="135"/>
    <x v="1"/>
    <s v="Wind Turbine"/>
    <s v="Not Started"/>
    <d v="2024-10-31T00:00:00"/>
    <n v="135"/>
    <n v="0"/>
    <n v="135"/>
    <n v="0"/>
  </r>
  <r>
    <s v="J1843"/>
    <x v="1"/>
    <d v="2022-01-06T00:00:00"/>
    <d v="2023-06-22T00:00:00"/>
    <m/>
    <d v="2023-03-15T00:00:00"/>
    <s v="AMERICAN TRANSMISSION COMPANY"/>
    <s v="Dane"/>
    <m/>
    <m/>
    <s v="WI"/>
    <s v="DPP-2020"/>
    <s v="East (ATC)"/>
    <s v="GIA"/>
    <s v="NRIS"/>
    <s v="Christiana 138 kV"/>
    <n v="12"/>
    <n v="12"/>
    <x v="3"/>
    <s v="Combustion Turbine (Simple Cycle)"/>
    <s v="Not Started"/>
    <m/>
    <n v="12"/>
    <n v="12"/>
    <n v="12"/>
    <n v="12"/>
  </r>
  <r>
    <s v="J1844"/>
    <x v="2"/>
    <d v="2020-12-31T00:00:00"/>
    <m/>
    <m/>
    <d v="2024-10-07T00:00:00"/>
    <s v="ITC"/>
    <s v="Washtenaw"/>
    <m/>
    <m/>
    <s v="MI"/>
    <s v="DPP-2021"/>
    <s v="East (ITC)"/>
    <s v="Phase 3"/>
    <s v="NRIS"/>
    <s v="19CVTRY"/>
    <n v="100"/>
    <n v="100"/>
    <x v="2"/>
    <s v="Battery Storage"/>
    <s v="Not Started"/>
    <d v="2029-02-06T00:00:00"/>
    <n v="100"/>
    <n v="100"/>
    <n v="100"/>
    <n v="100"/>
  </r>
  <r>
    <s v="J1845"/>
    <x v="2"/>
    <d v="2020-12-31T00:00:00"/>
    <m/>
    <m/>
    <d v="2025-10-06T00:00:00"/>
    <s v="METC"/>
    <s v="Calhoun"/>
    <m/>
    <m/>
    <s v="MI"/>
    <s v="DPP-2021"/>
    <s v="East (ITC)"/>
    <s v="Phase 3"/>
    <s v="NRIS"/>
    <s v="18BATTLC"/>
    <n v="100"/>
    <n v="100"/>
    <x v="2"/>
    <s v="Battery Storage"/>
    <s v="Not Started"/>
    <d v="2028-08-29T00:00:00"/>
    <n v="100"/>
    <n v="100"/>
    <n v="100"/>
    <n v="100"/>
  </r>
  <r>
    <s v="J1846"/>
    <x v="2"/>
    <d v="2021-07-22T00:00:00"/>
    <m/>
    <m/>
    <d v="2024-09-01T00:00:00"/>
    <s v="GREAT RIVER ENERGY"/>
    <s v="Renville"/>
    <m/>
    <m/>
    <s v="MN"/>
    <s v="DPP-2021"/>
    <s v="West"/>
    <s v="Phase 2"/>
    <s v="NRIS"/>
    <s v="PANTHER"/>
    <n v="200"/>
    <n v="200"/>
    <x v="5"/>
    <s v="Solar/Battery"/>
    <s v="Not Started"/>
    <m/>
    <n v="200"/>
    <n v="200"/>
    <n v="200"/>
    <n v="200"/>
  </r>
  <r>
    <s v="J1847"/>
    <x v="1"/>
    <d v="2021-08-09T00:00:00"/>
    <d v="2025-10-27T00:00:00"/>
    <m/>
    <d v="2024-06-01T00:00:00"/>
    <s v="SOUTHERN MINNESOTA MUNICIPAL POWER AGENCY"/>
    <s v="Mower"/>
    <m/>
    <m/>
    <s v="MN"/>
    <s v="DPP-2021"/>
    <s v="West"/>
    <s v="Phase 2"/>
    <s v="NRIS"/>
    <s v="Murphy Creek 161kV substation"/>
    <n v="200"/>
    <n v="200"/>
    <x v="0"/>
    <s v="Photovoltaic"/>
    <s v="Not Started"/>
    <m/>
    <n v="200"/>
    <n v="200"/>
    <n v="0"/>
    <n v="0"/>
  </r>
  <r>
    <s v="J1848"/>
    <x v="1"/>
    <d v="2021-08-12T00:00:00"/>
    <d v="2023-08-15T00:00:00"/>
    <m/>
    <d v="2023-04-01T00:00:00"/>
    <s v="ITC"/>
    <s v="Van Buren"/>
    <m/>
    <m/>
    <s v="MI"/>
    <s v="DPP-2021"/>
    <s v="East (ITC)"/>
    <s v="Phase 3"/>
    <s v="NRIS-Only"/>
    <s v="Covert"/>
    <n v="1128"/>
    <n v="1235"/>
    <x v="3"/>
    <s v="Combined Cycle"/>
    <s v="Not Started"/>
    <m/>
    <n v="0"/>
    <n v="0"/>
    <n v="0"/>
    <n v="0"/>
  </r>
  <r>
    <s v="J1849"/>
    <x v="0"/>
    <d v="2021-11-30T00:00:00"/>
    <m/>
    <m/>
    <d v="2025-01-01T00:00:00"/>
    <s v="ENTERGY TEXAS, INC. ETTO"/>
    <s v="Hardin"/>
    <m/>
    <m/>
    <s v="TX"/>
    <s v="DPP-2021"/>
    <s v="South"/>
    <s v="Phase 3"/>
    <s v="NRIS"/>
    <s v="Cypress 230 kV"/>
    <n v="200"/>
    <n v="200"/>
    <x v="0"/>
    <s v="Photovoltaic"/>
    <s v="Not Started"/>
    <d v="2028-05-30T00:00:00"/>
    <n v="200"/>
    <n v="0"/>
    <n v="200"/>
    <n v="0"/>
  </r>
  <r>
    <s v="J1850"/>
    <x v="1"/>
    <d v="2021-11-24T00:00:00"/>
    <d v="2025-03-07T00:00:00"/>
    <m/>
    <d v="2024-11-30T00:00:00"/>
    <s v="ENTERGY LOUISIANA, LLC"/>
    <s v="St. Martin"/>
    <m/>
    <m/>
    <s v="LA"/>
    <s v="DPP-2021"/>
    <s v="South"/>
    <s v="Phase 3"/>
    <s v="NRIS"/>
    <s v="Kirk - Cecelia 138kV Line"/>
    <n v="100"/>
    <n v="100"/>
    <x v="0"/>
    <s v="Photovoltaic"/>
    <s v="Not Started"/>
    <m/>
    <n v="100"/>
    <n v="0"/>
    <n v="0"/>
    <n v="0"/>
  </r>
  <r>
    <s v="J1851"/>
    <x v="0"/>
    <d v="2021-11-30T00:00:00"/>
    <m/>
    <m/>
    <d v="2025-01-01T00:00:00"/>
    <s v="ENTERGY LOUISIANA, LLC ELTO"/>
    <s v="Morehouse"/>
    <m/>
    <m/>
    <s v="LA"/>
    <s v="DPP-2021"/>
    <s v="South"/>
    <s v="Phase 3"/>
    <s v="ERIS"/>
    <s v="CROSSETT NORTH - BEEKMAN 115.0kV"/>
    <n v="185"/>
    <n v="185"/>
    <x v="0"/>
    <s v="Photovoltaic"/>
    <s v="Not Started"/>
    <d v="2026-11-15T00:00:00"/>
    <n v="195"/>
    <n v="80"/>
    <n v="185"/>
    <n v="0"/>
  </r>
  <r>
    <s v="J1852"/>
    <x v="1"/>
    <d v="2022-06-16T00:00:00"/>
    <d v="2023-10-09T00:00:00"/>
    <m/>
    <d v="2025-06-01T00:00:00"/>
    <s v="NORTHERN STATES POWER COMPANY"/>
    <s v="Cass"/>
    <m/>
    <m/>
    <s v="ND"/>
    <s v="DPP-2021"/>
    <s v="West"/>
    <s v="Phase 2"/>
    <s v="NRIS"/>
    <s v="Bison 345 kV"/>
    <n v="200"/>
    <n v="200"/>
    <x v="0"/>
    <s v="Photovoltaic"/>
    <s v="Not Started"/>
    <m/>
    <n v="200"/>
    <n v="200"/>
    <n v="0"/>
    <n v="0"/>
  </r>
  <r>
    <s v="J1853"/>
    <x v="1"/>
    <d v="2021-08-17T00:00:00"/>
    <d v="2023-10-09T00:00:00"/>
    <m/>
    <d v="2024-10-01T00:00:00"/>
    <s v="ITC MIDWEST"/>
    <s v="Des Moines"/>
    <m/>
    <m/>
    <s v="IA"/>
    <s v="DPP-2021"/>
    <s v="West"/>
    <s v="Phase 2"/>
    <s v="NRIS"/>
    <s v="Denmark - Newport"/>
    <n v="50"/>
    <n v="50"/>
    <x v="2"/>
    <s v="Battery Storage"/>
    <s v="Not Started"/>
    <m/>
    <n v="0"/>
    <n v="0"/>
    <n v="0"/>
    <n v="0"/>
  </r>
  <r>
    <s v="J1854"/>
    <x v="1"/>
    <d v="2021-08-18T00:00:00"/>
    <d v="2021-12-08T00:00:00"/>
    <m/>
    <d v="2025-05-01T00:00:00"/>
    <s v="DUKE ENERGY INDIANA, LLC"/>
    <s v="Wabash"/>
    <m/>
    <m/>
    <s v="IN"/>
    <s v="DPP-2021"/>
    <s v="Central"/>
    <s v="Phase 2"/>
    <s v="NRIS"/>
    <s v="Wabash - Greentown 138kV"/>
    <n v="150"/>
    <n v="150"/>
    <x v="0"/>
    <s v="Photovoltaic"/>
    <m/>
    <m/>
    <n v="0"/>
    <n v="0"/>
    <n v="0"/>
    <n v="0"/>
  </r>
  <r>
    <s v="J1855"/>
    <x v="0"/>
    <d v="2021-11-17T00:00:00"/>
    <m/>
    <m/>
    <d v="2026-04-15T00:00:00"/>
    <s v="ENTERGY ARKANSAS, LLC EATO"/>
    <s v="Jackson"/>
    <m/>
    <m/>
    <s v="AR"/>
    <s v="DPP-2021"/>
    <s v="South"/>
    <s v="Phase 3"/>
    <s v="NRIS"/>
    <s v="MALLORY 161"/>
    <n v="500"/>
    <n v="500"/>
    <x v="0"/>
    <s v="Photovoltaic"/>
    <s v="Not Started"/>
    <m/>
    <n v="500"/>
    <n v="500"/>
    <n v="500"/>
    <n v="0"/>
  </r>
  <r>
    <s v="J1856"/>
    <x v="0"/>
    <d v="2021-11-17T00:00:00"/>
    <m/>
    <m/>
    <d v="2026-04-15T00:00:00"/>
    <s v="ENTERGY ARKANSAS, LLC EATO"/>
    <s v="Jackson"/>
    <m/>
    <m/>
    <s v="AR"/>
    <s v="DPP-2021"/>
    <s v="South"/>
    <s v="Phase 3"/>
    <s v="NRIS"/>
    <s v="SHOFFNER - NEWPORT"/>
    <n v="150"/>
    <n v="150"/>
    <x v="0"/>
    <s v="Photovoltaic"/>
    <s v="Not Started"/>
    <m/>
    <n v="147"/>
    <n v="147"/>
    <n v="140"/>
    <n v="0"/>
  </r>
  <r>
    <s v="J1857"/>
    <x v="1"/>
    <d v="2021-11-17T00:00:00"/>
    <d v="2025-03-07T00:00:00"/>
    <m/>
    <d v="2026-04-15T00:00:00"/>
    <s v="ENTERGY ARKANSAS, LLC"/>
    <s v="Cross"/>
    <m/>
    <m/>
    <s v="AR"/>
    <s v="DPP-2021"/>
    <s v="South"/>
    <s v="Phase 3"/>
    <s v="NRIS"/>
    <s v="EBONY SS -  5WM LEHI-W"/>
    <n v="250"/>
    <n v="250"/>
    <x v="0"/>
    <s v="Photovoltaic"/>
    <s v="Not Started"/>
    <m/>
    <n v="250"/>
    <n v="250"/>
    <n v="0"/>
    <n v="0"/>
  </r>
  <r>
    <s v="J1858"/>
    <x v="0"/>
    <d v="2021-11-30T00:00:00"/>
    <m/>
    <m/>
    <d v="2026-04-15T00:00:00"/>
    <s v="ENTERGY ARKANSAS, LLC EATO"/>
    <s v="Mississippi"/>
    <m/>
    <m/>
    <s v="AR"/>
    <s v="DPP-2021"/>
    <s v="South"/>
    <s v="Phase 3"/>
    <s v="NRIS"/>
    <s v="Sandy Bayou"/>
    <n v="440"/>
    <n v="440"/>
    <x v="0"/>
    <s v="Photovoltaic"/>
    <s v="Not Started"/>
    <d v="2028-03-20T00:00:00"/>
    <n v="440"/>
    <n v="440"/>
    <n v="440"/>
    <n v="0"/>
  </r>
  <r>
    <s v="J1859"/>
    <x v="1"/>
    <d v="2021-08-16T00:00:00"/>
    <d v="2021-10-12T00:00:00"/>
    <m/>
    <d v="2024-09-15T00:00:00"/>
    <s v="MIDAMERICAN ENERGY CO."/>
    <s v="Pottawattamie"/>
    <m/>
    <m/>
    <s v="IA"/>
    <s v="DPP-2021"/>
    <s v="West"/>
    <s v="Phase 2"/>
    <s v="NRIS"/>
    <s v="Council Bluffs - Fallow Avenue 345kV Line Tap"/>
    <n v="200"/>
    <n v="200"/>
    <x v="1"/>
    <s v="Wind Turbine"/>
    <m/>
    <m/>
    <n v="0"/>
    <n v="0"/>
    <n v="0"/>
    <n v="0"/>
  </r>
  <r>
    <s v="J1860"/>
    <x v="1"/>
    <d v="2021-08-16T00:00:00"/>
    <d v="2025-03-03T00:00:00"/>
    <m/>
    <d v="2024-09-15T00:00:00"/>
    <s v="METC"/>
    <s v="Lenawee"/>
    <m/>
    <m/>
    <s v="MI"/>
    <s v="DPP-2021"/>
    <s v="East (ITC)"/>
    <s v="Phase 3"/>
    <s v="NRIS"/>
    <s v="Morocco to Beecher 138kV (8.36 miles from Morocco)"/>
    <n v="60"/>
    <n v="60"/>
    <x v="2"/>
    <s v="Battery Storage"/>
    <s v="Not Started"/>
    <m/>
    <n v="60"/>
    <n v="60"/>
    <n v="0"/>
    <n v="0"/>
  </r>
  <r>
    <s v="J1861"/>
    <x v="2"/>
    <d v="2022-03-28T00:00:00"/>
    <m/>
    <m/>
    <d v="2024-09-15T00:00:00"/>
    <s v="NORTHERN INDIANA PUBLIC SERVICE COMPANY LLC NIPS"/>
    <s v="LaPorte"/>
    <m/>
    <m/>
    <s v="IN"/>
    <s v="DPP-2021"/>
    <s v="Central"/>
    <s v="Phase 2"/>
    <s v="NRIS"/>
    <s v="STILLWELL - L.N.G. PLANT 138.0kV"/>
    <n v="45"/>
    <n v="45"/>
    <x v="2"/>
    <s v="Battery Storage"/>
    <s v="Not Started"/>
    <m/>
    <n v="45"/>
    <n v="45"/>
    <n v="45"/>
    <n v="45"/>
  </r>
  <r>
    <s v="J1862"/>
    <x v="1"/>
    <d v="2021-08-16T00:00:00"/>
    <d v="2025-03-03T00:00:00"/>
    <m/>
    <d v="2024-09-15T00:00:00"/>
    <s v="METC"/>
    <s v="Clinton"/>
    <m/>
    <m/>
    <s v="MI"/>
    <s v="DPP-2021"/>
    <s v="East (ITC)"/>
    <s v="Phase 3"/>
    <s v="NRIS"/>
    <s v="Bingham West 138kV"/>
    <n v="45"/>
    <n v="45"/>
    <x v="2"/>
    <s v="Battery Storage"/>
    <s v="Not Started"/>
    <m/>
    <n v="45"/>
    <n v="45"/>
    <n v="0"/>
    <n v="0"/>
  </r>
  <r>
    <s v="J1863"/>
    <x v="2"/>
    <d v="2021-08-16T00:00:00"/>
    <m/>
    <m/>
    <d v="2024-09-15T00:00:00"/>
    <s v="METC"/>
    <s v="Otsego"/>
    <m/>
    <m/>
    <s v="MI"/>
    <s v="DPP-2021"/>
    <s v="East (ITC)"/>
    <s v="Phase 3"/>
    <s v="NRIS"/>
    <s v="Vantyle 138kV"/>
    <n v="60"/>
    <n v="60"/>
    <x v="2"/>
    <s v="Battery Storage"/>
    <s v="Not Started"/>
    <d v="2026-06-12T00:00:00"/>
    <n v="60"/>
    <n v="60"/>
    <n v="60"/>
    <n v="60"/>
  </r>
  <r>
    <s v="J1864"/>
    <x v="1"/>
    <d v="2021-08-16T00:00:00"/>
    <d v="2021-10-12T00:00:00"/>
    <m/>
    <d v="2024-09-15T00:00:00"/>
    <s v="ITC MIDWEST"/>
    <s v="Cerro Gordo"/>
    <m/>
    <m/>
    <s v="IA"/>
    <s v="DPP-2021"/>
    <s v="West"/>
    <s v="Phase 2"/>
    <s v="NRIS"/>
    <s v="Emery 161kV"/>
    <n v="250"/>
    <n v="250"/>
    <x v="1"/>
    <s v="Wind Turbine"/>
    <m/>
    <m/>
    <n v="0"/>
    <n v="0"/>
    <n v="0"/>
    <n v="0"/>
  </r>
  <r>
    <s v="J1865"/>
    <x v="1"/>
    <d v="2021-08-16T00:00:00"/>
    <d v="2021-09-17T00:00:00"/>
    <m/>
    <d v="2024-09-15T00:00:00"/>
    <s v="ITC MIDWEST"/>
    <s v="Hardin"/>
    <m/>
    <m/>
    <s v="IA"/>
    <s v="DPP-2021"/>
    <s v="West"/>
    <s v="Phase 2"/>
    <s v="NRIS"/>
    <s v="Quinn-Blackhawk 345kV"/>
    <n v="250"/>
    <n v="250"/>
    <x v="1"/>
    <s v="Wind Turbine"/>
    <m/>
    <m/>
    <n v="0"/>
    <n v="0"/>
    <n v="0"/>
    <n v="0"/>
  </r>
  <r>
    <s v="J1866"/>
    <x v="1"/>
    <d v="2021-08-16T00:00:00"/>
    <d v="2023-10-09T00:00:00"/>
    <m/>
    <d v="2024-09-15T00:00:00"/>
    <s v="NORTHERN STATES POWER COMPANY"/>
    <s v="Clark"/>
    <m/>
    <m/>
    <s v="WI"/>
    <s v="DPP-2021"/>
    <s v="West"/>
    <s v="Phase 2"/>
    <s v="NRIS"/>
    <s v="T Corners 115kV Sub"/>
    <n v="125"/>
    <n v="125"/>
    <x v="1"/>
    <s v="Wind Turbine"/>
    <s v="Not Started"/>
    <m/>
    <n v="0"/>
    <n v="0"/>
    <n v="0"/>
    <n v="0"/>
  </r>
  <r>
    <s v="J1867"/>
    <x v="2"/>
    <d v="2021-11-22T00:00:00"/>
    <m/>
    <m/>
    <d v="2025-09-01T00:00:00"/>
    <s v="ITC MIDWEST"/>
    <s v="Franklin"/>
    <m/>
    <m/>
    <s v="IA"/>
    <s v="DPP-2021"/>
    <s v="West"/>
    <s v="Phase 2"/>
    <s v="NRIS"/>
    <s v="Quinn"/>
    <n v="200"/>
    <n v="200"/>
    <x v="1"/>
    <s v="Wind Turbine"/>
    <s v="Not Started"/>
    <m/>
    <n v="200"/>
    <n v="200"/>
    <n v="200"/>
    <n v="200"/>
  </r>
  <r>
    <s v="J1868"/>
    <x v="1"/>
    <d v="2021-08-16T00:00:00"/>
    <d v="2023-10-25T00:00:00"/>
    <m/>
    <d v="2024-09-15T00:00:00"/>
    <s v="ENTERGY LOUISIANA, LLC"/>
    <s v="Winn"/>
    <m/>
    <m/>
    <s v="LA"/>
    <s v="DPP-2021"/>
    <s v="South"/>
    <s v="Phase 3"/>
    <s v="NRIS"/>
    <s v="Winnfield to Standard 115kV"/>
    <n v="260"/>
    <n v="260"/>
    <x v="0"/>
    <s v="Photovoltaic"/>
    <s v="Not Started"/>
    <m/>
    <n v="0"/>
    <n v="0"/>
    <n v="0"/>
    <n v="0"/>
  </r>
  <r>
    <s v="J1869"/>
    <x v="1"/>
    <d v="2021-08-16T00:00:00"/>
    <d v="2023-10-25T00:00:00"/>
    <m/>
    <d v="2024-09-15T00:00:00"/>
    <s v="ENTERGY LOUISIANA, LLC"/>
    <s v="Winn"/>
    <m/>
    <m/>
    <s v="LA"/>
    <s v="DPP-2021"/>
    <s v="South"/>
    <s v="Phase 3"/>
    <s v="NRIS"/>
    <s v="Winnfield to Standard 115kV"/>
    <n v="78"/>
    <n v="78"/>
    <x v="2"/>
    <s v="Battery Storage"/>
    <s v="Not Started"/>
    <m/>
    <n v="0"/>
    <n v="0"/>
    <n v="0"/>
    <n v="0"/>
  </r>
  <r>
    <s v="J1870"/>
    <x v="0"/>
    <d v="2021-08-16T00:00:00"/>
    <m/>
    <m/>
    <d v="2024-09-15T00:00:00"/>
    <s v="ENTERGY LOUISIANA, LLC ELTO"/>
    <s v="Tangipahoa"/>
    <m/>
    <m/>
    <s v="LA"/>
    <s v="DPP-2021"/>
    <s v="South"/>
    <s v="Phase 3"/>
    <s v="NRIS"/>
    <s v="Independence Substation 230kV"/>
    <n v="200"/>
    <n v="200"/>
    <x v="0"/>
    <s v="Photovoltaic"/>
    <s v="Not Started"/>
    <d v="2028-05-01T00:00:00"/>
    <n v="200"/>
    <n v="200"/>
    <n v="180"/>
    <n v="0"/>
  </r>
  <r>
    <s v="J1871"/>
    <x v="1"/>
    <d v="2021-08-16T00:00:00"/>
    <d v="2025-03-07T00:00:00"/>
    <m/>
    <d v="2024-09-15T00:00:00"/>
    <s v="ENTERGY LOUISIANA, LLC"/>
    <s v="Tangipahoa"/>
    <m/>
    <m/>
    <s v="LA"/>
    <s v="DPP-2021"/>
    <s v="South"/>
    <s v="Phase 3"/>
    <s v="NRIS"/>
    <s v="Independence Substation 230kV"/>
    <n v="60"/>
    <n v="60"/>
    <x v="2"/>
    <s v="Battery Storage"/>
    <s v="Not Started"/>
    <m/>
    <n v="60"/>
    <n v="60"/>
    <n v="0"/>
    <n v="0"/>
  </r>
  <r>
    <s v="J1872"/>
    <x v="0"/>
    <d v="2021-08-16T00:00:00"/>
    <m/>
    <m/>
    <d v="2024-09-15T00:00:00"/>
    <s v="ENTERGY ARKANSAS, LLC EATO"/>
    <s v="Union"/>
    <m/>
    <m/>
    <s v="AR"/>
    <s v="DPP-2021"/>
    <s v="South"/>
    <s v="Phase 3"/>
    <s v="NRIS"/>
    <s v="El Dorado 500kV Substation"/>
    <n v="250"/>
    <n v="250"/>
    <x v="0"/>
    <s v="Photovoltaic"/>
    <s v="Not Started"/>
    <d v="2028-11-01T00:00:00"/>
    <n v="250"/>
    <n v="250"/>
    <n v="250"/>
    <n v="0"/>
  </r>
  <r>
    <s v="J1873"/>
    <x v="0"/>
    <d v="2021-08-16T00:00:00"/>
    <m/>
    <m/>
    <d v="2024-09-15T00:00:00"/>
    <s v="ENTERGY ARKANSAS, LLC EATO"/>
    <s v="Union"/>
    <m/>
    <m/>
    <s v="AR"/>
    <s v="DPP-2021"/>
    <s v="South"/>
    <s v="Phase 3"/>
    <s v="NRIS"/>
    <s v="El Dorado 500kV Substation"/>
    <n v="250"/>
    <n v="250"/>
    <x v="0"/>
    <s v="Photovoltaic"/>
    <s v="Not Started"/>
    <d v="2028-11-01T00:00:00"/>
    <n v="250"/>
    <n v="250"/>
    <n v="250"/>
    <n v="0"/>
  </r>
  <r>
    <s v="J1874"/>
    <x v="1"/>
    <d v="2021-08-16T00:00:00"/>
    <d v="2025-03-07T00:00:00"/>
    <m/>
    <d v="2024-09-15T00:00:00"/>
    <s v="ENTERGY ARKANSAS, LLC"/>
    <s v="Union"/>
    <m/>
    <m/>
    <s v="AR"/>
    <s v="DPP-2021"/>
    <s v="South"/>
    <s v="Phase 3"/>
    <s v="NRIS"/>
    <s v="El Dorado 500kV Substation"/>
    <n v="75"/>
    <n v="75"/>
    <x v="2"/>
    <s v="Battery Storage"/>
    <s v="Not Started"/>
    <m/>
    <n v="75"/>
    <n v="75"/>
    <n v="0"/>
    <n v="0"/>
  </r>
  <r>
    <s v="J1875"/>
    <x v="1"/>
    <d v="2021-08-16T00:00:00"/>
    <d v="2025-03-07T00:00:00"/>
    <m/>
    <d v="2024-09-15T00:00:00"/>
    <s v="ENTERGY ARKANSAS, LLC"/>
    <s v="Union"/>
    <m/>
    <m/>
    <s v="AR"/>
    <s v="DPP-2021"/>
    <s v="South"/>
    <s v="Phase 3"/>
    <s v="NRIS"/>
    <s v="El Dorado 500kV Substation"/>
    <n v="75"/>
    <n v="75"/>
    <x v="2"/>
    <s v="Battery Storage"/>
    <s v="Not Started"/>
    <m/>
    <n v="75"/>
    <n v="75"/>
    <n v="0"/>
    <n v="0"/>
  </r>
  <r>
    <s v="J1876"/>
    <x v="1"/>
    <d v="2022-03-28T00:00:00"/>
    <d v="2025-12-18T00:00:00"/>
    <m/>
    <d v="2024-09-15T00:00:00"/>
    <s v="DUKE ENERGY INDIANA, LLC"/>
    <s v="Decatur"/>
    <m/>
    <m/>
    <s v="IN"/>
    <s v="DPP-2021"/>
    <s v="Central"/>
    <s v="Phase 2"/>
    <s v="NRIS"/>
    <s v="Greensburg"/>
    <n v="140"/>
    <n v="140"/>
    <x v="0"/>
    <s v="Photovoltaic"/>
    <s v="Not Started"/>
    <m/>
    <n v="140"/>
    <n v="140"/>
    <n v="0"/>
    <n v="0"/>
  </r>
  <r>
    <s v="J1877"/>
    <x v="1"/>
    <d v="2022-03-28T00:00:00"/>
    <d v="2024-10-08T00:00:00"/>
    <m/>
    <d v="2024-09-15T00:00:00"/>
    <s v="DUKE ENERGY INDIANA, LLC"/>
    <s v="Decatur"/>
    <m/>
    <m/>
    <s v="IN"/>
    <s v="DPP-2021"/>
    <s v="Central"/>
    <s v="Phase 2"/>
    <s v="NRIS"/>
    <s v="Greensburg 138kV"/>
    <n v="45"/>
    <n v="45"/>
    <x v="2"/>
    <s v="Battery Storage"/>
    <s v="Not Started"/>
    <m/>
    <n v="0"/>
    <n v="0"/>
    <n v="0"/>
    <n v="0"/>
  </r>
  <r>
    <s v="J1878"/>
    <x v="1"/>
    <d v="2021-08-16T00:00:00"/>
    <d v="2021-12-08T00:00:00"/>
    <m/>
    <d v="2024-09-15T00:00:00"/>
    <s v="DUKE ENERGY INDIANA, LLC"/>
    <s v="Decatur"/>
    <m/>
    <m/>
    <s v="IN"/>
    <s v="DPP-2021"/>
    <s v="Central"/>
    <s v="Phase 2"/>
    <s v="NRIS"/>
    <s v="HE Westport 138kV"/>
    <n v="145"/>
    <n v="145"/>
    <x v="0"/>
    <s v="Photovoltaic"/>
    <m/>
    <m/>
    <n v="0"/>
    <n v="0"/>
    <n v="0"/>
    <n v="0"/>
  </r>
  <r>
    <s v="J1879"/>
    <x v="1"/>
    <d v="2021-08-16T00:00:00"/>
    <d v="2021-12-08T00:00:00"/>
    <m/>
    <d v="2024-09-15T00:00:00"/>
    <s v="DUKE ENERGY INDIANA, LLC"/>
    <s v="Decatur"/>
    <m/>
    <m/>
    <s v="IN"/>
    <s v="DPP-2021"/>
    <s v="Central"/>
    <s v="Phase 2"/>
    <s v="NRIS"/>
    <s v="HE Westport 138kV"/>
    <n v="43.5"/>
    <n v="43.5"/>
    <x v="2"/>
    <s v="Battery Storage"/>
    <m/>
    <m/>
    <n v="0"/>
    <n v="0"/>
    <n v="0"/>
    <n v="0"/>
  </r>
  <r>
    <s v="J1880"/>
    <x v="2"/>
    <d v="2021-08-16T00:00:00"/>
    <m/>
    <m/>
    <d v="2024-09-15T00:00:00"/>
    <s v="METC"/>
    <s v="Ottawa"/>
    <m/>
    <m/>
    <s v="MI"/>
    <s v="DPP-2021"/>
    <s v="East (ITC)"/>
    <s v="Phase 3"/>
    <s v="NRIS"/>
    <s v="Argenta to Tallmadge 345kV (33 miles from Argenta)"/>
    <n v="60"/>
    <n v="60"/>
    <x v="2"/>
    <s v="Battery Storage"/>
    <s v="Not Started"/>
    <d v="2027-09-15T00:00:00"/>
    <n v="60"/>
    <n v="60"/>
    <n v="60"/>
    <n v="60"/>
  </r>
  <r>
    <s v="J1881"/>
    <x v="1"/>
    <d v="2021-08-16T00:00:00"/>
    <d v="2021-12-08T00:00:00"/>
    <m/>
    <d v="2024-09-15T00:00:00"/>
    <s v="HOOSIER ENERGY"/>
    <s v="Decatur"/>
    <m/>
    <m/>
    <s v="IN"/>
    <s v="DPP-2021"/>
    <s v="Central"/>
    <s v="Phase 2"/>
    <s v="NRIS"/>
    <s v="Decatur Switching Station 161kV"/>
    <n v="48"/>
    <n v="48"/>
    <x v="2"/>
    <s v="Battery Storage"/>
    <m/>
    <m/>
    <n v="0"/>
    <n v="0"/>
    <n v="0"/>
    <n v="0"/>
  </r>
  <r>
    <s v="J1882"/>
    <x v="3"/>
    <d v="2022-03-28T00:00:00"/>
    <m/>
    <m/>
    <d v="2024-09-15T00:00:00"/>
    <s v="AMEREN ILLINOIS"/>
    <s v="Tazewell"/>
    <m/>
    <m/>
    <s v="IL"/>
    <s v="DPP-2021"/>
    <s v="Central"/>
    <s v="Phase 2"/>
    <s v="NRIS"/>
    <s v="San Jose Rail 138kV"/>
    <n v="45"/>
    <n v="45"/>
    <x v="2"/>
    <s v="Battery Storage"/>
    <s v="Not Started"/>
    <m/>
    <n v="45"/>
    <n v="45"/>
    <n v="45"/>
    <n v="45"/>
  </r>
  <r>
    <s v="J1883"/>
    <x v="1"/>
    <d v="2021-07-21T00:00:00"/>
    <d v="2025-03-07T00:00:00"/>
    <m/>
    <d v="2023-06-10T00:00:00"/>
    <s v="ENTERGY LOUISIANA, LLC"/>
    <s v="Ouachita"/>
    <m/>
    <m/>
    <s v="LA"/>
    <s v="DPP-2021"/>
    <s v="South"/>
    <s v="Phase 3"/>
    <s v="NRIS-Only"/>
    <s v="Rilla 115kV"/>
    <n v="100"/>
    <n v="100"/>
    <x v="0"/>
    <s v="Photovoltaic"/>
    <s v="Not Started"/>
    <m/>
    <n v="0"/>
    <n v="100"/>
    <n v="0"/>
    <n v="0"/>
  </r>
  <r>
    <s v="J1884"/>
    <x v="1"/>
    <d v="2021-08-12T00:00:00"/>
    <d v="2024-10-01T00:00:00"/>
    <m/>
    <d v="2024-10-30T00:00:00"/>
    <s v="AMERICAN TRANSMISSION COMPANY"/>
    <s v="Columbia"/>
    <m/>
    <m/>
    <s v="WI"/>
    <s v="DPP-2021"/>
    <s v="East (ATC)"/>
    <s v="Phase 3"/>
    <s v="NRIS"/>
    <s v="Columbia 345 kV"/>
    <n v="200"/>
    <n v="200"/>
    <x v="2"/>
    <s v="Battery Storage"/>
    <s v="Not Started"/>
    <m/>
    <n v="200"/>
    <n v="200"/>
    <n v="0"/>
    <n v="0"/>
  </r>
  <r>
    <s v="J1885"/>
    <x v="1"/>
    <d v="2021-08-17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REID EHV 345 KV SUBSTATION"/>
    <n v="300"/>
    <n v="300"/>
    <x v="0"/>
    <s v="Photovoltaic"/>
    <s v="Not Started"/>
    <m/>
    <n v="0"/>
    <n v="0"/>
    <n v="0"/>
    <n v="0"/>
  </r>
  <r>
    <s v="J1886"/>
    <x v="1"/>
    <d v="2021-08-17T00:00:00"/>
    <d v="2022-11-22T00:00:00"/>
    <m/>
    <d v="2025-04-01T00:00:00"/>
    <s v="BIG RIVERS ELECTRIC CORPORATION"/>
    <s v="Henderson"/>
    <m/>
    <m/>
    <s v="KY"/>
    <s v="DPP-2021"/>
    <s v="Central"/>
    <s v="Phase 2"/>
    <s v="NRIS"/>
    <s v="REID EHV 345 KV SUBSTATION"/>
    <n v="300"/>
    <n v="300"/>
    <x v="0"/>
    <s v="Photovoltaic"/>
    <s v="Not Started"/>
    <m/>
    <n v="0"/>
    <n v="0"/>
    <n v="0"/>
    <n v="0"/>
  </r>
  <r>
    <s v="J1887"/>
    <x v="1"/>
    <d v="2021-08-13T00:00:00"/>
    <d v="2021-12-09T00:00:00"/>
    <m/>
    <d v="2024-11-30T00:00:00"/>
    <s v="ENTERGY LOUISIANA, LLC"/>
    <s v="St. Martin"/>
    <m/>
    <m/>
    <s v="LA"/>
    <s v="DPP-2021"/>
    <s v="South"/>
    <s v="Phase 3"/>
    <s v="NRIS"/>
    <s v="St John 69kV"/>
    <n v="90"/>
    <n v="90"/>
    <x v="0"/>
    <s v="Photovoltaic"/>
    <m/>
    <m/>
    <n v="0"/>
    <n v="0"/>
    <n v="0"/>
    <n v="0"/>
  </r>
  <r>
    <s v="J1888"/>
    <x v="1"/>
    <d v="2022-01-25T00:00:00"/>
    <d v="2025-10-27T00:00:00"/>
    <m/>
    <d v="2024-04-01T00:00:00"/>
    <s v="MINNESOTA POWER INC."/>
    <s v="Oliver"/>
    <m/>
    <m/>
    <s v="ND"/>
    <s v="DPP-2021"/>
    <s v="West"/>
    <s v="Phase 2"/>
    <s v="NRIS"/>
    <s v="Square Butte 230 kV Substation East"/>
    <n v="175"/>
    <n v="175"/>
    <x v="1"/>
    <s v="Wind Turbine"/>
    <s v="Not Started"/>
    <m/>
    <n v="175"/>
    <n v="175"/>
    <n v="0"/>
    <n v="0"/>
  </r>
  <r>
    <s v="J1889"/>
    <x v="2"/>
    <d v="2021-08-04T00:00:00"/>
    <m/>
    <m/>
    <d v="2025-06-30T00:00:00"/>
    <s v="ITC MIDWEST"/>
    <s v="Linn"/>
    <m/>
    <m/>
    <s v="IA"/>
    <s v="DPP-2021"/>
    <s v="West"/>
    <s v="Phase 2"/>
    <s v="NRIS"/>
    <s v="Mount Vernon"/>
    <n v="60"/>
    <n v="60"/>
    <x v="0"/>
    <s v="Photovoltaic"/>
    <s v="Not Started"/>
    <m/>
    <n v="60"/>
    <n v="60"/>
    <n v="60"/>
    <n v="60"/>
  </r>
  <r>
    <s v="J1890"/>
    <x v="0"/>
    <d v="2025-04-17T00:00:00"/>
    <m/>
    <m/>
    <d v="2024-09-30T00:00:00"/>
    <m/>
    <s v="Sabine"/>
    <m/>
    <m/>
    <s v="LA"/>
    <s v="DPP-2021"/>
    <s v="South"/>
    <s v="Phase 3"/>
    <s v="NRIS"/>
    <s v="HARTBURG - AEP LAYFIELD 500.0kV"/>
    <n v="270"/>
    <n v="270"/>
    <x v="0"/>
    <s v="Photovoltaic"/>
    <s v="Not Started"/>
    <d v="2027-09-30T00:00:00"/>
    <n v="270"/>
    <n v="270"/>
    <n v="270"/>
    <n v="270"/>
  </r>
  <r>
    <s v="J1891"/>
    <x v="0"/>
    <d v="2021-08-19T00:00:00"/>
    <m/>
    <m/>
    <d v="2024-10-31T00:00:00"/>
    <s v="ENTERGY MISSISSIPPI, LLC. EMTO"/>
    <s v="Attala"/>
    <m/>
    <m/>
    <s v="MS"/>
    <s v="DPP-2021"/>
    <s v="South"/>
    <s v="Phase 3"/>
    <s v="NRIS"/>
    <s v="230 kV McAdams Substation"/>
    <n v="200"/>
    <n v="200"/>
    <x v="5"/>
    <s v="Solar/Battery"/>
    <s v="Not Started"/>
    <d v="2027-12-31T00:00:00"/>
    <n v="200"/>
    <n v="200"/>
    <n v="200"/>
    <n v="200"/>
  </r>
  <r>
    <s v="J1892"/>
    <x v="1"/>
    <d v="2021-08-24T00:00:00"/>
    <d v="2021-12-09T00:00:00"/>
    <m/>
    <d v="2023-11-01T00:00:00"/>
    <s v="METC"/>
    <s v="Otsego"/>
    <m/>
    <m/>
    <s v="MI"/>
    <s v="DPP-2021"/>
    <s v="East (ITC)"/>
    <s v="Phase 3"/>
    <s v="NRIS"/>
    <s v="Livingston - Keystone 345 kV"/>
    <n v="64.8"/>
    <n v="64.8"/>
    <x v="0"/>
    <s v="Photovoltaic"/>
    <m/>
    <m/>
    <n v="0"/>
    <n v="0"/>
    <n v="0"/>
    <n v="0"/>
  </r>
  <r>
    <s v="J1893"/>
    <x v="1"/>
    <d v="2021-11-01T00:00:00"/>
    <d v="2025-10-27T00:00:00"/>
    <m/>
    <d v="2024-04-01T00:00:00"/>
    <s v="MONTANA-DAKOTA UTILITIES CO."/>
    <s v="Morton"/>
    <m/>
    <m/>
    <s v="ND"/>
    <s v="DPP-2021"/>
    <s v="West"/>
    <s v="Phase 2"/>
    <s v="NRIS"/>
    <s v="Mandan 230 kV"/>
    <n v="500"/>
    <n v="500"/>
    <x v="1"/>
    <s v="Wind Turbine"/>
    <s v="Not Started"/>
    <m/>
    <n v="500"/>
    <n v="500"/>
    <n v="0"/>
    <n v="0"/>
  </r>
  <r>
    <s v="J1894"/>
    <x v="2"/>
    <d v="2021-10-29T00:00:00"/>
    <m/>
    <m/>
    <d v="2024-09-30T00:00:00"/>
    <s v="METC"/>
    <s v="Kalamazoo"/>
    <m/>
    <m/>
    <s v="MI"/>
    <s v="DPP-2021"/>
    <s v="East (ITC)"/>
    <s v="Phase 3"/>
    <s v="NRIS"/>
    <s v="Jaguar 138 kV"/>
    <n v="200"/>
    <n v="200"/>
    <x v="2"/>
    <s v="Battery Storage"/>
    <s v="Not Started"/>
    <d v="2029-02-08T00:00:00"/>
    <n v="200"/>
    <n v="200"/>
    <n v="200"/>
    <n v="200"/>
  </r>
  <r>
    <s v="J1895"/>
    <x v="2"/>
    <d v="2023-10-03T00:00:00"/>
    <m/>
    <m/>
    <d v="2024-09-30T00:00:00"/>
    <s v="AMERICAN TRANSMISSION COMPANY"/>
    <s v="Kenosha"/>
    <m/>
    <m/>
    <s v="WI"/>
    <s v="DPP-2021"/>
    <s v="East (ATC)"/>
    <s v="Phase 3"/>
    <s v="NRIS"/>
    <s v="Balsam"/>
    <n v="200"/>
    <n v="200"/>
    <x v="2"/>
    <s v="Battery Storage"/>
    <s v="Not Started"/>
    <m/>
    <n v="200"/>
    <n v="200"/>
    <n v="200"/>
    <n v="200"/>
  </r>
  <r>
    <s v="J1896"/>
    <x v="1"/>
    <d v="2021-08-17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Henderson to AB Brown 138 kV"/>
    <n v="100"/>
    <n v="100"/>
    <x v="1"/>
    <s v="Wind Turbine"/>
    <m/>
    <m/>
    <n v="0"/>
    <n v="0"/>
    <n v="0"/>
    <n v="0"/>
  </r>
  <r>
    <s v="J1897"/>
    <x v="0"/>
    <d v="2021-12-14T00:00:00"/>
    <m/>
    <m/>
    <d v="2024-08-15T00:00:00"/>
    <s v="ENTERGY ARKANSAS, LLC EATO"/>
    <s v="Mississippi"/>
    <m/>
    <m/>
    <s v="AR"/>
    <s v="DPP-2021"/>
    <s v="South"/>
    <s v="Phase 3"/>
    <s v="NRIS"/>
    <s v="DELL EHV - SAN SOUCI 500.0kV"/>
    <n v="500"/>
    <n v="500"/>
    <x v="5"/>
    <s v="Solar/Battery"/>
    <s v="Not Started"/>
    <d v="2027-10-22T00:00:00"/>
    <n v="500"/>
    <n v="500"/>
    <n v="500"/>
    <n v="425"/>
  </r>
  <r>
    <s v="J1898"/>
    <x v="2"/>
    <d v="2021-08-13T00:00:00"/>
    <m/>
    <m/>
    <d v="2024-09-30T00:00:00"/>
    <s v="SOUTHERN MINNESOTA MUNICIPAL POWER AGENCY"/>
    <s v="Olmsted"/>
    <m/>
    <m/>
    <s v="MN"/>
    <s v="DPP-2021"/>
    <s v="West"/>
    <s v="Phase 2"/>
    <s v="NRIS"/>
    <s v="Byron 161 kV"/>
    <n v="200"/>
    <n v="200"/>
    <x v="2"/>
    <s v="Battery Storage"/>
    <s v="Under Construction"/>
    <d v="2027-10-31T00:00:00"/>
    <n v="200"/>
    <n v="200"/>
    <n v="200"/>
    <n v="200"/>
  </r>
  <r>
    <s v="J1899"/>
    <x v="0"/>
    <d v="2021-12-22T00:00:00"/>
    <m/>
    <m/>
    <d v="2024-08-15T00:00:00"/>
    <s v="ENTERGY ARKANSAS, LLC EATO"/>
    <s v="Mississippi"/>
    <m/>
    <m/>
    <s v="AR"/>
    <s v="DPP-2021"/>
    <s v="South"/>
    <s v="Phase 3"/>
    <s v="NRIS"/>
    <s v="DELL EHV - SAN SOUCI 500.0kV"/>
    <n v="500"/>
    <n v="500"/>
    <x v="5"/>
    <s v="Solar/Battery"/>
    <s v="Not Started"/>
    <d v="2027-10-22T00:00:00"/>
    <n v="500"/>
    <n v="500"/>
    <n v="500"/>
    <n v="425"/>
  </r>
  <r>
    <s v="J1900"/>
    <x v="2"/>
    <d v="2021-08-13T00:00:00"/>
    <m/>
    <m/>
    <d v="2024-09-30T00:00:00"/>
    <s v="ITC"/>
    <s v="Wayne"/>
    <m/>
    <m/>
    <s v="MI"/>
    <s v="DPP-2021"/>
    <s v="East (ITC)"/>
    <s v="Phase 3"/>
    <s v="NRIS"/>
    <s v="Brownstown 12  120kV"/>
    <n v="200"/>
    <n v="200"/>
    <x v="2"/>
    <s v="Battery Storage"/>
    <s v="Not Started"/>
    <d v="2028-10-15T00:00:00"/>
    <n v="200"/>
    <n v="200"/>
    <n v="200"/>
    <n v="200"/>
  </r>
  <r>
    <s v="J1901"/>
    <x v="1"/>
    <d v="2022-03-25T00:00:00"/>
    <d v="2025-12-18T00:00:00"/>
    <m/>
    <d v="2024-09-30T00:00:00"/>
    <s v="BIG RIVERS ELECTRIC CORPORATION"/>
    <s v="Webster"/>
    <m/>
    <m/>
    <s v="KY"/>
    <s v="DPP-2021"/>
    <s v="Central"/>
    <s v="Phase 2"/>
    <s v="NRIS"/>
    <s v="South Henderson"/>
    <n v="200"/>
    <n v="200"/>
    <x v="2"/>
    <s v="Battery Storage"/>
    <s v="Not Started"/>
    <m/>
    <n v="200"/>
    <n v="200"/>
    <n v="0"/>
    <n v="0"/>
  </r>
  <r>
    <s v="J1902"/>
    <x v="2"/>
    <d v="2021-08-13T00:00:00"/>
    <m/>
    <m/>
    <d v="2024-09-30T00:00:00"/>
    <s v="ITC"/>
    <s v="Wayne"/>
    <m/>
    <m/>
    <s v="MI"/>
    <s v="DPP-2021"/>
    <s v="East (ITC)"/>
    <s v="Phase 3"/>
    <s v="NRIS"/>
    <s v="IRONTON"/>
    <n v="200"/>
    <n v="200"/>
    <x v="2"/>
    <s v="Battery Storage"/>
    <s v="Not Started"/>
    <d v="2027-06-01T00:00:00"/>
    <n v="200"/>
    <n v="200"/>
    <n v="200"/>
    <n v="200"/>
  </r>
  <r>
    <s v="J1903"/>
    <x v="1"/>
    <d v="2021-08-03T00:00:00"/>
    <d v="2025-10-27T00:00:00"/>
    <m/>
    <d v="2024-10-31T00:00:00"/>
    <s v="ITC MIDWEST"/>
    <s v="Osceola"/>
    <m/>
    <m/>
    <s v="IA"/>
    <s v="DPP-2021"/>
    <s v="West"/>
    <s v="Phase 2"/>
    <s v="NRIS-Only"/>
    <s v="Osceola (43.431167, -95.416667)"/>
    <n v="140"/>
    <n v="140"/>
    <x v="1"/>
    <s v="Wind Turbine"/>
    <s v="Not Started"/>
    <m/>
    <n v="0"/>
    <n v="140"/>
    <n v="0"/>
    <n v="0"/>
  </r>
  <r>
    <s v="J1904"/>
    <x v="0"/>
    <d v="2021-08-17T00:00:00"/>
    <m/>
    <m/>
    <d v="2025-11-08T00:00:00"/>
    <s v="ENTERGY LOUISIANA, LLC ELTO"/>
    <s v="Acadia"/>
    <m/>
    <m/>
    <s v="LA"/>
    <s v="DPP-2021"/>
    <s v="South"/>
    <s v="Phase 3"/>
    <s v="NRIS"/>
    <s v="Richard 138 kV"/>
    <n v="100"/>
    <n v="100"/>
    <x v="0"/>
    <s v="Photovoltaic"/>
    <s v="Not Started"/>
    <d v="2028-11-08T00:00:00"/>
    <n v="100"/>
    <n v="0"/>
    <n v="100"/>
    <n v="0"/>
  </r>
  <r>
    <s v="J1905"/>
    <x v="1"/>
    <d v="2021-08-23T00:00:00"/>
    <d v="2023-09-06T00:00:00"/>
    <m/>
    <d v="2023-11-01T00:00:00"/>
    <s v="ITC"/>
    <s v="Sanilac"/>
    <m/>
    <m/>
    <s v="MI"/>
    <s v="DPP-2021"/>
    <s v="East (ITC)"/>
    <s v="Phase 3"/>
    <s v="NRIS"/>
    <s v="Banner-Rapson 345kV Transmission Line"/>
    <n v="200"/>
    <n v="200"/>
    <x v="0"/>
    <s v="Photovoltaic"/>
    <s v="Not Started"/>
    <m/>
    <n v="0"/>
    <n v="0"/>
    <n v="0"/>
    <n v="0"/>
  </r>
  <r>
    <s v="J1906"/>
    <x v="1"/>
    <d v="2021-08-12T00:00:00"/>
    <d v="2025-03-07T00:00:00"/>
    <m/>
    <d v="2022-12-02T00:00:00"/>
    <s v="ENTERGY LOUISIANA, LLC"/>
    <s v="Washington"/>
    <m/>
    <m/>
    <s v="LA"/>
    <s v="DPP-2021"/>
    <s v="South"/>
    <s v="Phase 3"/>
    <s v="NRIS"/>
    <s v="BOGALUSA"/>
    <n v="100"/>
    <n v="100"/>
    <x v="2"/>
    <s v="Battery Storage"/>
    <s v="Not Started"/>
    <m/>
    <n v="100"/>
    <n v="100"/>
    <n v="0"/>
    <n v="0"/>
  </r>
  <r>
    <s v="J1907"/>
    <x v="1"/>
    <d v="2021-08-12T00:00:00"/>
    <d v="2025-03-07T00:00:00"/>
    <m/>
    <d v="2022-12-02T00:00:00"/>
    <s v="ENTERGY TEXAS, INC."/>
    <s v="Newton"/>
    <m/>
    <m/>
    <s v="TX"/>
    <s v="DPP-2021"/>
    <s v="South"/>
    <s v="Phase 3"/>
    <s v="NRIS"/>
    <s v="Other"/>
    <n v="100"/>
    <n v="100"/>
    <x v="2"/>
    <s v="Battery Storage"/>
    <s v="Not Started"/>
    <m/>
    <n v="100"/>
    <n v="100"/>
    <n v="0"/>
    <n v="0"/>
  </r>
  <r>
    <s v="J1908"/>
    <x v="1"/>
    <d v="2021-08-12T00:00:00"/>
    <d v="2025-03-07T00:00:00"/>
    <m/>
    <d v="2022-12-02T00:00:00"/>
    <s v="CLECO POWER LLC"/>
    <s v="Evangeline"/>
    <m/>
    <m/>
    <s v="LA"/>
    <s v="DPP-2021"/>
    <s v="South"/>
    <s v="Phase 3"/>
    <s v="NRIS"/>
    <s v="Cocodrie"/>
    <n v="100"/>
    <n v="100"/>
    <x v="2"/>
    <s v="Battery Storage"/>
    <s v="Not Started"/>
    <m/>
    <n v="100"/>
    <n v="100"/>
    <n v="0"/>
    <n v="0"/>
  </r>
  <r>
    <s v="J1909"/>
    <x v="1"/>
    <d v="2021-08-24T00:00:00"/>
    <d v="2023-09-06T00:00:00"/>
    <m/>
    <d v="2023-11-01T00:00:00"/>
    <s v="METC"/>
    <s v="Bay"/>
    <m/>
    <m/>
    <s v="MI"/>
    <s v="DPP-2021"/>
    <s v="East (ITC)"/>
    <s v="Phase 3"/>
    <s v="NRIS"/>
    <s v="Gallagher-Tittabawassee 345kV Transmission Line"/>
    <n v="200"/>
    <n v="200"/>
    <x v="0"/>
    <s v="Photovoltaic"/>
    <s v="Not Started"/>
    <m/>
    <n v="0"/>
    <n v="0"/>
    <n v="0"/>
    <n v="0"/>
  </r>
  <r>
    <s v="J1910"/>
    <x v="1"/>
    <d v="2021-08-24T00:00:00"/>
    <d v="2023-09-06T00:00:00"/>
    <m/>
    <d v="2023-11-01T00:00:00"/>
    <s v="METC"/>
    <s v="Bay"/>
    <m/>
    <m/>
    <s v="MI"/>
    <s v="DPP-2021"/>
    <s v="East (ITC)"/>
    <s v="Phase 3"/>
    <s v="NRIS"/>
    <s v="Gallagher-Tittabawassee 345kV Transmission Line"/>
    <n v="200"/>
    <n v="200"/>
    <x v="0"/>
    <s v="Photovoltaic"/>
    <s v="Not Started"/>
    <m/>
    <n v="0"/>
    <n v="0"/>
    <n v="0"/>
    <n v="0"/>
  </r>
  <r>
    <s v="J1911"/>
    <x v="1"/>
    <d v="2021-08-22T00:00:00"/>
    <d v="2023-09-06T00:00:00"/>
    <m/>
    <d v="2023-11-01T00:00:00"/>
    <s v="ITC"/>
    <s v="Livingston"/>
    <m/>
    <m/>
    <s v="MI"/>
    <s v="DPP-2021"/>
    <s v="East (ITC)"/>
    <s v="Phase 3"/>
    <s v="NRIS"/>
    <s v="Madrid - Blackfoot 345kV"/>
    <n v="200"/>
    <n v="200"/>
    <x v="0"/>
    <s v="Photovoltaic"/>
    <s v="Not Started"/>
    <m/>
    <n v="0"/>
    <n v="0"/>
    <n v="0"/>
    <n v="0"/>
  </r>
  <r>
    <s v="J1912"/>
    <x v="1"/>
    <d v="2021-08-22T00:00:00"/>
    <d v="2023-09-06T00:00:00"/>
    <m/>
    <d v="2023-11-01T00:00:00"/>
    <s v="ITC"/>
    <s v="Sanilac"/>
    <m/>
    <m/>
    <s v="MI"/>
    <s v="DPP-2021"/>
    <s v="East (ITC)"/>
    <s v="Phase 3"/>
    <s v="NRIS"/>
    <s v="Greenwood-Rapson 345kV Transmission Line"/>
    <n v="200"/>
    <n v="200"/>
    <x v="0"/>
    <s v="Photovoltaic"/>
    <s v="Not Started"/>
    <m/>
    <n v="0"/>
    <n v="0"/>
    <n v="0"/>
    <n v="0"/>
  </r>
  <r>
    <s v="J1913"/>
    <x v="1"/>
    <d v="2021-08-19T00:00:00"/>
    <d v="2023-09-06T00:00:00"/>
    <m/>
    <d v="2023-11-01T00:00:00"/>
    <s v="METC"/>
    <s v="Midland"/>
    <m/>
    <m/>
    <s v="MI"/>
    <s v="DPP-2021"/>
    <s v="East (ITC)"/>
    <s v="Phase 3"/>
    <s v="NRIS"/>
    <s v="Murphy-Tittabawassee 345kV Transmission Line"/>
    <n v="200"/>
    <n v="200"/>
    <x v="0"/>
    <s v="Photovoltaic"/>
    <s v="Not Started"/>
    <m/>
    <n v="0"/>
    <n v="0"/>
    <n v="0"/>
    <n v="0"/>
  </r>
  <r>
    <s v="J1914"/>
    <x v="2"/>
    <d v="2023-10-05T00:00:00"/>
    <m/>
    <m/>
    <d v="2023-11-01T00:00:00"/>
    <s v="METC"/>
    <s v="Presque Isle"/>
    <m/>
    <m/>
    <s v="MI"/>
    <s v="DPP-2021"/>
    <s v="East (ITC)"/>
    <s v="Phase 3"/>
    <s v="NRIS"/>
    <s v="PORT CALCITE - ROCKPORT 138.0kV"/>
    <n v="150"/>
    <n v="150"/>
    <x v="0"/>
    <s v="Photovoltaic"/>
    <s v="Not Started"/>
    <d v="2026-06-01T00:00:00"/>
    <n v="150"/>
    <n v="150"/>
    <n v="150"/>
    <n v="150"/>
  </r>
  <r>
    <s v="J1915"/>
    <x v="1"/>
    <d v="2021-08-22T00:00:00"/>
    <d v="2023-09-06T00:00:00"/>
    <m/>
    <d v="2023-11-01T00:00:00"/>
    <s v="METC"/>
    <s v="Bay"/>
    <m/>
    <m/>
    <s v="MI"/>
    <s v="DPP-2021"/>
    <s v="East (ITC)"/>
    <s v="Phase 3"/>
    <s v="NRIS"/>
    <s v="Almeda Junction-Shale 138kV Transmission Line"/>
    <n v="150"/>
    <n v="150"/>
    <x v="0"/>
    <s v="Photovoltaic"/>
    <s v="Not Started"/>
    <m/>
    <n v="0"/>
    <n v="0"/>
    <n v="0"/>
    <n v="0"/>
  </r>
  <r>
    <s v="J1916"/>
    <x v="2"/>
    <d v="2023-10-19T00:00:00"/>
    <m/>
    <m/>
    <d v="2023-11-01T00:00:00"/>
    <s v="Michigan Electric Transmission Company LLC"/>
    <s v="Branch"/>
    <m/>
    <m/>
    <s v="MI"/>
    <s v="DPP-2021"/>
    <s v="East (ITC)"/>
    <s v="Phase 3"/>
    <s v="NRIS"/>
    <s v="NEWTON"/>
    <n v="100"/>
    <n v="100"/>
    <x v="0"/>
    <s v="Photovoltaic"/>
    <s v="Not Started"/>
    <d v="2026-03-06T00:00:00"/>
    <n v="100"/>
    <n v="100"/>
    <n v="100"/>
    <n v="100"/>
  </r>
  <r>
    <s v="J1917"/>
    <x v="2"/>
    <d v="2021-08-19T00:00:00"/>
    <m/>
    <m/>
    <d v="2023-11-01T00:00:00"/>
    <s v="ITC"/>
    <s v="Livingston"/>
    <m/>
    <m/>
    <s v="MI"/>
    <s v="DPP-2021"/>
    <s v="East (ITC)"/>
    <s v="Phase 3"/>
    <s v="NRIS"/>
    <s v="MADRID - MAJESTIC 345.0kV"/>
    <n v="165"/>
    <n v="165"/>
    <x v="0"/>
    <s v="Photovoltaic"/>
    <s v="Not Started"/>
    <d v="2028-01-14T00:00:00"/>
    <n v="165"/>
    <n v="165"/>
    <n v="148.5"/>
    <n v="148.5"/>
  </r>
  <r>
    <s v="J1918"/>
    <x v="0"/>
    <d v="2021-08-24T00:00:00"/>
    <m/>
    <m/>
    <d v="2023-11-01T00:00:00"/>
    <s v="METC"/>
    <s v="Montcalm"/>
    <m/>
    <m/>
    <s v="MI"/>
    <s v="DPP-2021"/>
    <s v="East (ITC)"/>
    <s v="Phase 3"/>
    <s v="NRIS"/>
    <s v="KENOWA - NELSON ROAD 345.0kV"/>
    <n v="132"/>
    <n v="132"/>
    <x v="0"/>
    <s v="Photovoltaic"/>
    <s v="In Service"/>
    <d v="2026-01-09T00:00:00"/>
    <n v="132"/>
    <n v="132"/>
    <n v="132"/>
    <n v="132"/>
  </r>
  <r>
    <s v="J1919"/>
    <x v="1"/>
    <d v="2021-08-24T00:00:00"/>
    <d v="2021-12-09T00:00:00"/>
    <m/>
    <d v="2023-11-01T00:00:00"/>
    <s v="METC"/>
    <s v="Ingham"/>
    <m/>
    <m/>
    <s v="MI"/>
    <s v="DPP-2021"/>
    <s v="East (ITC)"/>
    <s v="Phase 3"/>
    <s v="NRIS"/>
    <s v="Oneida-Majestic 345 kV"/>
    <n v="132"/>
    <n v="132"/>
    <x v="0"/>
    <s v="Photovoltaic"/>
    <m/>
    <m/>
    <n v="0"/>
    <n v="0"/>
    <n v="0"/>
    <n v="0"/>
  </r>
  <r>
    <s v="J1920"/>
    <x v="1"/>
    <d v="2021-08-22T00:00:00"/>
    <d v="2023-09-06T00:00:00"/>
    <m/>
    <d v="2023-11-01T00:00:00"/>
    <s v="ITC"/>
    <s v="Leelanau"/>
    <m/>
    <m/>
    <s v="MI"/>
    <s v="DPP-2021"/>
    <s v="East (ITC)"/>
    <s v="Phase 3"/>
    <s v="NRIS"/>
    <s v="Tuscola-Arrowhead 120kV Transmission Line"/>
    <n v="125"/>
    <n v="125"/>
    <x v="0"/>
    <s v="Photovoltaic"/>
    <s v="Not Started"/>
    <m/>
    <n v="0"/>
    <n v="0"/>
    <n v="0"/>
    <n v="0"/>
  </r>
  <r>
    <s v="J1921"/>
    <x v="1"/>
    <d v="2021-08-22T00:00:00"/>
    <d v="2023-09-06T00:00:00"/>
    <m/>
    <d v="2023-11-01T00:00:00"/>
    <s v="METC"/>
    <s v="Montcalm"/>
    <m/>
    <m/>
    <s v="MI"/>
    <s v="DPP-2021"/>
    <s v="East (ITC)"/>
    <s v="Phase 3"/>
    <s v="NRIS"/>
    <s v="Deja- Derby Jct 138kV Transmission line"/>
    <n v="125"/>
    <n v="125"/>
    <x v="0"/>
    <s v="Photovoltaic"/>
    <s v="Not Started"/>
    <m/>
    <n v="0"/>
    <n v="0"/>
    <n v="0"/>
    <n v="0"/>
  </r>
  <r>
    <s v="J1922"/>
    <x v="1"/>
    <d v="2021-08-19T00:00:00"/>
    <d v="2023-09-06T00:00:00"/>
    <m/>
    <d v="2023-11-01T00:00:00"/>
    <s v="METC"/>
    <s v="Bay"/>
    <m/>
    <m/>
    <s v="MI"/>
    <s v="DPP-2021"/>
    <s v="East (ITC)"/>
    <s v="Phase 3"/>
    <s v="NRIS"/>
    <s v="Cottage Grove-Karn 138 kV"/>
    <n v="150"/>
    <n v="150"/>
    <x v="0"/>
    <s v="Photovoltaic"/>
    <s v="Not Started"/>
    <m/>
    <n v="0"/>
    <n v="0"/>
    <n v="0"/>
    <n v="0"/>
  </r>
  <r>
    <s v="J1923"/>
    <x v="1"/>
    <d v="2021-08-19T00:00:00"/>
    <d v="2021-12-22T00:00:00"/>
    <m/>
    <d v="2023-11-01T00:00:00"/>
    <s v="ITC"/>
    <s v="Huron"/>
    <m/>
    <m/>
    <s v="MI"/>
    <s v="DPP-2021"/>
    <s v="East (ITC)"/>
    <s v="Phase 3"/>
    <s v="NRIS"/>
    <s v="Rapson 120 kV substation"/>
    <n v="200"/>
    <n v="200"/>
    <x v="0"/>
    <s v="Photovoltaic"/>
    <s v="Not Started"/>
    <m/>
    <n v="0"/>
    <n v="0"/>
    <n v="0"/>
    <n v="0"/>
  </r>
  <r>
    <s v="J1924"/>
    <x v="1"/>
    <d v="2021-08-22T00:00:00"/>
    <d v="2023-09-06T00:00:00"/>
    <m/>
    <d v="2023-11-01T00:00:00"/>
    <s v="METC"/>
    <s v="Bay"/>
    <m/>
    <m/>
    <s v="MI"/>
    <s v="DPP-2021"/>
    <s v="East (ITC)"/>
    <s v="Phase 3"/>
    <s v="NRIS"/>
    <s v="Cottage Grove-Seven Mile 138 kV"/>
    <n v="150"/>
    <n v="150"/>
    <x v="0"/>
    <s v="Photovoltaic"/>
    <s v="Not Started"/>
    <m/>
    <n v="0"/>
    <n v="0"/>
    <n v="0"/>
    <n v="0"/>
  </r>
  <r>
    <s v="J1925"/>
    <x v="1"/>
    <d v="2021-08-17T00:00:00"/>
    <d v="2023-09-06T00:00:00"/>
    <m/>
    <d v="2023-11-01T00:00:00"/>
    <s v="METC"/>
    <s v="Livingston"/>
    <m/>
    <m/>
    <s v="MI"/>
    <s v="DPP-2021"/>
    <s v="East (ITC)"/>
    <s v="Phase 3"/>
    <s v="NRIS"/>
    <s v="Tihart-Latson 138 kV"/>
    <n v="100"/>
    <n v="100"/>
    <x v="0"/>
    <s v="Photovoltaic"/>
    <s v="Not Started"/>
    <m/>
    <n v="0"/>
    <n v="0"/>
    <n v="0"/>
    <n v="0"/>
  </r>
  <r>
    <s v="J1926"/>
    <x v="2"/>
    <d v="2022-03-23T00:00:00"/>
    <m/>
    <m/>
    <d v="2025-10-01T00:00:00"/>
    <s v="AMEREN ILLINOIS"/>
    <s v="Tazewell"/>
    <m/>
    <m/>
    <s v="IL"/>
    <s v="DPP-2021"/>
    <s v="Central"/>
    <s v="Phase 2"/>
    <s v="NRIS"/>
    <s v="Mackinaw"/>
    <n v="200"/>
    <n v="200"/>
    <x v="1"/>
    <s v="Wind Turbine"/>
    <s v="Not Started"/>
    <m/>
    <n v="200"/>
    <n v="200"/>
    <n v="200"/>
    <n v="60"/>
  </r>
  <r>
    <s v="J1927"/>
    <x v="2"/>
    <d v="2021-12-03T00:00:00"/>
    <m/>
    <m/>
    <d v="2027-08-01T00:00:00"/>
    <s v="MUSCATINE POWER AND WATER"/>
    <s v="Muscatine"/>
    <m/>
    <m/>
    <s v="IA"/>
    <s v="DPP-2021"/>
    <s v="West"/>
    <s v="Phase 2"/>
    <s v="NRIS"/>
    <s v="Grandview Substation 69 kV"/>
    <n v="23.4"/>
    <n v="23.4"/>
    <x v="0"/>
    <s v="Photovoltaic"/>
    <s v="Not Started"/>
    <m/>
    <n v="24"/>
    <n v="24"/>
    <n v="24"/>
    <n v="24"/>
  </r>
  <r>
    <s v="J1928"/>
    <x v="1"/>
    <d v="2021-08-24T00:00:00"/>
    <d v="2021-12-09T00:00:00"/>
    <m/>
    <d v="2025-10-01T00:00:00"/>
    <s v="AMERICAN TRANSMISSION COMPANY"/>
    <s v="Grant"/>
    <m/>
    <m/>
    <s v="WI"/>
    <s v="DPP-2021"/>
    <s v="East (ATC)"/>
    <s v="Phase 3"/>
    <s v="NRIS"/>
    <s v="Hill Valley 345kV"/>
    <n v="100"/>
    <n v="100"/>
    <x v="2"/>
    <s v="Battery Storage"/>
    <m/>
    <m/>
    <n v="0"/>
    <n v="0"/>
    <n v="0"/>
    <n v="0"/>
  </r>
  <r>
    <s v="J1929"/>
    <x v="2"/>
    <d v="2021-08-24T00:00:00"/>
    <m/>
    <m/>
    <d v="2025-10-01T00:00:00"/>
    <s v="METC"/>
    <s v="Cheboygan"/>
    <m/>
    <m/>
    <s v="MI"/>
    <s v="DPP-2021"/>
    <s v="East (ITC)"/>
    <s v="Phase 3"/>
    <s v="NRIS"/>
    <s v="Other_"/>
    <n v="110"/>
    <n v="110"/>
    <x v="0"/>
    <s v="Photovoltaic"/>
    <s v="Not Started"/>
    <d v="2028-09-25T00:00:00"/>
    <n v="110"/>
    <n v="110"/>
    <n v="110"/>
    <n v="110"/>
  </r>
  <r>
    <s v="J1930"/>
    <x v="1"/>
    <d v="2021-08-24T00:00:00"/>
    <d v="2023-06-05T00:00:00"/>
    <m/>
    <d v="2024-10-01T00:00:00"/>
    <s v="AMERICAN TRANSMISSION COMPANY"/>
    <s v="Columbia"/>
    <m/>
    <m/>
    <s v="WI"/>
    <s v="DPP-2021"/>
    <s v="East (ATC)"/>
    <s v="Phase 3"/>
    <s v="NRIS"/>
    <s v="N Madison - Columbia"/>
    <n v="100"/>
    <n v="100"/>
    <x v="2"/>
    <s v="Battery Storage"/>
    <s v="Not Started"/>
    <m/>
    <n v="0"/>
    <n v="0"/>
    <n v="0"/>
    <n v="0"/>
  </r>
  <r>
    <s v="J1931"/>
    <x v="2"/>
    <d v="2021-11-30T00:00:00"/>
    <m/>
    <m/>
    <d v="2025-10-01T00:00:00"/>
    <s v="AMERICAN TRANSMISSION COMPANY"/>
    <s v="Iowa"/>
    <m/>
    <m/>
    <s v="WI"/>
    <s v="DPP-2021"/>
    <s v="East (ATC)"/>
    <s v="Phase 3"/>
    <s v="NRIS"/>
    <s v="Hill Valley 345kV"/>
    <n v="40"/>
    <n v="40"/>
    <x v="1"/>
    <s v="Wind Turbine"/>
    <s v="Not Started"/>
    <d v="2027-07-01T00:00:00"/>
    <n v="40"/>
    <n v="12"/>
    <n v="40"/>
    <n v="12"/>
  </r>
  <r>
    <s v="J1932"/>
    <x v="4"/>
    <d v="2021-08-24T00:00:00"/>
    <m/>
    <m/>
    <d v="2024-10-01T00:00:00"/>
    <m/>
    <s v="Gladwin"/>
    <m/>
    <m/>
    <s v="MI"/>
    <s v="DPP-2021"/>
    <s v="East (ITC)"/>
    <s v="Phase 3"/>
    <s v="NRIS"/>
    <s v="Other_"/>
    <n v="100"/>
    <n v="100"/>
    <x v="0"/>
    <s v="Photovoltaic"/>
    <s v="Not Started"/>
    <m/>
    <n v="100"/>
    <n v="100"/>
    <n v="100"/>
    <n v="100"/>
  </r>
  <r>
    <s v="J1933"/>
    <x v="1"/>
    <d v="2021-08-24T00:00:00"/>
    <d v="2023-10-25T00:00:00"/>
    <m/>
    <d v="2025-10-01T00:00:00"/>
    <s v="ENTERGY LOUISIANA, LLC"/>
    <s v="Morehouse"/>
    <m/>
    <m/>
    <s v="LA"/>
    <s v="DPP-2021"/>
    <s v="South"/>
    <s v="Phase 3"/>
    <s v="NRIS"/>
    <s v="Bastrop Tap 115kV"/>
    <n v="100"/>
    <n v="100"/>
    <x v="0"/>
    <s v="Photovoltaic"/>
    <s v="Not Started"/>
    <m/>
    <n v="0"/>
    <n v="0"/>
    <n v="0"/>
    <n v="0"/>
  </r>
  <r>
    <s v="J1934"/>
    <x v="2"/>
    <d v="2021-08-24T00:00:00"/>
    <m/>
    <m/>
    <d v="2025-10-01T00:00:00"/>
    <s v="AMERICAN TRANSMISSION COMPANY"/>
    <s v="Kenosha"/>
    <m/>
    <m/>
    <s v="WI"/>
    <s v="DPP-2021"/>
    <s v="East (ATC)"/>
    <s v="Phase 3"/>
    <s v="NRIS"/>
    <s v="Lakeview 138kV"/>
    <n v="150"/>
    <n v="150"/>
    <x v="2"/>
    <s v="Battery Storage"/>
    <s v="Not Started"/>
    <d v="2028-10-01T00:00:00"/>
    <n v="150"/>
    <n v="150"/>
    <n v="150"/>
    <n v="150"/>
  </r>
  <r>
    <s v="J1935"/>
    <x v="2"/>
    <d v="2021-11-29T00:00:00"/>
    <m/>
    <m/>
    <d v="2025-10-01T00:00:00"/>
    <s v="AMERICAN TRANSMISSION COMPANY"/>
    <s v="Dane"/>
    <m/>
    <m/>
    <s v="WI"/>
    <s v="DPP-2021"/>
    <s v="East (ATC)"/>
    <s v="Phase 3"/>
    <s v="NRIS"/>
    <s v="N. Madison 69kV"/>
    <n v="50"/>
    <n v="50"/>
    <x v="0"/>
    <s v="Photovoltaic"/>
    <s v="Not Started"/>
    <m/>
    <n v="50"/>
    <n v="50"/>
    <n v="50"/>
    <n v="50"/>
  </r>
  <r>
    <s v="J1936"/>
    <x v="1"/>
    <d v="2021-11-29T00:00:00"/>
    <d v="2023-06-05T00:00:00"/>
    <m/>
    <d v="2026-10-01T00:00:00"/>
    <s v="AMERICAN TRANSMISSION COMPANY"/>
    <s v="Portage"/>
    <m/>
    <m/>
    <s v="WI"/>
    <s v="DPP-2021"/>
    <s v="East (ATC)"/>
    <s v="Phase 3"/>
    <s v="NRIS"/>
    <s v="Werner West - Rocky Run 345kV"/>
    <n v="75"/>
    <n v="75"/>
    <x v="2"/>
    <s v="Battery Storage"/>
    <s v="Not Started"/>
    <m/>
    <n v="0"/>
    <n v="0"/>
    <n v="0"/>
    <n v="0"/>
  </r>
  <r>
    <s v="J1937"/>
    <x v="1"/>
    <d v="2021-11-29T00:00:00"/>
    <d v="2023-06-05T00:00:00"/>
    <m/>
    <d v="2026-10-01T00:00:00"/>
    <s v="AMERICAN TRANSMISSION COMPANY"/>
    <s v="Portage"/>
    <m/>
    <m/>
    <s v="WI"/>
    <s v="DPP-2021"/>
    <s v="East (ATC)"/>
    <s v="Phase 3"/>
    <s v="NRIS"/>
    <s v="Werner West - Rocky Run 345kV"/>
    <n v="75"/>
    <n v="75"/>
    <x v="2"/>
    <s v="Battery Storage"/>
    <s v="Not Started"/>
    <m/>
    <n v="0"/>
    <n v="0"/>
    <n v="0"/>
    <n v="0"/>
  </r>
  <r>
    <s v="J1938"/>
    <x v="1"/>
    <d v="2021-11-29T00:00:00"/>
    <d v="2024-10-01T00:00:00"/>
    <m/>
    <d v="2026-10-01T00:00:00"/>
    <s v="AMERICAN TRANSMISSION COMPANY"/>
    <s v="Portage"/>
    <m/>
    <m/>
    <s v="WI"/>
    <s v="DPP-2021"/>
    <s v="East (ATC)"/>
    <s v="Phase 3"/>
    <s v="NRIS"/>
    <s v="Werner West - Rocky Run 345kV"/>
    <n v="150"/>
    <n v="150"/>
    <x v="0"/>
    <s v="Photovoltaic"/>
    <s v="Not Started"/>
    <m/>
    <n v="150"/>
    <n v="150"/>
    <n v="0"/>
    <n v="0"/>
  </r>
  <r>
    <s v="J1939"/>
    <x v="2"/>
    <d v="2023-10-18T00:00:00"/>
    <m/>
    <m/>
    <d v="2023-11-01T00:00:00"/>
    <s v="METC"/>
    <s v="Saginaw"/>
    <m/>
    <m/>
    <s v="MI"/>
    <s v="DPP-2021"/>
    <s v="East (ITC)"/>
    <s v="Phase 3"/>
    <s v="NRIS"/>
    <s v="CORNELL - LAYTON 138.0kV"/>
    <n v="125"/>
    <n v="125"/>
    <x v="0"/>
    <s v="Photovoltaic"/>
    <s v="Not Started"/>
    <d v="2027-12-11T00:00:00"/>
    <n v="125"/>
    <n v="125"/>
    <n v="125"/>
    <n v="125"/>
  </r>
  <r>
    <s v="J1940"/>
    <x v="1"/>
    <d v="2021-08-23T00:00:00"/>
    <d v="2023-09-06T00:00:00"/>
    <m/>
    <d v="2023-11-01T00:00:00"/>
    <s v="ITC"/>
    <s v="Monroe"/>
    <m/>
    <m/>
    <s v="MI"/>
    <s v="DPP-2021"/>
    <s v="East (ITC)"/>
    <s v="Phase 3"/>
    <s v="NRIS"/>
    <s v="Monroe-Lallendorf 345kV Transmission Line"/>
    <n v="200"/>
    <n v="200"/>
    <x v="0"/>
    <s v="Photovoltaic"/>
    <s v="Not Started"/>
    <m/>
    <n v="0"/>
    <n v="0"/>
    <n v="0"/>
    <n v="0"/>
  </r>
  <r>
    <s v="J1941"/>
    <x v="1"/>
    <d v="2021-08-25T00:00:00"/>
    <d v="2021-10-22T00:00:00"/>
    <m/>
    <d v="2026-10-01T00:00:00"/>
    <s v="OTTER TAIL POWER COMPANY"/>
    <s v="Polk"/>
    <m/>
    <m/>
    <s v="MN"/>
    <s v="DPP-2021"/>
    <s v="West"/>
    <s v="Phase 2"/>
    <s v="NRIS"/>
    <s v="Crookston"/>
    <n v="60"/>
    <n v="60"/>
    <x v="0"/>
    <s v="Photovoltaic"/>
    <m/>
    <m/>
    <n v="0"/>
    <n v="0"/>
    <n v="0"/>
    <n v="0"/>
  </r>
  <r>
    <s v="J1942"/>
    <x v="1"/>
    <d v="2021-08-23T00:00:00"/>
    <d v="2023-09-06T00:00:00"/>
    <m/>
    <d v="2023-11-01T00:00:00"/>
    <s v="ITC"/>
    <s v="Monroe"/>
    <m/>
    <m/>
    <s v="MI"/>
    <s v="DPP-2021"/>
    <s v="East (ITC)"/>
    <s v="Phase 3"/>
    <s v="NRIS"/>
    <s v="Seville TP-Niles TP 120 kV"/>
    <n v="100"/>
    <n v="100"/>
    <x v="0"/>
    <s v="Photovoltaic"/>
    <s v="Not Started"/>
    <m/>
    <n v="0"/>
    <n v="0"/>
    <n v="0"/>
    <n v="0"/>
  </r>
  <r>
    <s v="J1943"/>
    <x v="2"/>
    <d v="2021-08-23T00:00:00"/>
    <m/>
    <m/>
    <d v="2024-10-01T00:00:00"/>
    <s v="AMERICAN TRANSMISSION COMPANY"/>
    <s v="Columbia"/>
    <m/>
    <m/>
    <s v="WI"/>
    <s v="DPP-2021"/>
    <s v="East (ATC)"/>
    <s v="Phase 3"/>
    <s v="NRIS"/>
    <s v="Columbia - North Madison 345/138 kV 345.0kV"/>
    <n v="200"/>
    <n v="200"/>
    <x v="0"/>
    <s v="Photovoltaic"/>
    <s v="Not Started"/>
    <m/>
    <n v="200"/>
    <n v="200"/>
    <n v="200"/>
    <n v="200"/>
  </r>
  <r>
    <s v="J1944"/>
    <x v="2"/>
    <d v="2021-08-23T00:00:00"/>
    <m/>
    <m/>
    <d v="2023-11-01T00:00:00"/>
    <s v="ITC"/>
    <s v="Sanilac"/>
    <m/>
    <m/>
    <s v="MI"/>
    <s v="DPP-2021"/>
    <s v="East (ITC)"/>
    <s v="Phase 3"/>
    <s v="NRIS"/>
    <s v="GREENWOOD - RAPSON (BANNER) 345.0kV"/>
    <n v="185"/>
    <n v="185"/>
    <x v="0"/>
    <s v="Photovoltaic"/>
    <s v="Not Started"/>
    <d v="2027-11-08T00:00:00"/>
    <n v="185"/>
    <n v="185"/>
    <n v="185"/>
    <n v="185"/>
  </r>
  <r>
    <s v="J1945"/>
    <x v="1"/>
    <d v="2021-11-29T00:00:00"/>
    <d v="2024-10-01T00:00:00"/>
    <m/>
    <d v="2026-10-01T00:00:00"/>
    <s v="AMERICAN TRANSMISSION COMPANY"/>
    <s v="Portage"/>
    <m/>
    <m/>
    <s v="WI"/>
    <s v="DPP-2021"/>
    <s v="East (ATC)"/>
    <s v="Phase 3"/>
    <s v="NRIS"/>
    <s v="Werner West - Rocky Run 345kV"/>
    <n v="150"/>
    <n v="150"/>
    <x v="0"/>
    <s v="Photovoltaic"/>
    <s v="Not Started"/>
    <m/>
    <n v="150"/>
    <n v="150"/>
    <n v="0"/>
    <n v="0"/>
  </r>
  <r>
    <s v="J1946"/>
    <x v="0"/>
    <d v="2021-08-19T00:00:00"/>
    <m/>
    <m/>
    <d v="2024-10-30T00:00:00"/>
    <s v="COOPERATIVE ENERGY SME"/>
    <s v="Jasper"/>
    <m/>
    <m/>
    <s v="MS"/>
    <s v="DPP-2021"/>
    <s v="South"/>
    <s v="Phase 3"/>
    <s v="NRIS"/>
    <s v="230 kV Missionary Substation"/>
    <n v="350"/>
    <n v="350"/>
    <x v="5"/>
    <s v="Solar/Battery"/>
    <s v="Not Started"/>
    <m/>
    <n v="350"/>
    <n v="350"/>
    <n v="350"/>
    <n v="350"/>
  </r>
  <r>
    <s v="J1947"/>
    <x v="1"/>
    <d v="2022-03-23T00:00:00"/>
    <d v="2025-12-18T00:00:00"/>
    <m/>
    <d v="2025-10-01T00:00:00"/>
    <s v="DUKE ENERGY INDIANA, LLC"/>
    <s v="Fountain"/>
    <m/>
    <m/>
    <s v="IN"/>
    <s v="DPP-2021"/>
    <s v="Central"/>
    <s v="Phase 2"/>
    <s v="NRIS"/>
    <s v="Other_"/>
    <n v="110"/>
    <n v="110"/>
    <x v="0"/>
    <s v="Photovoltaic"/>
    <s v="Not Started"/>
    <m/>
    <n v="110"/>
    <n v="110"/>
    <n v="0"/>
    <n v="0"/>
  </r>
  <r>
    <s v="J1948"/>
    <x v="2"/>
    <d v="2022-03-23T00:00:00"/>
    <m/>
    <m/>
    <d v="2024-09-01T00:00:00"/>
    <s v="AMEREN MISSOURI"/>
    <s v="Marion"/>
    <m/>
    <m/>
    <s v="MO"/>
    <s v="DPP-2021"/>
    <s v="Central"/>
    <s v="Phase 2"/>
    <s v="NRIS"/>
    <s v="HANNIBAL WEST"/>
    <n v="195"/>
    <n v="195"/>
    <x v="0"/>
    <s v="Photovoltaic"/>
    <s v="Not Started"/>
    <m/>
    <n v="195"/>
    <n v="195"/>
    <n v="195"/>
    <n v="195"/>
  </r>
  <r>
    <s v="J1949"/>
    <x v="1"/>
    <d v="2021-08-22T00:00:00"/>
    <d v="2023-09-06T00:00:00"/>
    <m/>
    <d v="2023-11-01T00:00:00"/>
    <s v="METC"/>
    <s v="Antrim"/>
    <m/>
    <m/>
    <s v="MI"/>
    <s v="DPP-2021"/>
    <s v="East (ITC)"/>
    <s v="Phase 3"/>
    <s v="NRIS"/>
    <s v="Mancelona - Westwood 69kV"/>
    <n v="99.6"/>
    <n v="99.6"/>
    <x v="0"/>
    <s v="Photovoltaic"/>
    <s v="Not Started"/>
    <m/>
    <n v="0"/>
    <n v="0"/>
    <n v="0"/>
    <n v="0"/>
  </r>
  <r>
    <s v="J1950"/>
    <x v="1"/>
    <d v="2021-08-24T00:00:00"/>
    <d v="2021-12-08T00:00:00"/>
    <m/>
    <d v="2025-10-01T00:00:00"/>
    <s v="SOUTHERN INDIANA GAS &amp; ELECTRIC COMPANY D/B/A CENTERPOINT ENERGY INDIANA SOUTH"/>
    <s v="Gibson"/>
    <m/>
    <m/>
    <s v="IN"/>
    <s v="DPP-2021"/>
    <s v="Central"/>
    <s v="Phase 2"/>
    <s v="NRIS"/>
    <s v="Francisco - Toyota 138kV"/>
    <n v="83.16"/>
    <n v="83.16"/>
    <x v="0"/>
    <s v="Photovoltaic"/>
    <m/>
    <m/>
    <n v="0"/>
    <n v="0"/>
    <n v="0"/>
    <n v="0"/>
  </r>
  <r>
    <s v="J1951"/>
    <x v="1"/>
    <d v="2021-08-24T00:00:00"/>
    <d v="2023-09-06T00:00:00"/>
    <m/>
    <d v="2024-10-01T00:00:00"/>
    <s v="ITC"/>
    <s v="Monroe"/>
    <m/>
    <m/>
    <s v="MI"/>
    <s v="DPP-2021"/>
    <s v="East (ITC)"/>
    <s v="Phase 3"/>
    <s v="NRIS"/>
    <s v="Lemoyne-Majestic 345kV"/>
    <n v="50"/>
    <n v="50"/>
    <x v="2"/>
    <s v="Battery Storage"/>
    <s v="Not Started"/>
    <m/>
    <n v="0"/>
    <n v="0"/>
    <n v="0"/>
    <n v="0"/>
  </r>
  <r>
    <s v="J1952"/>
    <x v="1"/>
    <d v="2021-08-25T00:00:00"/>
    <d v="2025-10-27T00:00:00"/>
    <m/>
    <d v="2024-10-01T00:00:00"/>
    <s v="MIDAMERICAN ENERGY CO."/>
    <s v="Cerro Gordo"/>
    <m/>
    <m/>
    <s v="IA"/>
    <s v="DPP-2021"/>
    <s v="West"/>
    <s v="Phase 2"/>
    <s v="NRIS"/>
    <s v="Emery-Floyd 161kV"/>
    <n v="180"/>
    <n v="180"/>
    <x v="1"/>
    <s v="Wind Turbine"/>
    <s v="Not Started"/>
    <m/>
    <n v="180"/>
    <n v="54"/>
    <n v="0"/>
    <n v="0"/>
  </r>
  <r>
    <s v="J1953"/>
    <x v="1"/>
    <d v="2022-07-20T00:00:00"/>
    <d v="2023-10-25T00:00:00"/>
    <m/>
    <d v="2025-10-01T00:00:00"/>
    <s v="ENTERGY LOUISIANA, LLC"/>
    <s v="Concordia"/>
    <m/>
    <m/>
    <s v="LA"/>
    <s v="DPP-2021"/>
    <s v="South"/>
    <s v="Phase 3"/>
    <s v="NRIS"/>
    <s v="Red Gum 115kV"/>
    <n v="264.60000000000002"/>
    <n v="264.60000000000002"/>
    <x v="0"/>
    <s v="Photovoltaic"/>
    <s v="Not Started"/>
    <m/>
    <n v="0"/>
    <n v="0"/>
    <n v="0"/>
    <n v="0"/>
  </r>
  <r>
    <s v="J1954"/>
    <x v="1"/>
    <d v="2021-08-24T00:00:00"/>
    <d v="2023-06-05T00:00:00"/>
    <m/>
    <d v="2025-10-01T00:00:00"/>
    <s v="AMERICAN TRANSMISSION COMPANY"/>
    <s v="Walworth"/>
    <m/>
    <m/>
    <s v="WI"/>
    <s v="DPP-2021"/>
    <s v="East (ATC)"/>
    <s v="Phase 3"/>
    <s v="NRIS"/>
    <s v="SW Delavan 138kV"/>
    <n v="35"/>
    <n v="35"/>
    <x v="2"/>
    <s v="Battery Storage"/>
    <s v="Not Started"/>
    <m/>
    <n v="0"/>
    <n v="0"/>
    <n v="0"/>
    <n v="0"/>
  </r>
  <r>
    <s v="J1955"/>
    <x v="1"/>
    <d v="2021-08-24T00:00:00"/>
    <d v="2023-06-05T00:00:00"/>
    <m/>
    <d v="2025-10-01T00:00:00"/>
    <s v="AMERICAN TRANSMISSION COMPANY"/>
    <s v="Walworth"/>
    <m/>
    <m/>
    <s v="WI"/>
    <s v="DPP-2021"/>
    <s v="East (ATC)"/>
    <s v="Phase 3"/>
    <s v="NRIS"/>
    <s v="SW Delavan 138kV"/>
    <n v="100"/>
    <n v="100"/>
    <x v="0"/>
    <s v="Photovoltaic"/>
    <s v="Not Started"/>
    <m/>
    <n v="0"/>
    <n v="0"/>
    <n v="0"/>
    <n v="0"/>
  </r>
  <r>
    <s v="J1956"/>
    <x v="1"/>
    <d v="2021-11-30T00:00:00"/>
    <d v="2023-10-25T00:00:00"/>
    <m/>
    <d v="2025-10-01T00:00:00"/>
    <s v="ENTERGY LOUISIANA, LLC"/>
    <s v="St. John the Baptist"/>
    <m/>
    <m/>
    <s v="LA"/>
    <s v="DPP-2021"/>
    <s v="South"/>
    <s v="Phase 3"/>
    <s v="NRIS"/>
    <s v="Waterford 230kV"/>
    <n v="60"/>
    <n v="60"/>
    <x v="2"/>
    <s v="Battery Storage"/>
    <s v="Not Started"/>
    <m/>
    <n v="0"/>
    <n v="0"/>
    <n v="0"/>
    <n v="0"/>
  </r>
  <r>
    <s v="J1957"/>
    <x v="1"/>
    <d v="2021-11-29T00:00:00"/>
    <d v="2023-10-25T00:00:00"/>
    <m/>
    <d v="2025-10-01T00:00:00"/>
    <s v="ENTERGY MISSISSIPPI, LLC."/>
    <s v="Coahoma"/>
    <m/>
    <m/>
    <s v="MS"/>
    <s v="DPP-2021"/>
    <s v="South"/>
    <s v="Phase 3"/>
    <s v="NRIS"/>
    <s v="Clarksdale-Roundaway 115kV (co-located with J2284)"/>
    <n v="90"/>
    <n v="90"/>
    <x v="0"/>
    <s v="Photovoltaic"/>
    <s v="Not Started"/>
    <m/>
    <n v="0"/>
    <n v="0"/>
    <n v="0"/>
    <n v="0"/>
  </r>
  <r>
    <s v="J1958"/>
    <x v="1"/>
    <d v="2021-11-30T00:00:00"/>
    <d v="2023-10-25T00:00:00"/>
    <m/>
    <d v="2025-10-01T00:00:00"/>
    <s v="ENTERGY LOUISIANA, LLC"/>
    <s v="St. John the Baptist"/>
    <m/>
    <m/>
    <s v="LA"/>
    <s v="DPP-2021"/>
    <s v="South"/>
    <s v="Phase 3"/>
    <s v="NRIS"/>
    <s v="Waterford 230kV"/>
    <n v="60"/>
    <n v="60"/>
    <x v="2"/>
    <s v="Battery Storage"/>
    <s v="Not Started"/>
    <m/>
    <n v="0"/>
    <n v="0"/>
    <n v="0"/>
    <n v="0"/>
  </r>
  <r>
    <s v="J1959"/>
    <x v="1"/>
    <d v="2021-11-30T00:00:00"/>
    <d v="2023-10-25T00:00:00"/>
    <m/>
    <d v="2025-10-01T00:00:00"/>
    <s v="ENTERGY LOUISIANA, LLC"/>
    <s v="St. John the Baptist"/>
    <m/>
    <m/>
    <s v="LA"/>
    <s v="DPP-2021"/>
    <s v="South"/>
    <s v="Phase 3"/>
    <s v="NRIS"/>
    <s v="Waterford-Vacherie 230kV"/>
    <n v="100"/>
    <n v="100"/>
    <x v="0"/>
    <s v="Photovoltaic"/>
    <s v="Not Started"/>
    <m/>
    <n v="0"/>
    <n v="0"/>
    <n v="0"/>
    <n v="0"/>
  </r>
  <r>
    <s v="J1960"/>
    <x v="1"/>
    <d v="2022-03-23T00:00:00"/>
    <d v="2024-10-08T00:00:00"/>
    <m/>
    <d v="2025-10-01T00:00:00"/>
    <s v="NORTHERN INDIANA PUBLIC SERVICE COMPANY LLC"/>
    <s v="Porter"/>
    <m/>
    <m/>
    <s v="IN"/>
    <s v="DPP-2021"/>
    <s v="Central"/>
    <s v="Phase 2"/>
    <s v="NRIS"/>
    <s v="Starke - Flint Lake 138kV"/>
    <n v="100"/>
    <n v="100"/>
    <x v="0"/>
    <s v="Photovoltaic"/>
    <s v="Not Started"/>
    <m/>
    <n v="0"/>
    <n v="0"/>
    <n v="0"/>
    <n v="0"/>
  </r>
  <r>
    <s v="J1961"/>
    <x v="1"/>
    <d v="2021-08-25T00:00:00"/>
    <d v="2025-10-27T00:00:00"/>
    <m/>
    <d v="2026-10-01T00:00:00"/>
    <s v="OTTER TAIL POWER COMPANY"/>
    <s v="Cass"/>
    <m/>
    <m/>
    <s v="ND"/>
    <s v="DPP-2021"/>
    <s v="West"/>
    <s v="Phase 2"/>
    <s v="NRIS"/>
    <s v="Buffalo 115kV"/>
    <n v="190"/>
    <n v="190"/>
    <x v="1"/>
    <s v="Wind Turbine"/>
    <s v="Not Started"/>
    <m/>
    <n v="190"/>
    <n v="57"/>
    <n v="0"/>
    <n v="0"/>
  </r>
  <r>
    <s v="J1962"/>
    <x v="1"/>
    <d v="2021-08-23T00:00:00"/>
    <d v="2023-10-25T00:00:00"/>
    <m/>
    <d v="2025-10-01T00:00:00"/>
    <s v="ENTERGY TEXAS, INC."/>
    <s v="Polk"/>
    <m/>
    <m/>
    <s v="TX"/>
    <s v="DPP-2021"/>
    <s v="South"/>
    <s v="Phase 3"/>
    <s v="NRIS"/>
    <s v="Livingston - Rich 138kV"/>
    <n v="75"/>
    <n v="75"/>
    <x v="0"/>
    <s v="Photovoltaic"/>
    <s v="Not Started"/>
    <m/>
    <n v="0"/>
    <n v="0"/>
    <n v="0"/>
    <n v="0"/>
  </r>
  <r>
    <s v="J1963"/>
    <x v="1"/>
    <d v="2021-11-29T00:00:00"/>
    <d v="2023-10-25T00:00:00"/>
    <m/>
    <d v="2025-10-01T00:00:00"/>
    <s v="ENTERGY TEXAS, INC."/>
    <s v="Polk"/>
    <m/>
    <m/>
    <s v="TX"/>
    <s v="DPP-2021"/>
    <s v="South"/>
    <s v="Phase 3"/>
    <s v="NRIS"/>
    <s v="Livingston - Rich 138kV"/>
    <n v="25"/>
    <n v="25"/>
    <x v="2"/>
    <s v="Battery Storage"/>
    <s v="Not Started"/>
    <m/>
    <n v="0"/>
    <n v="0"/>
    <n v="0"/>
    <n v="0"/>
  </r>
  <r>
    <s v="J1964"/>
    <x v="1"/>
    <d v="2021-08-23T00:00:00"/>
    <d v="2024-10-01T00:00:00"/>
    <m/>
    <d v="2024-10-01T00:00:00"/>
    <s v="AMERICAN TRANSMISSION COMPANY"/>
    <s v="Columbia"/>
    <m/>
    <m/>
    <s v="WI"/>
    <s v="DPP-2021"/>
    <s v="East (ATC)"/>
    <s v="Phase 3"/>
    <s v="NRIS"/>
    <s v="N Madison - Columbia"/>
    <n v="90"/>
    <n v="90"/>
    <x v="2"/>
    <s v="Battery Storage"/>
    <s v="Not Started"/>
    <m/>
    <n v="90"/>
    <n v="90"/>
    <n v="0"/>
    <n v="0"/>
  </r>
  <r>
    <s v="J1965"/>
    <x v="1"/>
    <d v="2022-03-23T00:00:00"/>
    <d v="2025-12-18T00:00:00"/>
    <m/>
    <d v="2025-10-01T00:00:00"/>
    <s v="AMEREN MISSOURI"/>
    <s v="Callaway"/>
    <m/>
    <m/>
    <s v="MO"/>
    <s v="DPP-2021"/>
    <s v="Central"/>
    <s v="Phase 2"/>
    <s v="NRIS"/>
    <s v="7MCCREDIE - 7MONTGMRY 345.0kV"/>
    <n v="150"/>
    <n v="150"/>
    <x v="0"/>
    <s v="Photovoltaic"/>
    <s v="Not Started"/>
    <m/>
    <n v="150"/>
    <n v="150"/>
    <n v="0"/>
    <n v="0"/>
  </r>
  <r>
    <s v="J1966"/>
    <x v="1"/>
    <d v="2022-03-23T00:00:00"/>
    <d v="2025-12-18T00:00:00"/>
    <m/>
    <d v="2025-10-01T00:00:00"/>
    <s v="WABASH VALLEY POWER ASSOCIATION, INC."/>
    <s v="Clinton"/>
    <m/>
    <m/>
    <s v="IN"/>
    <s v="DPP-2021"/>
    <s v="Central"/>
    <s v="Phase 2"/>
    <s v="NRIS"/>
    <s v="Cayuga  -  Frankfort  230.0kV"/>
    <n v="200"/>
    <n v="200"/>
    <x v="1"/>
    <s v="Wind Turbine"/>
    <s v="Not Started"/>
    <m/>
    <n v="200"/>
    <n v="200"/>
    <n v="0"/>
    <n v="0"/>
  </r>
  <r>
    <s v="J1967"/>
    <x v="2"/>
    <d v="2022-03-24T00:00:00"/>
    <m/>
    <m/>
    <d v="2025-10-01T00:00:00"/>
    <s v="AMEREN ILLINOIS"/>
    <s v="Champaign"/>
    <m/>
    <m/>
    <s v="IL"/>
    <s v="DPP-2021"/>
    <s v="Central"/>
    <s v="Phase 2"/>
    <s v="NRIS"/>
    <s v="Rantoul East 138kV"/>
    <n v="150"/>
    <n v="150"/>
    <x v="1"/>
    <s v="Wind Turbine"/>
    <s v="Not Started"/>
    <m/>
    <n v="150"/>
    <n v="150"/>
    <n v="150"/>
    <n v="45"/>
  </r>
  <r>
    <s v="J1968"/>
    <x v="1"/>
    <d v="2021-08-18T00:00:00"/>
    <d v="2021-10-22T00:00:00"/>
    <m/>
    <d v="2026-10-01T00:00:00"/>
    <s v="OTTER TAIL POWER COMPANY"/>
    <s v="Polk"/>
    <m/>
    <m/>
    <s v="MN"/>
    <s v="DPP-2021"/>
    <s v="West"/>
    <s v="Phase 2"/>
    <s v="NRIS"/>
    <s v="Crookston"/>
    <n v="30"/>
    <n v="30"/>
    <x v="2"/>
    <s v="Battery Storage"/>
    <m/>
    <m/>
    <n v="0"/>
    <n v="0"/>
    <n v="0"/>
    <n v="0"/>
  </r>
  <r>
    <s v="J1969"/>
    <x v="1"/>
    <d v="2021-08-23T00:00:00"/>
    <d v="2023-09-06T00:00:00"/>
    <m/>
    <d v="2024-10-01T00:00:00"/>
    <s v="ITC"/>
    <s v="Monroe"/>
    <m/>
    <m/>
    <s v="MI"/>
    <s v="DPP-2021"/>
    <s v="East (ITC)"/>
    <s v="Phase 3"/>
    <s v="NRIS"/>
    <s v="Lemoyne-Majestic 345kV"/>
    <n v="150"/>
    <n v="150"/>
    <x v="0"/>
    <s v="Photovoltaic"/>
    <s v="Not Started"/>
    <m/>
    <n v="0"/>
    <n v="0"/>
    <n v="0"/>
    <n v="0"/>
  </r>
  <r>
    <s v="J1970"/>
    <x v="1"/>
    <d v="2022-03-23T00:00:00"/>
    <d v="2025-12-18T00:00:00"/>
    <m/>
    <d v="2025-10-01T00:00:00"/>
    <s v="AMEREN ILLINOIS"/>
    <s v="Champaign"/>
    <m/>
    <m/>
    <s v="IL"/>
    <s v="DPP-2021"/>
    <s v="Central"/>
    <s v="Phase 2"/>
    <s v="NRIS"/>
    <s v="4SIDNEY 1 - 4MIRA TAP 138.0kV"/>
    <n v="160"/>
    <n v="160"/>
    <x v="0"/>
    <s v="Photovoltaic"/>
    <s v="Not Started"/>
    <m/>
    <n v="160"/>
    <n v="160"/>
    <n v="0"/>
    <n v="0"/>
  </r>
  <r>
    <s v="J1971"/>
    <x v="1"/>
    <d v="2021-11-30T00:00:00"/>
    <d v="2023-06-05T00:00:00"/>
    <m/>
    <d v="2025-10-01T00:00:00"/>
    <s v="AMERICAN TRANSMISSION COMPANY"/>
    <s v="Dane"/>
    <m/>
    <m/>
    <s v="WI"/>
    <s v="DPP-2021"/>
    <s v="East (ATC)"/>
    <s v="Phase 3"/>
    <s v="NRIS"/>
    <s v="Cardinal"/>
    <n v="45"/>
    <n v="45"/>
    <x v="2"/>
    <s v="Battery Storage"/>
    <s v="Not Started"/>
    <m/>
    <n v="0"/>
    <n v="0"/>
    <n v="0"/>
    <n v="0"/>
  </r>
  <r>
    <s v="J1972"/>
    <x v="1"/>
    <d v="2021-08-17T00:00:00"/>
    <d v="2023-10-10T00:00:00"/>
    <m/>
    <d v="2025-10-01T00:00:00"/>
    <s v="MIDAMERICAN ENERGY CO."/>
    <s v="Des Moines"/>
    <m/>
    <m/>
    <s v="IA"/>
    <s v="DPP-2021"/>
    <s v="West"/>
    <s v="Phase 2"/>
    <s v="NRIS"/>
    <s v="Denmark - Newport"/>
    <n v="115"/>
    <n v="115"/>
    <x v="0"/>
    <s v="Photovoltaic"/>
    <s v="Not Started"/>
    <m/>
    <n v="115"/>
    <n v="115"/>
    <n v="0"/>
    <n v="0"/>
  </r>
  <r>
    <s v="J1973"/>
    <x v="1"/>
    <d v="2022-03-23T00:00:00"/>
    <d v="2025-12-18T00:00:00"/>
    <m/>
    <d v="2025-10-01T00:00:00"/>
    <s v="AMEREN ILLINOIS"/>
    <s v="Champaign"/>
    <m/>
    <m/>
    <s v="IL"/>
    <s v="DPP-2021"/>
    <s v="Central"/>
    <s v="Phase 2"/>
    <s v="NRIS"/>
    <s v="4SIDNEY 1 - 4MIRA TAP 138.0kV"/>
    <n v="40"/>
    <n v="40"/>
    <x v="2"/>
    <s v="Battery Storage"/>
    <s v="Not Started"/>
    <m/>
    <n v="40"/>
    <n v="40"/>
    <n v="0"/>
    <n v="0"/>
  </r>
  <r>
    <s v="J1974"/>
    <x v="1"/>
    <d v="2022-03-23T00:00:00"/>
    <d v="2025-12-18T00:00:00"/>
    <m/>
    <d v="2025-10-01T00:00:00"/>
    <s v="AMEREN ILLINOIS"/>
    <s v="Coles"/>
    <m/>
    <m/>
    <s v="IL"/>
    <s v="DPP-2021"/>
    <s v="Central"/>
    <s v="Phase 2"/>
    <s v="NRIS"/>
    <s v="Mattoon West"/>
    <n v="160"/>
    <n v="160"/>
    <x v="0"/>
    <s v="Photovoltaic"/>
    <s v="Not Started"/>
    <m/>
    <n v="160"/>
    <n v="160"/>
    <n v="0"/>
    <n v="0"/>
  </r>
  <r>
    <s v="J1975"/>
    <x v="1"/>
    <d v="2022-03-23T00:00:00"/>
    <d v="2025-12-18T00:00:00"/>
    <m/>
    <d v="2025-10-01T00:00:00"/>
    <s v="AMEREN ILLINOIS"/>
    <s v="Coles"/>
    <m/>
    <m/>
    <s v="IL"/>
    <s v="DPP-2021"/>
    <s v="Central"/>
    <s v="Phase 2"/>
    <s v="NRIS"/>
    <s v="Mattoon West"/>
    <n v="40"/>
    <n v="40"/>
    <x v="2"/>
    <s v="Battery Storage"/>
    <s v="Not Started"/>
    <m/>
    <n v="40"/>
    <n v="40"/>
    <n v="0"/>
    <n v="0"/>
  </r>
  <r>
    <s v="J1976"/>
    <x v="1"/>
    <d v="2022-03-23T00:00:00"/>
    <d v="2024-10-08T00:00:00"/>
    <m/>
    <d v="2025-10-01T00:00:00"/>
    <s v="NORTHERN INDIANA PUBLIC SERVICE COMPANY LLC"/>
    <s v="Porter"/>
    <m/>
    <m/>
    <s v="IN"/>
    <s v="DPP-2021"/>
    <s v="Central"/>
    <s v="Phase 2"/>
    <s v="NRIS"/>
    <s v="Starke - Flint Lake 138kV"/>
    <n v="25"/>
    <n v="25"/>
    <x v="2"/>
    <s v="Battery Storage"/>
    <s v="Not Started"/>
    <m/>
    <n v="0"/>
    <n v="0"/>
    <n v="0"/>
    <n v="0"/>
  </r>
  <r>
    <s v="J1977"/>
    <x v="1"/>
    <d v="2021-08-17T00:00:00"/>
    <d v="2021-12-09T00:00:00"/>
    <m/>
    <d v="2024-10-01T00:00:00"/>
    <s v="METC"/>
    <s v="Washtenaw"/>
    <m/>
    <m/>
    <s v="MI"/>
    <s v="DPP-2021"/>
    <s v="East (ITC)"/>
    <s v="Phase 3"/>
    <s v="NRIS"/>
    <s v="Trenton 120kV"/>
    <n v="50"/>
    <n v="50"/>
    <x v="2"/>
    <s v="Battery Storage"/>
    <m/>
    <m/>
    <n v="0"/>
    <n v="0"/>
    <n v="0"/>
    <n v="0"/>
  </r>
  <r>
    <s v="J1978"/>
    <x v="1"/>
    <d v="2021-08-23T00:00:00"/>
    <d v="2025-10-27T00:00:00"/>
    <m/>
    <d v="2025-10-01T00:00:00"/>
    <s v="MIDAMERICAN ENERGY CO."/>
    <s v="Pocahontas"/>
    <m/>
    <m/>
    <s v="IA"/>
    <s v="DPP-2021"/>
    <s v="West"/>
    <s v="Phase 2"/>
    <s v="NRIS"/>
    <s v="Lemars Tap-Little Sioux 161kV"/>
    <n v="175"/>
    <n v="175"/>
    <x v="1"/>
    <s v="Wind Turbine"/>
    <s v="Not Started"/>
    <m/>
    <n v="170"/>
    <n v="52.5"/>
    <n v="0"/>
    <n v="0"/>
  </r>
  <r>
    <s v="J1979"/>
    <x v="1"/>
    <d v="2021-08-13T00:00:00"/>
    <d v="2025-10-27T00:00:00"/>
    <m/>
    <d v="2025-10-01T00:00:00"/>
    <s v="ITC MIDWEST"/>
    <s v="Howard"/>
    <m/>
    <m/>
    <s v="IA"/>
    <s v="DPP-2021"/>
    <s v="West"/>
    <s v="Phase 2"/>
    <s v="NRIS"/>
    <s v="Hazleton-Mitchell County 345kV line"/>
    <n v="200"/>
    <n v="200"/>
    <x v="1"/>
    <s v="Wind Turbine"/>
    <s v="Not Started"/>
    <m/>
    <n v="200"/>
    <n v="60"/>
    <n v="0"/>
    <n v="0"/>
  </r>
  <r>
    <s v="J1980"/>
    <x v="1"/>
    <d v="2021-08-23T00:00:00"/>
    <d v="2025-10-27T00:00:00"/>
    <m/>
    <d v="2024-10-01T00:00:00"/>
    <s v="METC"/>
    <s v="Kent"/>
    <m/>
    <m/>
    <s v="MI"/>
    <s v="DPP-2021"/>
    <s v="East (ITC)"/>
    <s v="Phase 3"/>
    <s v="NRIS"/>
    <s v="Vergennes 138kV"/>
    <n v="50"/>
    <n v="50"/>
    <x v="2"/>
    <s v="Battery Storage"/>
    <s v="Not Started"/>
    <m/>
    <n v="50"/>
    <n v="50"/>
    <n v="0"/>
    <n v="0"/>
  </r>
  <r>
    <s v="J1981"/>
    <x v="1"/>
    <d v="2021-08-25T00:00:00"/>
    <d v="2021-12-08T00:00:00"/>
    <m/>
    <d v="2025-10-01T00:00:00"/>
    <s v="SOUTHERN INDIANA GAS &amp; ELECTRIC COMPANY D/B/A CENTERPOINT ENERGY INDIANA SOUTH"/>
    <s v="Gibson"/>
    <m/>
    <m/>
    <s v="IN"/>
    <s v="DPP-2021"/>
    <s v="Central"/>
    <s v="Phase 2"/>
    <s v="NRIS"/>
    <s v="Francisco - Toyota 138kV"/>
    <n v="15"/>
    <n v="15"/>
    <x v="2"/>
    <s v="Battery Storage"/>
    <m/>
    <m/>
    <n v="0"/>
    <n v="0"/>
    <n v="0"/>
    <n v="0"/>
  </r>
  <r>
    <s v="J1982"/>
    <x v="4"/>
    <d v="2021-11-30T00:00:00"/>
    <m/>
    <m/>
    <d v="2024-10-01T00:00:00"/>
    <m/>
    <s v="Gladwin"/>
    <m/>
    <m/>
    <s v="MI"/>
    <s v="DPP-2021"/>
    <s v="East (ITC)"/>
    <s v="Phase 3"/>
    <s v="NRIS"/>
    <s v="Other_"/>
    <n v="25"/>
    <n v="25"/>
    <x v="2"/>
    <s v="Battery Storage"/>
    <s v="Not Started"/>
    <m/>
    <n v="25"/>
    <n v="25"/>
    <n v="25"/>
    <n v="25"/>
  </r>
  <r>
    <s v="J1983"/>
    <x v="1"/>
    <d v="2021-11-29T00:00:00"/>
    <d v="2024-10-01T00:00:00"/>
    <m/>
    <d v="2025-10-01T00:00:00"/>
    <s v="AMERICAN TRANSMISSION COMPANY"/>
    <s v="Dane"/>
    <m/>
    <m/>
    <s v="WI"/>
    <s v="DPP-2021"/>
    <s v="East (ATC)"/>
    <s v="Phase 3"/>
    <s v="NRIS"/>
    <s v="N. Madison 69kV"/>
    <n v="25"/>
    <n v="25"/>
    <x v="2"/>
    <s v="Battery Storage"/>
    <s v="Not Started"/>
    <m/>
    <n v="25"/>
    <n v="25"/>
    <n v="0"/>
    <n v="0"/>
  </r>
  <r>
    <s v="J1984"/>
    <x v="1"/>
    <d v="2021-08-23T00:00:00"/>
    <d v="2026-01-27T00:00:00"/>
    <m/>
    <d v="2024-10-01T00:00:00"/>
    <s v="METC"/>
    <s v="Ottawa"/>
    <m/>
    <m/>
    <s v="MI"/>
    <s v="DPP-2021"/>
    <s v="East (ITC)"/>
    <s v="Phase 3"/>
    <s v="NRIS"/>
    <s v="Tallmadge 138kV"/>
    <n v="50"/>
    <n v="50"/>
    <x v="2"/>
    <s v="Battery Storage"/>
    <s v="Not Started"/>
    <m/>
    <n v="50"/>
    <n v="50"/>
    <n v="50"/>
    <n v="50"/>
  </r>
  <r>
    <s v="J1985"/>
    <x v="1"/>
    <d v="2021-11-30T00:00:00"/>
    <d v="2023-10-25T00:00:00"/>
    <m/>
    <d v="2025-10-01T00:00:00"/>
    <s v="ENTERGY LOUISIANA, LLC"/>
    <s v="Tangipahoa"/>
    <m/>
    <m/>
    <s v="LA"/>
    <s v="DPP-2021"/>
    <s v="South"/>
    <s v="Phase 3"/>
    <s v="NRIS"/>
    <s v="Chicken Farm - Amite"/>
    <n v="50"/>
    <n v="50"/>
    <x v="0"/>
    <s v="Photovoltaic"/>
    <s v="Not Started"/>
    <m/>
    <n v="0"/>
    <n v="0"/>
    <n v="0"/>
    <n v="0"/>
  </r>
  <r>
    <s v="J1986"/>
    <x v="1"/>
    <d v="2022-03-23T00:00:00"/>
    <d v="2025-12-18T00:00:00"/>
    <m/>
    <d v="2025-10-01T00:00:00"/>
    <s v="AMEREN MISSOURI"/>
    <s v="St. Charles"/>
    <m/>
    <m/>
    <s v="MO"/>
    <s v="DPP-2021"/>
    <s v="Central"/>
    <s v="Phase 2"/>
    <s v="NRIS"/>
    <s v="Montgomery 161kV"/>
    <n v="100"/>
    <n v="100"/>
    <x v="2"/>
    <s v="Battery Storage"/>
    <s v="Not Started"/>
    <m/>
    <n v="100"/>
    <n v="100"/>
    <n v="0"/>
    <n v="0"/>
  </r>
  <r>
    <s v="J1987"/>
    <x v="1"/>
    <d v="2021-08-23T00:00:00"/>
    <d v="2021-12-09T00:00:00"/>
    <m/>
    <d v="2024-10-01T00:00:00"/>
    <s v="ITC"/>
    <s v="Washtenaw"/>
    <m/>
    <m/>
    <s v="MI"/>
    <s v="DPP-2021"/>
    <s v="East (ITC)"/>
    <s v="Phase 3"/>
    <s v="NRIS"/>
    <s v="Coventry"/>
    <n v="50"/>
    <n v="50"/>
    <x v="2"/>
    <s v="Battery Storage"/>
    <m/>
    <m/>
    <n v="0"/>
    <n v="0"/>
    <n v="0"/>
    <n v="0"/>
  </r>
  <r>
    <s v="J1988"/>
    <x v="1"/>
    <d v="2021-11-29T00:00:00"/>
    <d v="2023-10-25T00:00:00"/>
    <m/>
    <d v="2025-10-01T00:00:00"/>
    <s v="ENTERGY MISSISSIPPI, LLC."/>
    <s v="Coahoma"/>
    <m/>
    <m/>
    <s v="MS"/>
    <s v="DPP-2021"/>
    <s v="South"/>
    <s v="Phase 3"/>
    <s v="NRIS"/>
    <s v="Roundaway Cepa 115kV"/>
    <n v="120.96"/>
    <n v="120.96"/>
    <x v="0"/>
    <s v="Photovoltaic"/>
    <s v="Not Started"/>
    <m/>
    <n v="0"/>
    <n v="0"/>
    <n v="0"/>
    <n v="0"/>
  </r>
  <r>
    <s v="J1989"/>
    <x v="1"/>
    <d v="2021-08-25T00:00:00"/>
    <d v="2025-10-27T00:00:00"/>
    <m/>
    <d v="2025-10-01T00:00:00"/>
    <s v="OTTER TAIL POWER COMPANY"/>
    <s v="Brown"/>
    <m/>
    <m/>
    <s v="SD"/>
    <s v="DPP-2021"/>
    <s v="West"/>
    <s v="Phase 2"/>
    <s v="NRIS"/>
    <s v="Ellendale 345 - Twin Brooks 345.0kV"/>
    <n v="250"/>
    <n v="250"/>
    <x v="1"/>
    <s v="Wind Turbine"/>
    <s v="Not Started"/>
    <m/>
    <n v="250"/>
    <n v="75"/>
    <n v="0"/>
    <n v="0"/>
  </r>
  <r>
    <s v="J1990"/>
    <x v="1"/>
    <d v="2021-11-30T00:00:00"/>
    <d v="2025-10-27T00:00:00"/>
    <m/>
    <d v="2025-10-01T00:00:00"/>
    <s v="MONTANA-DAKOTA UTILITIES CO."/>
    <s v="Stutsman"/>
    <m/>
    <m/>
    <s v="ND"/>
    <s v="DPP-2021"/>
    <s v="West"/>
    <s v="Phase 2"/>
    <s v="NRIS"/>
    <s v="Ellendale 345kV"/>
    <n v="250"/>
    <n v="250"/>
    <x v="1"/>
    <s v="Wind Turbine"/>
    <s v="Not Started"/>
    <m/>
    <n v="215"/>
    <n v="75"/>
    <n v="0"/>
    <n v="0"/>
  </r>
  <r>
    <s v="J1991"/>
    <x v="1"/>
    <d v="2021-08-25T00:00:00"/>
    <d v="2025-03-07T00:00:00"/>
    <m/>
    <d v="2025-10-01T00:00:00"/>
    <s v="ENTERGY ARKANSAS, LLC"/>
    <s v="Lonoke"/>
    <m/>
    <m/>
    <s v="AR"/>
    <s v="DPP-2021"/>
    <s v="South"/>
    <s v="Phase 3"/>
    <s v="NRIS"/>
    <s v="Genpower Keo 500kV"/>
    <n v="200"/>
    <n v="200"/>
    <x v="0"/>
    <s v="Photovoltaic"/>
    <s v="Not Started"/>
    <m/>
    <n v="200"/>
    <n v="200"/>
    <n v="0"/>
    <n v="0"/>
  </r>
  <r>
    <s v="J1992"/>
    <x v="1"/>
    <d v="2021-08-25T00:00:00"/>
    <d v="2023-10-25T00:00:00"/>
    <m/>
    <d v="2025-10-01T00:00:00"/>
    <s v="ENTERGY ARKANSAS, LLC"/>
    <s v="Lonoke"/>
    <m/>
    <m/>
    <s v="AR"/>
    <s v="DPP-2021"/>
    <s v="South"/>
    <s v="Phase 3"/>
    <s v="NRIS"/>
    <s v="Genpower Keo 500kV"/>
    <n v="110"/>
    <n v="110"/>
    <x v="2"/>
    <s v="Battery Storage"/>
    <s v="Not Started"/>
    <m/>
    <n v="0"/>
    <n v="0"/>
    <n v="0"/>
    <n v="0"/>
  </r>
  <r>
    <s v="J1993"/>
    <x v="2"/>
    <d v="2021-12-01T00:00:00"/>
    <m/>
    <m/>
    <d v="2025-07-23T00:00:00"/>
    <s v="AMERICAN TRANSMISSION COMPANY"/>
    <s v="Columbia"/>
    <m/>
    <m/>
    <s v="WI"/>
    <s v="DPP-2021"/>
    <s v="East (ATC)"/>
    <s v="Phase 3"/>
    <s v="NRIS-Only"/>
    <s v="Columbia - South Fond du Lac 345.0kV"/>
    <n v="99"/>
    <n v="99"/>
    <x v="0"/>
    <s v="Photovoltaic"/>
    <s v="Not Started"/>
    <m/>
    <n v="99"/>
    <n v="99"/>
    <n v="99"/>
    <n v="99"/>
  </r>
  <r>
    <s v="J1994"/>
    <x v="1"/>
    <d v="2021-07-30T00:00:00"/>
    <d v="2024-10-01T00:00:00"/>
    <m/>
    <d v="2025-12-31T00:00:00"/>
    <s v="AMERICAN TRANSMISSION COMPANY"/>
    <s v="Fond du Lac"/>
    <m/>
    <m/>
    <s v="WI"/>
    <s v="DPP-2021"/>
    <s v="East (ATC)"/>
    <s v="Phase 3"/>
    <s v="NRIS"/>
    <s v="Metomen 138 kV"/>
    <n v="97.09"/>
    <n v="97.09"/>
    <x v="0"/>
    <s v="Photovoltaic"/>
    <s v="Not Started"/>
    <m/>
    <n v="97.08"/>
    <n v="97.08"/>
    <n v="0"/>
    <n v="0"/>
  </r>
  <r>
    <s v="J1995"/>
    <x v="1"/>
    <d v="2021-08-04T00:00:00"/>
    <d v="2025-03-07T00:00:00"/>
    <m/>
    <d v="2025-07-23T00:00:00"/>
    <s v="ENTERGY LOUISIANA, LLC"/>
    <s v="Richland"/>
    <m/>
    <m/>
    <s v="LA"/>
    <s v="DPP-2021"/>
    <s v="South"/>
    <s v="Phase 3"/>
    <s v="NRIS"/>
    <s v="DUNN - OAK RIDGE (LA) 115.0kV"/>
    <n v="180"/>
    <n v="180"/>
    <x v="0"/>
    <s v="Photovoltaic"/>
    <s v="Not Started"/>
    <m/>
    <n v="180"/>
    <n v="0"/>
    <n v="0"/>
    <n v="0"/>
  </r>
  <r>
    <s v="J1996"/>
    <x v="1"/>
    <d v="2021-08-11T00:00:00"/>
    <d v="2024-10-01T00:00:00"/>
    <m/>
    <d v="2025-09-01T00:00:00"/>
    <s v="AMERICAN TRANSMISSION COMPANY"/>
    <s v="Shawano"/>
    <m/>
    <m/>
    <s v="WI"/>
    <s v="DPP-2021"/>
    <s v="East (ATC)"/>
    <s v="Phase 3"/>
    <s v="NRIS"/>
    <s v="West Shawano 138kV - Badger 138kV"/>
    <n v="99"/>
    <n v="99"/>
    <x v="5"/>
    <s v="Solar/Battery"/>
    <s v="Not Started"/>
    <m/>
    <n v="99"/>
    <n v="99"/>
    <n v="0"/>
    <n v="0"/>
  </r>
  <r>
    <s v="J1997"/>
    <x v="1"/>
    <d v="2021-08-11T00:00:00"/>
    <d v="2025-03-07T00:00:00"/>
    <m/>
    <d v="2024-03-01T00:00:00"/>
    <s v="CLECO POWER LLC"/>
    <s v="Beauregard"/>
    <m/>
    <m/>
    <s v="LA"/>
    <s v="DPP-2021"/>
    <s v="South"/>
    <s v="Phase 3"/>
    <s v="NRIS"/>
    <s v="Nelson (EES) - Longville 138kV"/>
    <n v="80"/>
    <n v="80"/>
    <x v="0"/>
    <s v="Photovoltaic"/>
    <s v="Not Started"/>
    <m/>
    <n v="80"/>
    <n v="0"/>
    <n v="0"/>
    <n v="0"/>
  </r>
  <r>
    <s v="J1998"/>
    <x v="1"/>
    <d v="2021-08-04T00:00:00"/>
    <d v="2026-06-22T00:00:00"/>
    <m/>
    <d v="2024-06-30T00:00:00"/>
    <s v="ITC MIDWEST"/>
    <s v="Franklin"/>
    <m/>
    <m/>
    <s v="IA"/>
    <s v="DPP-2021"/>
    <s v="West"/>
    <s v="Phase 2"/>
    <s v="NRIS"/>
    <s v="Nuthatch Switching Station"/>
    <n v="66"/>
    <n v="66"/>
    <x v="1"/>
    <s v="Wind Turbine"/>
    <s v="Not Started"/>
    <m/>
    <n v="66"/>
    <n v="66"/>
    <n v="66"/>
    <n v="66"/>
  </r>
  <r>
    <s v="J1999"/>
    <x v="1"/>
    <d v="2021-12-21T00:00:00"/>
    <d v="2025-03-07T00:00:00"/>
    <m/>
    <d v="2024-10-31T00:00:00"/>
    <s v="CLECO POWER LLC"/>
    <s v="Rapides"/>
    <m/>
    <m/>
    <s v="LA"/>
    <s v="DPP-2021"/>
    <s v="South"/>
    <s v="Phase 3"/>
    <s v="NRIS"/>
    <s v="Rodemacher"/>
    <n v="100"/>
    <n v="100"/>
    <x v="0"/>
    <s v="Photovoltaic"/>
    <s v="Not Started"/>
    <m/>
    <n v="100"/>
    <n v="100"/>
    <n v="0"/>
    <n v="0"/>
  </r>
  <r>
    <s v="J2000"/>
    <x v="1"/>
    <d v="2021-08-10T00:00:00"/>
    <d v="2024-10-08T00:00:00"/>
    <m/>
    <d v="2025-05-01T00:00:00"/>
    <s v="DUKE ENERGY INDIANA, LLC"/>
    <s v="Montgomery"/>
    <m/>
    <m/>
    <s v="IN"/>
    <s v="DPP-2021"/>
    <s v="Central"/>
    <s v="Phase 2"/>
    <s v="NRIS"/>
    <s v="Frankfort to Cayuga 230kV"/>
    <n v="150"/>
    <n v="150"/>
    <x v="0"/>
    <s v="Photovoltaic"/>
    <s v="Not Started"/>
    <m/>
    <n v="0"/>
    <n v="0"/>
    <n v="0"/>
    <n v="0"/>
  </r>
  <r>
    <s v="J2001"/>
    <x v="2"/>
    <d v="2021-08-16T00:00:00"/>
    <m/>
    <m/>
    <d v="2025-05-01T00:00:00"/>
    <s v="METC"/>
    <s v="Newaygo"/>
    <m/>
    <m/>
    <s v="MI"/>
    <s v="DPP-2021"/>
    <s v="East (ITC)"/>
    <s v="Phase 3"/>
    <s v="NRIS"/>
    <s v="KENOWA - LUDINGTON 345.0kV"/>
    <n v="220"/>
    <n v="220"/>
    <x v="0"/>
    <s v="Photovoltaic"/>
    <s v="Not Started"/>
    <d v="2029-07-12T00:00:00"/>
    <n v="220"/>
    <n v="220"/>
    <n v="220"/>
    <n v="220"/>
  </r>
  <r>
    <s v="J2002"/>
    <x v="2"/>
    <d v="2021-08-13T00:00:00"/>
    <m/>
    <m/>
    <d v="2024-03-13T00:00:00"/>
    <s v="MIDAMERICAN ENERGY CO. MEC"/>
    <s v="Washington"/>
    <m/>
    <m/>
    <s v="IA"/>
    <s v="DPP-2021"/>
    <s v="West"/>
    <s v="Phase 2"/>
    <s v="NRIS"/>
    <s v="SUB T HASKINS"/>
    <n v="200"/>
    <n v="200"/>
    <x v="0"/>
    <s v="Photovoltaic"/>
    <s v="Not Started"/>
    <d v="2027-05-13T00:00:00"/>
    <n v="200"/>
    <n v="200"/>
    <n v="200"/>
    <n v="200"/>
  </r>
  <r>
    <s v="J2003"/>
    <x v="1"/>
    <d v="2021-08-26T00:00:00"/>
    <d v="2023-10-10T00:00:00"/>
    <m/>
    <d v="2026-10-01T00:00:00"/>
    <s v="OTTER TAIL POWER COMPANY"/>
    <s v="Deuel"/>
    <m/>
    <m/>
    <s v="SD"/>
    <s v="DPP-2021"/>
    <s v="West"/>
    <s v="Phase 2"/>
    <s v="NRIS"/>
    <s v="Astoria 345kV"/>
    <n v="150"/>
    <n v="150"/>
    <x v="0"/>
    <s v="Photovoltaic"/>
    <s v="Not Started"/>
    <m/>
    <n v="0"/>
    <n v="0"/>
    <n v="0"/>
    <n v="0"/>
  </r>
  <r>
    <s v="J2004"/>
    <x v="1"/>
    <d v="2022-03-23T00:00:00"/>
    <d v="2025-12-18T00:00:00"/>
    <m/>
    <d v="2025-10-01T00:00:00"/>
    <s v="DUKE ENERGY INDIANA, LLC"/>
    <s v="Fountain"/>
    <m/>
    <m/>
    <s v="IN"/>
    <s v="DPP-2021"/>
    <s v="Central"/>
    <s v="Phase 2"/>
    <s v="NRIS"/>
    <s v="Other_"/>
    <n v="40"/>
    <n v="40"/>
    <x v="2"/>
    <s v="Battery Storage"/>
    <s v="Not Started"/>
    <m/>
    <n v="40"/>
    <n v="40"/>
    <n v="0"/>
    <n v="0"/>
  </r>
  <r>
    <s v="J2005"/>
    <x v="1"/>
    <d v="2021-08-26T00:00:00"/>
    <d v="2023-10-10T00:00:00"/>
    <m/>
    <d v="2026-10-01T00:00:00"/>
    <s v="OTTER TAIL POWER COMPANY"/>
    <s v="Deuel"/>
    <m/>
    <m/>
    <s v="SD"/>
    <s v="DPP-2021"/>
    <s v="West"/>
    <s v="Phase 2"/>
    <s v="NRIS"/>
    <s v="Astoria 345kV"/>
    <n v="75"/>
    <n v="75"/>
    <x v="2"/>
    <s v="Battery Storage"/>
    <s v="Not Started"/>
    <m/>
    <n v="0"/>
    <n v="0"/>
    <n v="0"/>
    <n v="0"/>
  </r>
  <r>
    <s v="J2006"/>
    <x v="1"/>
    <d v="2021-08-26T00:00:00"/>
    <d v="2023-10-25T00:00:00"/>
    <m/>
    <d v="2025-10-01T00:00:00"/>
    <s v="ENTERGY ARKANSAS, LLC"/>
    <s v="Arkansas"/>
    <m/>
    <m/>
    <s v="AR"/>
    <s v="DPP-2021"/>
    <s v="South"/>
    <s v="Phase 3"/>
    <s v="NRIS"/>
    <s v="Robert E Ritchie - Stuttgart Rcuskey 230kV"/>
    <n v="40"/>
    <n v="40"/>
    <x v="2"/>
    <s v="Battery Storage"/>
    <s v="Not Started"/>
    <m/>
    <n v="0"/>
    <n v="0"/>
    <n v="0"/>
    <n v="0"/>
  </r>
  <r>
    <s v="J2007"/>
    <x v="1"/>
    <d v="2021-08-26T00:00:00"/>
    <d v="2023-10-25T00:00:00"/>
    <m/>
    <d v="2025-10-01T00:00:00"/>
    <s v="ENTERGY ARKANSAS, LLC"/>
    <s v="Lonoke"/>
    <m/>
    <m/>
    <s v="AR"/>
    <s v="DPP-2021"/>
    <s v="South"/>
    <s v="Phase 3"/>
    <s v="NRIS"/>
    <s v="Genpower Keo 500kV"/>
    <n v="150"/>
    <n v="150"/>
    <x v="2"/>
    <s v="Battery Storage"/>
    <s v="Not Started"/>
    <m/>
    <n v="0"/>
    <n v="0"/>
    <n v="0"/>
    <n v="0"/>
  </r>
  <r>
    <s v="J2008"/>
    <x v="1"/>
    <d v="2022-03-23T00:00:00"/>
    <d v="2025-12-18T00:00:00"/>
    <m/>
    <d v="2025-10-01T00:00:00"/>
    <s v="AMEREN MISSOURI"/>
    <s v="Callaway"/>
    <m/>
    <m/>
    <s v="MO"/>
    <s v="DPP-2021"/>
    <s v="Central"/>
    <s v="Phase 2"/>
    <s v="NRIS"/>
    <s v="7MCCREDIE - 7MONTGMRY 345.0kV"/>
    <n v="65"/>
    <n v="65"/>
    <x v="2"/>
    <s v="Battery Storage"/>
    <s v="Not Started"/>
    <m/>
    <n v="65"/>
    <n v="65"/>
    <n v="0"/>
    <n v="0"/>
  </r>
  <r>
    <s v="J2009"/>
    <x v="1"/>
    <d v="2021-08-26T00:00:00"/>
    <d v="2023-10-25T00:00:00"/>
    <m/>
    <d v="2025-10-01T00:00:00"/>
    <s v="ENTERGY ARKANSAS, LLC"/>
    <s v="Arkansas"/>
    <m/>
    <m/>
    <s v="AR"/>
    <s v="DPP-2021"/>
    <s v="South"/>
    <s v="Phase 3"/>
    <s v="NRIS"/>
    <s v="Robert E Ritchie - Stuttgart Rcuskey 230kV"/>
    <n v="80"/>
    <n v="80"/>
    <x v="2"/>
    <s v="Battery Storage"/>
    <s v="Not Started"/>
    <m/>
    <n v="0"/>
    <n v="0"/>
    <n v="0"/>
    <n v="0"/>
  </r>
  <r>
    <s v="J2010"/>
    <x v="0"/>
    <d v="2021-08-26T00:00:00"/>
    <m/>
    <m/>
    <d v="2025-10-01T00:00:00"/>
    <s v="ENTERGY ARKANSAS, LLC EATO"/>
    <s v="Arkansas"/>
    <m/>
    <m/>
    <s v="AR"/>
    <s v="DPP-2021"/>
    <s v="South"/>
    <s v="Phase 3"/>
    <s v="NRIS"/>
    <s v="STUTTGART RICUSKEY - WOODWARD 230 SUB 230.0kV"/>
    <n v="75"/>
    <n v="75"/>
    <x v="0"/>
    <s v="Photovoltaic"/>
    <s v="Not Started"/>
    <d v="2028-03-01T00:00:00"/>
    <n v="75"/>
    <n v="75"/>
    <n v="75"/>
    <n v="0"/>
  </r>
  <r>
    <s v="J2011"/>
    <x v="1"/>
    <d v="2021-08-26T00:00:00"/>
    <d v="2023-10-25T00:00:00"/>
    <m/>
    <d v="2025-10-01T00:00:00"/>
    <s v="ENTERGY LOUISIANA, LLC"/>
    <s v="Morehouse"/>
    <m/>
    <m/>
    <s v="LA"/>
    <s v="DPP-2021"/>
    <s v="South"/>
    <s v="Phase 3"/>
    <s v="NRIS"/>
    <s v="Bastrop Tap 115kV"/>
    <n v="50"/>
    <n v="50"/>
    <x v="2"/>
    <s v="Battery Storage"/>
    <s v="Not Started"/>
    <m/>
    <n v="0"/>
    <n v="0"/>
    <n v="0"/>
    <n v="0"/>
  </r>
  <r>
    <s v="J2012"/>
    <x v="1"/>
    <d v="2021-11-30T00:00:00"/>
    <d v="2023-10-25T00:00:00"/>
    <m/>
    <d v="2025-10-01T00:00:00"/>
    <s v="ENTERGY LOUISIANA, LLC"/>
    <s v="Tangipahoa"/>
    <m/>
    <m/>
    <s v="LA"/>
    <s v="DPP-2021"/>
    <s v="South"/>
    <s v="Phase 3"/>
    <s v="NRIS"/>
    <s v="Chicken Farm-Amite"/>
    <n v="20"/>
    <n v="20"/>
    <x v="2"/>
    <s v="Battery Storage"/>
    <s v="Not Started"/>
    <m/>
    <n v="0"/>
    <n v="0"/>
    <n v="0"/>
    <n v="0"/>
  </r>
  <r>
    <s v="J2013"/>
    <x v="1"/>
    <d v="2021-11-30T00:00:00"/>
    <d v="2023-10-25T00:00:00"/>
    <m/>
    <d v="2025-10-01T00:00:00"/>
    <s v="ENTERGY LOUISIANA, LLC"/>
    <s v="Tangipahoa"/>
    <m/>
    <m/>
    <s v="LA"/>
    <s v="DPP-2021"/>
    <s v="South"/>
    <s v="Phase 3"/>
    <s v="NRIS"/>
    <s v="Chicken Farm-Amite"/>
    <n v="52.92"/>
    <n v="52.92"/>
    <x v="2"/>
    <s v="Battery Storage"/>
    <s v="Not Started"/>
    <m/>
    <n v="0"/>
    <n v="0"/>
    <n v="0"/>
    <n v="0"/>
  </r>
  <r>
    <s v="J2014"/>
    <x v="1"/>
    <d v="2021-11-23T00:00:00"/>
    <d v="2023-10-10T00:00:00"/>
    <m/>
    <d v="2026-10-01T00:00:00"/>
    <s v="NORTHERN STATES POWER COMPANY"/>
    <s v="Clark"/>
    <m/>
    <m/>
    <s v="WI"/>
    <s v="DPP-2021"/>
    <s v="West"/>
    <s v="Phase 2"/>
    <s v="NRIS"/>
    <s v="Eau Claire - Arpin 345kV"/>
    <n v="100"/>
    <n v="100"/>
    <x v="2"/>
    <s v="Battery Storage"/>
    <s v="Not Started"/>
    <m/>
    <n v="0"/>
    <n v="0"/>
    <n v="0"/>
    <n v="0"/>
  </r>
  <r>
    <s v="J2015"/>
    <x v="1"/>
    <d v="2021-08-26T00:00:00"/>
    <d v="2023-10-25T00:00:00"/>
    <m/>
    <d v="2025-10-01T00:00:00"/>
    <s v="ENTERGY MISSISSIPPI, LLC."/>
    <s v="Tunica"/>
    <m/>
    <m/>
    <s v="MS"/>
    <s v="DPP-2021"/>
    <s v="South"/>
    <s v="Phase 3"/>
    <s v="NRIS"/>
    <s v="Lula-Tunica (same POI as J1440)"/>
    <n v="90"/>
    <n v="90"/>
    <x v="2"/>
    <s v="Battery Storage"/>
    <s v="Not Started"/>
    <m/>
    <n v="0"/>
    <n v="0"/>
    <n v="0"/>
    <n v="0"/>
  </r>
  <r>
    <s v="J2016"/>
    <x v="1"/>
    <d v="2022-03-23T00:00:00"/>
    <d v="2024-10-08T00:00:00"/>
    <m/>
    <d v="2025-10-01T00:00:00"/>
    <s v="SOUTHERN INDIANA GAS &amp; ELECTRIC COMPANY D/B/A CENTERPOINT ENERGY INDIANA SOUTH"/>
    <s v="Daviess"/>
    <m/>
    <m/>
    <s v="KY"/>
    <s v="DPP-2021"/>
    <s v="Central"/>
    <s v="Phase 2"/>
    <s v="NRIS"/>
    <s v="F.B Culley to Northeast"/>
    <n v="100"/>
    <n v="100"/>
    <x v="2"/>
    <s v="Battery Storage"/>
    <s v="Not Started"/>
    <m/>
    <n v="0"/>
    <n v="0"/>
    <n v="0"/>
    <n v="0"/>
  </r>
  <r>
    <s v="J2017"/>
    <x v="1"/>
    <d v="2021-08-26T00:00:00"/>
    <d v="2021-12-08T00:00:00"/>
    <m/>
    <d v="2025-10-01T00:00:00"/>
    <s v="SOUTHERN INDIANA GAS &amp; ELECTRIC COMPANY D/B/A CENTERPOINT ENERGY INDIANA SOUTH"/>
    <s v="Daviess"/>
    <m/>
    <m/>
    <s v="KY"/>
    <s v="DPP-2021"/>
    <s v="Central"/>
    <s v="Phase 2"/>
    <s v="NRIS"/>
    <s v="F B Culley- Northeast 138kV"/>
    <n v="100"/>
    <n v="100"/>
    <x v="0"/>
    <s v="Photovoltaic"/>
    <m/>
    <m/>
    <n v="0"/>
    <n v="0"/>
    <n v="0"/>
    <n v="0"/>
  </r>
  <r>
    <s v="J2018"/>
    <x v="1"/>
    <d v="2021-11-23T00:00:00"/>
    <d v="2023-10-10T00:00:00"/>
    <m/>
    <d v="2026-10-01T00:00:00"/>
    <s v="NORTHERN STATES POWER COMPANY"/>
    <s v="Clark"/>
    <m/>
    <m/>
    <s v="WI"/>
    <s v="DPP-2021"/>
    <s v="West"/>
    <s v="Phase 2"/>
    <s v="NRIS"/>
    <s v="Eau Claire - Arpin 345kV"/>
    <n v="190"/>
    <n v="190"/>
    <x v="0"/>
    <s v="Photovoltaic"/>
    <s v="Not Started"/>
    <m/>
    <n v="0"/>
    <n v="0"/>
    <n v="0"/>
    <n v="0"/>
  </r>
  <r>
    <s v="J2019"/>
    <x v="1"/>
    <d v="2021-08-27T00:00:00"/>
    <d v="2021-11-30T00:00:00"/>
    <m/>
    <d v="2025-02-17T00:00:00"/>
    <s v="NORTHERN STATES POWER COMPANY"/>
    <s v="Rolette"/>
    <m/>
    <m/>
    <s v="ND"/>
    <s v="DPP-2021"/>
    <s v="West"/>
    <s v="Phase 2"/>
    <s v="NRIS"/>
    <s v="Rugby-Glenborough 230 kV Line"/>
    <n v="150"/>
    <n v="150"/>
    <x v="1"/>
    <s v="Wind Turbine"/>
    <m/>
    <m/>
    <n v="0"/>
    <n v="0"/>
    <n v="0"/>
    <n v="0"/>
  </r>
  <r>
    <s v="J2020"/>
    <x v="1"/>
    <d v="2021-08-10T00:00:00"/>
    <d v="2023-10-25T00:00:00"/>
    <m/>
    <d v="2024-09-01T00:00:00"/>
    <s v="CLECO POWER LLC"/>
    <s v="Beauregard"/>
    <m/>
    <m/>
    <s v="LA"/>
    <s v="DPP-2021"/>
    <s v="South"/>
    <s v="Phase 3"/>
    <s v="NRIS"/>
    <s v="CLECO Cooper-Penton Road 230kV Line"/>
    <n v="260"/>
    <n v="260"/>
    <x v="5"/>
    <s v="Solar/Battery"/>
    <s v="Not Started"/>
    <m/>
    <n v="0"/>
    <n v="0"/>
    <n v="0"/>
    <n v="0"/>
  </r>
  <r>
    <s v="J2021"/>
    <x v="1"/>
    <d v="2021-07-30T00:00:00"/>
    <d v="2025-10-27T00:00:00"/>
    <m/>
    <d v="2025-12-31T00:00:00"/>
    <s v="NORTHERN STATES POWER COMPANY"/>
    <s v="Trempealeau"/>
    <m/>
    <m/>
    <s v="WI"/>
    <s v="DPP-2021"/>
    <s v="West"/>
    <s v="Phase 2"/>
    <s v="NRIS"/>
    <s v="Tremval 69kV"/>
    <n v="48.43"/>
    <n v="48.43"/>
    <x v="0"/>
    <s v="Photovoltaic"/>
    <s v="Not Started"/>
    <m/>
    <n v="48.43"/>
    <n v="48.43"/>
    <n v="0"/>
    <n v="0"/>
  </r>
  <r>
    <s v="J2022"/>
    <x v="1"/>
    <d v="2021-10-18T00:00:00"/>
    <d v="2025-10-27T00:00:00"/>
    <m/>
    <d v="2024-09-30T00:00:00"/>
    <s v="GREAT RIVER ENERGY"/>
    <s v="Mower"/>
    <m/>
    <m/>
    <s v="MN"/>
    <s v="DPP-2021"/>
    <s v="West"/>
    <s v="Phase 2"/>
    <s v="NRIS"/>
    <s v="Pleasant Valley 345 kV Substation"/>
    <n v="200"/>
    <n v="200"/>
    <x v="0"/>
    <s v="Photovoltaic"/>
    <s v="Not Started"/>
    <m/>
    <n v="200"/>
    <n v="200"/>
    <n v="0"/>
    <n v="0"/>
  </r>
  <r>
    <s v="J2023"/>
    <x v="1"/>
    <d v="2021-08-26T00:00:00"/>
    <d v="2023-10-25T00:00:00"/>
    <m/>
    <d v="2024-04-15T00:00:00"/>
    <s v="ENTERGY MISSISSIPPI, LLC."/>
    <s v="Amite"/>
    <m/>
    <m/>
    <s v="MS"/>
    <s v="DPP-2021"/>
    <s v="South"/>
    <s v="Phase 3"/>
    <s v="NRIS"/>
    <s v="Gloster to Liberty 138 kV"/>
    <n v="94.1"/>
    <n v="94.1"/>
    <x v="0"/>
    <s v="Photovoltaic"/>
    <s v="Not Started"/>
    <m/>
    <n v="0"/>
    <n v="0"/>
    <n v="0"/>
    <n v="0"/>
  </r>
  <r>
    <s v="J2024"/>
    <x v="1"/>
    <d v="2021-08-13T00:00:00"/>
    <d v="2023-10-25T00:00:00"/>
    <m/>
    <d v="2025-01-01T00:00:00"/>
    <s v="ENTERGY TEXAS, INC."/>
    <s v="Hardin"/>
    <m/>
    <m/>
    <s v="TX"/>
    <s v="DPP-2021"/>
    <s v="South"/>
    <s v="Phase 3"/>
    <s v="NRIS"/>
    <s v="Cypress 230 kV"/>
    <n v="0"/>
    <n v="0"/>
    <x v="2"/>
    <s v="Battery Storage"/>
    <s v="Not Started"/>
    <m/>
    <n v="0"/>
    <n v="0"/>
    <n v="0"/>
    <n v="0"/>
  </r>
  <r>
    <s v="J2025"/>
    <x v="1"/>
    <d v="2021-08-16T00:00:00"/>
    <d v="2023-10-25T00:00:00"/>
    <m/>
    <d v="2025-10-01T00:00:00"/>
    <s v="ENTERGY LOUISIANA, LLC"/>
    <s v="St. James"/>
    <m/>
    <m/>
    <s v="LA"/>
    <s v="DPP-2021"/>
    <s v="South"/>
    <s v="Phase 3"/>
    <s v="NRIS"/>
    <s v="Vacherie 230 kV"/>
    <n v="95"/>
    <n v="95"/>
    <x v="0"/>
    <s v="Photovoltaic"/>
    <s v="Not Started"/>
    <m/>
    <n v="0"/>
    <n v="0"/>
    <n v="0"/>
    <n v="0"/>
  </r>
  <r>
    <s v="J2026"/>
    <x v="2"/>
    <d v="2021-11-15T00:00:00"/>
    <m/>
    <m/>
    <d v="2022-12-02T00:00:00"/>
    <s v="ITC"/>
    <s v="Gratiot"/>
    <m/>
    <m/>
    <s v="MI"/>
    <s v="DPP-2021"/>
    <s v="East (ITC)"/>
    <s v="Phase 3"/>
    <s v="NRIS"/>
    <s v="REGAL"/>
    <n v="100"/>
    <n v="100"/>
    <x v="2"/>
    <s v="Battery Storage"/>
    <s v="Not Started"/>
    <d v="2027-12-02T00:00:00"/>
    <n v="100"/>
    <n v="100"/>
    <n v="100"/>
    <n v="100"/>
  </r>
  <r>
    <s v="J2027"/>
    <x v="2"/>
    <d v="2025-07-14T00:00:00"/>
    <m/>
    <m/>
    <d v="2024-10-31T00:00:00"/>
    <s v="GREAT RIVER ENERGY"/>
    <s v="Dakota"/>
    <m/>
    <m/>
    <s v="MN"/>
    <s v="DPP-2021"/>
    <s v="West"/>
    <s v="Phase 2"/>
    <s v="NRIS"/>
    <s v="CHUB LAKE - 304JB21/22 - HAMPTON - 8S50/51 345.0kV"/>
    <n v="150"/>
    <n v="150"/>
    <x v="0"/>
    <s v="Photovoltaic"/>
    <s v="Not Started"/>
    <m/>
    <n v="150"/>
    <n v="150"/>
    <n v="150"/>
    <n v="150"/>
  </r>
  <r>
    <s v="J2028"/>
    <x v="1"/>
    <d v="2021-08-10T00:00:00"/>
    <d v="2025-03-07T00:00:00"/>
    <m/>
    <d v="2024-05-01T00:00:00"/>
    <s v="ENTERGY ARKANSAS, LLC"/>
    <s v="Crittenden"/>
    <m/>
    <m/>
    <s v="AR"/>
    <s v="DPP-2021"/>
    <s v="South"/>
    <s v="Phase 3"/>
    <s v="NRIS"/>
    <s v="Kuhn Rd to Parkin"/>
    <n v="250"/>
    <n v="250"/>
    <x v="0"/>
    <s v="Photovoltaic"/>
    <s v="Not Started"/>
    <m/>
    <n v="250"/>
    <n v="0"/>
    <n v="0"/>
    <n v="0"/>
  </r>
  <r>
    <s v="J2029"/>
    <x v="2"/>
    <d v="2021-11-30T00:00:00"/>
    <m/>
    <m/>
    <d v="2024-09-01T00:00:00"/>
    <s v="AMERICAN TRANSMISSION COMPANY"/>
    <s v="Marquette"/>
    <m/>
    <m/>
    <s v="MI"/>
    <s v="DPP-2021"/>
    <s v="East (ATC)"/>
    <s v="Phase 3"/>
    <s v="NRIS"/>
    <s v="Perch Lake"/>
    <n v="62.5"/>
    <n v="62.5"/>
    <x v="0"/>
    <s v="Photovoltaic"/>
    <s v="Not Started"/>
    <d v="2027-09-01T00:00:00"/>
    <n v="62.5"/>
    <n v="62.5"/>
    <n v="62.5"/>
    <n v="62.5"/>
  </r>
  <r>
    <s v="J203"/>
    <x v="1"/>
    <d v="2017-06-16T00:00:00"/>
    <d v="2019-01-09T00:00:00"/>
    <m/>
    <d v="2012-09-01T00:00:00"/>
    <s v="ITC MIDWEST"/>
    <s v="Sanilac County"/>
    <m/>
    <m/>
    <s v="MI"/>
    <s v="DPP-2017-AUG"/>
    <s v="East (ITC)"/>
    <s v="GIA"/>
    <s v="NRIS"/>
    <s v="Greenwood - Banner 345kV Line Tap"/>
    <n v="200"/>
    <n v="200"/>
    <x v="1"/>
    <s v="Wind Turbine"/>
    <s v="Not Started"/>
    <m/>
    <n v="0"/>
    <n v="0"/>
    <n v="0"/>
    <n v="0"/>
  </r>
  <r>
    <s v="J2030"/>
    <x v="1"/>
    <d v="2021-07-21T00:00:00"/>
    <d v="2025-10-27T00:00:00"/>
    <m/>
    <d v="2024-10-31T00:00:00"/>
    <s v="GREAT RIVER ENERGY"/>
    <s v="Isanti"/>
    <m/>
    <m/>
    <s v="MN"/>
    <s v="DPP-2021"/>
    <s v="West"/>
    <s v="Phase 2"/>
    <s v="NRIS"/>
    <s v="ISANTTI TAP to ATHNSSW 69kV"/>
    <n v="120"/>
    <n v="120"/>
    <x v="0"/>
    <s v="Photovoltaic"/>
    <s v="Not Started"/>
    <m/>
    <n v="56"/>
    <n v="56"/>
    <n v="0"/>
    <n v="0"/>
  </r>
  <r>
    <s v="J2031"/>
    <x v="2"/>
    <d v="2021-08-13T00:00:00"/>
    <m/>
    <m/>
    <d v="2026-12-15T00:00:00"/>
    <s v="ITC MIDWEST"/>
    <s v="Tama"/>
    <m/>
    <m/>
    <s v="IA"/>
    <s v="DPP-2021"/>
    <s v="West"/>
    <s v="Phase 2"/>
    <s v="NRIS"/>
    <s v="Toledo"/>
    <n v="100"/>
    <n v="100"/>
    <x v="1"/>
    <s v="Wind Turbine"/>
    <s v="Not Started"/>
    <m/>
    <n v="100"/>
    <n v="100"/>
    <n v="100"/>
    <n v="100"/>
  </r>
  <r>
    <s v="J2032"/>
    <x v="1"/>
    <d v="2022-03-23T00:00:00"/>
    <d v="2025-12-18T00:00:00"/>
    <m/>
    <d v="2025-10-01T00:00:00"/>
    <s v="INDIANAPOLIS POWER &amp; LIGHT COMPANY"/>
    <s v="Marion"/>
    <m/>
    <m/>
    <s v="IN"/>
    <s v="DPP-2021"/>
    <s v="Central"/>
    <s v="Phase 2"/>
    <s v="NRIS"/>
    <s v="Hanna"/>
    <n v="70"/>
    <n v="70"/>
    <x v="2"/>
    <s v="Battery Storage"/>
    <s v="Not Started"/>
    <m/>
    <n v="70"/>
    <n v="70"/>
    <n v="0"/>
    <n v="0"/>
  </r>
  <r>
    <s v="J2033"/>
    <x v="2"/>
    <d v="2021-08-26T00:00:00"/>
    <m/>
    <m/>
    <d v="2024-04-15T00:00:00"/>
    <s v="AMEREN ILLINOIS"/>
    <s v="Clay"/>
    <m/>
    <m/>
    <s v="IL"/>
    <s v="DPP-2021"/>
    <s v="Central"/>
    <s v="Phase 2"/>
    <s v="NRIS"/>
    <s v="7XENIA    - 7MTVERNW 345.0kV"/>
    <n v="200"/>
    <n v="200"/>
    <x v="0"/>
    <s v="Photovoltaic"/>
    <s v="Not Started"/>
    <m/>
    <n v="200"/>
    <n v="200"/>
    <n v="200"/>
    <n v="200"/>
  </r>
  <r>
    <s v="J2034"/>
    <x v="1"/>
    <d v="2022-04-05T00:00:00"/>
    <d v="2023-10-25T00:00:00"/>
    <m/>
    <d v="2025-05-01T00:00:00"/>
    <s v="ENTERGY LOUISIANA, LLC"/>
    <s v="Lafourche"/>
    <m/>
    <m/>
    <s v="LA"/>
    <s v="DPP-2021"/>
    <s v="South"/>
    <s v="Phase 3"/>
    <s v="NRIS"/>
    <s v="Thibodaux"/>
    <n v="0"/>
    <n v="0"/>
    <x v="2"/>
    <s v="Battery Storage"/>
    <s v="Not Started"/>
    <m/>
    <n v="0"/>
    <n v="0"/>
    <n v="0"/>
    <n v="0"/>
  </r>
  <r>
    <s v="J2035"/>
    <x v="1"/>
    <d v="2022-04-05T00:00:00"/>
    <d v="2023-10-25T00:00:00"/>
    <m/>
    <d v="2025-05-01T00:00:00"/>
    <s v="ENTERGY LOUISIANA, LLC"/>
    <s v="Lafourche"/>
    <m/>
    <m/>
    <s v="LA"/>
    <s v="DPP-2021"/>
    <s v="South"/>
    <s v="Phase 3"/>
    <s v="NRIS"/>
    <s v="Thibodaux"/>
    <n v="200"/>
    <n v="200"/>
    <x v="0"/>
    <s v="Photovoltaic"/>
    <s v="Not Started"/>
    <m/>
    <n v="0"/>
    <n v="0"/>
    <n v="0"/>
    <n v="0"/>
  </r>
  <r>
    <s v="J2036"/>
    <x v="2"/>
    <d v="2022-04-05T00:00:00"/>
    <m/>
    <m/>
    <d v="2023-08-01T00:00:00"/>
    <s v="AMEREN ILLINOIS"/>
    <s v="Cumberland"/>
    <m/>
    <m/>
    <s v="IL"/>
    <s v="DPP-2021"/>
    <s v="Central"/>
    <s v="Phase 2"/>
    <s v="NRIS"/>
    <s v="Hutsonville - Neoga 138 kV"/>
    <n v="0"/>
    <n v="0"/>
    <x v="2"/>
    <s v="Battery Storage"/>
    <s v="Not Started"/>
    <m/>
    <n v="0"/>
    <n v="0"/>
    <n v="0"/>
    <n v="0"/>
  </r>
  <r>
    <s v="J2037"/>
    <x v="1"/>
    <d v="2021-07-20T00:00:00"/>
    <d v="2021-11-23T00:00:00"/>
    <m/>
    <d v="2024-10-31T00:00:00"/>
    <s v="SOUTHERN MINNESOTA MUNICIPAL POWER AGENCY"/>
    <s v="Olmsted"/>
    <m/>
    <m/>
    <s v="MN"/>
    <s v="DPP-2021"/>
    <s v="West"/>
    <s v="Phase 2"/>
    <s v="NRIS"/>
    <s v="Byron 345 kV Substation"/>
    <n v="200"/>
    <n v="200"/>
    <x v="0"/>
    <s v="Photovoltaic"/>
    <m/>
    <m/>
    <n v="0"/>
    <n v="0"/>
    <n v="0"/>
    <n v="0"/>
  </r>
  <r>
    <s v="J2038"/>
    <x v="1"/>
    <d v="2021-08-26T00:00:00"/>
    <d v="2025-12-18T00:00:00"/>
    <m/>
    <d v="2024-04-15T00:00:00"/>
    <s v="DUKE ENERGY INDIANA, LLC"/>
    <s v="Montgomery"/>
    <m/>
    <m/>
    <s v="IN"/>
    <s v="DPP-2021"/>
    <s v="Central"/>
    <s v="Phase 2"/>
    <s v="NRIS"/>
    <s v="Kokomo Webster St.  - Walton 230.0kV"/>
    <n v="300"/>
    <n v="300"/>
    <x v="1"/>
    <s v="Wind Turbine"/>
    <s v="Not Started"/>
    <m/>
    <n v="250"/>
    <n v="250"/>
    <n v="0"/>
    <n v="0"/>
  </r>
  <r>
    <s v="J2039"/>
    <x v="1"/>
    <d v="2021-08-26T00:00:00"/>
    <d v="2024-10-08T00:00:00"/>
    <m/>
    <d v="2024-04-15T00:00:00"/>
    <s v="AMEREN TRANSMISSION COMPANY OF ILLINOIS"/>
    <s v="Sangamon"/>
    <m/>
    <m/>
    <s v="IL"/>
    <s v="DPP-2021"/>
    <s v="Central"/>
    <s v="Phase 2"/>
    <s v="NRIS"/>
    <s v="Meredosia to Ipava 345 kV"/>
    <n v="400"/>
    <n v="400"/>
    <x v="5"/>
    <s v="Wind/Battery"/>
    <s v="Not Started"/>
    <m/>
    <n v="0"/>
    <n v="0"/>
    <n v="0"/>
    <n v="0"/>
  </r>
  <r>
    <s v="J2040"/>
    <x v="1"/>
    <d v="2021-08-03T00:00:00"/>
    <d v="2025-10-15T00:00:00"/>
    <m/>
    <d v="2024-11-01T00:00:00"/>
    <s v="MIDAMERICAN ENERGY CO."/>
    <s v="Dickinson"/>
    <m/>
    <m/>
    <s v="IA"/>
    <s v="DPP-2021"/>
    <s v="West"/>
    <s v="Phase 2"/>
    <s v="NRIS"/>
    <s v="Lakefield - Obrien Co 345 kV (43.497803, -95.318336)"/>
    <n v="150"/>
    <n v="150"/>
    <x v="1"/>
    <s v="Wind Turbine"/>
    <s v="Not Started"/>
    <m/>
    <n v="150"/>
    <n v="150"/>
    <n v="0"/>
    <n v="0"/>
  </r>
  <r>
    <s v="J2041"/>
    <x v="1"/>
    <d v="2021-08-12T00:00:00"/>
    <d v="2025-03-07T00:00:00"/>
    <m/>
    <d v="2025-09-01T00:00:00"/>
    <s v="ENTERGY TEXAS, INC."/>
    <s v="Jefferson"/>
    <m/>
    <m/>
    <s v="TX"/>
    <s v="DPP-2021"/>
    <s v="South"/>
    <s v="Phase 3"/>
    <s v="NRIS"/>
    <s v="Amelia North substation"/>
    <n v="200"/>
    <n v="200"/>
    <x v="5"/>
    <s v="Solar/Battery"/>
    <s v="Not Started"/>
    <m/>
    <n v="150"/>
    <n v="150"/>
    <n v="0"/>
    <n v="0"/>
  </r>
  <r>
    <s v="J2042"/>
    <x v="1"/>
    <d v="2021-11-30T00:00:00"/>
    <d v="2025-03-07T00:00:00"/>
    <m/>
    <d v="2025-01-01T00:00:00"/>
    <s v="ENTERGY LOUISIANA, LLC"/>
    <s v="Morehouse"/>
    <m/>
    <m/>
    <s v="LA"/>
    <s v="DPP-2021"/>
    <s v="South"/>
    <s v="Phase 3"/>
    <s v="NRIS"/>
    <s v="CROSSETT NORTH - BEEKMAN 115.0kV"/>
    <n v="0"/>
    <n v="0"/>
    <x v="2"/>
    <s v="Battery Storage"/>
    <s v="Not Started"/>
    <m/>
    <n v="0"/>
    <n v="0"/>
    <n v="0"/>
    <n v="0"/>
  </r>
  <r>
    <s v="J2043"/>
    <x v="1"/>
    <d v="2022-04-05T00:00:00"/>
    <d v="2025-12-18T00:00:00"/>
    <m/>
    <d v="2025-05-01T00:00:00"/>
    <s v="AMEREN ILLINOIS"/>
    <s v="Callaway"/>
    <m/>
    <m/>
    <s v="MO"/>
    <s v="DPP-2021"/>
    <s v="Central"/>
    <s v="Phase 2"/>
    <s v="NRIS"/>
    <s v="Overton - McCredie 345kV"/>
    <n v="300"/>
    <n v="300"/>
    <x v="0"/>
    <s v="Photovoltaic"/>
    <s v="Not Started"/>
    <m/>
    <n v="300"/>
    <n v="300"/>
    <n v="0"/>
    <n v="0"/>
  </r>
  <r>
    <s v="J2044"/>
    <x v="2"/>
    <d v="2022-03-29T00:00:00"/>
    <m/>
    <m/>
    <d v="2024-09-30T00:00:00"/>
    <s v="NORTHERN INDIANA PUBLIC SERVICE COMPANY LLC NIPS"/>
    <s v="Newton"/>
    <m/>
    <m/>
    <s v="IN"/>
    <s v="DPP-2021"/>
    <s v="Central"/>
    <s v="Phase 2"/>
    <s v="NRIS"/>
    <s v="Goodland 138 kV Substation"/>
    <n v="100"/>
    <n v="100"/>
    <x v="0"/>
    <s v="Photovoltaic"/>
    <s v="Not Started"/>
    <m/>
    <n v="100"/>
    <n v="100"/>
    <n v="100"/>
    <n v="100"/>
  </r>
  <r>
    <s v="J2045"/>
    <x v="2"/>
    <d v="2022-03-28T00:00:00"/>
    <m/>
    <m/>
    <d v="2024-09-30T00:00:00"/>
    <s v="NORTHERN INDIANA PUBLIC SERVICE COMPANY LLC NIPS"/>
    <s v="Newton"/>
    <m/>
    <m/>
    <s v="IN"/>
    <s v="DPP-2021"/>
    <s v="Central"/>
    <s v="Phase 2"/>
    <s v="NRIS"/>
    <s v="Goodland 138 kV"/>
    <n v="50"/>
    <n v="50"/>
    <x v="2"/>
    <s v="Battery Storage"/>
    <s v="Not Started"/>
    <m/>
    <n v="50"/>
    <n v="50"/>
    <n v="50"/>
    <n v="50"/>
  </r>
  <r>
    <s v="J2046"/>
    <x v="1"/>
    <d v="2021-08-16T00:00:00"/>
    <d v="2024-10-08T00:00:00"/>
    <m/>
    <d v="2024-10-30T00:00:00"/>
    <s v="DUKE ENERGY INDIANA, LLC"/>
    <s v="Wabash"/>
    <m/>
    <m/>
    <s v="IN"/>
    <s v="DPP-2021"/>
    <s v="Central"/>
    <s v="Phase 2"/>
    <s v="NRIS"/>
    <s v="Miami Wabash - Mier 138 kV (40.723889, -85.812019)"/>
    <n v="200"/>
    <n v="200"/>
    <x v="0"/>
    <s v="Photovoltaic"/>
    <s v="Not Started"/>
    <m/>
    <n v="0"/>
    <n v="0"/>
    <n v="0"/>
    <n v="0"/>
  </r>
  <r>
    <s v="J2047"/>
    <x v="0"/>
    <d v="2021-08-12T00:00:00"/>
    <m/>
    <m/>
    <d v="2024-12-01T00:00:00"/>
    <s v="ENTERGY MISSISSIPPI, LLC. EMTO"/>
    <s v="DeSoto"/>
    <m/>
    <m/>
    <s v="MS"/>
    <s v="DPP-2021"/>
    <s v="South"/>
    <s v="Phase 3"/>
    <s v="ERIS"/>
    <s v="Robinsonville 230 kV"/>
    <n v="199"/>
    <n v="199"/>
    <x v="0"/>
    <s v="Photovoltaic"/>
    <s v="Not Started"/>
    <m/>
    <n v="199"/>
    <n v="0"/>
    <n v="199"/>
    <n v="0"/>
  </r>
  <r>
    <s v="J2048"/>
    <x v="2"/>
    <d v="2022-03-25T00:00:00"/>
    <m/>
    <m/>
    <d v="2025-09-01T00:00:00"/>
    <s v="NORTHERN INDIANA PUBLIC SERVICE COMPANY LLC NIPS"/>
    <s v="Benton"/>
    <m/>
    <m/>
    <s v="IN"/>
    <s v="DPP-2021"/>
    <s v="Central"/>
    <s v="Phase 2"/>
    <s v="NRIS"/>
    <s v="GOODLAND - MORRISON DITCH 138.0kV"/>
    <n v="100"/>
    <n v="100"/>
    <x v="1"/>
    <s v="Wind Turbine"/>
    <s v="Not Started"/>
    <m/>
    <n v="100"/>
    <n v="100"/>
    <n v="100"/>
    <n v="0"/>
  </r>
  <r>
    <s v="J2049"/>
    <x v="2"/>
    <d v="2022-03-25T00:00:00"/>
    <m/>
    <m/>
    <d v="2025-09-01T00:00:00"/>
    <s v="AMEREN ILLINOIS"/>
    <s v="Shelby"/>
    <m/>
    <m/>
    <s v="IL"/>
    <s v="DPP-2021"/>
    <s v="Central"/>
    <s v="Phase 2"/>
    <s v="NRIS"/>
    <s v="Other_"/>
    <n v="200"/>
    <n v="200"/>
    <x v="1"/>
    <s v="Wind Turbine"/>
    <s v="Not Started"/>
    <m/>
    <n v="200"/>
    <n v="200"/>
    <n v="200"/>
    <n v="0"/>
  </r>
  <r>
    <s v="J2050"/>
    <x v="2"/>
    <d v="2022-03-28T00:00:00"/>
    <m/>
    <m/>
    <d v="2024-10-01T00:00:00"/>
    <s v="AMEREN MISSOURI"/>
    <s v="Macon"/>
    <m/>
    <m/>
    <s v="MO"/>
    <s v="DPP-2021"/>
    <s v="Central"/>
    <s v="Phase 2"/>
    <s v="NRIS"/>
    <s v="Thomas Hill-Adair-1 161kV"/>
    <n v="208.43"/>
    <n v="208.43"/>
    <x v="0"/>
    <s v="Photovoltaic"/>
    <s v="Not Started"/>
    <m/>
    <n v="208.43"/>
    <n v="208.43"/>
    <n v="208.43"/>
    <n v="208.43"/>
  </r>
  <r>
    <s v="J2051"/>
    <x v="1"/>
    <d v="2021-11-23T00:00:00"/>
    <d v="2023-11-10T00:00:00"/>
    <m/>
    <d v="2024-10-30T00:00:00"/>
    <s v="ENTERGY ARKANSAS, LLC"/>
    <s v="Mississippi"/>
    <m/>
    <m/>
    <s v="AR"/>
    <s v="DPP-2021"/>
    <s v="South"/>
    <s v="Phase 3"/>
    <s v="NRIS"/>
    <s v="161 kV line tap of DELL EAST to Blytheville"/>
    <n v="50"/>
    <n v="50"/>
    <x v="2"/>
    <s v="Battery Storage"/>
    <s v="Not Started"/>
    <m/>
    <n v="0"/>
    <n v="0"/>
    <n v="0"/>
    <n v="0"/>
  </r>
  <r>
    <s v="J2052"/>
    <x v="1"/>
    <d v="2022-04-05T00:00:00"/>
    <d v="2025-12-18T00:00:00"/>
    <m/>
    <d v="2025-05-01T00:00:00"/>
    <s v="AMEREN MISSOURI"/>
    <s v="Callaway"/>
    <m/>
    <m/>
    <s v="MO"/>
    <s v="DPP-2021"/>
    <s v="Central"/>
    <s v="Phase 2"/>
    <s v="NRIS"/>
    <s v="Overton - McCredie 345kV"/>
    <n v="0"/>
    <n v="0"/>
    <x v="2"/>
    <s v="Battery Storage"/>
    <s v="Not Started"/>
    <m/>
    <n v="0"/>
    <n v="0"/>
    <n v="0"/>
    <n v="0"/>
  </r>
  <r>
    <s v="J2053"/>
    <x v="2"/>
    <d v="2021-08-17T00:00:00"/>
    <m/>
    <m/>
    <d v="2025-08-01T00:00:00"/>
    <s v="GREAT RIVER ENERGY"/>
    <s v="Redwood"/>
    <m/>
    <m/>
    <s v="MN"/>
    <s v="DPP-2021"/>
    <s v="West"/>
    <s v="Phase 2"/>
    <s v="NRIS"/>
    <s v="Cedar Mountain - Lyon County 345.0kV"/>
    <n v="151.47"/>
    <n v="151.47"/>
    <x v="1"/>
    <s v="Wind Turbine"/>
    <s v="Not Started"/>
    <m/>
    <n v="151.47"/>
    <n v="122"/>
    <n v="151.47"/>
    <n v="122"/>
  </r>
  <r>
    <s v="J2054"/>
    <x v="1"/>
    <d v="2021-08-13T00:00:00"/>
    <d v="2025-10-27T00:00:00"/>
    <m/>
    <d v="2024-06-30T00:00:00"/>
    <s v="ITC MIDWEST"/>
    <s v="Freeborn"/>
    <m/>
    <m/>
    <s v="MN"/>
    <s v="DPP-2021"/>
    <s v="West"/>
    <s v="Phase 2"/>
    <s v="NRIS"/>
    <s v="Freeborn"/>
    <n v="67"/>
    <n v="67"/>
    <x v="1"/>
    <s v="Wind Turbine"/>
    <s v="Not Started"/>
    <m/>
    <n v="67"/>
    <n v="67"/>
    <n v="0"/>
    <n v="0"/>
  </r>
  <r>
    <s v="J2055"/>
    <x v="2"/>
    <d v="2021-08-13T00:00:00"/>
    <m/>
    <m/>
    <d v="2025-06-30T00:00:00"/>
    <s v="AMERICAN TRANSMISSION COMPANY"/>
    <s v="Sheboygan"/>
    <m/>
    <m/>
    <s v="WI"/>
    <s v="DPP-2021"/>
    <s v="East (ATC)"/>
    <s v="Phase 3"/>
    <s v="NRIS"/>
    <s v="Edgewater"/>
    <n v="100"/>
    <n v="100"/>
    <x v="0"/>
    <s v="Photovoltaic"/>
    <s v="Not Started"/>
    <d v="2026-06-26T00:00:00"/>
    <n v="100"/>
    <n v="100"/>
    <n v="100"/>
    <n v="100"/>
  </r>
  <r>
    <s v="J2056"/>
    <x v="1"/>
    <d v="2021-08-12T00:00:00"/>
    <d v="2025-03-03T00:00:00"/>
    <m/>
    <d v="2025-12-31T00:00:00"/>
    <s v="METC"/>
    <s v="Lenawee"/>
    <m/>
    <m/>
    <s v="MI"/>
    <s v="DPP-2021"/>
    <s v="East (ITC)"/>
    <s v="Phase 3"/>
    <s v="NRIS"/>
    <s v="Morocco to Beecher 138 kV line"/>
    <n v="200"/>
    <n v="200"/>
    <x v="5"/>
    <s v="Solar/Battery"/>
    <s v="Not Started"/>
    <m/>
    <n v="110"/>
    <n v="110"/>
    <n v="0"/>
    <n v="0"/>
  </r>
  <r>
    <s v="J2057"/>
    <x v="1"/>
    <d v="2021-08-25T00:00:00"/>
    <d v="2026-03-23T00:00:00"/>
    <m/>
    <d v="2024-04-15T00:00:00"/>
    <s v="METC"/>
    <s v="Montcalm"/>
    <m/>
    <m/>
    <s v="MI"/>
    <s v="DPP-2021"/>
    <s v="East (ITC)"/>
    <s v="Phase 3"/>
    <s v="NRIS"/>
    <s v="Nelson Road to Kenowa 345 kV line"/>
    <n v="100"/>
    <n v="100"/>
    <x v="5"/>
    <s v="Solar/Battery"/>
    <s v="Under Construction"/>
    <d v="2029-04-15T00:00:00"/>
    <n v="100"/>
    <n v="100"/>
    <n v="100"/>
    <n v="100"/>
  </r>
  <r>
    <s v="J2058"/>
    <x v="1"/>
    <d v="2021-08-24T00:00:00"/>
    <d v="2021-09-07T00:00:00"/>
    <m/>
    <d v="2024-10-01T00:00:00"/>
    <s v="ITC"/>
    <s v="Monroe"/>
    <m/>
    <m/>
    <s v="MI"/>
    <s v="DPP-2021"/>
    <s v="East (ITC)"/>
    <s v="Phase 3"/>
    <s v="NRIS"/>
    <s v="Monroe to Wayne"/>
    <n v="100"/>
    <n v="100"/>
    <x v="1"/>
    <s v="Wind Turbine"/>
    <m/>
    <m/>
    <n v="0"/>
    <n v="0"/>
    <n v="0"/>
    <n v="0"/>
  </r>
  <r>
    <s v="J2059"/>
    <x v="1"/>
    <d v="2022-03-18T00:00:00"/>
    <d v="2025-12-18T00:00:00"/>
    <m/>
    <d v="2025-05-01T00:00:00"/>
    <s v="DUKE ENERGY INDIANA, LLC"/>
    <s v="Tippecanoe"/>
    <m/>
    <m/>
    <s v="IN"/>
    <s v="DPP-2021"/>
    <s v="Central"/>
    <s v="Phase 2"/>
    <s v="NRIS"/>
    <s v="Springboro - Lafayette 138 kV"/>
    <n v="0"/>
    <n v="0"/>
    <x v="2"/>
    <s v="Battery Storage"/>
    <s v="Not Started"/>
    <m/>
    <n v="0"/>
    <n v="0"/>
    <n v="0"/>
    <n v="0"/>
  </r>
  <r>
    <s v="J2060"/>
    <x v="1"/>
    <d v="2021-08-16T00:00:00"/>
    <d v="2025-12-18T00:00:00"/>
    <m/>
    <d v="2025-05-01T00:00:00"/>
    <s v="DUKE ENERGY INDIANA, LLC"/>
    <s v="Tippecanoe"/>
    <m/>
    <m/>
    <s v="IN"/>
    <s v="DPP-2021"/>
    <s v="Central"/>
    <s v="Phase 2"/>
    <s v="NRIS"/>
    <s v="Springboro - Lafayette 138 kV"/>
    <n v="170"/>
    <n v="170"/>
    <x v="0"/>
    <s v="Photovoltaic"/>
    <s v="Not Started"/>
    <m/>
    <n v="120"/>
    <n v="120"/>
    <n v="0"/>
    <n v="0"/>
  </r>
  <r>
    <s v="J2061"/>
    <x v="2"/>
    <d v="2021-08-12T00:00:00"/>
    <m/>
    <m/>
    <d v="2024-10-30T00:00:00"/>
    <s v="METC"/>
    <s v="Saginaw"/>
    <m/>
    <m/>
    <s v="MI"/>
    <s v="DPP-2021"/>
    <s v="East (ITC)"/>
    <s v="Phase 3"/>
    <s v="NRIS"/>
    <s v="MURPHY"/>
    <n v="200"/>
    <n v="200"/>
    <x v="0"/>
    <s v="Photovoltaic"/>
    <s v="Not Started"/>
    <d v="2028-11-24T00:00:00"/>
    <n v="200"/>
    <n v="200"/>
    <n v="200"/>
    <n v="200"/>
  </r>
  <r>
    <s v="J2062"/>
    <x v="1"/>
    <d v="2021-08-16T00:00:00"/>
    <d v="2023-06-05T00:00:00"/>
    <m/>
    <d v="2024-04-01T00:00:00"/>
    <s v="AMERICAN TRANSMISSION COMPANY"/>
    <s v="Columbia"/>
    <m/>
    <m/>
    <s v="WI"/>
    <s v="DPP-2021"/>
    <s v="East (ATC)"/>
    <s v="Phase 3"/>
    <s v="NRIS"/>
    <s v="Columbia 345 kV"/>
    <n v="100"/>
    <n v="100"/>
    <x v="0"/>
    <s v="Photovoltaic"/>
    <s v="Not Started"/>
    <m/>
    <n v="0"/>
    <n v="0"/>
    <n v="0"/>
    <n v="0"/>
  </r>
  <r>
    <s v="J2063"/>
    <x v="1"/>
    <d v="2021-08-12T00:00:00"/>
    <d v="2025-12-18T00:00:00"/>
    <m/>
    <d v="2024-07-30T00:00:00"/>
    <s v="DUKE ENERGY INDIANA, LLC"/>
    <s v="Knox"/>
    <m/>
    <m/>
    <s v="IN"/>
    <s v="DPP-2021"/>
    <s v="Central"/>
    <s v="Phase 2"/>
    <s v="NRIS"/>
    <s v="Wheatland 345kV Substation"/>
    <n v="100"/>
    <n v="100"/>
    <x v="0"/>
    <s v="Photovoltaic"/>
    <s v="Not Started"/>
    <m/>
    <n v="100"/>
    <n v="100"/>
    <n v="0"/>
    <n v="0"/>
  </r>
  <r>
    <s v="J2064"/>
    <x v="2"/>
    <d v="2021-11-08T00:00:00"/>
    <m/>
    <m/>
    <d v="2024-10-07T00:00:00"/>
    <s v="METC"/>
    <s v="Jackson"/>
    <m/>
    <m/>
    <s v="MI"/>
    <s v="DPP-2021"/>
    <s v="East (ITC)"/>
    <s v="Phase 3"/>
    <s v="NRIS"/>
    <s v="Tompkins 138 kV"/>
    <n v="100"/>
    <n v="100"/>
    <x v="2"/>
    <s v="Battery Storage"/>
    <s v="Not Started"/>
    <d v="2026-11-04T00:00:00"/>
    <n v="100"/>
    <n v="100"/>
    <n v="100"/>
    <n v="100"/>
  </r>
  <r>
    <s v="J2065"/>
    <x v="1"/>
    <d v="2021-07-14T00:00:00"/>
    <d v="2025-10-27T00:00:00"/>
    <m/>
    <d v="2024-11-30T00:00:00"/>
    <s v="NORTHERN STATES POWER COMPANY"/>
    <s v="Pipestone"/>
    <m/>
    <m/>
    <s v="MN"/>
    <s v="DPP-2021"/>
    <s v="West"/>
    <s v="Phase 2"/>
    <s v="NRIS"/>
    <s v="Buffalo Ridge to Pipestone 115kV"/>
    <n v="200"/>
    <n v="200"/>
    <x v="0"/>
    <s v="Photovoltaic"/>
    <s v="Not Started"/>
    <m/>
    <n v="200"/>
    <n v="200"/>
    <n v="0"/>
    <n v="0"/>
  </r>
  <r>
    <s v="J2066"/>
    <x v="2"/>
    <d v="2021-08-17T00:00:00"/>
    <m/>
    <m/>
    <d v="2022-12-02T00:00:00"/>
    <s v="ITC MIDWEST"/>
    <s v="Henry"/>
    <m/>
    <m/>
    <s v="IA"/>
    <s v="DPP-2021"/>
    <s v="West"/>
    <s v="Phase 2"/>
    <s v="NRIS"/>
    <s v="Denmark"/>
    <n v="100"/>
    <n v="100"/>
    <x v="2"/>
    <s v="Battery Storage"/>
    <s v="Not Started"/>
    <m/>
    <n v="100"/>
    <n v="100"/>
    <n v="100"/>
    <n v="100"/>
  </r>
  <r>
    <s v="J2067"/>
    <x v="1"/>
    <d v="2021-09-14T00:00:00"/>
    <d v="2021-10-12T00:00:00"/>
    <m/>
    <d v="2024-09-01T00:00:00"/>
    <s v="GREAT RIVER ENERGY"/>
    <s v="Clay"/>
    <m/>
    <m/>
    <s v="MN"/>
    <s v="DPP-2021"/>
    <s v="West"/>
    <s v="Phase 2"/>
    <s v="NRIS"/>
    <s v="Tamarac"/>
    <n v="39.4"/>
    <n v="39.4"/>
    <x v="1"/>
    <s v="Wind Turbine"/>
    <m/>
    <m/>
    <n v="0"/>
    <n v="0"/>
    <n v="0"/>
    <n v="0"/>
  </r>
  <r>
    <s v="J2068"/>
    <x v="1"/>
    <d v="2021-07-19T00:00:00"/>
    <d v="2026-05-20T00:00:00"/>
    <m/>
    <d v="2024-11-30T00:00:00"/>
    <s v="NORTHERN STATES POWER COMPANY"/>
    <s v="Pierce"/>
    <m/>
    <m/>
    <s v="WI"/>
    <s v="DPP-2021"/>
    <s v="West"/>
    <s v="Phase 2"/>
    <s v="NRIS"/>
    <s v="Herbert 69 kV Substation"/>
    <n v="75"/>
    <n v="75"/>
    <x v="0"/>
    <s v="Photovoltaic"/>
    <s v="Not Started"/>
    <m/>
    <n v="75"/>
    <n v="75"/>
    <n v="75"/>
    <n v="75"/>
  </r>
  <r>
    <s v="J2069"/>
    <x v="2"/>
    <d v="2021-11-30T00:00:00"/>
    <m/>
    <m/>
    <d v="2024-09-01T00:00:00"/>
    <s v="ITC"/>
    <s v="Montcalm"/>
    <m/>
    <m/>
    <s v="MI"/>
    <s v="DPP-2021"/>
    <s v="East (ITC)"/>
    <s v="Phase 3"/>
    <s v="NRIS"/>
    <s v="EUREKA - VESTABURG 138.0kV"/>
    <n v="100"/>
    <n v="100"/>
    <x v="5"/>
    <s v="Solar/Battery"/>
    <s v="Not Started"/>
    <d v="2027-06-07T00:00:00"/>
    <n v="100"/>
    <n v="100"/>
    <n v="100"/>
    <n v="100"/>
  </r>
  <r>
    <s v="J2070"/>
    <x v="1"/>
    <d v="2021-10-18T00:00:00"/>
    <d v="2025-10-27T00:00:00"/>
    <m/>
    <d v="2024-09-30T00:00:00"/>
    <s v="NORTHERN STATES POWER COMPANY"/>
    <s v="St. Croix"/>
    <m/>
    <m/>
    <s v="WI"/>
    <s v="DPP-2021"/>
    <s v="West"/>
    <s v="Phase 2"/>
    <s v="NRIS"/>
    <s v="Three Lakes - Pine Lake 115 kV"/>
    <n v="100"/>
    <n v="100"/>
    <x v="0"/>
    <s v="Photovoltaic"/>
    <s v="Not Started"/>
    <m/>
    <n v="100"/>
    <n v="100"/>
    <n v="0"/>
    <n v="0"/>
  </r>
  <r>
    <s v="J2071"/>
    <x v="0"/>
    <d v="2021-09-14T00:00:00"/>
    <m/>
    <m/>
    <d v="2024-10-31T00:00:00"/>
    <s v="ENTERGY TEXAS, INC. ETTO"/>
    <s v="Hardin"/>
    <m/>
    <m/>
    <s v="TX"/>
    <s v="DPP-2021"/>
    <s v="South"/>
    <s v="Phase 3"/>
    <s v="NRIS"/>
    <s v="RYE CO - CYPRESS 138.0kV"/>
    <n v="198"/>
    <n v="198"/>
    <x v="0"/>
    <s v="Photovoltaic"/>
    <s v="Not Started"/>
    <d v="2028-12-01T00:00:00"/>
    <n v="198"/>
    <n v="0"/>
    <n v="198"/>
    <n v="0"/>
  </r>
  <r>
    <s v="J2072"/>
    <x v="1"/>
    <d v="2021-08-23T00:00:00"/>
    <d v="2025-03-07T00:00:00"/>
    <m/>
    <d v="2024-10-30T00:00:00"/>
    <s v="ENTERGY ARKANSAS, LLC"/>
    <s v="Grant"/>
    <m/>
    <m/>
    <s v="AR"/>
    <s v="DPP-2021"/>
    <s v="South"/>
    <s v="Phase 3"/>
    <s v="NRIS"/>
    <s v="Woodward 115kV -  H.S. EHV 115 kV"/>
    <n v="100"/>
    <n v="100"/>
    <x v="5"/>
    <s v="Solar/Battery"/>
    <s v="Not Started"/>
    <m/>
    <n v="100"/>
    <n v="100"/>
    <n v="0"/>
    <n v="0"/>
  </r>
  <r>
    <s v="J2073"/>
    <x v="1"/>
    <d v="2021-11-29T00:00:00"/>
    <d v="2025-12-18T00:00:00"/>
    <m/>
    <d v="2024-10-15T00:00:00"/>
    <s v="BIG RIVERS ELECTRIC CORPORATION"/>
    <s v="Ohio"/>
    <m/>
    <m/>
    <s v="KY"/>
    <s v="DPP-2021"/>
    <s v="Central"/>
    <s v="Phase 2"/>
    <s v="NRIS"/>
    <s v="345 kV Wilson Substation"/>
    <n v="91.53"/>
    <n v="91.53"/>
    <x v="5"/>
    <s v="Solar/Battery"/>
    <s v="Not Started"/>
    <m/>
    <n v="91.53"/>
    <n v="91.53"/>
    <n v="0"/>
    <n v="0"/>
  </r>
  <r>
    <s v="J2074"/>
    <x v="1"/>
    <d v="2021-10-18T00:00:00"/>
    <d v="2024-10-01T00:00:00"/>
    <m/>
    <d v="2024-09-30T00:00:00"/>
    <s v="AMERICAN TRANSMISSION COMPANY"/>
    <s v="Outagamie"/>
    <m/>
    <m/>
    <s v="WI"/>
    <s v="DPP-2021"/>
    <s v="East (ATC)"/>
    <s v="Phase 3"/>
    <s v="NRIS"/>
    <s v="Werner West 138 kV"/>
    <n v="100"/>
    <n v="100"/>
    <x v="2"/>
    <s v="Battery Storage"/>
    <s v="Not Started"/>
    <m/>
    <n v="75"/>
    <n v="75"/>
    <n v="0"/>
    <n v="0"/>
  </r>
  <r>
    <s v="J2075"/>
    <x v="0"/>
    <d v="2021-08-27T00:00:00"/>
    <m/>
    <m/>
    <d v="2024-10-04T00:00:00"/>
    <s v="ENTERGY TEXAS, INC. ETTO"/>
    <s v="Liberty"/>
    <m/>
    <m/>
    <s v="TX"/>
    <s v="DPP-2021"/>
    <s v="South"/>
    <s v="Phase 3"/>
    <s v="NRIS"/>
    <s v="China (Bus# 334204) to Sheco Batiste Creek (Bus# 334240)"/>
    <n v="200"/>
    <n v="200"/>
    <x v="0"/>
    <s v="Photovoltaic"/>
    <s v="Not Started"/>
    <d v="2028-05-30T00:00:00"/>
    <n v="200"/>
    <n v="200"/>
    <n v="200"/>
    <n v="0"/>
  </r>
  <r>
    <s v="J2076"/>
    <x v="1"/>
    <d v="2021-08-09T00:00:00"/>
    <d v="2021-12-09T00:00:00"/>
    <m/>
    <d v="2024-08-01T00:00:00"/>
    <s v="ENTERGY TEXAS, INC."/>
    <s v="San Jacinto"/>
    <m/>
    <m/>
    <s v="TX"/>
    <s v="DPP-2021"/>
    <s v="South"/>
    <s v="Phase 3"/>
    <s v="NRIS"/>
    <s v="COLEY CREEK to PELICAN ROAD 138 kV"/>
    <n v="225"/>
    <n v="225"/>
    <x v="5"/>
    <s v="Solar/Battery"/>
    <m/>
    <m/>
    <n v="0"/>
    <n v="0"/>
    <n v="0"/>
    <n v="0"/>
  </r>
  <r>
    <s v="J2077"/>
    <x v="1"/>
    <d v="2021-12-10T00:00:00"/>
    <d v="2023-10-25T00:00:00"/>
    <m/>
    <d v="2024-04-30T00:00:00"/>
    <s v="ENTERGY LOUISIANA, LLC"/>
    <s v="Livingston"/>
    <m/>
    <m/>
    <s v="LA"/>
    <s v="DPP-2021"/>
    <s v="South"/>
    <s v="Phase 3"/>
    <s v="NRIS"/>
    <s v="Independence (6INDEPD)"/>
    <n v="150"/>
    <n v="150"/>
    <x v="0"/>
    <s v="Photovoltaic"/>
    <s v="Not Started"/>
    <m/>
    <n v="0"/>
    <n v="0"/>
    <n v="0"/>
    <n v="0"/>
  </r>
  <r>
    <s v="J2078"/>
    <x v="2"/>
    <d v="2021-08-13T00:00:00"/>
    <m/>
    <m/>
    <d v="2025-06-30T00:00:00"/>
    <s v="ITC MIDWEST"/>
    <s v="Story"/>
    <m/>
    <m/>
    <s v="IA"/>
    <s v="DPP-2021"/>
    <s v="West"/>
    <s v="Phase 2"/>
    <s v="NRIS"/>
    <s v="Fernald"/>
    <n v="200"/>
    <n v="200"/>
    <x v="0"/>
    <s v="Photovoltaic"/>
    <s v="Not Started"/>
    <m/>
    <n v="200"/>
    <n v="200"/>
    <n v="200"/>
    <n v="200"/>
  </r>
  <r>
    <s v="J2079"/>
    <x v="1"/>
    <d v="2021-08-06T00:00:00"/>
    <d v="2025-10-27T00:00:00"/>
    <m/>
    <d v="2024-10-31T00:00:00"/>
    <s v="ITC MIDWEST"/>
    <s v="Hancock"/>
    <m/>
    <m/>
    <s v="IA"/>
    <s v="DPP-2021"/>
    <s v="West"/>
    <s v="Phase 2"/>
    <s v="NRIS-Only"/>
    <s v="Lime Creek 161 kV"/>
    <n v="150"/>
    <n v="150"/>
    <x v="1"/>
    <s v="Wind Turbine"/>
    <s v="Not Started"/>
    <m/>
    <n v="0"/>
    <n v="150"/>
    <n v="0"/>
    <n v="0"/>
  </r>
  <r>
    <s v="J2080"/>
    <x v="1"/>
    <d v="2021-08-12T00:00:00"/>
    <d v="2026-06-04T00:00:00"/>
    <m/>
    <d v="2024-05-01T00:00:00"/>
    <s v="MINNESOTA POWER INC."/>
    <s v="Oliver"/>
    <m/>
    <m/>
    <s v="ND"/>
    <s v="DPP-2021"/>
    <s v="West"/>
    <s v="Phase 2"/>
    <s v="ERIS"/>
    <s v="Square Butte 230 kV Substation East"/>
    <n v="200"/>
    <n v="200"/>
    <x v="1"/>
    <s v="Wind Turbine"/>
    <s v="Not Started"/>
    <m/>
    <n v="200"/>
    <n v="200"/>
    <n v="200"/>
    <n v="0"/>
  </r>
  <r>
    <s v="J2081"/>
    <x v="1"/>
    <d v="2021-08-25T00:00:00"/>
    <d v="2025-12-09T00:00:00"/>
    <m/>
    <d v="2024-10-01T00:00:00"/>
    <s v="ENTERGY ARKANSAS, LLC"/>
    <s v="Mississippi"/>
    <m/>
    <m/>
    <s v="AR"/>
    <s v="DPP-2021"/>
    <s v="South"/>
    <s v="Phase 3"/>
    <s v="NRIS"/>
    <s v="Sans Souci 500kV"/>
    <n v="20"/>
    <n v="20"/>
    <x v="4"/>
    <s v="Steam Turbine (including Nuclear, Geothermal and Solar Steam)"/>
    <s v="Not Started"/>
    <d v="2027-10-01T00:00:00"/>
    <n v="15"/>
    <n v="15"/>
    <n v="15"/>
    <n v="15"/>
  </r>
  <r>
    <s v="J2082"/>
    <x v="1"/>
    <d v="2021-09-02T00:00:00"/>
    <d v="2025-03-07T00:00:00"/>
    <m/>
    <d v="2024-10-04T00:00:00"/>
    <s v="CLECO POWER LLC"/>
    <s v="Rapides"/>
    <m/>
    <m/>
    <s v="LA"/>
    <s v="DPP-2021"/>
    <s v="South"/>
    <s v="Phase 3"/>
    <s v="NRIS"/>
    <s v="Shady Oaks (Bus# 500780) to Coughlin (Bus# 500230)"/>
    <n v="50"/>
    <n v="50"/>
    <x v="0"/>
    <s v="Photovoltaic"/>
    <s v="Not Started"/>
    <m/>
    <n v="50"/>
    <n v="50"/>
    <n v="0"/>
    <n v="0"/>
  </r>
  <r>
    <s v="J2083"/>
    <x v="1"/>
    <d v="2021-12-21T00:00:00"/>
    <d v="2023-11-10T00:00:00"/>
    <m/>
    <d v="2024-10-31T00:00:00"/>
    <s v="CLECO POWER LLC"/>
    <s v="Allen"/>
    <m/>
    <m/>
    <s v="LA"/>
    <s v="DPP-2021"/>
    <s v="South"/>
    <s v="Phase 3"/>
    <s v="NRIS"/>
    <s v="Caney"/>
    <n v="200"/>
    <n v="200"/>
    <x v="0"/>
    <s v="Photovoltaic"/>
    <s v="Not Started"/>
    <m/>
    <n v="0"/>
    <n v="0"/>
    <n v="0"/>
    <n v="0"/>
  </r>
  <r>
    <s v="J2084"/>
    <x v="1"/>
    <d v="2021-11-01T00:00:00"/>
    <d v="2025-10-27T00:00:00"/>
    <m/>
    <d v="2024-11-01T00:00:00"/>
    <s v="MONTANA-DAKOTA UTILITIES CO."/>
    <s v="Emmons"/>
    <m/>
    <m/>
    <s v="ND"/>
    <s v="DPP-2021"/>
    <s v="West"/>
    <s v="Phase 2"/>
    <s v="NRIS"/>
    <s v="Linton NW (not in power flow case yet)"/>
    <n v="45"/>
    <n v="45"/>
    <x v="0"/>
    <s v="Photovoltaic"/>
    <s v="Not Started"/>
    <m/>
    <n v="45"/>
    <n v="45"/>
    <n v="0"/>
    <n v="0"/>
  </r>
  <r>
    <s v="J2085"/>
    <x v="1"/>
    <d v="2021-11-01T00:00:00"/>
    <d v="2025-10-27T00:00:00"/>
    <m/>
    <d v="2024-11-01T00:00:00"/>
    <s v="MONTANA-DAKOTA UTILITIES CO."/>
    <s v="Emmons"/>
    <m/>
    <m/>
    <s v="ND"/>
    <s v="DPP-2021"/>
    <s v="West"/>
    <s v="Phase 2"/>
    <s v="NRIS"/>
    <s v="Linton NW 115 kV (radial to Wishek 115 kV)"/>
    <n v="40"/>
    <n v="40"/>
    <x v="0"/>
    <s v="Photovoltaic"/>
    <s v="Not Started"/>
    <m/>
    <n v="40"/>
    <n v="40"/>
    <n v="0"/>
    <n v="0"/>
  </r>
  <r>
    <s v="J2086"/>
    <x v="1"/>
    <d v="2021-08-09T00:00:00"/>
    <d v="2025-10-27T00:00:00"/>
    <m/>
    <d v="2025-03-31T00:00:00"/>
    <s v="OTTER TAIL POWER COMPANY"/>
    <s v="Barnes"/>
    <m/>
    <m/>
    <s v="ND"/>
    <s v="DPP-2021"/>
    <s v="West"/>
    <s v="Phase 2"/>
    <s v="NRIS"/>
    <s v="Buffalo 345 kV"/>
    <n v="500"/>
    <n v="500"/>
    <x v="0"/>
    <s v="Photovoltaic"/>
    <s v="Not Started"/>
    <m/>
    <n v="500"/>
    <n v="500"/>
    <n v="0"/>
    <n v="0"/>
  </r>
  <r>
    <s v="J2087"/>
    <x v="2"/>
    <d v="2025-08-19T00:00:00"/>
    <m/>
    <m/>
    <d v="2024-11-30T00:00:00"/>
    <s v="NORTHERN STATES POWER COMPANY"/>
    <s v="Renville"/>
    <m/>
    <m/>
    <s v="MN"/>
    <s v="DPP-2021"/>
    <s v="West"/>
    <s v="Phase 2"/>
    <s v="NRIS"/>
    <s v="FRANKLIN"/>
    <n v="125"/>
    <n v="125"/>
    <x v="0"/>
    <s v="Photovoltaic"/>
    <s v="Not Started"/>
    <m/>
    <n v="125"/>
    <n v="125"/>
    <n v="125"/>
    <n v="125"/>
  </r>
  <r>
    <s v="J2088"/>
    <x v="0"/>
    <d v="2022-07-13T00:00:00"/>
    <m/>
    <m/>
    <d v="2024-10-31T00:00:00"/>
    <s v="ENTERGY ARKANSAS, LLC EATO"/>
    <s v="Lee"/>
    <m/>
    <m/>
    <s v="AR"/>
    <s v="DPP-2021"/>
    <s v="South"/>
    <s v="Phase 3"/>
    <s v="NRIS"/>
    <s v="WEST MEMPHIS EHV - KEO EHV 500 kV (854.0)"/>
    <n v="400"/>
    <n v="400"/>
    <x v="0"/>
    <s v="Photovoltaic"/>
    <s v="Not Started"/>
    <d v="2027-10-31T00:00:00"/>
    <n v="400"/>
    <n v="400"/>
    <n v="400"/>
    <n v="0"/>
  </r>
  <r>
    <s v="J2089"/>
    <x v="0"/>
    <d v="2021-11-23T00:00:00"/>
    <m/>
    <m/>
    <d v="2024-10-31T00:00:00"/>
    <s v="ENTERGY ARKANSAS, LLC EATO"/>
    <s v="Mississippi"/>
    <m/>
    <m/>
    <s v="AR"/>
    <s v="DPP-2021"/>
    <s v="South"/>
    <s v="Phase 3"/>
    <s v="NRIS"/>
    <s v="Line tap DELL to Manilla AECC 161 kV"/>
    <n v="200"/>
    <n v="200"/>
    <x v="0"/>
    <s v="Photovoltaic"/>
    <s v="Not Started"/>
    <d v="2027-12-31T00:00:00"/>
    <n v="200"/>
    <n v="200"/>
    <n v="200"/>
    <n v="0"/>
  </r>
  <r>
    <s v="J2090"/>
    <x v="1"/>
    <d v="2022-07-13T00:00:00"/>
    <d v="2023-11-07T00:00:00"/>
    <m/>
    <d v="2026-10-31T00:00:00"/>
    <s v="ENTERGY ARKANSAS, LLC"/>
    <s v="Crittenden"/>
    <m/>
    <m/>
    <s v="AR"/>
    <s v="DPP-2021"/>
    <s v="South"/>
    <s v="Phase 3"/>
    <s v="NRIS"/>
    <s v="161 kV  Parkin to Kuhn RoadLine Tap"/>
    <n v="300"/>
    <n v="300"/>
    <x v="0"/>
    <s v="Photovoltaic"/>
    <s v="Not Started"/>
    <m/>
    <n v="0"/>
    <n v="0"/>
    <n v="0"/>
    <n v="0"/>
  </r>
  <r>
    <s v="J2091"/>
    <x v="0"/>
    <d v="2022-01-11T00:00:00"/>
    <m/>
    <m/>
    <d v="2025-02-22T00:00:00"/>
    <s v="ENTERGY MISSISSIPPI, LLC. EMTO"/>
    <s v="DeSoto"/>
    <m/>
    <m/>
    <s v="MS"/>
    <s v="DPP-2021"/>
    <s v="South"/>
    <s v="Phase 3"/>
    <s v="NRIS"/>
    <s v="TWINKLETOWN 230 KV"/>
    <n v="250"/>
    <n v="250"/>
    <x v="2"/>
    <s v="Battery Storage"/>
    <s v="Not Started"/>
    <m/>
    <n v="250"/>
    <n v="250"/>
    <n v="250"/>
    <n v="130"/>
  </r>
  <r>
    <s v="J2092"/>
    <x v="1"/>
    <d v="2021-08-12T00:00:00"/>
    <d v="2023-10-10T00:00:00"/>
    <m/>
    <d v="2025-10-31T00:00:00"/>
    <s v="GREAT RIVER ENERGY"/>
    <s v="Wright"/>
    <m/>
    <m/>
    <s v="MN"/>
    <s v="DPP-2021"/>
    <s v="West"/>
    <s v="Phase 2"/>
    <s v="NRIS"/>
    <s v="Dickinson Sub"/>
    <n v="100"/>
    <n v="100"/>
    <x v="1"/>
    <s v="Wind Turbine"/>
    <s v="Not Started"/>
    <m/>
    <n v="0"/>
    <n v="0"/>
    <n v="0"/>
    <n v="0"/>
  </r>
  <r>
    <s v="J2093"/>
    <x v="1"/>
    <d v="2021-12-21T00:00:00"/>
    <d v="2025-03-07T00:00:00"/>
    <m/>
    <d v="2024-10-31T00:00:00"/>
    <s v="ENTERGY ARKANSAS, LLC"/>
    <s v="Crittenden"/>
    <m/>
    <m/>
    <s v="AR"/>
    <s v="DPP-2021"/>
    <s v="South"/>
    <s v="Phase 3"/>
    <s v="NRIS"/>
    <s v="West Memphis to Hughes 161 kV Line Tap"/>
    <n v="144"/>
    <n v="144"/>
    <x v="0"/>
    <s v="Photovoltaic"/>
    <s v="Not Started"/>
    <m/>
    <n v="144"/>
    <n v="0"/>
    <n v="0"/>
    <n v="0"/>
  </r>
  <r>
    <s v="J2094"/>
    <x v="1"/>
    <d v="2021-08-03T00:00:00"/>
    <d v="2023-10-10T00:00:00"/>
    <m/>
    <d v="2022-11-30T00:00:00"/>
    <s v="OTTER TAIL POWER COMPANY"/>
    <s v="Sargent"/>
    <m/>
    <m/>
    <s v="ND"/>
    <s v="DPP-2021"/>
    <s v="West"/>
    <s v="Phase 2"/>
    <s v="NRIS"/>
    <s v="Forman 230 kV Substation"/>
    <n v="100"/>
    <n v="100"/>
    <x v="2"/>
    <s v="Battery Storage"/>
    <s v="Not Started"/>
    <m/>
    <n v="0"/>
    <n v="0"/>
    <n v="0"/>
    <n v="0"/>
  </r>
  <r>
    <s v="J2095"/>
    <x v="1"/>
    <d v="2021-08-26T00:00:00"/>
    <d v="2023-10-10T00:00:00"/>
    <m/>
    <d v="2024-04-15T00:00:00"/>
    <s v="ITC MIDWEST"/>
    <s v="Tama"/>
    <m/>
    <m/>
    <s v="IA"/>
    <s v="DPP-2021"/>
    <s v="West"/>
    <s v="Phase 2"/>
    <s v="NRIS"/>
    <s v="Belle Plaine Junction to Toledo Transmission"/>
    <n v="212"/>
    <n v="212"/>
    <x v="2"/>
    <s v="Battery Storage"/>
    <s v="Not Started"/>
    <m/>
    <n v="0"/>
    <n v="0"/>
    <n v="0"/>
    <n v="0"/>
  </r>
  <r>
    <s v="J2096"/>
    <x v="1"/>
    <d v="2021-08-16T00:00:00"/>
    <d v="2021-12-09T00:00:00"/>
    <m/>
    <d v="2024-10-31T00:00:00"/>
    <s v="ENTERGY LOUISIANA, LLC"/>
    <s v="Terrebonne"/>
    <m/>
    <m/>
    <s v="LA"/>
    <s v="DPP-2021"/>
    <s v="South"/>
    <s v="Phase 3"/>
    <s v="ERIS"/>
    <s v="Schriever 230 kV Substation"/>
    <n v="180"/>
    <n v="180"/>
    <x v="0"/>
    <s v="Photovoltaic"/>
    <m/>
    <m/>
    <n v="0"/>
    <n v="0"/>
    <n v="0"/>
    <n v="0"/>
  </r>
  <r>
    <s v="J2097"/>
    <x v="2"/>
    <d v="2021-08-25T00:00:00"/>
    <m/>
    <m/>
    <d v="2025-05-01T00:00:00"/>
    <s v="MINNESOTA POWER INC."/>
    <s v="Morton"/>
    <m/>
    <m/>
    <s v="ND"/>
    <s v="DPP-2021"/>
    <s v="West"/>
    <s v="Phase 2"/>
    <s v="NRIS"/>
    <s v="Tri-County 230 kV Substation"/>
    <n v="100"/>
    <n v="100"/>
    <x v="1"/>
    <s v="Wind Turbine"/>
    <s v="Not Started"/>
    <m/>
    <n v="100"/>
    <n v="100"/>
    <n v="100"/>
    <n v="100"/>
  </r>
  <r>
    <s v="J2098"/>
    <x v="2"/>
    <d v="2021-08-22T00:00:00"/>
    <m/>
    <m/>
    <d v="2025-03-31T00:00:00"/>
    <s v="METC"/>
    <s v="Calhoun"/>
    <m/>
    <m/>
    <s v="MI"/>
    <s v="DPP-2021"/>
    <s v="East (ITC)"/>
    <s v="Phase 3"/>
    <s v="NRIS"/>
    <s v="BATTLE CREEK - ONEIDA 345.0kV"/>
    <n v="309"/>
    <n v="309"/>
    <x v="0"/>
    <s v="Photovoltaic"/>
    <s v="Not Started"/>
    <d v="2026-01-31T00:00:00"/>
    <n v="309"/>
    <n v="309"/>
    <n v="309"/>
    <n v="309"/>
  </r>
  <r>
    <s v="J2099"/>
    <x v="2"/>
    <d v="2022-06-22T00:00:00"/>
    <m/>
    <m/>
    <d v="2024-10-01T00:00:00"/>
    <s v="AMERICAN TRANSMISSION COMPANY"/>
    <s v="Portage"/>
    <m/>
    <m/>
    <s v="WI"/>
    <s v="DPP-2021"/>
    <s v="East (ATC)"/>
    <s v="Phase 3"/>
    <s v="NRIS"/>
    <s v="Rocky Run to Werner West 345 kV"/>
    <n v="399.04"/>
    <n v="399.04"/>
    <x v="0"/>
    <s v="Photovoltaic"/>
    <s v="Not Started"/>
    <d v="2028-02-15T00:00:00"/>
    <n v="399.03"/>
    <n v="399.03"/>
    <n v="399.03"/>
    <n v="195.79"/>
  </r>
  <r>
    <s v="J2100"/>
    <x v="2"/>
    <d v="2021-08-13T00:00:00"/>
    <m/>
    <m/>
    <d v="2024-09-30T00:00:00"/>
    <s v="METC"/>
    <s v="Van Buren"/>
    <m/>
    <m/>
    <s v="MI"/>
    <s v="DPP-2021"/>
    <s v="East (ITC)"/>
    <s v="Phase 3"/>
    <s v="NRIS"/>
    <s v="ARGENTA - PALISADES 345.0kV"/>
    <n v="250"/>
    <n v="250"/>
    <x v="2"/>
    <s v="Battery Storage"/>
    <s v="Not Started"/>
    <d v="2029-07-12T00:00:00"/>
    <n v="250"/>
    <n v="250"/>
    <n v="250"/>
    <n v="250"/>
  </r>
  <r>
    <s v="J2101"/>
    <x v="1"/>
    <d v="2021-08-06T00:00:00"/>
    <d v="2025-10-27T00:00:00"/>
    <m/>
    <d v="2024-10-30T00:00:00"/>
    <s v="MONTANA-DAKOTA UTILITIES CO."/>
    <s v="Morton"/>
    <m/>
    <m/>
    <s v="ND"/>
    <s v="DPP-2021"/>
    <s v="West"/>
    <s v="Phase 2"/>
    <s v="NRIS"/>
    <s v="Mandan 230 kV"/>
    <n v="100"/>
    <n v="100"/>
    <x v="2"/>
    <s v="Battery Storage"/>
    <s v="Not Started"/>
    <m/>
    <n v="100"/>
    <n v="100"/>
    <n v="0"/>
    <n v="0"/>
  </r>
  <r>
    <s v="J2102"/>
    <x v="1"/>
    <d v="2021-08-17T00:00:00"/>
    <d v="2025-10-27T00:00:00"/>
    <m/>
    <d v="2024-10-30T00:00:00"/>
    <s v="DAIRYLAND POWER COOPERATIVE"/>
    <s v="Buffalo"/>
    <m/>
    <m/>
    <s v="WI"/>
    <s v="DPP-2021"/>
    <s v="West"/>
    <s v="Phase 2"/>
    <s v="NRIS"/>
    <s v="Alma"/>
    <n v="150"/>
    <n v="150"/>
    <x v="2"/>
    <s v="Battery Storage"/>
    <s v="Not Started"/>
    <m/>
    <n v="150"/>
    <n v="150"/>
    <n v="0"/>
    <n v="0"/>
  </r>
  <r>
    <s v="J2103"/>
    <x v="1"/>
    <d v="2021-09-01T00:00:00"/>
    <d v="2021-12-03T00:00:00"/>
    <m/>
    <d v="2024-10-04T00:00:00"/>
    <s v="ENTERGY TEXAS, INC."/>
    <s v="Jasper"/>
    <m/>
    <m/>
    <s v="TX"/>
    <s v="DPP-2021"/>
    <s v="South"/>
    <s v="Phase 3"/>
    <s v="NRIS"/>
    <s v="Buna SW to Call Transmission Line"/>
    <n v="100"/>
    <n v="100"/>
    <x v="0"/>
    <s v="Photovoltaic"/>
    <m/>
    <m/>
    <n v="0"/>
    <n v="0"/>
    <n v="0"/>
    <n v="0"/>
  </r>
  <r>
    <s v="J2104"/>
    <x v="2"/>
    <d v="2025-09-17T00:00:00"/>
    <m/>
    <m/>
    <d v="2024-09-01T00:00:00"/>
    <s v="NORTHERN STATES POWER COMPANY"/>
    <s v="Murray"/>
    <m/>
    <m/>
    <s v="MN"/>
    <s v="DPP-2021"/>
    <s v="West"/>
    <s v="Phase 2"/>
    <s v="NRIS"/>
    <s v="Cedar Mountain - Lyon County 345.0kV"/>
    <n v="230"/>
    <n v="230"/>
    <x v="1"/>
    <s v="Wind Turbine"/>
    <s v="Not Started"/>
    <m/>
    <n v="230"/>
    <n v="230"/>
    <n v="230"/>
    <n v="230"/>
  </r>
  <r>
    <s v="J2105"/>
    <x v="1"/>
    <d v="2021-08-26T00:00:00"/>
    <d v="2023-10-10T00:00:00"/>
    <m/>
    <d v="2024-04-15T00:00:00"/>
    <s v="ITC MIDWEST"/>
    <s v="Franklin"/>
    <m/>
    <m/>
    <s v="IA"/>
    <s v="DPP-2021"/>
    <s v="West"/>
    <s v="Phase 2"/>
    <s v="NRIS"/>
    <s v="Killdeer 345 kV Substation"/>
    <n v="200"/>
    <n v="200"/>
    <x v="2"/>
    <s v="Battery Storage"/>
    <s v="Not Started"/>
    <m/>
    <n v="0"/>
    <n v="0"/>
    <n v="0"/>
    <n v="0"/>
  </r>
  <r>
    <s v="J2106"/>
    <x v="1"/>
    <d v="2021-08-03T00:00:00"/>
    <d v="2025-10-27T00:00:00"/>
    <m/>
    <d v="2024-10-31T00:00:00"/>
    <s v="ITC MIDWEST"/>
    <s v="Story"/>
    <m/>
    <m/>
    <s v="IA"/>
    <s v="DPP-2021"/>
    <s v="West"/>
    <s v="Phase 2"/>
    <s v="NRIS-Only"/>
    <s v="Story County 161 kV"/>
    <n v="150"/>
    <n v="150"/>
    <x v="1"/>
    <s v="Wind Turbine"/>
    <s v="Not Started"/>
    <m/>
    <n v="0"/>
    <n v="150"/>
    <n v="0"/>
    <n v="0"/>
  </r>
  <r>
    <s v="J2107"/>
    <x v="2"/>
    <d v="2022-06-22T00:00:00"/>
    <m/>
    <m/>
    <d v="2024-10-01T00:00:00"/>
    <s v="AMERICAN TRANSMISSION COMPANY"/>
    <s v="Portage"/>
    <m/>
    <m/>
    <s v="WI"/>
    <s v="DPP-2021"/>
    <s v="East (ATC)"/>
    <s v="Phase 3"/>
    <s v="NRIS"/>
    <s v="Rocky Run to Werner West 345 kV line"/>
    <n v="399.04"/>
    <n v="399.04"/>
    <x v="0"/>
    <s v="Photovoltaic"/>
    <s v="Not Started"/>
    <d v="2028-02-15T00:00:00"/>
    <n v="399.03"/>
    <n v="399.03"/>
    <n v="399.03"/>
    <n v="195.79"/>
  </r>
  <r>
    <s v="J2108"/>
    <x v="1"/>
    <d v="2021-08-09T00:00:00"/>
    <d v="2023-10-10T00:00:00"/>
    <m/>
    <d v="2024-11-01T00:00:00"/>
    <s v="MIDAMERICAN ENERGY CO."/>
    <s v="Johnson"/>
    <m/>
    <m/>
    <s v="IA"/>
    <s v="DPP-2021"/>
    <s v="West"/>
    <s v="Phase 2"/>
    <s v="NRIS"/>
    <s v="IC ENRON - SUB JIC 161 kV"/>
    <n v="150"/>
    <n v="150"/>
    <x v="0"/>
    <s v="Photovoltaic"/>
    <s v="Not Started"/>
    <m/>
    <n v="0"/>
    <n v="0"/>
    <n v="0"/>
    <n v="0"/>
  </r>
  <r>
    <s v="J2109"/>
    <x v="1"/>
    <d v="2021-08-25T00:00:00"/>
    <d v="2023-10-25T00:00:00"/>
    <m/>
    <d v="2025-10-01T00:00:00"/>
    <s v="ENTERGY LOUISIANA, LLC"/>
    <s v="St. James"/>
    <m/>
    <m/>
    <s v="LA"/>
    <s v="DPP-2021"/>
    <s v="South"/>
    <s v="Phase 3"/>
    <s v="NRIS"/>
    <s v="Vacherie 230 kV"/>
    <n v="25"/>
    <n v="25"/>
    <x v="2"/>
    <s v="Battery Storage"/>
    <s v="Not Started"/>
    <m/>
    <n v="0"/>
    <n v="0"/>
    <n v="0"/>
    <n v="0"/>
  </r>
  <r>
    <s v="J2110"/>
    <x v="1"/>
    <d v="2021-08-25T00:00:00"/>
    <d v="2021-12-09T00:00:00"/>
    <m/>
    <d v="2025-09-16T00:00:00"/>
    <s v="ENTERGY ARKANSAS, LLC"/>
    <s v="Crittenden"/>
    <m/>
    <m/>
    <s v="AR"/>
    <s v="DPP-2021"/>
    <s v="South"/>
    <s v="Phase 3"/>
    <s v="ERIS"/>
    <s v="Gilmore 161kV"/>
    <n v="100"/>
    <n v="100"/>
    <x v="0"/>
    <s v="Photovoltaic"/>
    <m/>
    <m/>
    <n v="0"/>
    <n v="0"/>
    <n v="0"/>
    <n v="0"/>
  </r>
  <r>
    <s v="J2111"/>
    <x v="1"/>
    <d v="2021-08-25T00:00:00"/>
    <d v="2021-12-09T00:00:00"/>
    <m/>
    <d v="2025-09-16T00:00:00"/>
    <s v="ENTERGY ARKANSAS, LLC"/>
    <s v="Crittenden"/>
    <m/>
    <m/>
    <s v="AR"/>
    <s v="DPP-2021"/>
    <s v="South"/>
    <s v="Phase 3"/>
    <s v="ERIS"/>
    <s v="Marion to Marked Tree 161kV"/>
    <n v="100"/>
    <n v="100"/>
    <x v="0"/>
    <s v="Photovoltaic"/>
    <m/>
    <m/>
    <n v="0"/>
    <n v="0"/>
    <n v="0"/>
    <n v="0"/>
  </r>
  <r>
    <s v="J2112"/>
    <x v="1"/>
    <d v="2021-12-01T00:00:00"/>
    <d v="2025-03-07T00:00:00"/>
    <m/>
    <d v="2024-08-01T00:00:00"/>
    <s v="ENTERGY TEXAS, INC."/>
    <s v="Hardin"/>
    <m/>
    <m/>
    <s v="TX"/>
    <s v="DPP-2021"/>
    <s v="South"/>
    <s v="Phase 3"/>
    <s v="NRIS"/>
    <s v="Warren to Kountze 138 kV"/>
    <n v="115"/>
    <n v="115"/>
    <x v="0"/>
    <s v="Photovoltaic"/>
    <s v="Not Started"/>
    <m/>
    <n v="115"/>
    <n v="0"/>
    <n v="0"/>
    <n v="0"/>
  </r>
  <r>
    <s v="J2113"/>
    <x v="1"/>
    <d v="2021-08-12T00:00:00"/>
    <d v="2025-12-18T00:00:00"/>
    <m/>
    <d v="2024-10-30T00:00:00"/>
    <s v="BIG RIVERS ELECTRIC CORPORATION"/>
    <s v="Daviess"/>
    <m/>
    <m/>
    <s v="KY"/>
    <s v="DPP-2021"/>
    <s v="Central"/>
    <s v="Phase 2"/>
    <s v="NRIS"/>
    <s v="Reid - Daviess Co 161 kV"/>
    <n v="200"/>
    <n v="200"/>
    <x v="0"/>
    <s v="Photovoltaic"/>
    <s v="Not Started"/>
    <m/>
    <n v="200"/>
    <n v="0"/>
    <n v="0"/>
    <n v="0"/>
  </r>
  <r>
    <s v="J2114"/>
    <x v="1"/>
    <d v="2021-12-01T00:00:00"/>
    <d v="2025-03-07T00:00:00"/>
    <m/>
    <d v="2024-08-01T00:00:00"/>
    <s v="ENTERGY TEXAS, INC."/>
    <s v="Tyler"/>
    <m/>
    <m/>
    <s v="TX"/>
    <s v="DPP-2021"/>
    <s v="South"/>
    <s v="Phase 3"/>
    <s v="NRIS"/>
    <s v="DOUCETTE  to DEER 138 kV"/>
    <n v="140"/>
    <n v="140"/>
    <x v="5"/>
    <s v="Solar/Battery"/>
    <s v="Not Started"/>
    <m/>
    <n v="140"/>
    <n v="0"/>
    <n v="0"/>
    <n v="0"/>
  </r>
  <r>
    <s v="J2115"/>
    <x v="1"/>
    <d v="2021-08-20T00:00:00"/>
    <d v="2025-12-18T00:00:00"/>
    <m/>
    <d v="2024-09-16T00:00:00"/>
    <s v="AMEREN ILLINOIS"/>
    <s v="Macon"/>
    <m/>
    <m/>
    <s v="IL"/>
    <s v="DPP-2021"/>
    <s v="Central"/>
    <s v="Phase 2"/>
    <s v="NRIS"/>
    <s v="Faraday 138kV"/>
    <n v="98.3"/>
    <n v="98.3"/>
    <x v="1"/>
    <s v="Wind Turbine"/>
    <s v="Not Started"/>
    <m/>
    <n v="98.3"/>
    <n v="98.3"/>
    <n v="0"/>
    <n v="0"/>
  </r>
  <r>
    <s v="J2116"/>
    <x v="2"/>
    <d v="2023-12-08T00:00:00"/>
    <m/>
    <m/>
    <d v="2022-09-01T00:00:00"/>
    <s v="GREAT RIVER ENERGY"/>
    <s v="Cook"/>
    <m/>
    <m/>
    <s v="MN"/>
    <s v="DPP-2021"/>
    <s v="West"/>
    <s v="Phase 2"/>
    <s v="NRIS"/>
    <s v="COVIL"/>
    <n v="18"/>
    <n v="18"/>
    <x v="9"/>
    <s v="Piston (Engine), Internal Combustion (Diesel)"/>
    <s v="Not Started"/>
    <m/>
    <n v="0"/>
    <n v="18"/>
    <n v="18"/>
    <n v="18"/>
  </r>
  <r>
    <s v="J2117"/>
    <x v="1"/>
    <d v="2022-04-05T00:00:00"/>
    <d v="2025-05-05T00:00:00"/>
    <m/>
    <d v="2023-08-01T00:00:00"/>
    <s v="AMERICAN TRANSMISSION COMPANY"/>
    <s v="Wood"/>
    <m/>
    <m/>
    <s v="WI"/>
    <s v="DPP-2021"/>
    <s v="East (ATC)"/>
    <s v="Phase 3"/>
    <s v="NRIS"/>
    <s v="Saratoga - Badger West 138.0kV"/>
    <n v="0"/>
    <n v="0"/>
    <x v="2"/>
    <s v="Battery Storage"/>
    <s v="Not Started"/>
    <m/>
    <n v="0"/>
    <n v="0"/>
    <n v="0"/>
    <n v="0"/>
  </r>
  <r>
    <s v="J2118"/>
    <x v="1"/>
    <d v="2021-09-29T00:00:00"/>
    <d v="2023-09-06T00:00:00"/>
    <m/>
    <d v="2025-10-01T00:00:00"/>
    <s v="METC"/>
    <s v="Monroe"/>
    <m/>
    <m/>
    <s v="MI"/>
    <s v="DPP-2021"/>
    <s v="East (ITC)"/>
    <s v="Phase 3"/>
    <s v="NRIS"/>
    <s v="Whiting - Morocco 138kV"/>
    <n v="125"/>
    <n v="125"/>
    <x v="5"/>
    <s v="Solar/Battery"/>
    <s v="Not Started"/>
    <m/>
    <n v="0"/>
    <n v="0"/>
    <n v="0"/>
    <n v="0"/>
  </r>
  <r>
    <s v="J2119"/>
    <x v="1"/>
    <d v="2022-01-18T00:00:00"/>
    <d v="2025-03-03T00:00:00"/>
    <m/>
    <d v="2025-11-30T00:00:00"/>
    <s v="ITC"/>
    <s v="Hillsdale"/>
    <m/>
    <m/>
    <s v="MI"/>
    <s v="DPP-2021"/>
    <s v="East (ITC)"/>
    <s v="Phase 3"/>
    <s v="NRIS"/>
    <s v="Other_"/>
    <n v="50"/>
    <n v="50"/>
    <x v="0"/>
    <s v="Solar/Battery"/>
    <s v="Not Started"/>
    <m/>
    <n v="30"/>
    <n v="12.6"/>
    <n v="0"/>
    <n v="0"/>
  </r>
  <r>
    <s v="J2120"/>
    <x v="2"/>
    <d v="2021-08-04T00:00:00"/>
    <m/>
    <m/>
    <d v="2025-06-30T00:00:00"/>
    <s v="ITC MIDWEST"/>
    <s v="Linn"/>
    <m/>
    <m/>
    <s v="IA"/>
    <s v="DPP-2021"/>
    <s v="West"/>
    <s v="Phase 2"/>
    <s v="NRIS"/>
    <s v="Fairfax"/>
    <n v="100"/>
    <n v="100"/>
    <x v="2"/>
    <s v="Battery Storage"/>
    <s v="Not Started"/>
    <m/>
    <n v="100"/>
    <n v="100"/>
    <n v="100"/>
    <n v="100"/>
  </r>
  <r>
    <s v="J2121"/>
    <x v="1"/>
    <d v="2021-08-06T00:00:00"/>
    <d v="2024-10-08T00:00:00"/>
    <m/>
    <d v="2024-10-30T00:00:00"/>
    <s v="AMEREN MISSOURI"/>
    <s v="Callaway"/>
    <m/>
    <m/>
    <s v="MO"/>
    <s v="DPP-2021"/>
    <s v="Central"/>
    <s v="Phase 2"/>
    <s v="NRIS"/>
    <s v="McCredie - Overton 345 kV"/>
    <n v="100"/>
    <n v="100"/>
    <x v="0"/>
    <s v="Photovoltaic"/>
    <s v="Not Started"/>
    <m/>
    <n v="0"/>
    <n v="0"/>
    <n v="0"/>
    <n v="0"/>
  </r>
  <r>
    <s v="J2122"/>
    <x v="1"/>
    <d v="2021-08-04T00:00:00"/>
    <d v="2026-06-22T00:00:00"/>
    <m/>
    <d v="2024-06-30T00:00:00"/>
    <s v="ITC MIDWEST"/>
    <s v="Franklin"/>
    <m/>
    <m/>
    <s v="IA"/>
    <s v="DPP-2021"/>
    <s v="West"/>
    <s v="Phase 2"/>
    <s v="NRIS"/>
    <s v="Nuthatch Switching Substation"/>
    <n v="33"/>
    <n v="33"/>
    <x v="1"/>
    <s v="Wind Turbine"/>
    <s v="Not Started"/>
    <m/>
    <n v="33"/>
    <n v="33"/>
    <n v="33"/>
    <n v="33"/>
  </r>
  <r>
    <s v="J2123"/>
    <x v="1"/>
    <d v="2021-09-01T00:00:00"/>
    <d v="2025-12-18T00:00:00"/>
    <m/>
    <d v="2024-08-01T00:00:00"/>
    <s v="SOUTHERN INDIANA GAS &amp; ELECTRIC COMPANY D/B/A CENTERPOINT ENERGY INDIANA SOUTH"/>
    <s v="Dubois"/>
    <m/>
    <m/>
    <s v="IN"/>
    <s v="DPP-2021"/>
    <s v="Central"/>
    <s v="Phase 2"/>
    <s v="NRIS"/>
    <s v="Duff 138KV"/>
    <n v="50"/>
    <n v="50"/>
    <x v="2"/>
    <s v="Battery Storage"/>
    <s v="Not Started"/>
    <m/>
    <n v="50"/>
    <n v="50"/>
    <n v="0"/>
    <n v="0"/>
  </r>
  <r>
    <s v="J2124"/>
    <x v="2"/>
    <d v="2021-08-06T00:00:00"/>
    <m/>
    <m/>
    <d v="2022-12-02T00:00:00"/>
    <s v="AMEREN TRANSMISSION COMPANY OF ILLINOIS"/>
    <s v="Champaign"/>
    <m/>
    <m/>
    <s v="IL"/>
    <s v="DPP-2021"/>
    <s v="Central"/>
    <s v="Phase 2"/>
    <s v="NRIS"/>
    <s v="Rising"/>
    <n v="100"/>
    <n v="100"/>
    <x v="2"/>
    <s v="Battery Storage"/>
    <s v="Not Started"/>
    <m/>
    <n v="100"/>
    <n v="100"/>
    <n v="100"/>
    <n v="100"/>
  </r>
  <r>
    <s v="J2125"/>
    <x v="1"/>
    <d v="2021-08-21T00:00:00"/>
    <d v="2024-08-16T00:00:00"/>
    <m/>
    <d v="2024-04-15T00:00:00"/>
    <s v="AMEREN TRANSMISSION COMPANY OF ILLINOIS"/>
    <s v="Clay"/>
    <m/>
    <m/>
    <s v="IL"/>
    <s v="DPP-2021"/>
    <s v="Central"/>
    <s v="Phase 2"/>
    <s v="NRIS"/>
    <s v="Xenia to W Mt Vernon 345 kV"/>
    <n v="100"/>
    <n v="100"/>
    <x v="0"/>
    <s v="Photovoltaic"/>
    <m/>
    <m/>
    <n v="0"/>
    <n v="0"/>
    <n v="0"/>
    <n v="0"/>
  </r>
  <r>
    <s v="J2126"/>
    <x v="1"/>
    <d v="2021-08-25T00:00:00"/>
    <d v="2024-08-16T00:00:00"/>
    <m/>
    <d v="2024-04-15T00:00:00"/>
    <s v="ENTERGY ARKANSAS, LLC"/>
    <s v="Lonoke"/>
    <m/>
    <m/>
    <s v="AR"/>
    <s v="DPP-2021"/>
    <s v="South"/>
    <s v="Phase 3"/>
    <s v="NRIS"/>
    <s v="Garner SS to Seracy  Price 115kV line"/>
    <n v="100"/>
    <n v="100"/>
    <x v="5"/>
    <s v="Solar/Battery"/>
    <m/>
    <m/>
    <n v="0"/>
    <n v="0"/>
    <n v="0"/>
    <n v="0"/>
  </r>
  <r>
    <s v="J2127"/>
    <x v="0"/>
    <d v="2021-08-23T00:00:00"/>
    <m/>
    <m/>
    <d v="2024-04-15T00:00:00"/>
    <s v="COOPERATIVE ENERGY SMEP"/>
    <s v="Jefferson Davis"/>
    <m/>
    <m/>
    <s v="MS"/>
    <s v="DPP-2021"/>
    <s v="South"/>
    <s v="Phase 3"/>
    <s v="NRIS"/>
    <s v="Silver Creek 115kV"/>
    <n v="172.5"/>
    <n v="172.5"/>
    <x v="5"/>
    <s v="Solar/Battery"/>
    <s v="Not Started"/>
    <d v="2027-07-01T00:00:00"/>
    <n v="172.5"/>
    <n v="172.5"/>
    <n v="172.5"/>
    <n v="0"/>
  </r>
  <r>
    <s v="J2128"/>
    <x v="2"/>
    <d v="2021-08-13T00:00:00"/>
    <m/>
    <m/>
    <d v="2024-08-31T00:00:00"/>
    <s v="AMEREN ILLINOIS"/>
    <s v="Coles"/>
    <m/>
    <m/>
    <s v="IL"/>
    <s v="DPP-2021"/>
    <s v="Central"/>
    <s v="Phase 2"/>
    <s v="ERIS"/>
    <s v="7ARLAND - 7FARADAY 345.0kV"/>
    <n v="300"/>
    <n v="300"/>
    <x v="5"/>
    <s v="Wind/Battery"/>
    <s v="Not Started"/>
    <d v="2026-12-01T00:00:00"/>
    <n v="300"/>
    <n v="300"/>
    <n v="300"/>
    <n v="0"/>
  </r>
  <r>
    <s v="J2129"/>
    <x v="2"/>
    <d v="2021-08-26T00:00:00"/>
    <m/>
    <m/>
    <d v="2024-04-15T00:00:00"/>
    <s v="WOLVERINE POWER SUPPLY COOPERATIVE"/>
    <s v="Barry"/>
    <m/>
    <m/>
    <s v="MI"/>
    <s v="DPP-2021"/>
    <s v="East (ITC)"/>
    <s v="Phase 3"/>
    <s v="NRIS"/>
    <s v="Bradley 138 kV Substation"/>
    <n v="150"/>
    <n v="150"/>
    <x v="5"/>
    <s v="Solar/Battery"/>
    <s v="Not Started"/>
    <d v="2028-04-15T00:00:00"/>
    <n v="150"/>
    <n v="150"/>
    <n v="150"/>
    <n v="150"/>
  </r>
  <r>
    <s v="J2130"/>
    <x v="1"/>
    <d v="2022-03-25T00:00:00"/>
    <d v="2024-10-08T00:00:00"/>
    <m/>
    <d v="2024-04-15T00:00:00"/>
    <s v="DUKE ENERGY INDIANA, LLC"/>
    <s v="Vermillion"/>
    <m/>
    <m/>
    <s v="IN"/>
    <s v="DPP-2021"/>
    <s v="Central"/>
    <s v="Phase 2"/>
    <s v="NRIS"/>
    <s v="Clinton 230kV"/>
    <n v="180"/>
    <n v="180"/>
    <x v="0"/>
    <s v="Photovoltaic"/>
    <s v="Not Started"/>
    <m/>
    <n v="0"/>
    <n v="0"/>
    <n v="0"/>
    <n v="0"/>
  </r>
  <r>
    <s v="J2131"/>
    <x v="2"/>
    <d v="2021-08-16T00:00:00"/>
    <m/>
    <m/>
    <d v="2027-04-15T00:00:00"/>
    <s v="AMEREN ILLINOIS"/>
    <s v="Jasper"/>
    <m/>
    <m/>
    <s v="IL"/>
    <s v="DPP-2021"/>
    <s v="Central"/>
    <s v="Phase 2"/>
    <s v="NRIS"/>
    <s v="7CASEY    - 7NEWTON   345.0kV"/>
    <n v="150"/>
    <n v="150"/>
    <x v="0"/>
    <s v="Photovoltaic"/>
    <s v="Not Started"/>
    <m/>
    <n v="150"/>
    <n v="150"/>
    <n v="150"/>
    <n v="150"/>
  </r>
  <r>
    <s v="J2132"/>
    <x v="1"/>
    <d v="2022-10-31T00:00:00"/>
    <d v="2024-08-16T00:00:00"/>
    <m/>
    <d v="2024-04-15T00:00:00"/>
    <s v="DUKE ENERGY INDIANA, LLC"/>
    <s v="Vermillion"/>
    <m/>
    <m/>
    <s v="IN"/>
    <s v="DPP-2021"/>
    <s v="Central"/>
    <s v="Phase 2"/>
    <s v="NRIS"/>
    <s v="Cayuga 230 kV"/>
    <n v="300"/>
    <n v="300"/>
    <x v="1"/>
    <s v="Wind Turbine"/>
    <s v="Not Started"/>
    <m/>
    <n v="0"/>
    <n v="0"/>
    <n v="0"/>
    <n v="0"/>
  </r>
  <r>
    <s v="J2133"/>
    <x v="0"/>
    <d v="2021-08-26T00:00:00"/>
    <m/>
    <m/>
    <d v="2024-04-15T00:00:00"/>
    <s v="ENTERGY ARKANSAS, LLC EATO"/>
    <s v="White"/>
    <m/>
    <m/>
    <s v="AR"/>
    <s v="DPP-2021"/>
    <s v="South"/>
    <s v="Phase 3"/>
    <s v="NRIS"/>
    <s v="Garner 115 kV Substation"/>
    <n v="100"/>
    <n v="100"/>
    <x v="5"/>
    <s v="Solar/Battery"/>
    <s v="Not Started"/>
    <m/>
    <n v="100"/>
    <n v="100"/>
    <n v="100"/>
    <n v="0"/>
  </r>
  <r>
    <s v="J2134"/>
    <x v="1"/>
    <d v="2021-11-30T00:00:00"/>
    <d v="2026-01-13T00:00:00"/>
    <m/>
    <d v="2024-10-31T00:00:00"/>
    <s v="ENTERGY ARKANSAS, LLC"/>
    <s v="Grant"/>
    <m/>
    <m/>
    <s v="AR"/>
    <s v="DPP-2021"/>
    <s v="South"/>
    <s v="Phase 3"/>
    <s v="NRIS"/>
    <s v="WHITE BLUFF EHV - WRIGHTSVILLE 115.0kV"/>
    <n v="200"/>
    <n v="200"/>
    <x v="0"/>
    <s v="Photovoltaic"/>
    <s v="Not Started"/>
    <m/>
    <n v="195"/>
    <n v="195"/>
    <n v="195"/>
    <n v="0"/>
  </r>
  <r>
    <s v="J2135"/>
    <x v="1"/>
    <d v="2021-08-11T00:00:00"/>
    <d v="2025-03-07T00:00:00"/>
    <m/>
    <d v="2024-11-30T00:00:00"/>
    <s v="CLECO POWER LLC"/>
    <s v="Evangeline"/>
    <m/>
    <m/>
    <s v="LA"/>
    <s v="DPP-2021"/>
    <s v="South"/>
    <s v="Phase 3"/>
    <s v="NRIS"/>
    <s v="Ville Platte - West Fork 230kV"/>
    <n v="200"/>
    <n v="200"/>
    <x v="0"/>
    <s v="Photovoltaic"/>
    <s v="Not Started"/>
    <m/>
    <n v="200"/>
    <n v="0"/>
    <n v="0"/>
    <n v="0"/>
  </r>
  <r>
    <s v="J2136"/>
    <x v="2"/>
    <d v="2022-03-23T00:00:00"/>
    <m/>
    <m/>
    <d v="2024-09-01T00:00:00"/>
    <s v="AMEREN ILLINOIS"/>
    <s v="Iroquois"/>
    <m/>
    <m/>
    <s v="IL"/>
    <s v="DPP-2021"/>
    <s v="Central"/>
    <s v="Phase 2"/>
    <s v="NRIS"/>
    <s v="Gilman South"/>
    <n v="190.9"/>
    <n v="190.9"/>
    <x v="0"/>
    <s v="Photovoltaic"/>
    <s v="Not Started"/>
    <m/>
    <n v="190.9"/>
    <n v="190.9"/>
    <n v="190.9"/>
    <n v="190.9"/>
  </r>
  <r>
    <s v="J2137"/>
    <x v="1"/>
    <d v="2021-10-26T00:00:00"/>
    <d v="2021-12-08T00:00:00"/>
    <m/>
    <d v="2024-10-15T00:00:00"/>
    <s v="BIG RIVERS ELECTRIC CORPORATION"/>
    <s v="Ohio"/>
    <m/>
    <m/>
    <s v="KY"/>
    <s v="DPP-2021"/>
    <s v="Central"/>
    <s v="Phase 2"/>
    <s v="NRIS"/>
    <s v="345 kV Wilson Substation"/>
    <n v="78.23"/>
    <n v="78.23"/>
    <x v="5"/>
    <s v="Solar/Battery"/>
    <m/>
    <m/>
    <n v="0"/>
    <n v="0"/>
    <n v="0"/>
    <n v="0"/>
  </r>
  <r>
    <s v="J2138"/>
    <x v="1"/>
    <d v="2021-09-14T00:00:00"/>
    <d v="2025-03-07T00:00:00"/>
    <m/>
    <d v="2024-10-31T00:00:00"/>
    <s v="ENTERGY TEXAS, INC."/>
    <s v="Hardin"/>
    <m/>
    <m/>
    <s v="TX"/>
    <s v="DPP-2021"/>
    <s v="South"/>
    <s v="Phase 3"/>
    <s v="NRIS"/>
    <s v="Rye Co - Cypress 138kV"/>
    <n v="0"/>
    <n v="0"/>
    <x v="2"/>
    <s v="Battery Storage"/>
    <s v="Not Started"/>
    <m/>
    <n v="0"/>
    <n v="0"/>
    <n v="0"/>
    <n v="0"/>
  </r>
  <r>
    <s v="J2139"/>
    <x v="2"/>
    <d v="2021-09-02T00:00:00"/>
    <m/>
    <m/>
    <d v="2024-09-01T00:00:00"/>
    <s v="ITC"/>
    <s v="Livingston"/>
    <m/>
    <m/>
    <s v="MI"/>
    <s v="DPP-2021"/>
    <s v="East (ITC)"/>
    <s v="Phase 3"/>
    <s v="NRIS"/>
    <s v="BLACKFOOT - MADRID 345.0kV"/>
    <n v="250"/>
    <n v="250"/>
    <x v="5"/>
    <s v="Solar/Battery"/>
    <s v="Not Started"/>
    <d v="2029-01-26T00:00:00"/>
    <n v="250"/>
    <n v="250"/>
    <n v="250"/>
    <n v="250"/>
  </r>
  <r>
    <s v="J2140"/>
    <x v="1"/>
    <d v="2021-09-14T00:00:00"/>
    <d v="2023-10-25T00:00:00"/>
    <m/>
    <d v="2024-10-31T00:00:00"/>
    <s v="ENTERGY ARKANSAS, LLC"/>
    <s v="Monroe"/>
    <m/>
    <m/>
    <s v="AR"/>
    <s v="DPP-2021"/>
    <s v="South"/>
    <s v="Phase 3"/>
    <s v="NRIS"/>
    <s v="Brinkley East to Clarendon 115 kV"/>
    <n v="0"/>
    <n v="0"/>
    <x v="2"/>
    <s v="Battery Storage"/>
    <s v="Not Started"/>
    <m/>
    <n v="0"/>
    <n v="0"/>
    <n v="0"/>
    <n v="0"/>
  </r>
  <r>
    <s v="J2141"/>
    <x v="1"/>
    <d v="2021-09-14T00:00:00"/>
    <d v="2023-10-25T00:00:00"/>
    <m/>
    <d v="2024-10-31T00:00:00"/>
    <s v="ENTERGY ARKANSAS, LLC"/>
    <s v="Monroe"/>
    <m/>
    <m/>
    <s v="AR"/>
    <s v="DPP-2021"/>
    <s v="South"/>
    <s v="Phase 3"/>
    <s v="NRIS"/>
    <s v="Brinkley East to Clarendon 115 kV"/>
    <n v="100"/>
    <n v="100"/>
    <x v="0"/>
    <s v="Photovoltaic"/>
    <s v="Not Started"/>
    <m/>
    <n v="0"/>
    <n v="0"/>
    <n v="0"/>
    <n v="0"/>
  </r>
  <r>
    <s v="J2142"/>
    <x v="3"/>
    <d v="2021-11-03T00:00:00"/>
    <m/>
    <m/>
    <d v="2024-08-01T00:00:00"/>
    <s v="AMEREN MISSOURI"/>
    <s v="Adair"/>
    <m/>
    <m/>
    <s v="MO"/>
    <s v="DPP-2021"/>
    <s v="Central"/>
    <s v="Phase 2"/>
    <s v="NRIS"/>
    <s v="Maywood - Zachary 345 kV line"/>
    <n v="150"/>
    <n v="150"/>
    <x v="5"/>
    <s v="Solar/Battery"/>
    <s v="Not Started"/>
    <m/>
    <n v="150"/>
    <n v="150"/>
    <n v="150"/>
    <n v="150"/>
  </r>
  <r>
    <s v="J2143"/>
    <x v="0"/>
    <d v="2021-10-15T00:00:00"/>
    <m/>
    <m/>
    <d v="2025-02-15T00:00:00"/>
    <s v="ENTERGY ARKANSAS, LLC EATO"/>
    <s v="Chicot"/>
    <m/>
    <m/>
    <s v="AR"/>
    <s v="DPP-2021"/>
    <s v="South"/>
    <s v="Phase 3"/>
    <s v="NRIS"/>
    <s v="Lake Village Bagby 115 KV"/>
    <n v="250"/>
    <n v="250"/>
    <x v="0"/>
    <s v="Photovoltaic"/>
    <s v="Not Started"/>
    <d v="2027-03-01T00:00:00"/>
    <n v="250"/>
    <n v="0"/>
    <n v="250"/>
    <n v="0"/>
  </r>
  <r>
    <s v="J2144"/>
    <x v="1"/>
    <d v="2021-09-02T00:00:00"/>
    <d v="2021-12-08T00:00:00"/>
    <m/>
    <d v="2024-10-01T00:00:00"/>
    <s v="NORTHERN INDIANA PUBLIC SERVICE COMPANY LLC"/>
    <s v="Jasper"/>
    <m/>
    <m/>
    <s v="IN"/>
    <s v="DPP-2021"/>
    <s v="Central"/>
    <s v="Phase 2"/>
    <s v="NRIS"/>
    <s v="Schahfer 345 kV Sub"/>
    <n v="155.19999999999999"/>
    <n v="195"/>
    <x v="5"/>
    <s v="Combustion Turbine (Simple Cycle)"/>
    <m/>
    <m/>
    <n v="0"/>
    <n v="0"/>
    <n v="0"/>
    <n v="0"/>
  </r>
  <r>
    <s v="J2145"/>
    <x v="1"/>
    <d v="2021-11-29T00:00:00"/>
    <d v="2025-12-18T00:00:00"/>
    <m/>
    <d v="2024-10-15T00:00:00"/>
    <s v="BIG RIVERS ELECTRIC CORPORATION"/>
    <s v="Ohio"/>
    <m/>
    <m/>
    <s v="KY"/>
    <s v="DPP-2021"/>
    <s v="Central"/>
    <s v="Phase 2"/>
    <s v="NRIS"/>
    <s v="Wilson EHV"/>
    <n v="50"/>
    <n v="50"/>
    <x v="5"/>
    <s v="Solar/Battery"/>
    <s v="Not Started"/>
    <m/>
    <n v="50"/>
    <n v="50"/>
    <n v="0"/>
    <n v="0"/>
  </r>
  <r>
    <s v="J2146"/>
    <x v="1"/>
    <d v="2021-11-30T00:00:00"/>
    <d v="2025-12-18T00:00:00"/>
    <m/>
    <d v="2024-11-30T00:00:00"/>
    <s v="BIG RIVERS ELECTRIC CORPORATION"/>
    <s v="Hopkins"/>
    <m/>
    <m/>
    <s v="KY"/>
    <s v="DPP-2021"/>
    <s v="Central"/>
    <s v="Phase 2"/>
    <s v="NRIS"/>
    <s v="Hopkins County 161kV Substation"/>
    <n v="45"/>
    <n v="45"/>
    <x v="0"/>
    <s v="Photovoltaic"/>
    <s v="Not Started"/>
    <m/>
    <n v="45"/>
    <n v="0"/>
    <n v="0"/>
    <n v="0"/>
  </r>
  <r>
    <s v="J2147"/>
    <x v="1"/>
    <d v="2021-11-24T00:00:00"/>
    <d v="2024-10-08T00:00:00"/>
    <m/>
    <d v="2024-11-30T00:00:00"/>
    <s v="BIG RIVERS ELECTRIC CORPORATION"/>
    <s v="Daviess"/>
    <m/>
    <m/>
    <s v="KY"/>
    <s v="DPP-2021"/>
    <s v="Central"/>
    <s v="Phase 2"/>
    <s v="NRIS"/>
    <s v="Daviess County - Utica 69kV"/>
    <n v="56"/>
    <n v="56"/>
    <x v="0"/>
    <s v="Photovoltaic"/>
    <s v="Not Started"/>
    <m/>
    <n v="0"/>
    <n v="0"/>
    <n v="0"/>
    <n v="0"/>
  </r>
  <r>
    <s v="J2148"/>
    <x v="1"/>
    <d v="2021-10-18T00:00:00"/>
    <d v="2025-11-12T00:00:00"/>
    <m/>
    <d v="2028-12-31T00:00:00"/>
    <s v="AMERICAN TRANSMISSION COMPANY"/>
    <s v="Outagamie"/>
    <m/>
    <m/>
    <s v="WI"/>
    <s v="DPP-2021"/>
    <s v="East (ATC)"/>
    <s v="Phase 3"/>
    <s v="NRIS"/>
    <s v="Werner West 138 kV"/>
    <n v="200"/>
    <n v="200"/>
    <x v="0"/>
    <s v="Photovoltaic"/>
    <s v="Not Started"/>
    <m/>
    <n v="150"/>
    <n v="150"/>
    <n v="150"/>
    <n v="150"/>
  </r>
  <r>
    <s v="J2149"/>
    <x v="1"/>
    <d v="2021-11-30T00:00:00"/>
    <d v="2026-01-13T00:00:00"/>
    <m/>
    <d v="2024-10-31T00:00:00"/>
    <s v="ENTERGY ARKANSAS, LLC"/>
    <s v="Saline"/>
    <m/>
    <m/>
    <s v="AR"/>
    <s v="DPP-2021"/>
    <s v="South"/>
    <s v="Phase 3"/>
    <s v="NRIS"/>
    <s v="WHITE BLUFF EHV - HENSLEY 115.0kV"/>
    <n v="240"/>
    <n v="240"/>
    <x v="0"/>
    <s v="Photovoltaic"/>
    <s v="Not Started"/>
    <m/>
    <n v="112"/>
    <n v="112"/>
    <n v="112"/>
    <n v="0"/>
  </r>
  <r>
    <s v="J2150"/>
    <x v="1"/>
    <d v="2022-03-28T00:00:00"/>
    <d v="2024-10-08T00:00:00"/>
    <m/>
    <d v="2024-09-30T00:00:00"/>
    <s v="DUKE ENERGY INDIANA, LLC"/>
    <s v="Jefferson"/>
    <m/>
    <m/>
    <s v="IN"/>
    <s v="DPP-2021"/>
    <s v="Central"/>
    <s v="Phase 2"/>
    <s v="NRIS"/>
    <s v="Madison 138 kV"/>
    <n v="100"/>
    <n v="100"/>
    <x v="0"/>
    <s v="Photovoltaic"/>
    <s v="Not Started"/>
    <m/>
    <n v="0"/>
    <n v="0"/>
    <n v="0"/>
    <n v="0"/>
  </r>
  <r>
    <s v="J2151"/>
    <x v="2"/>
    <d v="2021-08-12T00:00:00"/>
    <m/>
    <m/>
    <d v="2025-08-01T00:00:00"/>
    <s v="AMEREN ILLINOIS"/>
    <s v="Saline"/>
    <m/>
    <m/>
    <s v="IL"/>
    <s v="DPP-2021"/>
    <s v="Central"/>
    <s v="Phase 2"/>
    <s v="NRIS"/>
    <s v="Muddy to West Frankfort 138 kV line"/>
    <n v="150"/>
    <n v="150"/>
    <x v="5"/>
    <s v="Solar/Battery"/>
    <s v="Not Started"/>
    <m/>
    <n v="150"/>
    <n v="150"/>
    <n v="135"/>
    <n v="135"/>
  </r>
  <r>
    <s v="J2152"/>
    <x v="0"/>
    <d v="2023-11-30T00:00:00"/>
    <m/>
    <m/>
    <d v="2025-09-01T00:00:00"/>
    <s v="ENTERGY LOUISIANA, LLC ELTO"/>
    <s v="Tangipahoa"/>
    <m/>
    <m/>
    <s v="LA"/>
    <s v="DPP-2021"/>
    <s v="South"/>
    <s v="Phase 3"/>
    <s v="ERIS"/>
    <s v="INDEPENDENCE [LA] - HAMMOND 230.0kV"/>
    <n v="120"/>
    <n v="120"/>
    <x v="5"/>
    <s v="Solar/Battery"/>
    <s v="Not Started"/>
    <m/>
    <n v="120"/>
    <n v="0"/>
    <n v="120"/>
    <n v="0"/>
  </r>
  <r>
    <s v="J2153"/>
    <x v="0"/>
    <d v="2021-08-11T00:00:00"/>
    <m/>
    <m/>
    <d v="2025-09-01T00:00:00"/>
    <s v="ENTERGY ARKANSAS, LLC EATO"/>
    <s v="Ashley"/>
    <m/>
    <m/>
    <s v="AR"/>
    <s v="DPP-2021"/>
    <s v="South"/>
    <s v="Phase 3"/>
    <s v="NRIS"/>
    <s v="Ashley Switchyard"/>
    <n v="200"/>
    <n v="200"/>
    <x v="5"/>
    <s v="Solar/Battery"/>
    <s v="Not Started"/>
    <d v="2027-04-30T00:00:00"/>
    <n v="145"/>
    <n v="0"/>
    <n v="134"/>
    <n v="0"/>
  </r>
  <r>
    <s v="J2154"/>
    <x v="1"/>
    <d v="2021-08-12T00:00:00"/>
    <d v="2025-03-07T00:00:00"/>
    <m/>
    <d v="2024-10-01T00:00:00"/>
    <s v="ENTERGY LOUISIANA, LLC"/>
    <s v="Calcasieu"/>
    <m/>
    <m/>
    <s v="LA"/>
    <s v="DPP-2021"/>
    <s v="South"/>
    <s v="Phase 3"/>
    <s v="ERIS"/>
    <s v="Carlyss - Nelson 230kV"/>
    <n v="150"/>
    <n v="150"/>
    <x v="5"/>
    <s v="Solar/Battery"/>
    <s v="Not Started"/>
    <m/>
    <n v="150"/>
    <n v="0"/>
    <n v="0"/>
    <n v="0"/>
  </r>
  <r>
    <s v="J2155"/>
    <x v="2"/>
    <d v="2022-03-28T00:00:00"/>
    <m/>
    <m/>
    <d v="2024-05-31T00:00:00"/>
    <s v="AMEREN MISSOURI"/>
    <s v="New Madrid"/>
    <m/>
    <m/>
    <s v="MO"/>
    <s v="DPP-2021"/>
    <s v="Central"/>
    <s v="Phase 2"/>
    <s v="NRIS"/>
    <s v="Other_"/>
    <n v="150"/>
    <n v="150"/>
    <x v="0"/>
    <s v="Photovoltaic"/>
    <s v="Not Started"/>
    <m/>
    <n v="150"/>
    <n v="150"/>
    <n v="150"/>
    <n v="150"/>
  </r>
  <r>
    <s v="J2156"/>
    <x v="2"/>
    <d v="2022-06-28T00:00:00"/>
    <m/>
    <m/>
    <d v="2024-05-31T00:00:00"/>
    <s v="AMEREN ILLINOIS"/>
    <s v="Johnson"/>
    <m/>
    <m/>
    <s v="IL"/>
    <s v="DPP-2021"/>
    <s v="Central"/>
    <s v="Phase 2"/>
    <s v="NRIS"/>
    <s v="Massac - Jordan 345kV"/>
    <n v="150"/>
    <n v="150"/>
    <x v="0"/>
    <s v="Photovoltaic"/>
    <s v="Not Started"/>
    <m/>
    <n v="150"/>
    <n v="150"/>
    <n v="150"/>
    <n v="150"/>
  </r>
  <r>
    <s v="J2157"/>
    <x v="2"/>
    <d v="2021-08-25T00:00:00"/>
    <m/>
    <m/>
    <d v="2025-05-01T00:00:00"/>
    <s v="MINNESOTA POWER INC."/>
    <s v="Morton"/>
    <m/>
    <m/>
    <s v="ND"/>
    <s v="DPP-2021"/>
    <s v="West"/>
    <s v="Phase 2"/>
    <s v="NRIS"/>
    <s v="Tri-County 230 kV Substation"/>
    <n v="100"/>
    <n v="100"/>
    <x v="1"/>
    <s v="Wind Turbine"/>
    <s v="Not Started"/>
    <m/>
    <n v="100"/>
    <n v="100"/>
    <n v="100"/>
    <n v="100"/>
  </r>
  <r>
    <s v="J2158"/>
    <x v="1"/>
    <d v="2021-08-24T00:00:00"/>
    <d v="2025-12-18T00:00:00"/>
    <m/>
    <d v="2024-08-31T00:00:00"/>
    <s v="AMEREN ILLINOIS"/>
    <s v="Clark"/>
    <m/>
    <m/>
    <s v="IL"/>
    <s v="DPP-2021"/>
    <s v="Central"/>
    <s v="Phase 2"/>
    <s v="NRIS"/>
    <s v="Hutsonville - Neoga 138KV"/>
    <n v="50"/>
    <n v="50"/>
    <x v="0"/>
    <s v="Photovoltaic"/>
    <s v="Not Started"/>
    <m/>
    <n v="50"/>
    <n v="50"/>
    <n v="0"/>
    <n v="0"/>
  </r>
  <r>
    <s v="J2159"/>
    <x v="3"/>
    <d v="2021-08-24T00:00:00"/>
    <m/>
    <m/>
    <d v="2024-08-31T00:00:00"/>
    <s v="AMEREN ILLINOIS"/>
    <s v="Clark"/>
    <m/>
    <m/>
    <s v="IL"/>
    <s v="DPP-2021"/>
    <s v="Central"/>
    <s v="Phase 2"/>
    <s v="NRIS"/>
    <s v="Hutsonville - Neoga 138KV"/>
    <n v="50"/>
    <n v="50"/>
    <x v="2"/>
    <s v="Battery Storage"/>
    <s v="Not Started"/>
    <m/>
    <n v="50"/>
    <n v="50"/>
    <n v="50"/>
    <n v="40"/>
  </r>
  <r>
    <s v="J2160"/>
    <x v="1"/>
    <d v="2021-09-01T00:00:00"/>
    <d v="2025-12-18T00:00:00"/>
    <m/>
    <d v="2024-08-01T00:00:00"/>
    <s v="DUKE ENERGY INDIANA, LLC"/>
    <s v="Bartholomew"/>
    <m/>
    <m/>
    <s v="IN"/>
    <s v="DPP-2021"/>
    <s v="Central"/>
    <s v="Phase 2"/>
    <s v="NRIS"/>
    <s v="Gallagher to Columbus 230KV"/>
    <n v="50"/>
    <n v="50"/>
    <x v="2"/>
    <s v="Battery Storage"/>
    <s v="Not Started"/>
    <m/>
    <n v="50"/>
    <n v="50"/>
    <n v="0"/>
    <n v="0"/>
  </r>
  <r>
    <s v="J2161"/>
    <x v="1"/>
    <d v="2021-08-31T00:00:00"/>
    <d v="2025-12-18T00:00:00"/>
    <m/>
    <d v="2024-08-31T00:00:00"/>
    <s v="AMEREN TRANSMISSION COMPANY OF ILLINOIS"/>
    <s v="Fulton"/>
    <m/>
    <m/>
    <s v="IL"/>
    <s v="DPP-2021"/>
    <s v="Central"/>
    <s v="Phase 2"/>
    <s v="NRIS"/>
    <s v="Ipava 138KV"/>
    <n v="50"/>
    <n v="50"/>
    <x v="2"/>
    <s v="Battery Storage"/>
    <s v="Not Started"/>
    <m/>
    <n v="50"/>
    <n v="50"/>
    <n v="0"/>
    <n v="0"/>
  </r>
  <r>
    <s v="J2162"/>
    <x v="1"/>
    <d v="2021-08-13T00:00:00"/>
    <d v="2025-03-07T00:00:00"/>
    <m/>
    <d v="2024-08-31T00:00:00"/>
    <s v="ENTERGY MISSISSIPPI, LLC."/>
    <s v="Leflore"/>
    <m/>
    <m/>
    <s v="MS"/>
    <s v="DPP-2021"/>
    <s v="South"/>
    <s v="Phase 3"/>
    <s v="NRIS"/>
    <s v="Itta Benna - Moorhead 115KV"/>
    <n v="100"/>
    <n v="100"/>
    <x v="0"/>
    <s v="Photovoltaic"/>
    <s v="Not Started"/>
    <m/>
    <n v="100"/>
    <n v="100"/>
    <n v="0"/>
    <n v="0"/>
  </r>
  <r>
    <s v="J2163"/>
    <x v="1"/>
    <d v="2022-07-13T00:00:00"/>
    <d v="2025-03-07T00:00:00"/>
    <m/>
    <d v="2024-10-31T00:00:00"/>
    <s v="ENTERGY LOUISIANA, LLC"/>
    <s v="Calcasieu"/>
    <m/>
    <m/>
    <s v="LA"/>
    <s v="DPP-2021"/>
    <s v="South"/>
    <s v="Phase 3"/>
    <s v="NRIS"/>
    <s v="230 kV: Penton Road to Roy S Nelson 230 kV"/>
    <n v="200"/>
    <n v="200"/>
    <x v="0"/>
    <s v="Photovoltaic"/>
    <s v="Not Started"/>
    <m/>
    <n v="200"/>
    <n v="200"/>
    <n v="0"/>
    <n v="0"/>
  </r>
  <r>
    <s v="J2164"/>
    <x v="1"/>
    <d v="2021-08-12T00:00:00"/>
    <d v="2025-12-18T00:00:00"/>
    <m/>
    <d v="2024-10-30T00:00:00"/>
    <s v="INDIANAPOLIS POWER &amp; LIGHT COMPANY"/>
    <s v="Pike"/>
    <m/>
    <m/>
    <s v="IN"/>
    <s v="DPP-2021"/>
    <s v="Central"/>
    <s v="Phase 2"/>
    <s v="NRIS"/>
    <s v="Petersburg 345 kV"/>
    <n v="250"/>
    <n v="250"/>
    <x v="0"/>
    <s v="Photovoltaic"/>
    <s v="Not Started"/>
    <m/>
    <n v="250"/>
    <n v="0"/>
    <n v="0"/>
    <n v="0"/>
  </r>
  <r>
    <s v="J2165"/>
    <x v="0"/>
    <d v="2021-11-03T00:00:00"/>
    <m/>
    <m/>
    <d v="2023-11-01T00:00:00"/>
    <s v="ENTERGY TEXAS, INC. ETTO"/>
    <s v="Liberty"/>
    <m/>
    <m/>
    <s v="TX"/>
    <s v="DPP-2021"/>
    <s v="South"/>
    <s v="Phase 3"/>
    <s v="ERIS"/>
    <s v="JACINTO - SHECO BATISTE CREEK 230.0kV"/>
    <n v="145"/>
    <n v="145"/>
    <x v="0"/>
    <s v="Photovoltaic"/>
    <s v="Not Started"/>
    <d v="2027-10-01T00:00:00"/>
    <n v="145"/>
    <n v="0"/>
    <n v="145"/>
    <n v="0"/>
  </r>
  <r>
    <s v="J2166"/>
    <x v="1"/>
    <d v="2021-08-17T00:00:00"/>
    <d v="2021-12-09T00:00:00"/>
    <m/>
    <d v="2025-04-01T00:00:00"/>
    <s v="MIDAMERICAN ENERGY CO."/>
    <s v="Taylor"/>
    <m/>
    <m/>
    <s v="IA"/>
    <s v="DPP-2021"/>
    <s v="West"/>
    <s v="Phase 2"/>
    <s v="NRIS"/>
    <s v="Clarinda - Braddyville 161 kV line"/>
    <n v="200"/>
    <n v="200"/>
    <x v="0"/>
    <s v="Photovoltaic"/>
    <s v="Not Started"/>
    <m/>
    <n v="0"/>
    <n v="0"/>
    <n v="0"/>
    <n v="0"/>
  </r>
  <r>
    <s v="J2167"/>
    <x v="1"/>
    <d v="2021-11-03T00:00:00"/>
    <d v="2023-10-25T00:00:00"/>
    <m/>
    <d v="2023-10-31T00:00:00"/>
    <s v="ENTERGY LOUISIANA, LLC"/>
    <s v="Calcasieu"/>
    <m/>
    <m/>
    <s v="LA"/>
    <s v="DPP-2021"/>
    <s v="South"/>
    <s v="Phase 3"/>
    <s v="NRIS"/>
    <s v="Chalkley - Solac 230kV"/>
    <n v="198"/>
    <n v="198"/>
    <x v="0"/>
    <s v="Photovoltaic"/>
    <s v="Not Started"/>
    <m/>
    <n v="0"/>
    <n v="0"/>
    <n v="0"/>
    <n v="0"/>
  </r>
  <r>
    <s v="J2168"/>
    <x v="1"/>
    <d v="2021-08-13T00:00:00"/>
    <d v="2023-10-25T00:00:00"/>
    <m/>
    <d v="2024-12-31T00:00:00"/>
    <s v="ENTERGY TEXAS, INC."/>
    <s v="Jefferson"/>
    <m/>
    <m/>
    <s v="TX"/>
    <s v="DPP-2021"/>
    <s v="South"/>
    <s v="Phase 3"/>
    <s v="NRIS"/>
    <s v="China Substation"/>
    <n v="693"/>
    <n v="693"/>
    <x v="0"/>
    <s v="Photovoltaic"/>
    <s v="Not Started"/>
    <m/>
    <n v="0"/>
    <n v="0"/>
    <n v="0"/>
    <n v="0"/>
  </r>
  <r>
    <s v="J2169"/>
    <x v="1"/>
    <d v="2021-08-17T00:00:00"/>
    <d v="2025-03-07T00:00:00"/>
    <m/>
    <d v="2023-10-31T00:00:00"/>
    <s v="CLECO POWER LLC"/>
    <s v="Beauregard"/>
    <m/>
    <m/>
    <s v="LA"/>
    <s v="DPP-2021"/>
    <s v="South"/>
    <s v="Phase 3"/>
    <s v="NRIS"/>
    <s v="Deridder - Centennial 138-kV"/>
    <n v="98.9"/>
    <n v="98.9"/>
    <x v="0"/>
    <s v="Photovoltaic"/>
    <s v="Not Started"/>
    <m/>
    <n v="99"/>
    <n v="99"/>
    <n v="0"/>
    <n v="0"/>
  </r>
  <r>
    <s v="J2170"/>
    <x v="3"/>
    <d v="2022-04-05T00:00:00"/>
    <m/>
    <m/>
    <d v="2024-01-01T00:00:00"/>
    <s v="AMEREN ILLINOIS"/>
    <s v="Clark"/>
    <m/>
    <m/>
    <s v="IL"/>
    <s v="DPP-2021"/>
    <s v="Central"/>
    <s v="Phase 2"/>
    <s v="NRIS"/>
    <s v="Snyder 345 kV (J1180/J1475 POI)"/>
    <n v="150"/>
    <n v="150"/>
    <x v="2"/>
    <s v="Battery Storage"/>
    <s v="Not Started"/>
    <m/>
    <n v="150"/>
    <n v="150"/>
    <n v="150"/>
    <n v="150"/>
  </r>
  <r>
    <s v="J2171"/>
    <x v="2"/>
    <d v="2022-03-25T00:00:00"/>
    <m/>
    <m/>
    <d v="2024-05-01T00:00:00"/>
    <s v="AMEREN ILLINOIS"/>
    <s v="Perry"/>
    <m/>
    <m/>
    <s v="IL"/>
    <s v="DPP-2021"/>
    <s v="Central"/>
    <s v="Phase 2"/>
    <s v="NRIS"/>
    <s v="Aster to Commodore"/>
    <n v="500"/>
    <n v="500"/>
    <x v="0"/>
    <s v="Solar/Wind"/>
    <s v="Not Started"/>
    <m/>
    <n v="500"/>
    <n v="500"/>
    <n v="500"/>
    <n v="500"/>
  </r>
  <r>
    <s v="J2172"/>
    <x v="1"/>
    <d v="2022-03-28T00:00:00"/>
    <d v="2025-12-18T00:00:00"/>
    <m/>
    <d v="2025-11-30T00:00:00"/>
    <s v="AMEREN ILLINOIS"/>
    <s v="McDonough"/>
    <m/>
    <m/>
    <s v="IL"/>
    <s v="DPP-2021"/>
    <s v="Central"/>
    <s v="Phase 2"/>
    <s v="NRIS"/>
    <s v="Macomb Northeast"/>
    <n v="100"/>
    <n v="100"/>
    <x v="5"/>
    <s v="Solar/Battery"/>
    <s v="Not Started"/>
    <m/>
    <n v="75"/>
    <n v="75"/>
    <n v="0"/>
    <n v="0"/>
  </r>
  <r>
    <s v="J2173"/>
    <x v="0"/>
    <d v="2021-08-23T00:00:00"/>
    <m/>
    <m/>
    <d v="2024-04-15T00:00:00"/>
    <s v="ENTERGY MISSISSIPPI, LLC. EMTO"/>
    <s v="Hinds"/>
    <m/>
    <m/>
    <s v="MS"/>
    <s v="DPP-2021"/>
    <s v="South"/>
    <s v="Phase 3"/>
    <s v="NRIS"/>
    <s v="BOLTON"/>
    <n v="396"/>
    <n v="396"/>
    <x v="5"/>
    <s v="Solar/Battery"/>
    <s v="Not Started"/>
    <d v="2027-12-15T00:00:00"/>
    <n v="396"/>
    <n v="396"/>
    <n v="396"/>
    <n v="0"/>
  </r>
  <r>
    <s v="J2174"/>
    <x v="1"/>
    <d v="2021-08-22T00:00:00"/>
    <d v="2025-01-10T00:00:00"/>
    <m/>
    <d v="2025-03-31T00:00:00"/>
    <s v="ENTERGY MISSISSIPPI, LLC."/>
    <s v="Tunica"/>
    <m/>
    <m/>
    <s v="MS"/>
    <s v="DPP-2021"/>
    <s v="South"/>
    <s v="Phase 3"/>
    <s v="NRIS"/>
    <s v="ROBINSONVILLE - TUNICA 230/115 SUB 230.0kV"/>
    <n v="390"/>
    <n v="390"/>
    <x v="0"/>
    <s v="Photovoltaic"/>
    <s v="Not Started"/>
    <m/>
    <n v="0"/>
    <n v="0"/>
    <n v="0"/>
    <n v="0"/>
  </r>
  <r>
    <s v="J2175"/>
    <x v="1"/>
    <d v="2021-08-24T00:00:00"/>
    <d v="2023-10-25T00:00:00"/>
    <m/>
    <d v="2025-03-31T00:00:00"/>
    <s v="ENTERGY LOUISIANA, LLC"/>
    <s v="Washington"/>
    <m/>
    <m/>
    <s v="MS"/>
    <s v="DPP-2021"/>
    <s v="South"/>
    <s v="Phase 3"/>
    <s v="NRIS"/>
    <s v="Indianola to Gerald Andrus 230 kV"/>
    <n v="350"/>
    <n v="350"/>
    <x v="0"/>
    <s v="Photovoltaic"/>
    <s v="Not Started"/>
    <m/>
    <n v="0"/>
    <n v="0"/>
    <n v="0"/>
    <n v="0"/>
  </r>
  <r>
    <s v="J2176"/>
    <x v="1"/>
    <d v="2021-08-24T00:00:00"/>
    <d v="2023-10-25T00:00:00"/>
    <m/>
    <d v="2025-03-31T00:00:00"/>
    <s v="ENTERGY LOUISIANA, LLC"/>
    <s v="Calcasieu"/>
    <m/>
    <m/>
    <s v="LA"/>
    <s v="DPP-2021"/>
    <s v="South"/>
    <s v="Phase 3"/>
    <s v="NRIS"/>
    <s v="Hartburg - Rhodes 500 kV"/>
    <n v="680"/>
    <n v="680"/>
    <x v="0"/>
    <s v="Photovoltaic"/>
    <s v="Not Started"/>
    <m/>
    <n v="0"/>
    <n v="0"/>
    <n v="0"/>
    <n v="0"/>
  </r>
  <r>
    <s v="J2177"/>
    <x v="2"/>
    <d v="2021-08-09T00:00:00"/>
    <m/>
    <m/>
    <d v="2024-10-30T00:00:00"/>
    <s v="DUKE ENERGY INDIANA, LLC CIN"/>
    <s v="Tipton"/>
    <m/>
    <m/>
    <s v="IN"/>
    <s v="DPP-2021"/>
    <s v="Central"/>
    <s v="Phase 2"/>
    <s v="NRIS"/>
    <s v="Tipton West 230 kV"/>
    <n v="67"/>
    <n v="67"/>
    <x v="0"/>
    <s v="Photovoltaic"/>
    <s v="Not Started"/>
    <m/>
    <n v="67"/>
    <n v="67"/>
    <n v="67"/>
    <n v="67"/>
  </r>
  <r>
    <s v="J2178"/>
    <x v="2"/>
    <d v="2021-08-06T00:00:00"/>
    <m/>
    <m/>
    <d v="2024-10-30T00:00:00"/>
    <s v="HOOSIER ENERGY"/>
    <s v="Sullivan"/>
    <m/>
    <m/>
    <s v="IN"/>
    <s v="DPP-2021"/>
    <s v="Central"/>
    <s v="Phase 2"/>
    <s v="NRIS"/>
    <s v="Merom 345 kV"/>
    <n v="100"/>
    <n v="100"/>
    <x v="2"/>
    <s v="Battery Storage"/>
    <s v="Not Started"/>
    <m/>
    <n v="100"/>
    <n v="0"/>
    <n v="100"/>
    <n v="0"/>
  </r>
  <r>
    <s v="J2179"/>
    <x v="2"/>
    <d v="2021-08-06T00:00:00"/>
    <m/>
    <m/>
    <d v="2024-10-30T00:00:00"/>
    <s v="AMEREN MISSOURI"/>
    <s v="Montgomery"/>
    <m/>
    <m/>
    <s v="MO"/>
    <s v="DPP-2021"/>
    <s v="Central"/>
    <s v="Phase 2"/>
    <s v="NRIS"/>
    <s v="MONTGOMERY"/>
    <n v="100"/>
    <n v="100"/>
    <x v="5"/>
    <s v="Photovoltaic"/>
    <s v="Not Started"/>
    <m/>
    <n v="100"/>
    <n v="100"/>
    <n v="100"/>
    <n v="100"/>
  </r>
  <r>
    <s v="J2180"/>
    <x v="0"/>
    <d v="2022-07-13T00:00:00"/>
    <m/>
    <m/>
    <d v="2024-10-31T00:00:00"/>
    <s v="CLECO POWER LLC CLEC"/>
    <s v="Sabine"/>
    <m/>
    <m/>
    <s v="LA"/>
    <s v="DPP-2021"/>
    <s v="South"/>
    <s v="Phase 3"/>
    <s v="NRIS"/>
    <s v="Fisher"/>
    <n v="250"/>
    <n v="250"/>
    <x v="0"/>
    <s v="Photovoltaic"/>
    <s v="Not Started"/>
    <d v="2027-08-20T00:00:00"/>
    <n v="250"/>
    <n v="250"/>
    <n v="250"/>
    <n v="0"/>
  </r>
  <r>
    <s v="J2181"/>
    <x v="0"/>
    <d v="2022-07-13T00:00:00"/>
    <m/>
    <m/>
    <d v="2024-10-31T00:00:00"/>
    <s v="ENTERGY ARKANSAS, LLC EATO"/>
    <s v="Mississippi"/>
    <m/>
    <m/>
    <s v="AR"/>
    <s v="DPP-2021"/>
    <s v="South"/>
    <s v="Phase 3"/>
    <s v="NRIS"/>
    <s v="161 kV line tap of DELL EAST to Blytheville"/>
    <n v="200"/>
    <n v="200"/>
    <x v="0"/>
    <s v="Photovoltaic"/>
    <s v="Not Started"/>
    <d v="2027-07-30T00:00:00"/>
    <n v="200"/>
    <n v="200"/>
    <n v="200"/>
    <n v="0"/>
  </r>
  <r>
    <s v="J2182"/>
    <x v="1"/>
    <d v="2021-08-12T00:00:00"/>
    <d v="2021-09-17T00:00:00"/>
    <m/>
    <d v="2025-10-01T00:00:00"/>
    <s v="ENTERGY MISSISSIPPI, LLC."/>
    <s v="Tallahatchie"/>
    <m/>
    <m/>
    <s v="MS"/>
    <s v="DPP-2021"/>
    <s v="South"/>
    <s v="Phase 3"/>
    <s v="NRIS"/>
    <s v="webb 115 kV"/>
    <n v="100"/>
    <n v="100"/>
    <x v="0"/>
    <s v="Photovoltaic"/>
    <m/>
    <m/>
    <n v="0"/>
    <n v="0"/>
    <n v="0"/>
    <n v="0"/>
  </r>
  <r>
    <s v="J2183"/>
    <x v="1"/>
    <d v="2021-09-01T00:00:00"/>
    <d v="2023-10-25T00:00:00"/>
    <m/>
    <d v="2022-12-31T00:00:00"/>
    <s v="ENTERGY LOUISIANA, LLC"/>
    <s v="Pointe Coupee"/>
    <m/>
    <m/>
    <s v="LA"/>
    <s v="DPP-2021"/>
    <s v="South"/>
    <s v="Phase 3"/>
    <s v="NRIS-Only"/>
    <s v="Fancy Point - Waterloo"/>
    <n v="200"/>
    <n v="200"/>
    <x v="0"/>
    <s v="Photovoltaic"/>
    <s v="Not Started"/>
    <m/>
    <n v="0"/>
    <n v="0"/>
    <n v="0"/>
    <n v="0"/>
  </r>
  <r>
    <s v="J2184"/>
    <x v="1"/>
    <d v="2021-08-23T00:00:00"/>
    <d v="2025-03-07T00:00:00"/>
    <m/>
    <d v="2024-04-15T00:00:00"/>
    <s v="ENTERGY ARKANSAS, LLC"/>
    <s v="Monroe"/>
    <m/>
    <m/>
    <s v="AR"/>
    <s v="DPP-2021"/>
    <s v="South"/>
    <s v="Phase 3"/>
    <s v="NRIS"/>
    <s v="Brinkley West Substation 115kV"/>
    <n v="100"/>
    <n v="100"/>
    <x v="5"/>
    <s v="Solar/Battery"/>
    <s v="Not Started"/>
    <m/>
    <n v="100"/>
    <n v="100"/>
    <n v="0"/>
    <n v="0"/>
  </r>
  <r>
    <s v="J2185"/>
    <x v="2"/>
    <d v="2022-06-22T00:00:00"/>
    <m/>
    <m/>
    <d v="2024-10-01T00:00:00"/>
    <s v="AMERICAN TRANSMISSION COMPANY"/>
    <s v="Portage"/>
    <m/>
    <m/>
    <s v="WI"/>
    <s v="DPP-2021"/>
    <s v="East (ATC)"/>
    <s v="Phase 3"/>
    <s v="NRIS"/>
    <s v="Rocky Run to Werner West 345 kV line"/>
    <n v="399.04"/>
    <n v="399.04"/>
    <x v="0"/>
    <s v="Photovoltaic"/>
    <s v="Not Started"/>
    <d v="2028-02-15T00:00:00"/>
    <n v="399.03"/>
    <n v="399.03"/>
    <n v="399.03"/>
    <n v="195.79"/>
  </r>
  <r>
    <s v="J2186"/>
    <x v="2"/>
    <d v="2022-06-22T00:00:00"/>
    <m/>
    <m/>
    <d v="2024-10-01T00:00:00"/>
    <s v="AMEREN ILLINOIS"/>
    <s v="Fulton"/>
    <m/>
    <m/>
    <s v="IL"/>
    <s v="DPP-2021"/>
    <s v="Central"/>
    <s v="Phase 2"/>
    <s v="NRIS"/>
    <s v="Ipava-Maple Ridge 345kV (4573)"/>
    <n v="820.6"/>
    <n v="820.6"/>
    <x v="0"/>
    <s v="Photovoltaic"/>
    <s v="Not Started"/>
    <m/>
    <n v="820.6"/>
    <n v="820.6"/>
    <n v="820.6"/>
    <n v="820.6"/>
  </r>
  <r>
    <s v="J2187"/>
    <x v="1"/>
    <d v="2022-03-28T00:00:00"/>
    <d v="2026-04-07T00:00:00"/>
    <m/>
    <d v="2024-10-20T00:00:00"/>
    <s v="NORTHERN INDIANA PUBLIC SERVICE COMPANY LLC"/>
    <s v="LaPorte"/>
    <m/>
    <m/>
    <s v="IN"/>
    <s v="DPP-2021"/>
    <s v="Central"/>
    <s v="Phase 2"/>
    <s v="NRIS"/>
    <s v="Stillwell 138kV"/>
    <n v="124"/>
    <n v="124"/>
    <x v="0"/>
    <s v="Photovoltaic"/>
    <s v="Not Started"/>
    <m/>
    <n v="124"/>
    <n v="124"/>
    <n v="124"/>
    <n v="100"/>
  </r>
  <r>
    <s v="J2188"/>
    <x v="1"/>
    <d v="2021-12-01T00:00:00"/>
    <d v="2024-10-18T00:00:00"/>
    <m/>
    <d v="2025-07-23T00:00:00"/>
    <s v="AMERICAN TRANSMISSION COMPANY"/>
    <s v="Columbia"/>
    <m/>
    <m/>
    <s v="WI"/>
    <s v="DPP-2021"/>
    <s v="East (ATC)"/>
    <s v="Phase 3"/>
    <s v="NRIS"/>
    <s v="Columbia - South Fond du Lac 345.0kV"/>
    <n v="99"/>
    <n v="99"/>
    <x v="0"/>
    <s v="Photovoltaic"/>
    <s v="Not Started"/>
    <m/>
    <n v="99"/>
    <n v="99"/>
    <n v="0"/>
    <n v="0"/>
  </r>
  <r>
    <s v="J2189"/>
    <x v="2"/>
    <d v="2021-08-17T00:00:00"/>
    <m/>
    <m/>
    <d v="2019-12-01T00:00:00"/>
    <s v="AMEREN ILLINOIS"/>
    <s v="McDonough"/>
    <m/>
    <m/>
    <s v="IL"/>
    <s v="DPP-2021"/>
    <s v="Central"/>
    <s v="Phase 2"/>
    <s v="ERIS"/>
    <s v="Hornsby Switching Station"/>
    <n v="15.6"/>
    <n v="15.6"/>
    <x v="1"/>
    <s v="Wind Turbine"/>
    <s v="Not Started"/>
    <m/>
    <n v="15.6"/>
    <n v="0"/>
    <n v="15.6"/>
    <n v="0"/>
  </r>
  <r>
    <s v="J2190"/>
    <x v="0"/>
    <d v="2021-08-24T00:00:00"/>
    <m/>
    <m/>
    <d v="2024-08-15T00:00:00"/>
    <s v="ENTERGY ARKANSAS, LLC EATO"/>
    <s v="Mississippi"/>
    <m/>
    <m/>
    <s v="AR"/>
    <s v="DPP-2021"/>
    <s v="South"/>
    <s v="Phase 3"/>
    <s v="NRIS"/>
    <s v="DELL EHV - SAN SOUCI 500.0kV"/>
    <n v="500"/>
    <n v="500"/>
    <x v="5"/>
    <s v="Solar/Battery"/>
    <s v="Not Started"/>
    <d v="2027-10-22T00:00:00"/>
    <n v="500"/>
    <n v="500"/>
    <n v="500"/>
    <n v="425"/>
  </r>
  <r>
    <s v="J2191"/>
    <x v="1"/>
    <d v="2021-10-28T00:00:00"/>
    <d v="2023-10-25T00:00:00"/>
    <m/>
    <d v="2025-12-15T00:00:00"/>
    <s v="CLECO POWER LLC"/>
    <s v="St. Mary"/>
    <m/>
    <m/>
    <s v="LA"/>
    <s v="DPP-2021"/>
    <s v="South"/>
    <s v="Phase 3"/>
    <s v="NRIS"/>
    <s v="Caneland 230kV Substation"/>
    <n v="100"/>
    <n v="100"/>
    <x v="0"/>
    <s v="Photovoltaic"/>
    <s v="Not Started"/>
    <m/>
    <n v="0"/>
    <n v="0"/>
    <n v="0"/>
    <n v="0"/>
  </r>
  <r>
    <s v="J2192"/>
    <x v="1"/>
    <d v="2022-06-14T00:00:00"/>
    <d v="2025-12-18T00:00:00"/>
    <m/>
    <d v="2024-08-01T00:00:00"/>
    <s v="AMEREN ILLINOIS"/>
    <s v="Vermilion"/>
    <m/>
    <m/>
    <s v="IL"/>
    <s v="DPP-2021"/>
    <s v="Central"/>
    <s v="Phase 2"/>
    <s v="NRIS"/>
    <s v="7BUNSONVILLE - 7SIDNEY   345.0kV"/>
    <n v="99.9"/>
    <n v="99.9"/>
    <x v="1"/>
    <s v="Wind Turbine"/>
    <s v="Not Started"/>
    <m/>
    <n v="99.9"/>
    <n v="99.9"/>
    <n v="0"/>
    <n v="0"/>
  </r>
  <r>
    <s v="J2193"/>
    <x v="2"/>
    <d v="2021-11-30T00:00:00"/>
    <m/>
    <m/>
    <d v="2024-09-01T00:00:00"/>
    <s v="AMERICAN TRANSMISSION COMPANY"/>
    <s v="Waushara"/>
    <m/>
    <m/>
    <s v="WI"/>
    <s v="DPP-2021"/>
    <s v="East (ATC)"/>
    <s v="Phase 3"/>
    <s v="NRIS"/>
    <s v="Sand Lake"/>
    <n v="100"/>
    <n v="100"/>
    <x v="5"/>
    <s v="Solar/Battery"/>
    <s v="Not Started"/>
    <d v="2027-09-01T00:00:00"/>
    <n v="100"/>
    <n v="100"/>
    <n v="100"/>
    <n v="100"/>
  </r>
  <r>
    <s v="J2194"/>
    <x v="1"/>
    <d v="2021-08-16T00:00:00"/>
    <d v="2021-12-08T00:00:00"/>
    <m/>
    <d v="2024-04-01T00:00:00"/>
    <s v="DUKE ENERGY INDIANA, LLC"/>
    <s v="Sullivan"/>
    <m/>
    <m/>
    <s v="IN"/>
    <s v="DPP-2021"/>
    <s v="Central"/>
    <s v="Phase 2"/>
    <s v="NRIS"/>
    <s v="Merom - Gibson 345 kV Line"/>
    <n v="350"/>
    <n v="350"/>
    <x v="0"/>
    <s v="Photovoltaic"/>
    <m/>
    <m/>
    <n v="0"/>
    <n v="0"/>
    <n v="0"/>
    <n v="0"/>
  </r>
  <r>
    <s v="J2195"/>
    <x v="2"/>
    <d v="2025-01-10T00:00:00"/>
    <m/>
    <m/>
    <d v="2024-10-07T00:00:00"/>
    <s v="AMEREN ILLINOIS"/>
    <s v="Fayette"/>
    <m/>
    <m/>
    <s v="IL"/>
    <s v="DPP-2021"/>
    <s v="Central"/>
    <s v="Phase 2"/>
    <s v="NRIS"/>
    <s v="Ramsey East 138 kV"/>
    <n v="100"/>
    <n v="100"/>
    <x v="2"/>
    <s v="Battery Storage"/>
    <s v="Not Started"/>
    <m/>
    <n v="100"/>
    <n v="100"/>
    <n v="100"/>
    <n v="100"/>
  </r>
  <r>
    <s v="J2196"/>
    <x v="1"/>
    <d v="2021-08-17T00:00:00"/>
    <d v="2025-12-18T00:00:00"/>
    <m/>
    <d v="2028-04-30T00:00:00"/>
    <s v="AMEREN ILLINOIS"/>
    <s v="Montgomery"/>
    <m/>
    <m/>
    <s v="IL"/>
    <s v="DPP-2021"/>
    <s v="Central"/>
    <s v="Phase 2"/>
    <s v="NRIS"/>
    <s v="AUSTIN 138 KV"/>
    <n v="100"/>
    <n v="100"/>
    <x v="5"/>
    <s v="Solar/Wind/Battery"/>
    <s v="Not Started"/>
    <m/>
    <n v="100"/>
    <n v="100"/>
    <n v="0"/>
    <n v="0"/>
  </r>
  <r>
    <s v="J2197"/>
    <x v="2"/>
    <d v="2025-01-10T00:00:00"/>
    <m/>
    <m/>
    <d v="2024-10-07T00:00:00"/>
    <s v="AMEREN ILLINOIS"/>
    <s v="Clay"/>
    <m/>
    <m/>
    <s v="IL"/>
    <s v="DPP-2021"/>
    <s v="Central"/>
    <s v="Phase 2"/>
    <s v="NRIS"/>
    <s v="Xenia"/>
    <n v="100"/>
    <n v="100"/>
    <x v="2"/>
    <s v="Battery Storage"/>
    <s v="Not Started"/>
    <m/>
    <n v="100"/>
    <n v="100"/>
    <n v="100"/>
    <n v="100"/>
  </r>
  <r>
    <s v="J2198"/>
    <x v="1"/>
    <d v="2022-03-25T00:00:00"/>
    <d v="2025-12-18T00:00:00"/>
    <m/>
    <d v="2024-09-30T00:00:00"/>
    <s v="AMEREN MISSOURI"/>
    <s v="Jefferson"/>
    <m/>
    <m/>
    <s v="MO"/>
    <s v="DPP-2021"/>
    <s v="Central"/>
    <s v="Phase 2"/>
    <s v="NRIS"/>
    <s v="Joachim 138kV"/>
    <n v="250"/>
    <n v="250"/>
    <x v="2"/>
    <s v="Battery Storage"/>
    <s v="Not Started"/>
    <m/>
    <n v="250"/>
    <n v="250"/>
    <n v="0"/>
    <n v="0"/>
  </r>
  <r>
    <s v="J2199"/>
    <x v="1"/>
    <d v="2021-08-13T00:00:00"/>
    <d v="2025-10-27T00:00:00"/>
    <m/>
    <d v="2024-09-30T00:00:00"/>
    <s v="NORTHERN STATES POWER COMPANY"/>
    <s v="Anoka"/>
    <m/>
    <m/>
    <s v="MN"/>
    <s v="DPP-2021"/>
    <s v="West"/>
    <s v="Phase 2"/>
    <s v="NRIS"/>
    <s v="COON CREEK"/>
    <n v="200"/>
    <n v="200"/>
    <x v="2"/>
    <s v="Battery Storage"/>
    <s v="Not Started"/>
    <m/>
    <n v="200"/>
    <n v="200"/>
    <n v="0"/>
    <n v="0"/>
  </r>
  <r>
    <s v="J2200"/>
    <x v="1"/>
    <d v="2021-08-13T00:00:00"/>
    <d v="2021-11-30T00:00:00"/>
    <m/>
    <d v="2024-09-30T00:00:00"/>
    <s v="NORTHERN STATES POWER COMPANY"/>
    <s v="Scott"/>
    <m/>
    <m/>
    <s v="MN"/>
    <s v="DPP-2021"/>
    <s v="West"/>
    <s v="Phase 2"/>
    <s v="NRIS"/>
    <s v="BLUE LAKE"/>
    <n v="200"/>
    <n v="200"/>
    <x v="2"/>
    <s v="Battery Storage"/>
    <m/>
    <m/>
    <n v="0"/>
    <n v="0"/>
    <n v="0"/>
    <n v="0"/>
  </r>
  <r>
    <s v="J2201"/>
    <x v="1"/>
    <d v="2021-12-07T00:00:00"/>
    <d v="2025-12-18T00:00:00"/>
    <m/>
    <d v="2024-11-29T00:00:00"/>
    <s v="DUKE ENERGY INDIANA, LLC"/>
    <s v="Harrison"/>
    <m/>
    <m/>
    <s v="IN"/>
    <s v="DPP-2021"/>
    <s v="Central"/>
    <s v="Phase 2"/>
    <s v="NRIS"/>
    <s v="Kenzig Road - HE Ramsey 345.0kV"/>
    <n v="200"/>
    <n v="200"/>
    <x v="5"/>
    <s v="Solar/Battery"/>
    <s v="Not Started"/>
    <m/>
    <n v="200"/>
    <n v="125"/>
    <n v="0"/>
    <n v="0"/>
  </r>
  <r>
    <s v="J2202"/>
    <x v="1"/>
    <d v="2021-08-17T00:00:00"/>
    <d v="2023-10-25T00:00:00"/>
    <m/>
    <d v="2022-12-02T00:00:00"/>
    <s v="ENTERGY LOUISIANA, LLC"/>
    <s v="Jefferson Davis"/>
    <m/>
    <m/>
    <s v="LA"/>
    <s v="DPP-2021"/>
    <s v="South"/>
    <s v="Phase 3"/>
    <s v="NRIS"/>
    <s v="Lacassine 69 kV"/>
    <n v="100"/>
    <n v="100"/>
    <x v="2"/>
    <s v="Battery Storage"/>
    <s v="Not Started"/>
    <m/>
    <n v="0"/>
    <n v="0"/>
    <n v="0"/>
    <n v="0"/>
  </r>
  <r>
    <s v="J2203"/>
    <x v="2"/>
    <d v="2022-03-25T00:00:00"/>
    <m/>
    <m/>
    <d v="2024-09-30T00:00:00"/>
    <s v="AMEREN ILLINOIS"/>
    <s v="Adams"/>
    <m/>
    <m/>
    <s v="IL"/>
    <s v="DPP-2021"/>
    <s v="Central"/>
    <s v="Phase 2"/>
    <s v="NRIS"/>
    <s v="East Quincy"/>
    <n v="150"/>
    <n v="150"/>
    <x v="2"/>
    <s v="Battery Storage"/>
    <s v="Not Started"/>
    <d v="2028-08-01T00:00:00"/>
    <n v="150"/>
    <n v="150"/>
    <n v="150"/>
    <n v="150"/>
  </r>
  <r>
    <s v="J2204"/>
    <x v="1"/>
    <d v="2021-10-29T00:00:00"/>
    <d v="2021-12-08T00:00:00"/>
    <m/>
    <d v="2024-09-30T00:00:00"/>
    <s v="AMEREN ILLINOIS"/>
    <s v="St. Clair"/>
    <m/>
    <m/>
    <s v="IL"/>
    <s v="DPP-2021"/>
    <s v="Central"/>
    <s v="Phase 2"/>
    <s v="NRIS"/>
    <s v="DUPO FERRY"/>
    <n v="200"/>
    <n v="200"/>
    <x v="2"/>
    <s v="Battery Storage"/>
    <m/>
    <m/>
    <n v="0"/>
    <n v="0"/>
    <n v="0"/>
    <n v="0"/>
  </r>
  <r>
    <s v="J2205"/>
    <x v="2"/>
    <d v="2021-08-12T00:00:00"/>
    <m/>
    <m/>
    <d v="2024-09-01T00:00:00"/>
    <s v="AMEREN MISSOURI"/>
    <s v="Callaway"/>
    <m/>
    <m/>
    <s v="MO"/>
    <s v="DPP-2021"/>
    <s v="Central"/>
    <s v="Phase 2"/>
    <s v="NRIS"/>
    <s v="J1145 New 345kV POI Substation (Ameren Overton-Montgomery 345kV Line)"/>
    <n v="300"/>
    <n v="300"/>
    <x v="5"/>
    <s v="Solar/Battery"/>
    <s v="Not Started"/>
    <m/>
    <n v="300"/>
    <n v="300"/>
    <n v="300"/>
    <n v="300"/>
  </r>
  <r>
    <s v="J2206"/>
    <x v="1"/>
    <d v="2021-08-19T00:00:00"/>
    <d v="2023-04-04T00:00:00"/>
    <m/>
    <d v="2025-04-01T00:00:00"/>
    <s v="DUKE ENERGY INDIANA, LLC"/>
    <s v="Fountain"/>
    <m/>
    <m/>
    <s v="IN"/>
    <s v="DPP-2021"/>
    <s v="Central"/>
    <s v="Phase 2"/>
    <s v="NRIS"/>
    <s v="Attica Substation 230kV"/>
    <n v="100"/>
    <n v="100"/>
    <x v="0"/>
    <s v="Photovoltaic"/>
    <m/>
    <m/>
    <n v="0"/>
    <n v="0"/>
    <n v="0"/>
    <n v="0"/>
  </r>
  <r>
    <s v="J2207"/>
    <x v="1"/>
    <d v="2021-08-17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Henderson to AB Brown 138 kV"/>
    <n v="300"/>
    <n v="300"/>
    <x v="0"/>
    <s v="Photovoltaic"/>
    <m/>
    <m/>
    <n v="0"/>
    <n v="0"/>
    <n v="0"/>
    <n v="0"/>
  </r>
  <r>
    <s v="J2208"/>
    <x v="1"/>
    <d v="2021-08-27T00:00:00"/>
    <d v="2026-02-12T00:00:00"/>
    <m/>
    <d v="2024-10-04T00:00:00"/>
    <s v="CLECO POWER LLC"/>
    <s v="De Soto"/>
    <m/>
    <m/>
    <s v="LA"/>
    <s v="DPP-2021"/>
    <s v="South"/>
    <s v="Phase 3"/>
    <s v="NRIS"/>
    <s v="Mansfield (Bus #500530) to Red River Tap (Bus #500762) 138 kV"/>
    <n v="99"/>
    <n v="99"/>
    <x v="0"/>
    <s v="Photovoltaic"/>
    <s v="Not Started"/>
    <m/>
    <n v="99"/>
    <n v="99"/>
    <n v="99"/>
    <n v="0"/>
  </r>
  <r>
    <s v="J2209"/>
    <x v="1"/>
    <d v="2021-12-23T00:00:00"/>
    <d v="2025-12-18T00:00:00"/>
    <m/>
    <d v="2025-09-16T00:00:00"/>
    <s v="AMEREN MISSOURI"/>
    <s v="Scott"/>
    <m/>
    <m/>
    <s v="MO"/>
    <s v="DPP-2021"/>
    <s v="Central"/>
    <s v="Phase 2"/>
    <s v="NRIS"/>
    <s v="Oran 161kV Substation"/>
    <n v="100"/>
    <n v="100"/>
    <x v="0"/>
    <s v="Photovoltaic"/>
    <s v="Not Started"/>
    <m/>
    <n v="100"/>
    <n v="100"/>
    <n v="0"/>
    <n v="0"/>
  </r>
  <r>
    <s v="J2210"/>
    <x v="1"/>
    <d v="2021-08-26T00:00:00"/>
    <d v="2023-10-25T00:00:00"/>
    <m/>
    <d v="2025-10-01T00:00:00"/>
    <s v="ENTERGY LOUISIANA, LLC"/>
    <s v="Iberville"/>
    <m/>
    <m/>
    <s v="LA"/>
    <s v="DPP-2021"/>
    <s v="South"/>
    <s v="Phase 3"/>
    <s v="NRIS"/>
    <s v="Derrick 230 kV"/>
    <n v="100"/>
    <n v="100"/>
    <x v="2"/>
    <s v="Battery Storage"/>
    <s v="Not Started"/>
    <m/>
    <n v="0"/>
    <n v="0"/>
    <n v="0"/>
    <n v="0"/>
  </r>
  <r>
    <s v="J2211"/>
    <x v="1"/>
    <d v="2024-09-27T00:00:00"/>
    <d v="2025-11-13T00:00:00"/>
    <m/>
    <d v="2024-09-30T00:00:00"/>
    <s v="AMERICAN TRANSMISSION COMPANY"/>
    <s v="Brown"/>
    <m/>
    <m/>
    <s v="WI"/>
    <s v="DPP-2021"/>
    <s v="East (ATC)"/>
    <s v="Phase 3"/>
    <s v="NRIS"/>
    <s v="Tower Dr"/>
    <n v="200"/>
    <n v="200"/>
    <x v="2"/>
    <s v="Battery Storage"/>
    <s v="Not Started"/>
    <m/>
    <n v="200"/>
    <n v="200"/>
    <n v="200"/>
    <n v="200"/>
  </r>
  <r>
    <s v="J2212"/>
    <x v="1"/>
    <d v="2022-03-28T00:00:00"/>
    <d v="2025-12-18T00:00:00"/>
    <m/>
    <d v="2025-09-30T00:00:00"/>
    <s v="DUKE ENERGY INDIANA, LLC"/>
    <s v="Jefferson"/>
    <m/>
    <m/>
    <s v="IN"/>
    <s v="DPP-2021"/>
    <s v="Central"/>
    <s v="Phase 2"/>
    <s v="NRIS"/>
    <s v="Madison Michigan Ave"/>
    <n v="150"/>
    <n v="150"/>
    <x v="0"/>
    <s v="Photovoltaic"/>
    <s v="Not Started"/>
    <m/>
    <n v="150"/>
    <n v="150"/>
    <n v="0"/>
    <n v="0"/>
  </r>
  <r>
    <s v="J2213"/>
    <x v="2"/>
    <d v="2022-03-25T00:00:00"/>
    <m/>
    <m/>
    <d v="2028-09-30T00:00:00"/>
    <s v="NORTHERN INDIANA PUBLIC SERVICE COMPANY LLC NIPS"/>
    <s v="Marshall"/>
    <m/>
    <m/>
    <s v="IN"/>
    <s v="DPP-2021"/>
    <s v="Central"/>
    <s v="Phase 2"/>
    <s v="NRIS"/>
    <s v="HIPLE"/>
    <n v="200"/>
    <n v="200"/>
    <x v="2"/>
    <s v="Battery Storage"/>
    <s v="Not Started"/>
    <m/>
    <n v="200"/>
    <n v="200"/>
    <n v="200"/>
    <n v="200"/>
  </r>
  <r>
    <s v="J2214"/>
    <x v="1"/>
    <d v="2021-12-21T00:00:00"/>
    <d v="2025-03-07T00:00:00"/>
    <m/>
    <d v="2024-10-30T00:00:00"/>
    <s v="CLECO POWER LLC"/>
    <s v="Sabine"/>
    <m/>
    <m/>
    <s v="LA"/>
    <s v="DPP-2021"/>
    <s v="South"/>
    <s v="Phase 3"/>
    <s v="NRIS"/>
    <s v="Fisher 230 kV"/>
    <n v="62"/>
    <n v="62"/>
    <x v="2"/>
    <s v="Battery Storage"/>
    <s v="Not Started"/>
    <m/>
    <n v="62"/>
    <n v="62"/>
    <n v="0"/>
    <n v="0"/>
  </r>
  <r>
    <s v="J2215"/>
    <x v="2"/>
    <d v="2022-03-25T00:00:00"/>
    <m/>
    <m/>
    <d v="2024-09-30T00:00:00"/>
    <s v="NORTHERN INDIANA PUBLIC SERVICE COMPANY LLC NIPS"/>
    <s v="Lake"/>
    <m/>
    <m/>
    <s v="IN"/>
    <s v="DPP-2021"/>
    <s v="Central"/>
    <s v="Phase 2"/>
    <s v="NRIS"/>
    <s v="SCHAHFER GEN STA - ST. JOHN 345.0kV"/>
    <n v="300"/>
    <n v="300"/>
    <x v="2"/>
    <s v="Battery Storage"/>
    <s v="Not Started"/>
    <d v="2027-09-30T00:00:00"/>
    <n v="300"/>
    <n v="300"/>
    <n v="300"/>
    <n v="300"/>
  </r>
  <r>
    <s v="J2216"/>
    <x v="1"/>
    <d v="2022-04-08T00:00:00"/>
    <d v="2025-12-18T00:00:00"/>
    <m/>
    <d v="2024-09-01T00:00:00"/>
    <s v="DUKE ENERGY INDIANA, LLC"/>
    <s v="Vigo"/>
    <m/>
    <m/>
    <s v="IN"/>
    <s v="DPP-2021"/>
    <s v="Central"/>
    <s v="Phase 2"/>
    <s v="NRIS"/>
    <s v="Sandcut-Rockville 138kV"/>
    <n v="100"/>
    <n v="100"/>
    <x v="0"/>
    <s v="Photovoltaic"/>
    <s v="Not Started"/>
    <m/>
    <n v="100"/>
    <n v="20"/>
    <n v="0"/>
    <n v="0"/>
  </r>
  <r>
    <s v="J2217"/>
    <x v="1"/>
    <d v="2021-12-21T00:00:00"/>
    <d v="2023-11-10T00:00:00"/>
    <m/>
    <d v="2024-10-30T00:00:00"/>
    <s v="ENTERGY ARKANSAS, LLC"/>
    <s v="Lee"/>
    <m/>
    <m/>
    <s v="AR"/>
    <s v="DPP-2021"/>
    <s v="South"/>
    <s v="Phase 3"/>
    <s v="NRIS"/>
    <s v="Brinkley East - Aubrey 230 kV Line"/>
    <n v="50"/>
    <n v="50"/>
    <x v="2"/>
    <s v="Battery Storage"/>
    <s v="Not Started"/>
    <m/>
    <n v="0"/>
    <n v="0"/>
    <n v="0"/>
    <n v="0"/>
  </r>
  <r>
    <s v="J2218"/>
    <x v="1"/>
    <d v="2021-08-13T00:00:00"/>
    <d v="2024-10-01T00:00:00"/>
    <m/>
    <d v="2024-09-30T00:00:00"/>
    <s v="AMERICAN TRANSMISSION COMPANY"/>
    <s v="Manitowoc"/>
    <m/>
    <m/>
    <s v="WI"/>
    <s v="DPP-2021"/>
    <s v="East (ATC)"/>
    <s v="Phase 3"/>
    <s v="NRIS"/>
    <s v="SHOTO"/>
    <n v="150"/>
    <n v="150"/>
    <x v="2"/>
    <s v="Battery Storage"/>
    <s v="Not Started"/>
    <m/>
    <n v="150"/>
    <n v="150"/>
    <n v="0"/>
    <n v="0"/>
  </r>
  <r>
    <s v="J2219"/>
    <x v="2"/>
    <d v="2021-07-22T00:00:00"/>
    <m/>
    <m/>
    <d v="2024-09-01T00:00:00"/>
    <s v="DAIRYLAND POWER COOPERATIVE DPC"/>
    <s v="Olmsted"/>
    <m/>
    <m/>
    <s v="MN"/>
    <s v="DPP-2021"/>
    <s v="West"/>
    <s v="Phase 2"/>
    <s v="NRIS"/>
    <s v="ROCHESTER - WABACO    161.0kV"/>
    <n v="180"/>
    <n v="180"/>
    <x v="5"/>
    <s v="Solar/Battery"/>
    <s v="Not Started"/>
    <d v="2028-12-15T00:00:00"/>
    <n v="180"/>
    <n v="180"/>
    <n v="180"/>
    <n v="180"/>
  </r>
  <r>
    <s v="J2220"/>
    <x v="1"/>
    <d v="2021-12-21T00:00:00"/>
    <d v="2025-03-07T00:00:00"/>
    <m/>
    <d v="2024-10-30T00:00:00"/>
    <s v="ENTERGY LOUISIANA, LLC"/>
    <s v="Iberville"/>
    <m/>
    <m/>
    <s v="LA"/>
    <s v="DPP-2021"/>
    <s v="South"/>
    <s v="Phase 3"/>
    <s v="NRIS"/>
    <s v="Donaldsonville - Evergreen 230 kV"/>
    <n v="50"/>
    <n v="50"/>
    <x v="2"/>
    <s v="Battery Storage"/>
    <s v="Not Started"/>
    <m/>
    <n v="50"/>
    <n v="50"/>
    <n v="0"/>
    <n v="0"/>
  </r>
  <r>
    <s v="J2221"/>
    <x v="1"/>
    <d v="2021-08-20T00:00:00"/>
    <d v="2024-10-08T00:00:00"/>
    <m/>
    <d v="2025-09-16T00:00:00"/>
    <s v="DUKE ENERGY INDIANA, LLC"/>
    <s v="Clark"/>
    <m/>
    <m/>
    <s v="IN"/>
    <s v="DPP-2021"/>
    <s v="Central"/>
    <s v="Phase 2"/>
    <s v="NRIS"/>
    <s v="Speed"/>
    <n v="100"/>
    <n v="100"/>
    <x v="0"/>
    <s v="Photovoltaic"/>
    <s v="Not Started"/>
    <m/>
    <n v="0"/>
    <n v="0"/>
    <n v="0"/>
    <n v="0"/>
  </r>
  <r>
    <s v="J2222"/>
    <x v="1"/>
    <d v="2021-12-21T00:00:00"/>
    <d v="2023-11-07T00:00:00"/>
    <m/>
    <d v="2024-10-30T00:00:00"/>
    <s v="ENTERGY LOUISIANA, LLC"/>
    <s v="Calcasieu"/>
    <m/>
    <m/>
    <s v="LA"/>
    <s v="DPP-2021"/>
    <s v="South"/>
    <s v="Phase 3"/>
    <s v="NRIS"/>
    <s v="Penton Road to Nelson 230 kV"/>
    <n v="100"/>
    <n v="100"/>
    <x v="2"/>
    <s v="Battery Storage"/>
    <s v="Not Started"/>
    <m/>
    <n v="0"/>
    <n v="0"/>
    <n v="0"/>
    <n v="0"/>
  </r>
  <r>
    <s v="J2223"/>
    <x v="1"/>
    <d v="2021-12-21T00:00:00"/>
    <d v="2023-11-07T00:00:00"/>
    <m/>
    <d v="2024-10-30T00:00:00"/>
    <s v="ENTERGY ARKANSAS, LLC"/>
    <s v="Jackson"/>
    <m/>
    <m/>
    <s v="AR"/>
    <s v="DPP-2021"/>
    <s v="South"/>
    <s v="Phase 3"/>
    <s v="NRIS"/>
    <s v="Cash - Newport AB 161 kV"/>
    <n v="100"/>
    <n v="100"/>
    <x v="2"/>
    <s v="Battery Storage"/>
    <s v="Not Started"/>
    <m/>
    <n v="0"/>
    <n v="0"/>
    <n v="0"/>
    <n v="0"/>
  </r>
  <r>
    <s v="J2224"/>
    <x v="0"/>
    <d v="2021-08-25T00:00:00"/>
    <m/>
    <m/>
    <d v="2028-04-01T00:00:00"/>
    <s v="ENTERGY LOUISIANA, LLC ELTO"/>
    <s v="Iberville"/>
    <m/>
    <m/>
    <s v="LA"/>
    <s v="DPP-2021"/>
    <s v="South"/>
    <s v="Phase 3"/>
    <s v="NRIS"/>
    <s v="Derrick 230 kV"/>
    <n v="200"/>
    <n v="200"/>
    <x v="0"/>
    <s v="Photovoltaic"/>
    <s v="Not Started"/>
    <m/>
    <n v="200"/>
    <n v="0"/>
    <n v="200"/>
    <n v="0"/>
  </r>
  <r>
    <s v="J2225"/>
    <x v="1"/>
    <d v="2021-08-17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REID EHV 345 KV SUBSTATION"/>
    <n v="300"/>
    <n v="300"/>
    <x v="0"/>
    <s v="Photovoltaic"/>
    <s v="Not Started"/>
    <m/>
    <n v="0"/>
    <n v="0"/>
    <n v="0"/>
    <n v="0"/>
  </r>
  <r>
    <s v="J2226"/>
    <x v="1"/>
    <d v="2022-06-14T00:00:00"/>
    <d v="2025-12-18T00:00:00"/>
    <m/>
    <d v="2024-08-01T00:00:00"/>
    <s v="NORTHERN INDIANA PUBLIC SERVICE COMPANY LLC"/>
    <s v="Newton"/>
    <m/>
    <m/>
    <s v="IN"/>
    <s v="DPP-2021"/>
    <s v="Central"/>
    <s v="Phase 2"/>
    <s v="NRIS"/>
    <s v="GOODLAND - MORRISON DITCH 138.0kV"/>
    <n v="200"/>
    <n v="200"/>
    <x v="0"/>
    <s v="Photovoltaic"/>
    <s v="Not Started"/>
    <m/>
    <n v="200"/>
    <n v="200"/>
    <n v="0"/>
    <n v="0"/>
  </r>
  <r>
    <s v="J2227"/>
    <x v="2"/>
    <d v="2025-07-14T00:00:00"/>
    <m/>
    <m/>
    <d v="2024-10-31T00:00:00"/>
    <s v="DAIRYLAND POWER COOPERATIVE DPC"/>
    <s v="Trempealeau"/>
    <m/>
    <m/>
    <s v="WI"/>
    <s v="DPP-2021"/>
    <s v="West"/>
    <s v="Phase 2"/>
    <s v="NRIS"/>
    <s v="Independence - Bridge Creek 69.0kV"/>
    <n v="89"/>
    <n v="89"/>
    <x v="0"/>
    <s v="Photovoltaic"/>
    <s v="Not Started"/>
    <m/>
    <n v="89"/>
    <n v="89"/>
    <n v="80.099999999999994"/>
    <n v="80.099999999999994"/>
  </r>
  <r>
    <s v="J2228"/>
    <x v="0"/>
    <d v="2021-12-21T00:00:00"/>
    <m/>
    <m/>
    <d v="2024-10-31T00:00:00"/>
    <s v="ENTERGY LOUISIANA, LLC ELTO"/>
    <s v="Concordia"/>
    <m/>
    <m/>
    <s v="LA"/>
    <s v="DPP-2021"/>
    <s v="South"/>
    <s v="Phase 3"/>
    <s v="NRIS"/>
    <s v="Red Gum"/>
    <n v="200"/>
    <n v="200"/>
    <x v="0"/>
    <s v="Photovoltaic"/>
    <s v="Not Started"/>
    <d v="2027-10-31T00:00:00"/>
    <n v="200"/>
    <n v="200"/>
    <n v="200"/>
    <n v="0"/>
  </r>
  <r>
    <s v="J2229"/>
    <x v="1"/>
    <d v="2021-08-06T00:00:00"/>
    <d v="2024-10-08T00:00:00"/>
    <m/>
    <d v="2024-10-30T00:00:00"/>
    <s v="DUKE ENERGY INDIANA, LLC"/>
    <s v="Wabash"/>
    <m/>
    <m/>
    <s v="IN"/>
    <s v="DPP-2021"/>
    <s v="Central"/>
    <s v="Phase 2"/>
    <s v="NRIS"/>
    <s v="Miami Wabash - Mier 138 kV"/>
    <n v="100"/>
    <n v="100"/>
    <x v="2"/>
    <s v="Battery Storage"/>
    <s v="Not Started"/>
    <m/>
    <n v="0"/>
    <n v="0"/>
    <n v="0"/>
    <n v="0"/>
  </r>
  <r>
    <s v="J2230"/>
    <x v="2"/>
    <d v="2022-03-24T00:00:00"/>
    <m/>
    <m/>
    <d v="2025-04-01T00:00:00"/>
    <s v="DUKE ENERGY INDIANA, LLC CIN"/>
    <s v="Sullivan"/>
    <m/>
    <m/>
    <s v="IN"/>
    <s v="DPP-2021"/>
    <s v="Central"/>
    <s v="Phase 2"/>
    <s v="ERIS"/>
    <s v="Gibson Sta - Merom (HED) 345.0kV"/>
    <n v="200"/>
    <n v="200"/>
    <x v="0"/>
    <s v="Photovoltaic"/>
    <s v="Not Started"/>
    <m/>
    <n v="200"/>
    <n v="0"/>
    <n v="200"/>
    <n v="0"/>
  </r>
  <r>
    <s v="J2231"/>
    <x v="1"/>
    <d v="2021-08-12T00:00:00"/>
    <d v="2025-03-07T00:00:00"/>
    <m/>
    <d v="2024-02-01T00:00:00"/>
    <s v="ENTERGY ARKANSAS, LLC"/>
    <s v="Jefferson"/>
    <m/>
    <m/>
    <s v="AR"/>
    <s v="DPP-2021"/>
    <s v="South"/>
    <s v="Phase 3"/>
    <s v="NRIS"/>
    <s v="Sherrill 115kV"/>
    <n v="97.5"/>
    <n v="97.5"/>
    <x v="0"/>
    <s v="Photovoltaic"/>
    <s v="Not Started"/>
    <m/>
    <n v="97.49"/>
    <n v="97.49"/>
    <n v="0"/>
    <n v="0"/>
  </r>
  <r>
    <s v="J2232"/>
    <x v="2"/>
    <d v="2021-08-06T00:00:00"/>
    <m/>
    <m/>
    <d v="2024-10-30T00:00:00"/>
    <s v="DUKE ENERGY INDIANA, LLC CIN"/>
    <s v="Tipton"/>
    <m/>
    <m/>
    <s v="IN"/>
    <s v="DPP-2021"/>
    <s v="Central"/>
    <s v="Phase 2"/>
    <s v="NRIS"/>
    <s v="Tipton West 230 kV"/>
    <n v="100"/>
    <n v="100"/>
    <x v="2"/>
    <s v="Battery Storage"/>
    <s v="Not Started"/>
    <m/>
    <n v="100"/>
    <n v="100"/>
    <n v="100"/>
    <n v="100"/>
  </r>
  <r>
    <s v="J2233"/>
    <x v="2"/>
    <d v="2022-06-14T00:00:00"/>
    <m/>
    <m/>
    <d v="2024-08-01T00:00:00"/>
    <s v="AMEREN ILLINOIS"/>
    <s v="Vermilion"/>
    <m/>
    <m/>
    <s v="IL"/>
    <s v="DPP-2021"/>
    <s v="Central"/>
    <s v="Phase 2"/>
    <s v="NRIS"/>
    <s v="7BUNSONVILLE - 7SIDNEY   345.0kV"/>
    <n v="100"/>
    <n v="100"/>
    <x v="0"/>
    <s v="Photovoltaic"/>
    <s v="Not Started"/>
    <m/>
    <n v="100"/>
    <n v="100"/>
    <n v="100"/>
    <n v="100"/>
  </r>
  <r>
    <s v="J2234"/>
    <x v="1"/>
    <d v="2021-08-17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Henderson to AB Brown 138 kV"/>
    <n v="300"/>
    <n v="300"/>
    <x v="0"/>
    <s v="Photovoltaic"/>
    <s v="Not Started"/>
    <m/>
    <n v="0"/>
    <n v="0"/>
    <n v="0"/>
    <n v="0"/>
  </r>
  <r>
    <s v="J2235"/>
    <x v="1"/>
    <d v="2021-08-17T00:00:00"/>
    <d v="2025-03-07T00:00:00"/>
    <m/>
    <d v="2022-12-02T00:00:00"/>
    <s v="EAST TEXAS ELECTRIC COOPERATIVE, INC."/>
    <s v="San Jacinto"/>
    <m/>
    <m/>
    <s v="TX"/>
    <s v="DPP-2021"/>
    <s v="South"/>
    <s v="Phase 3"/>
    <s v="NRIS"/>
    <s v="Shepherd Substation"/>
    <n v="100"/>
    <n v="100"/>
    <x v="2"/>
    <s v="Battery Storage"/>
    <s v="Not Started"/>
    <m/>
    <n v="100"/>
    <n v="100"/>
    <n v="0"/>
    <n v="0"/>
  </r>
  <r>
    <s v="J2236"/>
    <x v="1"/>
    <d v="2021-08-06T00:00:00"/>
    <d v="2024-10-08T00:00:00"/>
    <m/>
    <d v="2024-10-30T00:00:00"/>
    <s v="DUKE ENERGY INDIANA, LLC"/>
    <s v="Howard"/>
    <m/>
    <m/>
    <s v="IN"/>
    <s v="DPP-2021"/>
    <s v="Central"/>
    <s v="Phase 2"/>
    <s v="NRIS"/>
    <s v="Greentown 230 kV"/>
    <n v="100"/>
    <n v="100"/>
    <x v="2"/>
    <s v="Battery Storage"/>
    <s v="Not Started"/>
    <m/>
    <n v="0"/>
    <n v="0"/>
    <n v="0"/>
    <n v="0"/>
  </r>
  <r>
    <s v="J2237"/>
    <x v="0"/>
    <d v="2021-12-21T00:00:00"/>
    <m/>
    <m/>
    <d v="2024-11-30T00:00:00"/>
    <s v="ENTERGY ARKANSAS, LLC EATO"/>
    <s v="Lee"/>
    <m/>
    <m/>
    <s v="AR"/>
    <s v="DPP-2021"/>
    <s v="South"/>
    <s v="Phase 3"/>
    <s v="NRIS"/>
    <s v="Brinkley East - Aubrey 230 kV Line"/>
    <n v="185"/>
    <n v="185"/>
    <x v="0"/>
    <s v="Photovoltaic"/>
    <s v="Not Started"/>
    <d v="2027-05-30T00:00:00"/>
    <n v="185"/>
    <n v="185"/>
    <n v="185"/>
    <n v="0"/>
  </r>
  <r>
    <s v="J2238"/>
    <x v="2"/>
    <d v="2025-07-16T00:00:00"/>
    <m/>
    <m/>
    <d v="2024-02-15T00:00:00"/>
    <s v="AMEREN MISSOURI"/>
    <s v="Maries"/>
    <m/>
    <m/>
    <s v="MO"/>
    <s v="DPP-2021"/>
    <s v="Central"/>
    <s v="Phase 2"/>
    <s v="NRIS"/>
    <s v="The Franks (Bus #300041) - Bland (Bus #344154) 345 kV Line"/>
    <n v="200"/>
    <n v="200"/>
    <x v="5"/>
    <s v="Solar/Battery"/>
    <s v="Not Started"/>
    <m/>
    <n v="200"/>
    <n v="200"/>
    <n v="200"/>
    <n v="200"/>
  </r>
  <r>
    <s v="J2239"/>
    <x v="1"/>
    <d v="2021-08-12T00:00:00"/>
    <d v="2024-10-08T00:00:00"/>
    <m/>
    <d v="2024-10-30T00:00:00"/>
    <s v="AMEREN MISSOURI"/>
    <s v="Washington"/>
    <m/>
    <m/>
    <s v="MO"/>
    <s v="DPP-2021"/>
    <s v="Central"/>
    <s v="Phase 2"/>
    <s v="NRIS"/>
    <s v="Belgrade - Pilot Knob 161 kV"/>
    <n v="100"/>
    <n v="100"/>
    <x v="0"/>
    <s v="Photovoltaic"/>
    <s v="Not Started"/>
    <m/>
    <n v="0"/>
    <n v="0"/>
    <n v="0"/>
    <n v="0"/>
  </r>
  <r>
    <s v="J2240"/>
    <x v="1"/>
    <d v="2021-12-21T00:00:00"/>
    <d v="2025-03-07T00:00:00"/>
    <m/>
    <d v="2024-02-01T00:00:00"/>
    <s v="ENTERGY ARKANSAS, LLC"/>
    <s v="Nevada"/>
    <m/>
    <m/>
    <s v="AR"/>
    <s v="DPP-2021"/>
    <s v="South"/>
    <s v="Phase 3"/>
    <s v="NRIS"/>
    <s v="Prescott 337507 to Emmett 337505"/>
    <n v="120"/>
    <n v="120"/>
    <x v="0"/>
    <s v="Photovoltaic"/>
    <s v="Not Started"/>
    <m/>
    <n v="120"/>
    <n v="120"/>
    <n v="0"/>
    <n v="0"/>
  </r>
  <r>
    <s v="J2241"/>
    <x v="1"/>
    <d v="2021-08-16T00:00:00"/>
    <d v="2024-10-08T00:00:00"/>
    <m/>
    <d v="2024-04-01T00:00:00"/>
    <s v="DUKE ENERGY INDIANA, LLC"/>
    <s v="Benton"/>
    <m/>
    <m/>
    <s v="IN"/>
    <s v="DPP-2021"/>
    <s v="Central"/>
    <s v="Phase 2"/>
    <s v="NRIS-Only"/>
    <s v="Cayuga sub (Jordan Creek Wind J515 POI) 345 kV"/>
    <n v="320"/>
    <n v="320"/>
    <x v="1"/>
    <s v="Wind Turbine"/>
    <s v="Not Started"/>
    <m/>
    <n v="0"/>
    <n v="0"/>
    <n v="0"/>
    <n v="0"/>
  </r>
  <r>
    <s v="J2242"/>
    <x v="1"/>
    <d v="2021-08-23T00:00:00"/>
    <d v="2025-03-07T00:00:00"/>
    <m/>
    <d v="2024-10-30T00:00:00"/>
    <s v="ENTERGY TEXAS, INC."/>
    <s v="Polk"/>
    <m/>
    <m/>
    <s v="TX"/>
    <s v="DPP-2021"/>
    <s v="South"/>
    <s v="Phase 3"/>
    <s v="NRIS"/>
    <s v="SHECO"/>
    <n v="100"/>
    <n v="100"/>
    <x v="5"/>
    <s v="Solar/Battery"/>
    <s v="Not Started"/>
    <m/>
    <n v="100"/>
    <n v="100"/>
    <n v="0"/>
    <n v="0"/>
  </r>
  <r>
    <s v="J2243"/>
    <x v="1"/>
    <d v="2021-08-12T00:00:00"/>
    <d v="2023-10-25T00:00:00"/>
    <m/>
    <d v="2024-02-01T00:00:00"/>
    <s v="ENTERGY TEXAS, INC."/>
    <s v="Tyler"/>
    <m/>
    <m/>
    <s v="TX"/>
    <s v="DPP-2021"/>
    <s v="South"/>
    <s v="Phase 3"/>
    <s v="NRIS"/>
    <s v="Warren 138kV"/>
    <n v="100"/>
    <n v="100"/>
    <x v="0"/>
    <s v="Photovoltaic"/>
    <s v="Not Started"/>
    <m/>
    <n v="0"/>
    <n v="0"/>
    <n v="0"/>
    <n v="0"/>
  </r>
  <r>
    <s v="J2244"/>
    <x v="1"/>
    <d v="2021-11-30T00:00:00"/>
    <d v="2025-03-07T00:00:00"/>
    <m/>
    <d v="2024-10-31T00:00:00"/>
    <s v="ENTERGY ARKANSAS, LLC"/>
    <s v="Grant"/>
    <m/>
    <m/>
    <s v="AR"/>
    <s v="DPP-2021"/>
    <s v="South"/>
    <s v="Phase 3"/>
    <s v="NRIS"/>
    <s v="MABELVALE EHV to WHITE BLUFF EHV 115kV"/>
    <n v="0"/>
    <n v="0"/>
    <x v="2"/>
    <s v="Battery Storage"/>
    <s v="Not Started"/>
    <m/>
    <n v="0"/>
    <n v="0"/>
    <n v="0"/>
    <n v="0"/>
  </r>
  <r>
    <s v="J2245"/>
    <x v="1"/>
    <d v="2021-08-30T00:00:00"/>
    <d v="2023-10-25T00:00:00"/>
    <m/>
    <d v="2024-10-30T00:00:00"/>
    <s v="CLECO POWER LLC"/>
    <s v="St. Tammany"/>
    <m/>
    <m/>
    <s v="LA"/>
    <s v="DPP-2021"/>
    <s v="South"/>
    <s v="Phase 3"/>
    <s v="NRIS"/>
    <s v="Mandeville - North Slidell 230kV Line (not listed on TTF, but both substations seem to have breakers"/>
    <n v="100"/>
    <n v="100"/>
    <x v="5"/>
    <s v="Solar/Battery"/>
    <s v="Not Started"/>
    <m/>
    <n v="0"/>
    <n v="0"/>
    <n v="0"/>
    <n v="0"/>
  </r>
  <r>
    <s v="J2246"/>
    <x v="1"/>
    <d v="2021-08-16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REID EHV 345 kV Substation"/>
    <n v="300"/>
    <n v="300"/>
    <x v="0"/>
    <s v="Photovoltaic"/>
    <s v="Not Started"/>
    <m/>
    <n v="0"/>
    <n v="0"/>
    <n v="0"/>
    <n v="0"/>
  </r>
  <r>
    <s v="J2247"/>
    <x v="2"/>
    <d v="2022-03-25T00:00:00"/>
    <m/>
    <m/>
    <d v="2024-09-01T00:00:00"/>
    <s v="AMEREN ILLINOIS"/>
    <s v="Marshall"/>
    <m/>
    <m/>
    <s v="IL"/>
    <s v="DPP-2021"/>
    <s v="Central"/>
    <s v="Phase 2"/>
    <s v="NRIS"/>
    <s v="Woodhall"/>
    <n v="178"/>
    <n v="178"/>
    <x v="1"/>
    <s v="Wind Turbine"/>
    <s v="Not Started"/>
    <m/>
    <n v="178"/>
    <n v="178"/>
    <n v="178"/>
    <n v="178"/>
  </r>
  <r>
    <s v="J2248"/>
    <x v="1"/>
    <d v="2021-11-30T00:00:00"/>
    <d v="2025-03-07T00:00:00"/>
    <m/>
    <d v="2024-10-31T00:00:00"/>
    <s v="ENTERGY ARKANSAS, LLC"/>
    <s v="Pulaski"/>
    <m/>
    <m/>
    <s v="AR"/>
    <s v="DPP-2021"/>
    <s v="South"/>
    <s v="Phase 3"/>
    <s v="NRIS"/>
    <s v="White Bluff EHV to Wrightsville 115kV"/>
    <n v="0"/>
    <n v="0"/>
    <x v="2"/>
    <s v="Battery Storage"/>
    <s v="Not Started"/>
    <m/>
    <n v="0"/>
    <n v="0"/>
    <n v="0"/>
    <n v="0"/>
  </r>
  <r>
    <s v="J2249"/>
    <x v="0"/>
    <d v="2021-12-21T00:00:00"/>
    <m/>
    <m/>
    <d v="2024-10-31T00:00:00"/>
    <s v="ENTERGY LOUISIANA, LLC ELTO"/>
    <s v="Acadia"/>
    <m/>
    <m/>
    <s v="LA"/>
    <s v="DPP-2021"/>
    <s v="South"/>
    <s v="Phase 3"/>
    <s v="NRIS"/>
    <s v="Bayou Cove"/>
    <n v="144"/>
    <n v="144"/>
    <x v="0"/>
    <s v="Photovoltaic"/>
    <s v="Not Started"/>
    <d v="2027-11-14T00:00:00"/>
    <n v="144"/>
    <n v="144"/>
    <n v="144"/>
    <n v="0"/>
  </r>
  <r>
    <s v="J2250"/>
    <x v="2"/>
    <d v="2021-11-01T00:00:00"/>
    <m/>
    <m/>
    <d v="2024-04-01T00:00:00"/>
    <s v="MONTANA-DAKOTA UTILITIES CO.MDU"/>
    <s v="Stutsman"/>
    <m/>
    <m/>
    <s v="ND"/>
    <s v="DPP-2021"/>
    <s v="West"/>
    <s v="Phase 2"/>
    <s v="ERIS"/>
    <s v="Ellendale 345"/>
    <n v="200"/>
    <n v="200"/>
    <x v="1"/>
    <s v="Wind Turbine"/>
    <s v="Not Started"/>
    <m/>
    <n v="200"/>
    <n v="200"/>
    <n v="200"/>
    <n v="0"/>
  </r>
  <r>
    <s v="J2251"/>
    <x v="1"/>
    <d v="2021-08-12T00:00:00"/>
    <d v="2024-10-08T00:00:00"/>
    <m/>
    <d v="2024-10-30T00:00:00"/>
    <s v="DUKE ENERGY INDIANA, LLC"/>
    <s v="Grant"/>
    <m/>
    <m/>
    <s v="IN"/>
    <s v="DPP-2021"/>
    <s v="Central"/>
    <s v="Phase 2"/>
    <s v="NRIS"/>
    <s v="Greentown 230 kV"/>
    <n v="200"/>
    <n v="200"/>
    <x v="0"/>
    <s v="Photovoltaic"/>
    <s v="Not Started"/>
    <m/>
    <n v="0"/>
    <n v="0"/>
    <n v="0"/>
    <n v="0"/>
  </r>
  <r>
    <s v="J2252"/>
    <x v="1"/>
    <d v="2022-07-13T00:00:00"/>
    <d v="2026-03-16T00:00:00"/>
    <m/>
    <d v="2024-10-31T00:00:00"/>
    <s v="ENTERGY ARKANSAS, LLC"/>
    <s v="Jackson"/>
    <m/>
    <m/>
    <s v="AR"/>
    <s v="DPP-2021"/>
    <s v="South"/>
    <s v="Phase 3"/>
    <s v="NRIS"/>
    <s v="Cash - Newport AB"/>
    <n v="300"/>
    <n v="300"/>
    <x v="0"/>
    <s v="Photovoltaic"/>
    <s v="Not Started"/>
    <d v="2027-10-31T00:00:00"/>
    <n v="300"/>
    <n v="300"/>
    <n v="300"/>
    <n v="0"/>
  </r>
  <r>
    <s v="J2253"/>
    <x v="1"/>
    <d v="2021-08-17T00:00:00"/>
    <d v="2025-03-07T00:00:00"/>
    <m/>
    <d v="2022-12-02T00:00:00"/>
    <s v="EAST TEXAS ELECTRIC COOPERATIVE, INC."/>
    <s v="Tyler"/>
    <m/>
    <m/>
    <s v="TX"/>
    <s v="DPP-2021"/>
    <s v="South"/>
    <s v="Phase 3"/>
    <s v="NRIS"/>
    <s v="Fork Creek Substation"/>
    <n v="100"/>
    <n v="100"/>
    <x v="2"/>
    <s v="Battery Storage"/>
    <s v="Not Started"/>
    <m/>
    <n v="100"/>
    <n v="100"/>
    <n v="0"/>
    <n v="0"/>
  </r>
  <r>
    <s v="J2254"/>
    <x v="1"/>
    <d v="2021-08-12T00:00:00"/>
    <d v="2025-12-18T00:00:00"/>
    <m/>
    <d v="2024-10-30T00:00:00"/>
    <s v="INDIANAPOLIS POWER &amp; LIGHT COMPANY"/>
    <s v="Pike"/>
    <m/>
    <m/>
    <s v="IN"/>
    <s v="DPP-2021"/>
    <s v="Central"/>
    <s v="Phase 2"/>
    <s v="NRIS"/>
    <s v="Petersburg 345 kV"/>
    <n v="100"/>
    <n v="100"/>
    <x v="2"/>
    <s v="Battery Storage"/>
    <s v="Not Started"/>
    <m/>
    <n v="100"/>
    <n v="0"/>
    <n v="0"/>
    <n v="0"/>
  </r>
  <r>
    <s v="J2255"/>
    <x v="1"/>
    <d v="2021-08-06T00:00:00"/>
    <d v="2024-10-08T00:00:00"/>
    <m/>
    <d v="2024-10-30T00:00:00"/>
    <s v="DUKE ENERGY INDIANA, LLC"/>
    <s v="Ripley"/>
    <m/>
    <m/>
    <s v="IN"/>
    <s v="DPP-2021"/>
    <s v="Central"/>
    <s v="Phase 2"/>
    <s v="NRIS"/>
    <s v="Batesville 345 kV"/>
    <n v="100"/>
    <n v="100"/>
    <x v="2"/>
    <s v="Battery Storage"/>
    <s v="Not Started"/>
    <m/>
    <n v="0"/>
    <n v="0"/>
    <n v="0"/>
    <n v="0"/>
  </r>
  <r>
    <s v="J2256"/>
    <x v="1"/>
    <d v="2021-08-16T00:00:00"/>
    <d v="2021-09-17T00:00:00"/>
    <m/>
    <d v="2024-09-15T00:00:00"/>
    <s v="MIDAMERICAN ENERGY CO."/>
    <s v="Humboldt"/>
    <m/>
    <m/>
    <s v="IA"/>
    <s v="DPP-2021"/>
    <s v="West"/>
    <s v="Phase 2"/>
    <s v="NRIS"/>
    <s v="Irvington - Webster 345kV Line"/>
    <n v="150"/>
    <n v="150"/>
    <x v="1"/>
    <s v="Wind Turbine"/>
    <m/>
    <m/>
    <n v="0"/>
    <n v="0"/>
    <n v="0"/>
    <n v="0"/>
  </r>
  <r>
    <s v="J2257"/>
    <x v="1"/>
    <d v="2021-08-16T00:00:00"/>
    <d v="2025-03-07T00:00:00"/>
    <m/>
    <d v="2024-03-01T00:00:00"/>
    <s v="CLECO POWER LLC"/>
    <s v="Evangeline"/>
    <m/>
    <m/>
    <s v="LA"/>
    <s v="DPP-2021"/>
    <s v="South"/>
    <s v="Phase 3"/>
    <s v="NRIS"/>
    <s v="Ville Platte - Westfork 230kV"/>
    <n v="80"/>
    <n v="80"/>
    <x v="0"/>
    <s v="Photovoltaic"/>
    <s v="Not Started"/>
    <m/>
    <n v="80"/>
    <n v="0"/>
    <n v="0"/>
    <n v="0"/>
  </r>
  <r>
    <s v="J2258"/>
    <x v="2"/>
    <d v="2022-03-28T00:00:00"/>
    <m/>
    <m/>
    <d v="2024-05-31T00:00:00"/>
    <s v="AMEREN ILLINOIS"/>
    <s v="Adams"/>
    <m/>
    <m/>
    <s v="IL"/>
    <s v="DPP-2021"/>
    <s v="Central"/>
    <s v="Phase 2"/>
    <s v="NRIS"/>
    <s v="East Quincy-Fishhook 138kV"/>
    <n v="175"/>
    <n v="175"/>
    <x v="0"/>
    <s v="Photovoltaic"/>
    <s v="Not Started"/>
    <m/>
    <n v="175"/>
    <n v="175"/>
    <n v="175"/>
    <n v="175"/>
  </r>
  <r>
    <s v="J2259"/>
    <x v="1"/>
    <d v="2021-08-12T00:00:00"/>
    <d v="2024-10-08T00:00:00"/>
    <m/>
    <d v="2024-11-01T00:00:00"/>
    <s v="WABASH VALLEY POWER ASSOCIATION, INC."/>
    <s v="Hendricks"/>
    <m/>
    <m/>
    <s v="IN"/>
    <s v="DPP-2021"/>
    <s v="Central"/>
    <s v="Phase 2"/>
    <s v="NRIS"/>
    <s v="Amo 345kV"/>
    <n v="199.99"/>
    <n v="199.99"/>
    <x v="0"/>
    <s v="Photovoltaic"/>
    <s v="Not Started"/>
    <m/>
    <n v="0"/>
    <n v="0"/>
    <n v="0"/>
    <n v="0"/>
  </r>
  <r>
    <s v="J2260"/>
    <x v="2"/>
    <d v="2021-10-07T00:00:00"/>
    <m/>
    <m/>
    <d v="2023-07-31T00:00:00"/>
    <s v="METC"/>
    <s v="Presque Isle"/>
    <m/>
    <m/>
    <s v="MI"/>
    <s v="DPP-2021"/>
    <s v="East (ITC)"/>
    <s v="Phase 3"/>
    <s v="NRIS"/>
    <s v="PORT CALCITE - RIGGSVILLE 138.0kV"/>
    <n v="251.5"/>
    <n v="251.5"/>
    <x v="1"/>
    <s v="Wind Turbine"/>
    <s v="Not Started"/>
    <m/>
    <n v="149.24"/>
    <n v="149.24"/>
    <n v="149.24"/>
    <n v="0"/>
  </r>
  <r>
    <s v="J2261"/>
    <x v="0"/>
    <d v="2021-10-11T00:00:00"/>
    <m/>
    <m/>
    <d v="2029-07-20T00:00:00"/>
    <s v="ENTERGY ARKANSAS, LLC EATO"/>
    <s v="Jackson"/>
    <m/>
    <m/>
    <s v="AR"/>
    <s v="DPP-2021"/>
    <s v="South"/>
    <s v="Phase 3"/>
    <s v="NRIS"/>
    <s v="INDEPENDENCE-ISES - POWERLINE ROAD 500.0kV"/>
    <n v="625"/>
    <n v="625"/>
    <x v="0"/>
    <s v="Photovoltaic"/>
    <s v="Not Started"/>
    <d v="2028-09-01T00:00:00"/>
    <n v="652"/>
    <n v="652"/>
    <n v="625"/>
    <n v="0"/>
  </r>
  <r>
    <s v="J2262"/>
    <x v="0"/>
    <d v="2021-10-11T00:00:00"/>
    <m/>
    <m/>
    <d v="2029-07-20T00:00:00"/>
    <s v="ENTERGY ARKANSAS, LLC EATO"/>
    <s v="Jackson"/>
    <m/>
    <m/>
    <s v="AR"/>
    <s v="DPP-2021"/>
    <s v="South"/>
    <s v="Phase 3"/>
    <s v="NRIS"/>
    <s v="INDEPENDENCE-ISES - POWERLINE ROAD 500.0kV"/>
    <n v="625"/>
    <n v="625"/>
    <x v="0"/>
    <s v="Photovoltaic"/>
    <s v="Not Started"/>
    <d v="2028-09-28T00:00:00"/>
    <n v="652"/>
    <n v="652"/>
    <n v="625"/>
    <n v="0"/>
  </r>
  <r>
    <s v="J2263"/>
    <x v="1"/>
    <d v="2021-08-31T00:00:00"/>
    <d v="2024-10-08T00:00:00"/>
    <m/>
    <d v="2024-08-31T00:00:00"/>
    <s v="DUKE ENERGY INDIANA, LLC"/>
    <s v="Knox"/>
    <m/>
    <m/>
    <s v="IN"/>
    <s v="DPP-2021"/>
    <s v="Central"/>
    <s v="Phase 2"/>
    <s v="NRIS"/>
    <s v="Edwardsport 345KV"/>
    <n v="100"/>
    <n v="100"/>
    <x v="2"/>
    <s v="Battery Storage"/>
    <s v="Not Started"/>
    <m/>
    <n v="0"/>
    <n v="0"/>
    <n v="0"/>
    <n v="0"/>
  </r>
  <r>
    <s v="J2264"/>
    <x v="1"/>
    <d v="2021-10-11T00:00:00"/>
    <d v="2023-10-25T00:00:00"/>
    <m/>
    <d v="2024-02-02T00:00:00"/>
    <s v="ENTERGY ARKANSAS, LLC"/>
    <s v="Prairie"/>
    <m/>
    <m/>
    <s v="AR"/>
    <s v="DPP-2021"/>
    <s v="South"/>
    <s v="Phase 3"/>
    <s v="NRIS"/>
    <s v="Desarc(A) (500kV) -Griffithville(B) (500kV)"/>
    <n v="88"/>
    <n v="88"/>
    <x v="0"/>
    <s v="Photovoltaic"/>
    <s v="Not Started"/>
    <m/>
    <n v="0"/>
    <n v="0"/>
    <n v="0"/>
    <n v="0"/>
  </r>
  <r>
    <s v="J2265"/>
    <x v="2"/>
    <d v="2025-07-16T00:00:00"/>
    <m/>
    <m/>
    <d v="2024-02-15T00:00:00"/>
    <s v="AMEREN MISSOURI"/>
    <s v="Bollinger"/>
    <m/>
    <m/>
    <s v="MO"/>
    <s v="DPP-2021"/>
    <s v="Central"/>
    <s v="Phase 2"/>
    <s v="NRIS"/>
    <s v="St. Francois (Bus #345773) - Lutesville (Bus #344974) 345 kV Line"/>
    <n v="200"/>
    <n v="200"/>
    <x v="5"/>
    <s v="Solar/Battery"/>
    <s v="Not Started"/>
    <m/>
    <n v="200"/>
    <n v="200"/>
    <n v="200"/>
    <n v="200"/>
  </r>
  <r>
    <s v="J2266"/>
    <x v="2"/>
    <d v="2025-06-09T00:00:00"/>
    <m/>
    <m/>
    <d v="2025-03-31T00:00:00"/>
    <s v="AMEREN ILLINOIS"/>
    <s v="Edgar"/>
    <m/>
    <m/>
    <s v="IL"/>
    <s v="DPP-2021"/>
    <s v="Central"/>
    <s v="Phase 2"/>
    <s v="NRIS"/>
    <s v="7KANSAS   - 08SUGCRK 345.0kV"/>
    <n v="175"/>
    <n v="175"/>
    <x v="5"/>
    <s v="Solar/Battery"/>
    <s v="Not Started"/>
    <m/>
    <n v="175"/>
    <n v="175"/>
    <n v="175"/>
    <n v="175"/>
  </r>
  <r>
    <s v="J2267"/>
    <x v="2"/>
    <d v="2022-03-24T00:00:00"/>
    <m/>
    <m/>
    <d v="2025-03-31T00:00:00"/>
    <s v="AMEREN ILLINOIS"/>
    <s v="Williamson"/>
    <m/>
    <m/>
    <s v="IL"/>
    <s v="DPP-2021"/>
    <s v="Central"/>
    <s v="Phase 2"/>
    <s v="NRIS"/>
    <s v="345 kV Crab Orchard Substation"/>
    <n v="250"/>
    <n v="250"/>
    <x v="5"/>
    <s v="Solar/Battery"/>
    <s v="Not Started"/>
    <m/>
    <n v="250"/>
    <n v="250"/>
    <n v="225"/>
    <n v="225"/>
  </r>
  <r>
    <s v="J2268"/>
    <x v="2"/>
    <d v="2021-08-11T00:00:00"/>
    <m/>
    <m/>
    <d v="2024-10-30T00:00:00"/>
    <s v="ITC MIDWEST"/>
    <s v="Linn"/>
    <m/>
    <m/>
    <s v="IA"/>
    <s v="DPP-2021"/>
    <s v="West"/>
    <s v="Phase 2"/>
    <s v="NRIS"/>
    <s v="Duane Arnold"/>
    <n v="400"/>
    <n v="400"/>
    <x v="0"/>
    <s v="Photovoltaic"/>
    <s v="Not Started"/>
    <m/>
    <n v="370"/>
    <n v="370"/>
    <n v="370"/>
    <n v="370"/>
  </r>
  <r>
    <s v="J2269"/>
    <x v="1"/>
    <d v="2022-06-14T00:00:00"/>
    <d v="2024-10-08T00:00:00"/>
    <m/>
    <d v="2024-08-01T00:00:00"/>
    <s v="DUKE ENERGY INDIANA, LLC"/>
    <s v="Fountain"/>
    <m/>
    <m/>
    <s v="IN"/>
    <s v="DPP-2021"/>
    <s v="Central"/>
    <s v="Phase 2"/>
    <s v="NRIS"/>
    <s v="Veedersburg West - Lafayette 230kV"/>
    <n v="300"/>
    <n v="300"/>
    <x v="0"/>
    <s v="Photovoltaic"/>
    <s v="Not Started"/>
    <m/>
    <n v="0"/>
    <n v="0"/>
    <n v="0"/>
    <n v="0"/>
  </r>
  <r>
    <s v="J2270"/>
    <x v="2"/>
    <d v="2021-08-16T00:00:00"/>
    <m/>
    <m/>
    <d v="2024-10-30T00:00:00"/>
    <s v="HOOSIER ENERGY"/>
    <s v="Sullivan"/>
    <m/>
    <m/>
    <s v="IN"/>
    <s v="DPP-2021"/>
    <s v="Central"/>
    <s v="Phase 2"/>
    <s v="NRIS"/>
    <s v="Merom 345 kV"/>
    <n v="300"/>
    <n v="300"/>
    <x v="0"/>
    <s v="Photovoltaic"/>
    <s v="Not Started"/>
    <m/>
    <n v="300"/>
    <n v="0"/>
    <n v="300"/>
    <n v="0"/>
  </r>
  <r>
    <s v="J2271"/>
    <x v="1"/>
    <d v="2021-07-21T00:00:00"/>
    <d v="2024-10-01T00:00:00"/>
    <m/>
    <d v="2025-01-01T00:00:00"/>
    <s v="AMERICAN TRANSMISSION COMPANY"/>
    <s v="Columbia"/>
    <m/>
    <m/>
    <s v="WI"/>
    <s v="DPP-2021"/>
    <s v="East (ATC)"/>
    <s v="Phase 3"/>
    <s v="NRIS"/>
    <s v="South Fond du Lac to Columbia 345 kV"/>
    <n v="200"/>
    <n v="200"/>
    <x v="0"/>
    <s v="Photovoltaic"/>
    <s v="Not Started"/>
    <m/>
    <n v="200"/>
    <n v="200"/>
    <n v="0"/>
    <n v="0"/>
  </r>
  <r>
    <s v="J2272"/>
    <x v="2"/>
    <d v="2021-07-22T00:00:00"/>
    <m/>
    <m/>
    <d v="2024-09-01T00:00:00"/>
    <s v="ITC MIDWEST"/>
    <s v="Clinton"/>
    <m/>
    <m/>
    <s v="IA"/>
    <s v="DPP-2021"/>
    <s v="West"/>
    <s v="Phase 2"/>
    <s v="NRIS"/>
    <s v="Calamus East"/>
    <n v="250"/>
    <n v="250"/>
    <x v="5"/>
    <s v="Solar/Battery"/>
    <s v="Not Started"/>
    <d v="2026-10-01T00:00:00"/>
    <n v="250"/>
    <n v="250"/>
    <n v="250"/>
    <n v="250"/>
  </r>
  <r>
    <s v="J2273"/>
    <x v="2"/>
    <d v="2025-07-03T00:00:00"/>
    <m/>
    <m/>
    <d v="2024-03-31T00:00:00"/>
    <s v="AMEREN ILLINOIS"/>
    <s v="Clinton"/>
    <m/>
    <m/>
    <s v="IL"/>
    <s v="DPP-2021"/>
    <s v="Central"/>
    <s v="Phase 2"/>
    <s v="NRIS"/>
    <s v="Tabor"/>
    <n v="175"/>
    <n v="175"/>
    <x v="5"/>
    <s v="Solar/Battery"/>
    <s v="Not Started"/>
    <m/>
    <n v="175"/>
    <n v="175"/>
    <n v="175"/>
    <n v="175"/>
  </r>
  <r>
    <s v="J2274"/>
    <x v="1"/>
    <d v="2021-07-21T00:00:00"/>
    <d v="2025-12-18T00:00:00"/>
    <m/>
    <d v="2024-10-01T00:00:00"/>
    <s v="AMEREN MISSOURI"/>
    <s v="Lincoln"/>
    <m/>
    <m/>
    <s v="MO"/>
    <s v="DPP-2021"/>
    <s v="Central"/>
    <s v="Phase 2"/>
    <s v="NRIS"/>
    <s v="Pike - Troy 161kV"/>
    <n v="170"/>
    <n v="170"/>
    <x v="5"/>
    <s v="Solar/Battery"/>
    <s v="Not Started"/>
    <m/>
    <n v="170"/>
    <n v="104"/>
    <n v="0"/>
    <n v="0"/>
  </r>
  <r>
    <s v="J2275"/>
    <x v="2"/>
    <d v="2022-03-22T00:00:00"/>
    <m/>
    <m/>
    <d v="2025-10-31T00:00:00"/>
    <s v="AMEREN TRANSMISSION COMPANY OF ILLINOIS"/>
    <s v="Peoria"/>
    <m/>
    <m/>
    <s v="IL"/>
    <s v="DPP-2021"/>
    <s v="Central"/>
    <s v="Phase 2"/>
    <s v="NRIS"/>
    <s v="Fargo to Sandburg 345kV"/>
    <n v="250"/>
    <n v="250"/>
    <x v="1"/>
    <s v="Wind Turbine"/>
    <s v="Not Started"/>
    <m/>
    <n v="250"/>
    <n v="250"/>
    <n v="250"/>
    <n v="250"/>
  </r>
  <r>
    <s v="J2276"/>
    <x v="2"/>
    <d v="2022-04-11T00:00:00"/>
    <m/>
    <m/>
    <d v="2022-01-01T00:00:00"/>
    <s v="MISSOURI RIVER ENERGY SERVICES - TRANSMISSION"/>
    <s v="Douglas"/>
    <m/>
    <m/>
    <s v="MN"/>
    <s v="DPP-2021"/>
    <s v="West"/>
    <s v="Phase 2"/>
    <s v="NRIS"/>
    <s v="ALEXANDRIA"/>
    <n v="39.5"/>
    <n v="39.5"/>
    <x v="0"/>
    <s v="Solar/Wind"/>
    <s v="Not Started"/>
    <m/>
    <n v="39.5"/>
    <n v="39.5"/>
    <n v="39.5"/>
    <n v="39.5"/>
  </r>
  <r>
    <s v="J2277"/>
    <x v="1"/>
    <d v="2022-05-06T00:00:00"/>
    <d v="2025-10-08T00:00:00"/>
    <m/>
    <d v="2023-08-01T00:00:00"/>
    <s v="AMERICAN TRANSMISSION COMPANY"/>
    <s v="Portage"/>
    <m/>
    <m/>
    <s v="WI"/>
    <s v="DPP-2021"/>
    <s v="East (ATC)"/>
    <s v="Phase 3"/>
    <s v="NRIS"/>
    <s v="Arnott - Golden Sands 138.0kV"/>
    <n v="0"/>
    <n v="0"/>
    <x v="2"/>
    <s v="Battery Storage"/>
    <s v="Not Started"/>
    <m/>
    <n v="0"/>
    <n v="0"/>
    <n v="0"/>
    <n v="0"/>
  </r>
  <r>
    <s v="J2278"/>
    <x v="1"/>
    <d v="2022-03-28T00:00:00"/>
    <d v="2024-10-08T00:00:00"/>
    <m/>
    <d v="2025-11-30T00:00:00"/>
    <s v="AMEREN ILLINOIS"/>
    <s v="Edgar"/>
    <m/>
    <m/>
    <s v="IL"/>
    <s v="DPP-2021"/>
    <s v="Central"/>
    <s v="Phase 2"/>
    <s v="NRIS"/>
    <s v="Other_"/>
    <n v="60"/>
    <n v="60"/>
    <x v="5"/>
    <s v="Solar/Battery"/>
    <s v="Not Started"/>
    <m/>
    <n v="0"/>
    <n v="0"/>
    <n v="0"/>
    <n v="0"/>
  </r>
  <r>
    <s v="J2279"/>
    <x v="1"/>
    <d v="2021-07-21T00:00:00"/>
    <d v="2025-03-03T00:00:00"/>
    <m/>
    <d v="2025-08-01T00:00:00"/>
    <s v="WOLVERINE POWER SUPPLY COOPERATIVE"/>
    <s v="Ionia"/>
    <m/>
    <m/>
    <s v="MI"/>
    <s v="DPP-2021"/>
    <s v="East (ITC)"/>
    <s v="Phase 3"/>
    <s v="NRIS"/>
    <s v="Burnips to Tremaine 138 kV line"/>
    <n v="150"/>
    <n v="150"/>
    <x v="5"/>
    <s v="Solar/Battery"/>
    <s v="Not Started"/>
    <m/>
    <n v="150"/>
    <n v="150"/>
    <n v="0"/>
    <n v="0"/>
  </r>
  <r>
    <s v="J2280"/>
    <x v="2"/>
    <d v="2022-03-28T00:00:00"/>
    <m/>
    <m/>
    <d v="2023-06-01T00:00:00"/>
    <s v="DUKE ENERGY INDIANA, LLC CIN"/>
    <m/>
    <m/>
    <m/>
    <s v="IN"/>
    <s v="DPP-2021"/>
    <s v="Central"/>
    <s v="Phase 2"/>
    <s v="NRIS"/>
    <s v="GREENWOOD CLARK TOWNSHIP"/>
    <n v="198"/>
    <n v="198"/>
    <x v="2"/>
    <s v="Battery Storage"/>
    <s v="Not Started"/>
    <m/>
    <n v="198"/>
    <n v="198"/>
    <n v="198"/>
    <n v="198"/>
  </r>
  <r>
    <s v="J2281"/>
    <x v="1"/>
    <d v="2021-08-20T00:00:00"/>
    <d v="2021-12-08T00:00:00"/>
    <m/>
    <d v="2024-10-07T00:00:00"/>
    <s v="NORTHERN INDIANA PUBLIC SERVICE COMPANY LLC"/>
    <s v="White"/>
    <m/>
    <m/>
    <s v="IN"/>
    <s v="DPP-2021"/>
    <s v="Central"/>
    <s v="Phase 2"/>
    <s v="NRIS"/>
    <s v="Reynolds 138 kV"/>
    <n v="100"/>
    <n v="100"/>
    <x v="2"/>
    <s v="Battery Storage"/>
    <m/>
    <m/>
    <n v="0"/>
    <n v="0"/>
    <n v="0"/>
    <n v="0"/>
  </r>
  <r>
    <s v="J2282"/>
    <x v="1"/>
    <d v="2022-03-28T00:00:00"/>
    <d v="2024-10-08T00:00:00"/>
    <m/>
    <d v="2025-10-25T00:00:00"/>
    <s v="BIG RIVERS ELECTRIC CORPORATION"/>
    <s v="Ohio"/>
    <m/>
    <m/>
    <s v="KY"/>
    <s v="DPP-2021"/>
    <s v="Central"/>
    <s v="Phase 2"/>
    <s v="NRIS"/>
    <s v="BR Tap -- New Hardinsburg 161kV"/>
    <n v="100"/>
    <n v="100"/>
    <x v="5"/>
    <s v="Solar/Battery"/>
    <s v="Not Started"/>
    <m/>
    <n v="0"/>
    <n v="0"/>
    <n v="0"/>
    <n v="0"/>
  </r>
  <r>
    <s v="J2283"/>
    <x v="2"/>
    <d v="2021-11-19T00:00:00"/>
    <m/>
    <m/>
    <d v="2020-10-01T00:00:00"/>
    <s v="METC"/>
    <s v="Hillsdale"/>
    <m/>
    <m/>
    <s v="MI"/>
    <s v="DPP-2021"/>
    <s v="East (ITC)"/>
    <s v="Phase 3"/>
    <s v="NRIS"/>
    <s v="18Knowles (MISO node #256632)"/>
    <n v="16.100000000000001"/>
    <n v="16.100000000000001"/>
    <x v="1"/>
    <s v="Wind Turbine"/>
    <s v="Not Started"/>
    <d v="2020-10-01T00:00:00"/>
    <n v="16.100000000000001"/>
    <n v="16.100000000000001"/>
    <n v="16.100000000000001"/>
    <n v="16.100000000000001"/>
  </r>
  <r>
    <s v="J2284"/>
    <x v="1"/>
    <d v="2021-09-08T00:00:00"/>
    <d v="2023-10-25T00:00:00"/>
    <m/>
    <d v="2025-12-30T00:00:00"/>
    <s v="ENTERGY MISSISSIPPI, LLC."/>
    <s v="Coahoma"/>
    <m/>
    <m/>
    <s v="MS"/>
    <s v="DPP-2021"/>
    <s v="South"/>
    <s v="Phase 3"/>
    <s v="NRIS"/>
    <s v="Clarksdale-Delta 115kV line"/>
    <n v="65.97"/>
    <n v="65.97"/>
    <x v="0"/>
    <s v="Photovoltaic"/>
    <s v="Not Started"/>
    <m/>
    <n v="0"/>
    <n v="0"/>
    <n v="0"/>
    <n v="0"/>
  </r>
  <r>
    <s v="J2285"/>
    <x v="1"/>
    <d v="2021-07-14T00:00:00"/>
    <d v="2021-09-10T00:00:00"/>
    <m/>
    <d v="2026-10-01T00:00:00"/>
    <s v="OTTER TAIL POWER COMPANY"/>
    <s v="Polk"/>
    <m/>
    <m/>
    <s v="MN"/>
    <s v="DPP-2021"/>
    <s v="West"/>
    <s v="Phase 2"/>
    <s v="NRIS"/>
    <s v="Praire - Winger"/>
    <n v="45"/>
    <n v="45"/>
    <x v="2"/>
    <s v="Battery Storage"/>
    <m/>
    <m/>
    <n v="0"/>
    <n v="0"/>
    <n v="0"/>
    <n v="0"/>
  </r>
  <r>
    <s v="J2286"/>
    <x v="1"/>
    <d v="2021-07-14T00:00:00"/>
    <d v="2021-09-10T00:00:00"/>
    <m/>
    <d v="2026-10-01T00:00:00"/>
    <s v="OTTER TAIL POWER COMPANY"/>
    <s v="Polk"/>
    <m/>
    <m/>
    <s v="MN"/>
    <s v="DPP-2021"/>
    <s v="West"/>
    <s v="Phase 2"/>
    <s v="NRIS"/>
    <s v="Praire - Winger 230kV"/>
    <n v="90"/>
    <n v="90"/>
    <x v="0"/>
    <s v="Photovoltaic"/>
    <m/>
    <m/>
    <n v="0"/>
    <n v="0"/>
    <n v="0"/>
    <n v="0"/>
  </r>
  <r>
    <s v="J2287"/>
    <x v="0"/>
    <d v="2021-09-07T00:00:00"/>
    <m/>
    <m/>
    <d v="2024-12-01T00:00:00"/>
    <s v="ENTERGY MISSISSIPPI, LLC. EMTO"/>
    <s v="Bolivar"/>
    <m/>
    <m/>
    <s v="MS"/>
    <s v="DPP-2021"/>
    <s v="South"/>
    <s v="Phase 3"/>
    <s v="ERIS"/>
    <s v="DELTA SES SWITCHYARD 115kV"/>
    <n v="135"/>
    <n v="135"/>
    <x v="0"/>
    <s v="Photovoltaic"/>
    <s v="Not Started"/>
    <m/>
    <n v="135"/>
    <n v="0"/>
    <n v="122"/>
    <n v="0"/>
  </r>
  <r>
    <s v="J2288"/>
    <x v="2"/>
    <d v="2025-01-27T00:00:00"/>
    <m/>
    <m/>
    <d v="2025-06-01T00:00:00"/>
    <s v="AMEREN MISSOURI"/>
    <s v="Ralls"/>
    <m/>
    <m/>
    <s v="MO"/>
    <s v="DPP-2021"/>
    <s v="Central"/>
    <s v="Phase 2"/>
    <s v="NRIS"/>
    <s v="SPENCER CREEK"/>
    <n v="175"/>
    <n v="175"/>
    <x v="0"/>
    <s v="Photovoltaic"/>
    <s v="Not Started"/>
    <m/>
    <n v="175"/>
    <n v="175"/>
    <n v="175"/>
    <n v="175"/>
  </r>
  <r>
    <s v="J2289"/>
    <x v="1"/>
    <d v="2021-09-09T00:00:00"/>
    <d v="2026-02-17T00:00:00"/>
    <m/>
    <d v="2025-04-01T00:00:00"/>
    <s v="ENTERGY MISSISSIPPI, LLC. EMTO"/>
    <s v="Sunflower"/>
    <m/>
    <m/>
    <s v="MS"/>
    <s v="DPP-2021"/>
    <s v="South"/>
    <s v="Phase 3"/>
    <s v="ERIS"/>
    <s v="Indianola 230/130 Sub"/>
    <n v="200"/>
    <n v="200"/>
    <x v="0"/>
    <s v="Photovoltaic"/>
    <s v="Not Started"/>
    <d v="2028-04-01T00:00:00"/>
    <n v="200"/>
    <n v="0"/>
    <n v="200"/>
    <n v="0"/>
  </r>
  <r>
    <s v="J2290"/>
    <x v="1"/>
    <d v="2022-02-17T00:00:00"/>
    <d v="2023-10-25T00:00:00"/>
    <m/>
    <d v="2025-10-25T00:00:00"/>
    <s v="CLECO POWER LLC"/>
    <s v="Avoyelles"/>
    <m/>
    <m/>
    <s v="LA"/>
    <s v="DPP-2021"/>
    <s v="South"/>
    <s v="Phase 3"/>
    <s v="NRIS"/>
    <s v="CLECO Yellow Bayou 138kV Substation"/>
    <n v="130"/>
    <n v="130"/>
    <x v="5"/>
    <s v="Solar/Battery"/>
    <s v="Not Started"/>
    <m/>
    <n v="0"/>
    <n v="0"/>
    <n v="0"/>
    <n v="0"/>
  </r>
  <r>
    <s v="J2291"/>
    <x v="1"/>
    <d v="2021-09-07T00:00:00"/>
    <d v="2021-12-07T00:00:00"/>
    <m/>
    <d v="2025-07-23T00:00:00"/>
    <s v="OTTER TAIL POWER COMPANY"/>
    <s v="Polk"/>
    <m/>
    <m/>
    <s v="MN"/>
    <s v="DPP-2021"/>
    <s v="West"/>
    <s v="Phase 2"/>
    <s v="NRIS"/>
    <s v="Winger"/>
    <n v="150"/>
    <n v="150"/>
    <x v="0"/>
    <s v="Photovoltaic"/>
    <m/>
    <m/>
    <n v="0"/>
    <n v="0"/>
    <n v="0"/>
    <n v="0"/>
  </r>
  <r>
    <s v="J2292"/>
    <x v="0"/>
    <d v="2021-09-15T00:00:00"/>
    <m/>
    <m/>
    <d v="2024-09-01T00:00:00"/>
    <s v="ENTERGY LOUISIANA, LLC ELTO"/>
    <s v="Calcasieu"/>
    <m/>
    <m/>
    <s v="LA"/>
    <s v="DPP-2021"/>
    <s v="South"/>
    <s v="Phase 3"/>
    <s v="NRIS"/>
    <s v="GOOS FERRY"/>
    <n v="50"/>
    <n v="50"/>
    <x v="0"/>
    <s v="Photovoltaic"/>
    <s v="Not Started"/>
    <d v="2027-09-01T00:00:00"/>
    <n v="50"/>
    <n v="0"/>
    <n v="50"/>
    <n v="0"/>
  </r>
  <r>
    <s v="J2293"/>
    <x v="1"/>
    <d v="2021-11-30T00:00:00"/>
    <d v="2024-10-01T00:00:00"/>
    <m/>
    <d v="2025-11-30T00:00:00"/>
    <s v="AMERICAN TRANSMISSION COMPANY"/>
    <s v="Adams"/>
    <m/>
    <m/>
    <s v="WI"/>
    <s v="DPP-2021"/>
    <s v="East (ATC)"/>
    <s v="Phase 3"/>
    <s v="NRIS"/>
    <s v="Other_"/>
    <n v="50"/>
    <n v="50"/>
    <x v="5"/>
    <s v="Solar/Battery"/>
    <s v="Not Started"/>
    <m/>
    <n v="50"/>
    <n v="50"/>
    <n v="0"/>
    <n v="0"/>
  </r>
  <r>
    <s v="J2294"/>
    <x v="0"/>
    <d v="2021-08-10T00:00:00"/>
    <m/>
    <m/>
    <d v="2024-05-01T00:00:00"/>
    <s v="ARKANSAS ELECTRIC COOPERATIVE CORPORATION AECT"/>
    <s v="Mississippi"/>
    <m/>
    <m/>
    <s v="AR"/>
    <s v="DPP-2021"/>
    <s v="South"/>
    <s v="Phase 3"/>
    <s v="NRIS"/>
    <s v="Dell to Nucor 161 kV"/>
    <n v="250"/>
    <n v="250"/>
    <x v="0"/>
    <s v="Photovoltaic"/>
    <s v="Not Started"/>
    <d v="2028-06-28T00:00:00"/>
    <n v="250"/>
    <n v="250"/>
    <n v="250"/>
    <n v="0"/>
  </r>
  <r>
    <s v="J2295"/>
    <x v="1"/>
    <d v="2021-09-09T00:00:00"/>
    <d v="2023-04-04T00:00:00"/>
    <m/>
    <d v="2025-04-01T00:00:00"/>
    <s v="HOOSIER ENERGY"/>
    <s v="Sullivan"/>
    <m/>
    <m/>
    <s v="IN"/>
    <s v="DPP-2021"/>
    <s v="Central"/>
    <s v="Phase 2"/>
    <s v="ERIS"/>
    <s v="Merom Substation 345kV"/>
    <n v="200"/>
    <n v="200"/>
    <x v="0"/>
    <s v="Photovoltaic"/>
    <m/>
    <m/>
    <n v="0"/>
    <n v="0"/>
    <n v="0"/>
    <n v="0"/>
  </r>
  <r>
    <s v="J2296"/>
    <x v="2"/>
    <d v="2022-03-24T00:00:00"/>
    <m/>
    <m/>
    <d v="2025-04-01T00:00:00"/>
    <s v="DUKE ENERGY INDIANA, LLC CIN"/>
    <s v="Sullivan"/>
    <m/>
    <m/>
    <s v="IN"/>
    <s v="DPP-2021"/>
    <s v="Central"/>
    <s v="Phase 2"/>
    <s v="ERIS"/>
    <s v="Merom Gibson 345kV line Tap"/>
    <n v="100"/>
    <n v="100"/>
    <x v="0"/>
    <s v="Photovoltaic"/>
    <s v="Not Started"/>
    <m/>
    <n v="100"/>
    <n v="0"/>
    <n v="100"/>
    <n v="0"/>
  </r>
  <r>
    <s v="J2297"/>
    <x v="1"/>
    <d v="2021-09-09T00:00:00"/>
    <d v="2026-03-10T00:00:00"/>
    <m/>
    <d v="2025-04-01T00:00:00"/>
    <s v="ENTERGY MISSISSIPPI, LLC."/>
    <s v="Sunflower"/>
    <m/>
    <m/>
    <s v="MS"/>
    <s v="DPP-2021"/>
    <s v="South"/>
    <s v="Phase 3"/>
    <s v="ERIS"/>
    <s v="Indianola 230kV Substation"/>
    <n v="100"/>
    <n v="100"/>
    <x v="0"/>
    <s v="Photovoltaic"/>
    <s v="Not Started"/>
    <d v="2026-04-01T00:00:00"/>
    <n v="100"/>
    <n v="0"/>
    <n v="100"/>
    <n v="0"/>
  </r>
  <r>
    <s v="J2298"/>
    <x v="0"/>
    <d v="2021-11-30T00:00:00"/>
    <m/>
    <m/>
    <d v="2025-04-01T00:00:00"/>
    <s v="ARKANSAS ELECTRIC COOPERATIVE CORPORATION AECT"/>
    <s v="Greene"/>
    <m/>
    <m/>
    <s v="AR"/>
    <s v="DPP-2021"/>
    <s v="South"/>
    <s v="Phase 3"/>
    <s v="NRIS"/>
    <s v="Gainesville Switching Station"/>
    <n v="200"/>
    <n v="200"/>
    <x v="0"/>
    <s v="Photovoltaic"/>
    <s v="Not Started"/>
    <d v="2028-04-01T00:00:00"/>
    <n v="200"/>
    <n v="200"/>
    <n v="200"/>
    <n v="0"/>
  </r>
  <r>
    <s v="J2299"/>
    <x v="1"/>
    <d v="2021-09-09T00:00:00"/>
    <d v="2023-04-04T00:00:00"/>
    <m/>
    <d v="2025-04-01T00:00:00"/>
    <s v="ENTERGY ARKANSAS, LLC"/>
    <s v="Greene"/>
    <m/>
    <m/>
    <s v="AR"/>
    <s v="DPP-2021"/>
    <s v="South"/>
    <s v="Phase 3"/>
    <s v="NRIS"/>
    <s v="Marmaduke"/>
    <n v="100"/>
    <n v="100"/>
    <x v="0"/>
    <s v="Photovoltaic"/>
    <m/>
    <m/>
    <n v="0"/>
    <n v="0"/>
    <n v="0"/>
    <n v="0"/>
  </r>
  <r>
    <s v="J2300"/>
    <x v="1"/>
    <d v="2021-11-30T00:00:00"/>
    <d v="2025-03-07T00:00:00"/>
    <m/>
    <d v="2025-04-01T00:00:00"/>
    <s v="ARKANSAS ELECTRIC COOPERATIVE CORPORATION"/>
    <s v="Greene"/>
    <m/>
    <m/>
    <s v="AR"/>
    <s v="DPP-2021"/>
    <s v="South"/>
    <s v="Phase 3"/>
    <s v="NRIS"/>
    <s v="Gainesville Switching Station"/>
    <n v="50"/>
    <n v="50"/>
    <x v="2"/>
    <s v="Battery Storage"/>
    <s v="Not Started"/>
    <m/>
    <n v="50"/>
    <n v="50"/>
    <n v="0"/>
    <n v="0"/>
  </r>
  <r>
    <s v="J2301"/>
    <x v="2"/>
    <d v="2022-03-28T00:00:00"/>
    <m/>
    <m/>
    <d v="2025-11-30T00:00:00"/>
    <s v="DUKE ENERGY INDIANA, LLC CIN"/>
    <s v="Vigo"/>
    <m/>
    <m/>
    <s v="IN"/>
    <s v="DPP-2021"/>
    <s v="Central"/>
    <s v="Phase 2"/>
    <s v="NRIS"/>
    <s v="Other_"/>
    <n v="100"/>
    <n v="100"/>
    <x v="5"/>
    <s v="Solar/Battery"/>
    <s v="Not Started"/>
    <m/>
    <n v="70"/>
    <n v="0"/>
    <n v="70"/>
    <n v="0"/>
  </r>
  <r>
    <s v="J2302"/>
    <x v="0"/>
    <d v="2021-11-10T00:00:00"/>
    <m/>
    <m/>
    <d v="2024-08-01T00:00:00"/>
    <s v="ENTERGY LOUISIANA, LLC ELTO"/>
    <s v="St. Helena"/>
    <m/>
    <m/>
    <s v="LA"/>
    <s v="DPP-2021"/>
    <s v="South"/>
    <s v="Phase 3"/>
    <s v="NRIS"/>
    <s v="MCKNIGHT - PLANT DANIEL 500.0kV"/>
    <n v="400"/>
    <n v="400"/>
    <x v="5"/>
    <s v="Solar/Battery"/>
    <s v="Not Started"/>
    <d v="2027-10-11T00:00:00"/>
    <n v="400"/>
    <n v="400"/>
    <n v="400"/>
    <n v="400"/>
  </r>
  <r>
    <s v="J2303"/>
    <x v="1"/>
    <d v="2021-07-19T00:00:00"/>
    <d v="2021-12-09T00:00:00"/>
    <m/>
    <d v="2024-11-30T00:00:00"/>
    <s v="AMERICAN TRANSMISSION COMPANY"/>
    <s v="Waushara"/>
    <m/>
    <m/>
    <s v="WI"/>
    <s v="DPP-2021"/>
    <s v="East (ATC)"/>
    <s v="Phase 3"/>
    <s v="NRIS"/>
    <s v="Sand Lake 138kV Substation"/>
    <n v="100"/>
    <n v="100"/>
    <x v="0"/>
    <s v="Photovoltaic"/>
    <m/>
    <m/>
    <n v="0"/>
    <n v="0"/>
    <n v="0"/>
    <n v="0"/>
  </r>
  <r>
    <s v="J2304"/>
    <x v="2"/>
    <d v="2021-12-02T00:00:00"/>
    <m/>
    <m/>
    <d v="2024-04-15T00:00:00"/>
    <s v="AMERICAN TRANSMISSION COMPANY"/>
    <s v="Columbia"/>
    <m/>
    <m/>
    <s v="WI"/>
    <s v="DPP-2021"/>
    <s v="East (ATC)"/>
    <s v="Phase 3"/>
    <s v="NRIS"/>
    <s v="Columbia - Rockdale 345.0kV"/>
    <n v="400"/>
    <n v="400"/>
    <x v="2"/>
    <s v="Battery Storage"/>
    <s v="Not Started"/>
    <d v="2028-12-31T00:00:00"/>
    <n v="400"/>
    <n v="400"/>
    <n v="400"/>
    <n v="400"/>
  </r>
  <r>
    <s v="J2305"/>
    <x v="1"/>
    <d v="2021-08-17T00:00:00"/>
    <d v="2021-12-08T00:00:00"/>
    <m/>
    <d v="2025-04-01T00:00:00"/>
    <s v="BIG RIVERS ELECTRIC CORPORATION"/>
    <s v="Henderson"/>
    <m/>
    <m/>
    <s v="KY"/>
    <s v="DPP-2021"/>
    <s v="Central"/>
    <s v="Phase 2"/>
    <s v="NRIS"/>
    <s v="Henderson - AB Brown 138 kV"/>
    <n v="139"/>
    <n v="139"/>
    <x v="0"/>
    <s v="Photovoltaic"/>
    <s v="Not Started"/>
    <m/>
    <n v="0"/>
    <n v="0"/>
    <n v="0"/>
    <n v="0"/>
  </r>
  <r>
    <s v="J2306"/>
    <x v="1"/>
    <d v="2021-07-21T00:00:00"/>
    <d v="2021-12-08T00:00:00"/>
    <m/>
    <d v="2024-11-01T00:00:00"/>
    <s v="AMEREN ILLINOIS"/>
    <s v="Perry"/>
    <m/>
    <m/>
    <s v="IL"/>
    <s v="DPP-2021"/>
    <s v="Central"/>
    <s v="Phase 2"/>
    <s v="NRIS"/>
    <s v="Commodore-Jordan"/>
    <n v="150"/>
    <n v="150"/>
    <x v="5"/>
    <s v="Photovoltaic"/>
    <m/>
    <m/>
    <n v="0"/>
    <n v="0"/>
    <n v="0"/>
    <n v="0"/>
  </r>
  <r>
    <s v="J2307"/>
    <x v="2"/>
    <d v="2022-03-23T00:00:00"/>
    <m/>
    <m/>
    <d v="2025-10-01T00:00:00"/>
    <s v="DUKE ENERGY INDIANA, LLC CIN"/>
    <s v="Miami"/>
    <m/>
    <m/>
    <s v="IN"/>
    <s v="DPP-2021"/>
    <s v="Central"/>
    <s v="Phase 2"/>
    <s v="NRIS"/>
    <s v="Greentown  - Walton. 230.0kV"/>
    <n v="130"/>
    <n v="130"/>
    <x v="0"/>
    <s v="Photovoltaic"/>
    <s v="Not Started"/>
    <m/>
    <n v="130"/>
    <n v="130"/>
    <n v="130"/>
    <n v="130"/>
  </r>
  <r>
    <s v="J2308"/>
    <x v="1"/>
    <d v="2022-03-23T00:00:00"/>
    <d v="2025-12-18T00:00:00"/>
    <m/>
    <d v="2025-10-01T00:00:00"/>
    <s v="DUKE ENERGY INDIANA, LLC"/>
    <s v="Miami"/>
    <m/>
    <m/>
    <s v="IN"/>
    <s v="DPP-2021"/>
    <s v="Central"/>
    <s v="Phase 2"/>
    <s v="NRIS"/>
    <s v="Greentown  - Walton. 230.0kV"/>
    <n v="35"/>
    <n v="35"/>
    <x v="2"/>
    <s v="Battery Storage"/>
    <s v="Not Started"/>
    <m/>
    <n v="35"/>
    <n v="35"/>
    <n v="0"/>
    <n v="0"/>
  </r>
  <r>
    <s v="J2309"/>
    <x v="2"/>
    <d v="2021-09-07T00:00:00"/>
    <m/>
    <m/>
    <d v="2024-10-30T00:00:00"/>
    <s v="NORTHERN STATES POWER COMPANY"/>
    <s v="Murray"/>
    <m/>
    <m/>
    <s v="MN"/>
    <s v="DPP-2021"/>
    <s v="West"/>
    <s v="Phase 2"/>
    <s v="NRIS"/>
    <s v="Chanarambie - ELLSBOROUGH (GRE) 115.0kV"/>
    <n v="100"/>
    <n v="100"/>
    <x v="0"/>
    <s v="Photovoltaic"/>
    <s v="Not Started"/>
    <m/>
    <n v="100"/>
    <n v="100"/>
    <n v="100"/>
    <n v="100"/>
  </r>
  <r>
    <s v="J2310"/>
    <x v="1"/>
    <d v="2021-09-09T00:00:00"/>
    <d v="2023-10-25T00:00:00"/>
    <m/>
    <d v="2024-04-30T00:00:00"/>
    <s v="ENTERGY LOUISIANA, LLC"/>
    <s v="Beauregard"/>
    <m/>
    <m/>
    <s v="LA"/>
    <s v="DPP-2021"/>
    <s v="South"/>
    <s v="Phase 3"/>
    <s v="NRIS"/>
    <s v="Rhodes"/>
    <n v="300"/>
    <n v="300"/>
    <x v="0"/>
    <s v="Photovoltaic"/>
    <s v="Not Started"/>
    <m/>
    <n v="0"/>
    <n v="0"/>
    <n v="0"/>
    <n v="0"/>
  </r>
  <r>
    <s v="J2311"/>
    <x v="2"/>
    <d v="2024-10-18T00:00:00"/>
    <m/>
    <m/>
    <d v="2024-02-09T00:00:00"/>
    <s v="AMEREN ILLINOIS"/>
    <s v="Putnam"/>
    <m/>
    <m/>
    <s v="IL"/>
    <s v="DPP-2021"/>
    <s v="Central"/>
    <s v="Phase 2"/>
    <s v="NRIS"/>
    <s v="Putnam"/>
    <n v="145"/>
    <n v="145"/>
    <x v="1"/>
    <s v="Wind Turbine"/>
    <s v="Not Started"/>
    <m/>
    <n v="145"/>
    <n v="145"/>
    <n v="145"/>
    <n v="145"/>
  </r>
  <r>
    <s v="J2312"/>
    <x v="2"/>
    <d v="2024-10-18T00:00:00"/>
    <m/>
    <m/>
    <d v="2024-02-09T00:00:00"/>
    <s v="AMEREN ILLINOIS"/>
    <s v="Putnam"/>
    <m/>
    <m/>
    <s v="IL"/>
    <s v="DPP-2021"/>
    <s v="Central"/>
    <s v="Phase 2"/>
    <s v="NRIS"/>
    <s v="Putnam"/>
    <n v="47.9"/>
    <n v="47.9"/>
    <x v="1"/>
    <s v="Wind Turbine"/>
    <s v="Not Started"/>
    <m/>
    <n v="47.9"/>
    <n v="47.9"/>
    <n v="47.9"/>
    <n v="47.9"/>
  </r>
  <r>
    <s v="J2313"/>
    <x v="1"/>
    <d v="2021-09-10T00:00:00"/>
    <d v="2025-03-07T00:00:00"/>
    <m/>
    <d v="2023-12-31T00:00:00"/>
    <s v="ENTERGY MISSISSIPPI, LLC."/>
    <s v="Sunflower"/>
    <m/>
    <m/>
    <s v="MS"/>
    <s v="DPP-2021"/>
    <s v="South"/>
    <s v="Phase 3"/>
    <s v="NRIS"/>
    <s v="Other_"/>
    <n v="80"/>
    <n v="80"/>
    <x v="0"/>
    <s v="Photovoltaic"/>
    <s v="Not Started"/>
    <m/>
    <n v="80"/>
    <n v="80"/>
    <n v="0"/>
    <n v="0"/>
  </r>
  <r>
    <s v="J2314"/>
    <x v="0"/>
    <d v="2021-09-10T00:00:00"/>
    <m/>
    <m/>
    <d v="2023-12-31T00:00:00"/>
    <s v="ENTERGY TEXAS, INC. ETTO"/>
    <s v="Liberty"/>
    <m/>
    <m/>
    <s v="TX"/>
    <s v="DPP-2021"/>
    <s v="South"/>
    <s v="Phase 3"/>
    <s v="NRIS"/>
    <s v="PETRY WOODS SS"/>
    <n v="150"/>
    <n v="150"/>
    <x v="0"/>
    <s v="Photovoltaic"/>
    <s v="Not Started"/>
    <m/>
    <n v="150"/>
    <n v="150"/>
    <n v="150"/>
    <n v="0"/>
  </r>
  <r>
    <s v="J2315"/>
    <x v="1"/>
    <d v="2021-09-10T00:00:00"/>
    <d v="2023-10-25T00:00:00"/>
    <m/>
    <d v="2023-12-31T00:00:00"/>
    <s v="ENTERGY TEXAS, INC."/>
    <s v="Liberty"/>
    <m/>
    <m/>
    <s v="TX"/>
    <s v="DPP-2021"/>
    <s v="South"/>
    <s v="Phase 3"/>
    <s v="NRIS"/>
    <s v="Petry Woods"/>
    <n v="75.3"/>
    <n v="75.3"/>
    <x v="2"/>
    <s v="Battery Storage"/>
    <s v="Not Started"/>
    <m/>
    <n v="0"/>
    <n v="0"/>
    <n v="0"/>
    <n v="0"/>
  </r>
  <r>
    <s v="J2316"/>
    <x v="2"/>
    <d v="2021-09-16T00:00:00"/>
    <m/>
    <m/>
    <d v="2023-09-15T00:00:00"/>
    <s v="AMERICAN TRANSMISSION COMPANY"/>
    <s v="Dickinson"/>
    <m/>
    <m/>
    <s v="MI"/>
    <s v="DPP-2021"/>
    <s v="East (ATC)"/>
    <s v="Phase 3"/>
    <s v="NRIS"/>
    <s v="Nordic 138kV Substation"/>
    <n v="77.5"/>
    <n v="77.5"/>
    <x v="0"/>
    <s v="Photovoltaic"/>
    <s v="Not Started"/>
    <d v="2027-08-02T00:00:00"/>
    <n v="77.5"/>
    <n v="77.5"/>
    <n v="77.5"/>
    <n v="71.5"/>
  </r>
  <r>
    <s v="J2317"/>
    <x v="0"/>
    <d v="2021-12-21T00:00:00"/>
    <m/>
    <m/>
    <d v="2024-10-31T00:00:00"/>
    <s v="ENTERGY LOUISIANA, LLC ELTO"/>
    <s v="Ouachita"/>
    <m/>
    <m/>
    <s v="LA"/>
    <s v="DPP-2021"/>
    <s v="South"/>
    <s v="Phase 3"/>
    <s v="NRIS"/>
    <s v="BASTROP (CAHOON) - STERLINGTON 115 SWYD 115.0kV"/>
    <n v="225"/>
    <n v="225"/>
    <x v="0"/>
    <s v="Photovoltaic"/>
    <s v="Not Started"/>
    <d v="2027-12-01T00:00:00"/>
    <n v="225"/>
    <n v="225"/>
    <n v="202.5"/>
    <n v="0"/>
  </r>
  <r>
    <s v="J2318"/>
    <x v="1"/>
    <d v="2022-03-28T00:00:00"/>
    <d v="2024-10-08T00:00:00"/>
    <m/>
    <d v="2025-10-25T00:00:00"/>
    <s v="SOUTHERN INDIANA GAS &amp; ELECTRIC COMPANY D/B/A CENTERPOINT ENERGY INDIANA SOUTH"/>
    <s v="Warren"/>
    <m/>
    <m/>
    <s v="IN"/>
    <s v="DPP-2021"/>
    <s v="Central"/>
    <s v="Phase 2"/>
    <s v="NRIS"/>
    <s v="North East (Castle) - Culley 138 kV (J1642 POI)"/>
    <n v="75"/>
    <n v="75"/>
    <x v="5"/>
    <s v="Solar/Battery"/>
    <s v="Not Started"/>
    <m/>
    <n v="0"/>
    <n v="0"/>
    <n v="0"/>
    <n v="0"/>
  </r>
  <r>
    <s v="J2319"/>
    <x v="1"/>
    <d v="2021-08-24T00:00:00"/>
    <d v="2021-12-22T00:00:00"/>
    <m/>
    <d v="2023-11-01T00:00:00"/>
    <s v="ITC"/>
    <s v="Huron"/>
    <m/>
    <m/>
    <s v="MI"/>
    <s v="DPP-2021"/>
    <s v="East (ITC)"/>
    <s v="Phase 3"/>
    <s v="NRIS"/>
    <s v="Stein 345 kV substation"/>
    <n v="200"/>
    <n v="200"/>
    <x v="0"/>
    <s v="Photovoltaic"/>
    <s v="Not Started"/>
    <m/>
    <n v="0"/>
    <n v="0"/>
    <n v="0"/>
    <n v="0"/>
  </r>
  <r>
    <s v="J2320"/>
    <x v="1"/>
    <d v="2021-09-10T00:00:00"/>
    <d v="2023-10-25T00:00:00"/>
    <m/>
    <d v="2023-12-31T00:00:00"/>
    <s v="ENTERGY MISSISSIPPI, LLC."/>
    <s v="Sunflower"/>
    <m/>
    <m/>
    <s v="MS"/>
    <s v="DPP-2021"/>
    <s v="South"/>
    <s v="Phase 3"/>
    <s v="NRIS"/>
    <s v="Inverness"/>
    <n v="40"/>
    <n v="40"/>
    <x v="2"/>
    <s v="Battery Storage"/>
    <s v="Not Started"/>
    <m/>
    <n v="0"/>
    <n v="0"/>
    <n v="0"/>
    <n v="0"/>
  </r>
  <r>
    <s v="J2321"/>
    <x v="1"/>
    <d v="2022-05-16T00:00:00"/>
    <d v="2023-03-25T00:00:00"/>
    <m/>
    <d v="2025-04-30T00:00:00"/>
    <s v="COOPERATIVE ENERGY"/>
    <s v="Lamar"/>
    <m/>
    <m/>
    <s v="MS"/>
    <s v="DPP-2022"/>
    <s v="South"/>
    <s v="Phase 1"/>
    <s v="NRIS"/>
    <s v="Columbia to Plant Morrow 161kV"/>
    <n v="180"/>
    <n v="180"/>
    <x v="5"/>
    <s v="Solar/Battery"/>
    <s v="Not Started"/>
    <m/>
    <n v="0"/>
    <n v="0"/>
    <n v="0"/>
    <n v="0"/>
  </r>
  <r>
    <s v="J2322"/>
    <x v="2"/>
    <d v="2025-11-20T00:00:00"/>
    <m/>
    <m/>
    <d v="2025-07-02T00:00:00"/>
    <s v="CLECO POWER LLC CLEC"/>
    <s v="Evangeline"/>
    <m/>
    <m/>
    <s v="LA"/>
    <s v="DPP-2022"/>
    <s v="South"/>
    <s v="Phase 1"/>
    <s v="ERIS"/>
    <s v="Coughlin - Pine Prairie 138.0kV"/>
    <n v="200"/>
    <n v="200"/>
    <x v="0"/>
    <s v="Photovoltaic"/>
    <s v="Not Started"/>
    <m/>
    <n v="200"/>
    <n v="0"/>
    <n v="0"/>
    <n v="0"/>
  </r>
  <r>
    <s v="J2323"/>
    <x v="1"/>
    <d v="2022-09-13T00:00:00"/>
    <d v="2025-10-27T00:00:00"/>
    <m/>
    <d v="2027-10-01T00:00:00"/>
    <s v="MIDAMERICAN ENERGY CO."/>
    <s v="Webster"/>
    <m/>
    <m/>
    <s v="IA"/>
    <s v="DPP-2022"/>
    <s v="West"/>
    <s v="Phase 1"/>
    <s v="NRIS"/>
    <s v="Webster-Lehigh 345kV"/>
    <n v="145"/>
    <n v="145"/>
    <x v="1"/>
    <s v="Wind Turbine"/>
    <s v="Not Started"/>
    <m/>
    <n v="0"/>
    <n v="0"/>
    <n v="0"/>
    <n v="0"/>
  </r>
  <r>
    <s v="J2324"/>
    <x v="1"/>
    <d v="2022-09-08T00:00:00"/>
    <d v="2025-07-30T00:00:00"/>
    <m/>
    <d v="2027-02-24T00:00:00"/>
    <s v="AMERICAN TRANSMISSION COMPANY"/>
    <s v="Winnebago"/>
    <m/>
    <m/>
    <s v="IL"/>
    <s v="DPP-2022"/>
    <s v="East (ATC)"/>
    <s v="Phase 1"/>
    <s v="NRIS"/>
    <s v="Shirland Ave Tap (Y-54) to Shaw 69kV"/>
    <n v="35"/>
    <n v="35"/>
    <x v="5"/>
    <s v="Solar/Battery"/>
    <s v="Not Started"/>
    <m/>
    <n v="0"/>
    <n v="0"/>
    <n v="0"/>
    <n v="0"/>
  </r>
  <r>
    <s v="J2325"/>
    <x v="1"/>
    <d v="2022-09-13T00:00:00"/>
    <d v="2023-03-25T00:00:00"/>
    <m/>
    <d v="2025-08-01T00:00:00"/>
    <s v="ENTERGY LOUISIANA, LLC"/>
    <s v="Morehouse"/>
    <m/>
    <m/>
    <s v="LA"/>
    <s v="DPP-2022"/>
    <s v="South"/>
    <s v="Phase 1"/>
    <s v="NRIS"/>
    <s v="Bastrop to Sterlington 115 kV"/>
    <n v="175"/>
    <n v="175"/>
    <x v="2"/>
    <s v="Battery Storage"/>
    <s v="Not Started"/>
    <m/>
    <n v="0"/>
    <n v="0"/>
    <n v="0"/>
    <n v="0"/>
  </r>
  <r>
    <s v="J2326"/>
    <x v="2"/>
    <d v="2022-09-13T00:00:00"/>
    <m/>
    <m/>
    <d v="2025-10-28T00:00:00"/>
    <s v="AMERICAN TRANSMISSION COMPANY"/>
    <s v="Outagamie"/>
    <m/>
    <m/>
    <s v="WI"/>
    <s v="DPP-2022"/>
    <s v="East (ATC)"/>
    <s v="Phase 1"/>
    <s v="NRIS"/>
    <s v="Werner West"/>
    <n v="150"/>
    <n v="150"/>
    <x v="2"/>
    <s v="Battery Storage"/>
    <s v="Not Started"/>
    <m/>
    <n v="150"/>
    <n v="150"/>
    <n v="0"/>
    <n v="0"/>
  </r>
  <r>
    <s v="J2327"/>
    <x v="1"/>
    <d v="2022-09-13T00:00:00"/>
    <d v="2025-10-07T00:00:00"/>
    <m/>
    <d v="2026-11-01T00:00:00"/>
    <s v="MONTANA-DAKOTA UTILITIES CO."/>
    <s v="LaMoure"/>
    <m/>
    <m/>
    <s v="ND"/>
    <s v="DPP-2022"/>
    <s v="West"/>
    <s v="Phase 1"/>
    <s v="NRIS"/>
    <s v="Ellendale 345 kV"/>
    <n v="300"/>
    <n v="300"/>
    <x v="1"/>
    <s v="Wind Turbine"/>
    <s v="Not Started"/>
    <m/>
    <n v="0"/>
    <n v="0"/>
    <n v="0"/>
    <n v="0"/>
  </r>
  <r>
    <s v="J2328"/>
    <x v="1"/>
    <d v="2022-09-12T00:00:00"/>
    <d v="2025-07-30T00:00:00"/>
    <m/>
    <d v="2027-10-01T00:00:00"/>
    <s v="ENTERGY ARKANSAS, LLC"/>
    <s v="Lonoke"/>
    <m/>
    <m/>
    <s v="AR"/>
    <s v="DPP-2022"/>
    <s v="South"/>
    <s v="Phase 1"/>
    <s v="NRIS"/>
    <s v="Keo 500kV"/>
    <n v="150"/>
    <n v="150"/>
    <x v="0"/>
    <s v="Photovoltaic"/>
    <s v="Not Started"/>
    <m/>
    <n v="0"/>
    <n v="0"/>
    <n v="0"/>
    <n v="0"/>
  </r>
  <r>
    <s v="J2329"/>
    <x v="1"/>
    <d v="2022-09-14T00:00:00"/>
    <d v="2025-10-27T00:00:00"/>
    <m/>
    <d v="2025-10-31T00:00:00"/>
    <s v="DUKE ENERGY INDIANA, LLC"/>
    <s v="Vigo"/>
    <m/>
    <m/>
    <s v="IN"/>
    <s v="DPP-2022"/>
    <s v="Central"/>
    <s v="Phase 2"/>
    <s v="NRIS"/>
    <s v="Wabash River-Whitesville South 230 kV"/>
    <n v="100"/>
    <n v="100"/>
    <x v="2"/>
    <s v="Battery Storage"/>
    <s v="Not Started"/>
    <m/>
    <n v="0"/>
    <n v="0"/>
    <n v="0"/>
    <n v="0"/>
  </r>
  <r>
    <s v="J2330"/>
    <x v="2"/>
    <d v="2022-09-15T00:00:00"/>
    <m/>
    <m/>
    <d v="2026-10-31T00:00:00"/>
    <m/>
    <s v="Leflore"/>
    <m/>
    <m/>
    <s v="MS"/>
    <s v="DPP-2022"/>
    <s v="South"/>
    <s v="Phase 1"/>
    <s v="ERIS"/>
    <s v="GREENWOOD"/>
    <n v="200"/>
    <n v="200"/>
    <x v="0"/>
    <s v="Photovoltaic"/>
    <s v="Not Started"/>
    <m/>
    <n v="200"/>
    <n v="0"/>
    <n v="0"/>
    <n v="0"/>
  </r>
  <r>
    <s v="J2331"/>
    <x v="1"/>
    <d v="2022-09-15T00:00:00"/>
    <d v="2023-03-24T00:00:00"/>
    <m/>
    <d v="2026-09-15T00:00:00"/>
    <s v="AMEREN ILLINOIS"/>
    <s v="Franklin"/>
    <m/>
    <m/>
    <s v="IL"/>
    <s v="DPP-2022"/>
    <s v="Central"/>
    <s v="Phase 2"/>
    <s v="NRIS"/>
    <s v="West Frankfort East Substation 345kV"/>
    <n v="127"/>
    <n v="127"/>
    <x v="0"/>
    <s v="Photovoltaic"/>
    <s v="Not Started"/>
    <m/>
    <n v="0"/>
    <n v="0"/>
    <n v="0"/>
    <n v="0"/>
  </r>
  <r>
    <s v="J2332"/>
    <x v="2"/>
    <d v="2022-09-15T00:00:00"/>
    <m/>
    <m/>
    <d v="2027-09-01T00:00:00"/>
    <s v="NORTHERN STATES POWER COMPANY"/>
    <s v="Cottonwood"/>
    <m/>
    <m/>
    <s v="MN"/>
    <s v="DPP-2022"/>
    <s v="West"/>
    <s v="Phase 1"/>
    <s v="NRIS"/>
    <s v="Lyon County - Cedar Mountain 345kV"/>
    <n v="200"/>
    <n v="200"/>
    <x v="1"/>
    <s v="Wind Turbine"/>
    <s v="Not Started"/>
    <m/>
    <n v="200"/>
    <n v="200"/>
    <n v="0"/>
    <n v="0"/>
  </r>
  <r>
    <s v="J2333"/>
    <x v="1"/>
    <d v="2022-09-15T00:00:00"/>
    <d v="2025-10-07T00:00:00"/>
    <m/>
    <d v="2027-09-01T00:00:00"/>
    <s v="OTTER TAIL POWER COMPANY"/>
    <s v="McPherson"/>
    <m/>
    <m/>
    <s v="SD"/>
    <s v="DPP-2022"/>
    <s v="West"/>
    <s v="Phase 1"/>
    <s v="NRIS"/>
    <s v="Ellendale - Twin Brooks 345kV"/>
    <n v="200"/>
    <n v="200"/>
    <x v="1"/>
    <s v="Wind Turbine"/>
    <s v="Not Started"/>
    <m/>
    <n v="0"/>
    <n v="0"/>
    <n v="0"/>
    <n v="0"/>
  </r>
  <r>
    <s v="J2334"/>
    <x v="2"/>
    <d v="2022-09-14T00:00:00"/>
    <m/>
    <m/>
    <d v="2027-09-01T00:00:00"/>
    <s v="AMEREN ILLINOIS"/>
    <s v="Montgomery"/>
    <m/>
    <m/>
    <s v="IL"/>
    <s v="DPP-2022"/>
    <s v="Central"/>
    <s v="Phase 2"/>
    <s v="NRIS"/>
    <s v="Redhawk"/>
    <n v="195"/>
    <n v="195"/>
    <x v="0"/>
    <s v="Photovoltaic"/>
    <s v="Not Started"/>
    <m/>
    <n v="195"/>
    <n v="195"/>
    <n v="0"/>
    <n v="0"/>
  </r>
  <r>
    <s v="J2335"/>
    <x v="1"/>
    <d v="2022-09-14T00:00:00"/>
    <d v="2025-07-30T00:00:00"/>
    <m/>
    <d v="2025-09-01T00:00:00"/>
    <s v="AMERICAN TRANSMISSION COMPANY"/>
    <s v="Portage"/>
    <m/>
    <m/>
    <s v="WI"/>
    <s v="DPP-2022"/>
    <s v="East (ATC)"/>
    <s v="Phase 1"/>
    <s v="NRIS"/>
    <s v="Plover 115 kV Substation (J1573 substation)"/>
    <n v="200"/>
    <n v="200"/>
    <x v="2"/>
    <s v="Battery Storage"/>
    <s v="Not Started"/>
    <m/>
    <n v="0"/>
    <n v="0"/>
    <n v="0"/>
    <n v="0"/>
  </r>
  <r>
    <s v="J2336"/>
    <x v="1"/>
    <d v="2022-09-13T00:00:00"/>
    <d v="2025-07-30T00:00:00"/>
    <m/>
    <d v="2025-08-29T00:00:00"/>
    <s v="ENTERGY LOUISIANA, LLC"/>
    <s v="Union"/>
    <m/>
    <m/>
    <s v="LA"/>
    <s v="DPP-2022"/>
    <s v="South"/>
    <s v="Phase 1"/>
    <s v="NRIS"/>
    <s v="Sterlington - Downsville 115 kV Line"/>
    <n v="125"/>
    <n v="125"/>
    <x v="5"/>
    <s v="Solar/Battery"/>
    <s v="Not Started"/>
    <m/>
    <n v="0"/>
    <n v="0"/>
    <n v="0"/>
    <n v="0"/>
  </r>
  <r>
    <s v="J2337"/>
    <x v="1"/>
    <d v="2022-09-15T00:00:00"/>
    <d v="2025-07-28T00:00:00"/>
    <m/>
    <d v="2026-06-30T00:00:00"/>
    <s v="AMEREN MISSOURI"/>
    <s v="St. Francois"/>
    <m/>
    <m/>
    <s v="MO"/>
    <s v="DPP-2022"/>
    <s v="Central"/>
    <s v="Phase 2"/>
    <s v="NRIS"/>
    <s v="St. Francois 138kV 4ST FRANC 1 bus 345774"/>
    <n v="100"/>
    <n v="100"/>
    <x v="2"/>
    <s v="Battery Storage"/>
    <s v="Not Started"/>
    <m/>
    <n v="0"/>
    <n v="0"/>
    <n v="0"/>
    <n v="0"/>
  </r>
  <r>
    <s v="J2338"/>
    <x v="1"/>
    <d v="2022-09-15T00:00:00"/>
    <d v="2025-10-07T00:00:00"/>
    <m/>
    <d v="2027-09-01T00:00:00"/>
    <s v="OTTER TAIL POWER COMPANY"/>
    <s v="McPherson"/>
    <m/>
    <m/>
    <s v="SD"/>
    <s v="DPP-2022"/>
    <s v="West"/>
    <s v="Phase 1"/>
    <s v="NRIS"/>
    <s v="Ellendale - Twin Brooks 345kV"/>
    <n v="200"/>
    <n v="200"/>
    <x v="1"/>
    <s v="Wind Turbine"/>
    <s v="Not Started"/>
    <m/>
    <n v="0"/>
    <n v="0"/>
    <n v="0"/>
    <n v="0"/>
  </r>
  <r>
    <s v="J2339"/>
    <x v="1"/>
    <d v="2022-09-15T00:00:00"/>
    <d v="2025-07-30T00:00:00"/>
    <m/>
    <d v="2026-10-01T00:00:00"/>
    <s v="CLECO POWER LLC"/>
    <s v="Rapides"/>
    <m/>
    <m/>
    <s v="LA"/>
    <s v="DPP-2022"/>
    <s v="South"/>
    <s v="Phase 1"/>
    <s v="NRIS"/>
    <s v="Cocodrie-Forest Hill 230kV"/>
    <n v="125"/>
    <n v="125"/>
    <x v="0"/>
    <s v="Photovoltaic"/>
    <s v="Not Started"/>
    <m/>
    <n v="0"/>
    <n v="0"/>
    <n v="0"/>
    <n v="0"/>
  </r>
  <r>
    <s v="J2340"/>
    <x v="1"/>
    <d v="2022-09-14T00:00:00"/>
    <d v="2025-10-27T00:00:00"/>
    <m/>
    <d v="2027-08-01T00:00:00"/>
    <s v="DUKE ENERGY INDIANA, LLC"/>
    <s v="Rush"/>
    <m/>
    <m/>
    <s v="IN"/>
    <s v="DPP-2022"/>
    <s v="Central"/>
    <s v="Phase 2"/>
    <s v="NRIS"/>
    <s v="RUSHVILLE 69 kV - HEMILROY 69 kV"/>
    <n v="43"/>
    <n v="43"/>
    <x v="0"/>
    <s v="Photovoltaic"/>
    <s v="Not Started"/>
    <m/>
    <n v="0"/>
    <n v="0"/>
    <n v="0"/>
    <n v="0"/>
  </r>
  <r>
    <s v="J2341"/>
    <x v="1"/>
    <d v="2022-09-13T00:00:00"/>
    <d v="2025-07-30T00:00:00"/>
    <m/>
    <d v="2026-10-01T00:00:00"/>
    <s v="ENTERGY ARKANSAS, LLC"/>
    <s v="Arkansas"/>
    <m/>
    <m/>
    <s v="AR"/>
    <s v="DPP-2022"/>
    <s v="South"/>
    <s v="Phase 1"/>
    <s v="NRIS"/>
    <s v="Ricuskey-Woodward 230kV"/>
    <n v="75"/>
    <n v="75"/>
    <x v="0"/>
    <s v="Photovoltaic"/>
    <s v="Not Started"/>
    <m/>
    <n v="0"/>
    <n v="0"/>
    <n v="0"/>
    <n v="0"/>
  </r>
  <r>
    <s v="J2342"/>
    <x v="2"/>
    <d v="2022-09-15T00:00:00"/>
    <m/>
    <m/>
    <d v="2027-05-15T00:00:00"/>
    <s v="ITC MIDWEST"/>
    <s v="Worth"/>
    <m/>
    <m/>
    <s v="IA"/>
    <s v="DPP-2022"/>
    <s v="West"/>
    <s v="Phase 1"/>
    <s v="NRIS"/>
    <s v="Worth County"/>
    <n v="230"/>
    <n v="230"/>
    <x v="1"/>
    <s v="Wind Turbine"/>
    <s v="Not Started"/>
    <m/>
    <n v="150"/>
    <n v="141"/>
    <n v="0"/>
    <n v="0"/>
  </r>
  <r>
    <s v="J2343"/>
    <x v="2"/>
    <d v="2022-09-14T00:00:00"/>
    <m/>
    <m/>
    <d v="2026-05-01T00:00:00"/>
    <s v="INDIANAPOLIS POWER &amp; LIGHT COMPANY"/>
    <s v="Marion"/>
    <m/>
    <m/>
    <s v="IN"/>
    <s v="DPP-2022"/>
    <s v="Central"/>
    <s v="Phase 2"/>
    <s v="NRIS"/>
    <s v="Georgetown  - North 138.0kV"/>
    <n v="130"/>
    <n v="130"/>
    <x v="2"/>
    <s v="Battery Storage"/>
    <s v="Not Started"/>
    <m/>
    <n v="130"/>
    <n v="130"/>
    <n v="0"/>
    <n v="0"/>
  </r>
  <r>
    <s v="J2344"/>
    <x v="1"/>
    <d v="2022-09-13T00:00:00"/>
    <d v="2025-10-07T00:00:00"/>
    <m/>
    <d v="2026-11-01T00:00:00"/>
    <s v="OTTER TAIL POWER COMPANY"/>
    <s v="Stutsman"/>
    <m/>
    <m/>
    <s v="ND"/>
    <s v="DPP-2022"/>
    <s v="West"/>
    <s v="Phase 1"/>
    <s v="NRIS"/>
    <s v="Jamestown 345 kV"/>
    <n v="200"/>
    <n v="200"/>
    <x v="1"/>
    <s v="Wind Turbine"/>
    <s v="Not Started"/>
    <m/>
    <n v="0"/>
    <n v="0"/>
    <n v="0"/>
    <n v="0"/>
  </r>
  <r>
    <s v="J2345"/>
    <x v="1"/>
    <d v="2022-09-12T00:00:00"/>
    <d v="2025-07-30T00:00:00"/>
    <m/>
    <d v="2028-10-01T00:00:00"/>
    <s v="AMERICAN TRANSMISSION COMPANY"/>
    <s v="Marathon"/>
    <m/>
    <m/>
    <s v="WI"/>
    <s v="DPP-2022"/>
    <s v="East (ATC)"/>
    <s v="Phase 1"/>
    <s v="NRIS"/>
    <s v="Gardner Park-Stone Lake 345kV"/>
    <n v="150"/>
    <n v="150"/>
    <x v="1"/>
    <s v="Wind Turbine"/>
    <s v="Not Started"/>
    <m/>
    <n v="0"/>
    <n v="0"/>
    <n v="0"/>
    <n v="0"/>
  </r>
  <r>
    <s v="J2346"/>
    <x v="2"/>
    <d v="2022-09-15T00:00:00"/>
    <m/>
    <m/>
    <d v="2027-09-01T00:00:00"/>
    <s v="NORTHERN STATES POWER COMPANY"/>
    <s v="Murray"/>
    <m/>
    <m/>
    <s v="MN"/>
    <s v="DPP-2022"/>
    <s v="West"/>
    <s v="Phase 1"/>
    <s v="NRIS"/>
    <s v="Lyon County - Cedar Mountain 345kV"/>
    <n v="200"/>
    <n v="200"/>
    <x v="1"/>
    <s v="Wind Turbine"/>
    <s v="Not Started"/>
    <m/>
    <n v="200"/>
    <n v="200"/>
    <n v="0"/>
    <n v="0"/>
  </r>
  <r>
    <s v="J2347"/>
    <x v="1"/>
    <d v="2022-09-14T00:00:00"/>
    <d v="2025-08-01T00:00:00"/>
    <m/>
    <d v="2025-09-15T00:00:00"/>
    <s v="METC"/>
    <s v="Roscommon"/>
    <m/>
    <m/>
    <s v="MI"/>
    <s v="DPP-2022"/>
    <s v="East (ITC)"/>
    <s v="Phase 1"/>
    <s v="NRIS"/>
    <s v="Higgins - Mio Dam 138 kV Line"/>
    <n v="40"/>
    <n v="40"/>
    <x v="0"/>
    <s v="Photovoltaic"/>
    <s v="Not Started"/>
    <m/>
    <n v="0"/>
    <n v="0"/>
    <n v="0"/>
    <n v="0"/>
  </r>
  <r>
    <s v="J2348"/>
    <x v="1"/>
    <d v="2022-09-14T00:00:00"/>
    <d v="2025-07-30T00:00:00"/>
    <m/>
    <d v="2026-10-31T00:00:00"/>
    <s v="ENTERGY LOUISIANA, LLC"/>
    <s v="Webster"/>
    <m/>
    <m/>
    <s v="LA"/>
    <s v="DPP-2022"/>
    <s v="South"/>
    <s v="Phase 1"/>
    <s v="NRIS"/>
    <s v="Minden to Sarepta 115 kV"/>
    <n v="225"/>
    <n v="225"/>
    <x v="0"/>
    <s v="Photovoltaic"/>
    <s v="Not Started"/>
    <m/>
    <n v="0"/>
    <n v="0"/>
    <n v="0"/>
    <n v="0"/>
  </r>
  <r>
    <s v="J2349"/>
    <x v="1"/>
    <d v="2022-09-15T00:00:00"/>
    <d v="2025-10-27T00:00:00"/>
    <m/>
    <d v="2026-07-31T00:00:00"/>
    <s v="Southern Illinois Power Cooperative"/>
    <s v="Jackson"/>
    <m/>
    <m/>
    <s v="IL"/>
    <s v="DPP-2022"/>
    <s v="Central"/>
    <s v="Phase 2"/>
    <s v="NRIS"/>
    <s v="Jackson to Campbell Hill 161kV"/>
    <n v="200"/>
    <n v="200"/>
    <x v="0"/>
    <s v="Photovoltaic"/>
    <s v="Not Started"/>
    <m/>
    <n v="0"/>
    <n v="0"/>
    <n v="0"/>
    <n v="0"/>
  </r>
  <r>
    <s v="J2350"/>
    <x v="2"/>
    <d v="2022-09-15T00:00:00"/>
    <m/>
    <m/>
    <d v="2025-09-15T00:00:00"/>
    <s v="ENTERGY ARKANSAS, LLC EATO"/>
    <s v="Pulaski"/>
    <m/>
    <m/>
    <s v="AR"/>
    <s v="DPP-2022"/>
    <s v="South"/>
    <s v="Phase 1"/>
    <s v="ERIS"/>
    <s v="WHITE BLUFF EHV - WRIGHTSVILLE 115.0kV"/>
    <n v="115.5"/>
    <n v="115.5"/>
    <x v="0"/>
    <s v="Photovoltaic"/>
    <s v="Not Started"/>
    <m/>
    <n v="115.5"/>
    <n v="0"/>
    <n v="0"/>
    <n v="0"/>
  </r>
  <r>
    <s v="J2351"/>
    <x v="2"/>
    <d v="2022-09-15T00:00:00"/>
    <m/>
    <m/>
    <d v="2026-08-01T00:00:00"/>
    <m/>
    <s v="Clay"/>
    <m/>
    <m/>
    <s v="AR"/>
    <s v="DPP-2022"/>
    <s v="South"/>
    <s v="Phase 1"/>
    <s v="NRIS"/>
    <s v="AECC RECTOR NORTH - RECTOR 161kV line"/>
    <n v="200"/>
    <n v="200"/>
    <x v="0"/>
    <s v="Photovoltaic"/>
    <s v="Not Started"/>
    <m/>
    <n v="200"/>
    <n v="200"/>
    <n v="0"/>
    <n v="0"/>
  </r>
  <r>
    <s v="J2352"/>
    <x v="1"/>
    <d v="2022-09-15T00:00:00"/>
    <d v="2025-10-07T00:00:00"/>
    <m/>
    <d v="2026-11-01T00:00:00"/>
    <s v="MIDAMERICAN ENERGY CO."/>
    <s v="Woodbury"/>
    <m/>
    <m/>
    <s v="IA"/>
    <s v="DPP-2022"/>
    <s v="West"/>
    <s v="Phase 1"/>
    <s v="NRIS"/>
    <s v="Raun - Lehigh 345 kV"/>
    <n v="118"/>
    <n v="118"/>
    <x v="1"/>
    <s v="Wind Turbine"/>
    <s v="Not Started"/>
    <m/>
    <n v="0"/>
    <n v="0"/>
    <n v="0"/>
    <n v="0"/>
  </r>
  <r>
    <s v="J2353"/>
    <x v="2"/>
    <d v="2022-09-15T00:00:00"/>
    <m/>
    <m/>
    <d v="2026-05-01T00:00:00"/>
    <s v="NORTHERN INDIANA PUBLIC SERVICE COMPANY LLC NIPS"/>
    <s v="White"/>
    <m/>
    <m/>
    <s v="IN"/>
    <s v="DPP-2022"/>
    <s v="Central"/>
    <s v="Phase 2"/>
    <s v="NRIS"/>
    <s v="REYNOLDS - BURR OAK 345.0kV"/>
    <n v="190"/>
    <n v="190"/>
    <x v="0"/>
    <s v="Photovoltaic"/>
    <s v="Not Started"/>
    <m/>
    <n v="190"/>
    <n v="190"/>
    <n v="0"/>
    <n v="0"/>
  </r>
  <r>
    <s v="J2354"/>
    <x v="1"/>
    <d v="2022-09-15T00:00:00"/>
    <d v="2025-07-30T00:00:00"/>
    <m/>
    <d v="2024-12-01T00:00:00"/>
    <s v="AMERICAN TRANSMISSION COMPANY"/>
    <s v="Marinette"/>
    <m/>
    <m/>
    <s v="WI"/>
    <s v="DPP-2022"/>
    <s v="East (ATC)"/>
    <s v="Phase 1"/>
    <s v="NRIS"/>
    <s v="Crivitz"/>
    <n v="65"/>
    <n v="65"/>
    <x v="0"/>
    <s v="Photovoltaic"/>
    <s v="Not Started"/>
    <m/>
    <n v="0"/>
    <n v="0"/>
    <n v="0"/>
    <n v="0"/>
  </r>
  <r>
    <s v="J2355"/>
    <x v="1"/>
    <d v="2022-09-14T00:00:00"/>
    <d v="2025-10-27T00:00:00"/>
    <m/>
    <d v="2027-11-30T00:00:00"/>
    <s v="AMEREN ILLINOIS"/>
    <s v="Greene"/>
    <m/>
    <m/>
    <s v="IL"/>
    <s v="DPP-2022"/>
    <s v="Central"/>
    <s v="Phase 2"/>
    <s v="NRIS"/>
    <s v="A Tap on 4JERSEYVL-4ROODHSE"/>
    <n v="70"/>
    <n v="70"/>
    <x v="0"/>
    <s v="Photovoltaic"/>
    <s v="Not Started"/>
    <m/>
    <n v="0"/>
    <n v="0"/>
    <n v="0"/>
    <n v="0"/>
  </r>
  <r>
    <s v="J2356"/>
    <x v="1"/>
    <d v="2022-09-15T00:00:00"/>
    <d v="2023-03-24T00:00:00"/>
    <m/>
    <d v="2026-09-30T00:00:00"/>
    <s v="ENTERGY ARKANSAS, LLC"/>
    <s v="Craighead"/>
    <m/>
    <m/>
    <s v="AR"/>
    <s v="DPP-2022"/>
    <s v="South"/>
    <s v="Phase 1"/>
    <s v="NRIS"/>
    <s v="Cash-Newport AB 161 kV line"/>
    <n v="200"/>
    <n v="200"/>
    <x v="5"/>
    <s v="Solar/Battery"/>
    <s v="Not Started"/>
    <m/>
    <n v="0"/>
    <n v="0"/>
    <n v="0"/>
    <n v="0"/>
  </r>
  <r>
    <s v="J2357"/>
    <x v="1"/>
    <d v="2022-09-15T00:00:00"/>
    <d v="2025-07-30T00:00:00"/>
    <m/>
    <d v="2027-05-01T00:00:00"/>
    <s v="ENTERGY LOUISIANA, LLC"/>
    <s v="Lafourche"/>
    <m/>
    <m/>
    <s v="LA"/>
    <s v="DPP-2022"/>
    <s v="South"/>
    <s v="Phase 1"/>
    <s v="NRIS"/>
    <s v="Thibodaux 230 kV Substation"/>
    <n v="200"/>
    <n v="200"/>
    <x v="2"/>
    <s v="Battery Storage"/>
    <s v="Not Started"/>
    <m/>
    <n v="0"/>
    <n v="0"/>
    <n v="0"/>
    <n v="0"/>
  </r>
  <r>
    <s v="J2358"/>
    <x v="1"/>
    <d v="2022-09-15T00:00:00"/>
    <d v="2025-07-30T00:00:00"/>
    <m/>
    <d v="2024-12-01T00:00:00"/>
    <s v="ENTERGY MISSISSIPPI, LLC."/>
    <s v="Madison"/>
    <m/>
    <m/>
    <s v="MS"/>
    <s v="DPP-2022"/>
    <s v="South"/>
    <s v="Phase 1"/>
    <s v="NRIS"/>
    <s v="Other_"/>
    <n v="113.98"/>
    <n v="113.98"/>
    <x v="0"/>
    <s v="Photovoltaic"/>
    <s v="Not Started"/>
    <m/>
    <n v="0"/>
    <n v="0"/>
    <n v="0"/>
    <n v="0"/>
  </r>
  <r>
    <s v="J2359"/>
    <x v="1"/>
    <d v="2022-09-15T00:00:00"/>
    <d v="2025-07-30T00:00:00"/>
    <m/>
    <d v="2024-12-01T00:00:00"/>
    <s v="ENTERGY MISSISSIPPI, LLC."/>
    <s v="Madison"/>
    <m/>
    <m/>
    <s v="MS"/>
    <s v="DPP-2022"/>
    <s v="South"/>
    <s v="Phase 1"/>
    <s v="NRIS"/>
    <s v="Other_"/>
    <n v="58.5"/>
    <n v="58.5"/>
    <x v="2"/>
    <s v="Battery Storage"/>
    <s v="Not Started"/>
    <m/>
    <n v="0"/>
    <n v="0"/>
    <n v="0"/>
    <n v="0"/>
  </r>
  <r>
    <s v="J2360"/>
    <x v="1"/>
    <d v="2022-09-13T00:00:00"/>
    <d v="2025-10-27T00:00:00"/>
    <m/>
    <d v="2027-05-07T00:00:00"/>
    <s v="DUKE ENERGY INDIANA, LLC"/>
    <s v="Vigo"/>
    <m/>
    <m/>
    <s v="IN"/>
    <s v="DPP-2022"/>
    <s v="Central"/>
    <s v="Phase 2"/>
    <s v="NRIS"/>
    <s v="TH Pfizer Jct. - Worthington (HED)"/>
    <n v="90"/>
    <n v="90"/>
    <x v="2"/>
    <s v="Battery Storage"/>
    <s v="Not Started"/>
    <m/>
    <n v="0"/>
    <n v="0"/>
    <n v="0"/>
    <n v="0"/>
  </r>
  <r>
    <s v="J2361"/>
    <x v="1"/>
    <d v="2022-09-15T00:00:00"/>
    <d v="2023-03-22T00:00:00"/>
    <m/>
    <d v="2026-05-01T00:00:00"/>
    <s v="ENTERGY ARKANSAS, LLC"/>
    <s v="Perry"/>
    <m/>
    <m/>
    <s v="AR"/>
    <s v="DPP-2022"/>
    <s v="South"/>
    <s v="Phase 1"/>
    <s v="NRIS"/>
    <s v="AECC Oppelo 161 kV Substation"/>
    <n v="105"/>
    <n v="105"/>
    <x v="0"/>
    <s v="Photovoltaic"/>
    <s v="Not Started"/>
    <m/>
    <n v="0"/>
    <n v="0"/>
    <n v="0"/>
    <n v="0"/>
  </r>
  <r>
    <s v="J2362"/>
    <x v="1"/>
    <d v="2022-09-13T00:00:00"/>
    <d v="2025-10-27T00:00:00"/>
    <m/>
    <d v="2026-09-01T00:00:00"/>
    <s v="DUKE ENERGY INDIANA, LLC"/>
    <s v="Fountain"/>
    <m/>
    <m/>
    <s v="IN"/>
    <s v="DPP-2022"/>
    <s v="Central"/>
    <s v="Phase 2"/>
    <s v="NRIS"/>
    <s v="VEEDERSBURG WEST 230kV Substation"/>
    <n v="100"/>
    <n v="100"/>
    <x v="2"/>
    <s v="Battery Storage"/>
    <s v="Not Started"/>
    <m/>
    <n v="0"/>
    <n v="0"/>
    <n v="0"/>
    <n v="0"/>
  </r>
  <r>
    <s v="J2363"/>
    <x v="1"/>
    <d v="2022-09-12T00:00:00"/>
    <d v="2025-10-27T00:00:00"/>
    <m/>
    <d v="2030-10-01T00:00:00"/>
    <s v="ITC MIDWEST"/>
    <s v="Washington"/>
    <m/>
    <m/>
    <s v="IA"/>
    <s v="DPP-2022"/>
    <s v="West"/>
    <s v="Phase 1"/>
    <s v="NRIS"/>
    <s v="Marshalltown-Laurel 161kV"/>
    <n v="226"/>
    <n v="226"/>
    <x v="1"/>
    <s v="Wind Turbine"/>
    <s v="Not Started"/>
    <m/>
    <n v="0"/>
    <n v="0"/>
    <n v="0"/>
    <n v="0"/>
  </r>
  <r>
    <s v="J2364"/>
    <x v="1"/>
    <d v="2022-09-14T00:00:00"/>
    <d v="2023-03-24T00:00:00"/>
    <m/>
    <d v="2030-10-01T00:00:00"/>
    <s v="MIDAMERICAN ENERGY CO. MEC"/>
    <s v="Page"/>
    <m/>
    <m/>
    <s v="IA"/>
    <s v="DPP-2022"/>
    <s v="West"/>
    <s v="Phase 1"/>
    <s v="NRIS"/>
    <s v="Madison-Orient 345kV"/>
    <n v="175"/>
    <n v="175"/>
    <x v="1"/>
    <s v="Wind Turbine"/>
    <s v="Not Started"/>
    <m/>
    <n v="0"/>
    <n v="0"/>
    <n v="0"/>
    <n v="0"/>
  </r>
  <r>
    <s v="J2365"/>
    <x v="1"/>
    <d v="2022-09-12T00:00:00"/>
    <d v="2025-07-30T00:00:00"/>
    <m/>
    <d v="2030-10-01T00:00:00"/>
    <s v="AMERICAN TRANSMISSION COMPANY"/>
    <s v="Portage"/>
    <m/>
    <m/>
    <s v="WI"/>
    <s v="DPP-2022"/>
    <s v="East (ATC)"/>
    <s v="Phase 1"/>
    <s v="NRIS"/>
    <s v="Werner West - Rocky Run 345kV"/>
    <n v="115"/>
    <n v="115"/>
    <x v="2"/>
    <s v="Battery Storage"/>
    <s v="Not Started"/>
    <m/>
    <n v="0"/>
    <n v="0"/>
    <n v="0"/>
    <n v="0"/>
  </r>
  <r>
    <s v="J2366"/>
    <x v="1"/>
    <d v="2022-09-12T00:00:00"/>
    <d v="2025-07-30T00:00:00"/>
    <m/>
    <d v="2030-10-01T00:00:00"/>
    <s v="AMERICAN TRANSMISSION COMPANY"/>
    <s v="Portage"/>
    <m/>
    <m/>
    <s v="WI"/>
    <s v="DPP-2022"/>
    <s v="East (ATC)"/>
    <s v="Phase 1"/>
    <s v="NRIS"/>
    <s v="Werner West - Rocky Run 345kV"/>
    <n v="160"/>
    <n v="160"/>
    <x v="0"/>
    <s v="Photovoltaic"/>
    <s v="Not Started"/>
    <m/>
    <n v="0"/>
    <n v="0"/>
    <n v="0"/>
    <n v="0"/>
  </r>
  <r>
    <s v="J2367"/>
    <x v="1"/>
    <d v="2022-09-14T00:00:00"/>
    <d v="2025-10-27T00:00:00"/>
    <m/>
    <d v="2030-10-01T00:00:00"/>
    <s v="MONTANA-DAKOTA UTILITIES CO."/>
    <s v="LaMoure"/>
    <m/>
    <m/>
    <s v="ND"/>
    <s v="DPP-2022"/>
    <s v="West"/>
    <s v="Phase 1"/>
    <s v="NRIS"/>
    <s v="Ellendale 345kV SS"/>
    <n v="250"/>
    <n v="250"/>
    <x v="1"/>
    <s v="Wind Turbine"/>
    <s v="Not Started"/>
    <m/>
    <n v="0"/>
    <n v="0"/>
    <n v="0"/>
    <n v="0"/>
  </r>
  <r>
    <s v="J2368"/>
    <x v="1"/>
    <d v="2022-09-14T00:00:00"/>
    <d v="2025-10-27T00:00:00"/>
    <m/>
    <d v="2030-10-01T00:00:00"/>
    <s v="MONTANA-DAKOTA UTILITIES CO."/>
    <s v="LaMoure"/>
    <m/>
    <m/>
    <s v="ND"/>
    <s v="DPP-2022"/>
    <s v="West"/>
    <s v="Phase 1"/>
    <s v="NRIS"/>
    <s v="Ellendale 345kV SS"/>
    <n v="250"/>
    <n v="250"/>
    <x v="1"/>
    <s v="Wind Turbine"/>
    <s v="Not Started"/>
    <m/>
    <n v="0"/>
    <n v="0"/>
    <n v="0"/>
    <n v="0"/>
  </r>
  <r>
    <s v="J2369"/>
    <x v="2"/>
    <d v="2022-09-14T00:00:00"/>
    <m/>
    <m/>
    <d v="2030-10-01T00:00:00"/>
    <s v="MIDAMERICAN ENERGY CO. MEC"/>
    <s v="Taylor"/>
    <m/>
    <m/>
    <s v="IA"/>
    <s v="DPP-2022"/>
    <s v="West"/>
    <s v="Phase 1"/>
    <s v="NRIS"/>
    <s v="Madison-Orient 345kV"/>
    <n v="300"/>
    <n v="300"/>
    <x v="1"/>
    <s v="Wind Turbine"/>
    <s v="Not Started"/>
    <m/>
    <n v="300"/>
    <n v="300"/>
    <n v="0"/>
    <n v="0"/>
  </r>
  <r>
    <s v="J2370"/>
    <x v="1"/>
    <d v="2022-09-15T00:00:00"/>
    <d v="2025-07-30T00:00:00"/>
    <m/>
    <d v="2024-12-01T00:00:00"/>
    <s v="ENTERGY MISSISSIPPI, LLC."/>
    <s v="Hinds"/>
    <m/>
    <m/>
    <s v="MS"/>
    <s v="DPP-2022"/>
    <s v="South"/>
    <s v="Phase 1"/>
    <s v="NRIS"/>
    <s v="BOLTON - RAYMOND-CAPLINE 115.0kV"/>
    <n v="100"/>
    <n v="100"/>
    <x v="0"/>
    <s v="Photovoltaic"/>
    <s v="Not Started"/>
    <m/>
    <n v="0"/>
    <n v="0"/>
    <n v="0"/>
    <n v="0"/>
  </r>
  <r>
    <s v="J2371"/>
    <x v="2"/>
    <d v="2022-09-14T00:00:00"/>
    <m/>
    <m/>
    <d v="2026-10-31T00:00:00"/>
    <m/>
    <s v="Morehouse"/>
    <m/>
    <m/>
    <s v="LA"/>
    <s v="DPP-2022"/>
    <s v="South"/>
    <s v="Phase 1"/>
    <s v="ERIS"/>
    <s v="DUNN - OAK RIDGE (LA) 115.0kV"/>
    <n v="250"/>
    <n v="250"/>
    <x v="0"/>
    <s v="Photovoltaic"/>
    <s v="Not Started"/>
    <m/>
    <n v="250"/>
    <n v="0"/>
    <n v="0"/>
    <n v="0"/>
  </r>
  <r>
    <s v="J2372"/>
    <x v="1"/>
    <d v="2022-09-15T00:00:00"/>
    <d v="2023-03-24T00:00:00"/>
    <m/>
    <d v="2026-03-01T00:00:00"/>
    <s v="AMEREN ILLINOIS"/>
    <s v="McLean"/>
    <m/>
    <m/>
    <s v="IL"/>
    <s v="DPP-2022"/>
    <s v="Central"/>
    <s v="Phase 2"/>
    <s v="NRIS"/>
    <s v="Bloomington Brokaw 138kV Substation"/>
    <n v="200"/>
    <n v="200"/>
    <x v="2"/>
    <s v="Battery Storage"/>
    <s v="Not Started"/>
    <m/>
    <n v="0"/>
    <n v="0"/>
    <n v="0"/>
    <n v="0"/>
  </r>
  <r>
    <s v="J2373"/>
    <x v="1"/>
    <d v="2022-09-15T00:00:00"/>
    <d v="2023-01-25T00:00:00"/>
    <m/>
    <d v="2025-01-06T00:00:00"/>
    <s v="ENTERGY LOUISIANA, LLC"/>
    <s v="Calcasieu"/>
    <m/>
    <m/>
    <s v="LA"/>
    <s v="DPP-2022"/>
    <s v="South"/>
    <s v="Phase 1"/>
    <s v="NRIS"/>
    <s v="230kV Graywood or (new) Big Lake"/>
    <n v="40"/>
    <n v="40"/>
    <x v="7"/>
    <s v="Steam Turbine (including Nuclear, Geothermal and Solar Steam)"/>
    <s v="Not Started"/>
    <m/>
    <n v="0"/>
    <n v="0"/>
    <n v="0"/>
    <n v="0"/>
  </r>
  <r>
    <s v="J2374"/>
    <x v="2"/>
    <d v="2022-09-15T00:00:00"/>
    <m/>
    <m/>
    <d v="2025-06-30T00:00:00"/>
    <s v="ITC"/>
    <s v="Sanilac"/>
    <m/>
    <m/>
    <s v="MI"/>
    <s v="DPP-2022"/>
    <s v="East (ITC)"/>
    <s v="Phase 1"/>
    <s v="NRIS"/>
    <s v="J1557 Sub"/>
    <n v="200"/>
    <n v="200"/>
    <x v="0"/>
    <s v="Photovoltaic"/>
    <s v="Not Started"/>
    <m/>
    <n v="200"/>
    <n v="200"/>
    <n v="0"/>
    <n v="0"/>
  </r>
  <r>
    <s v="J2375"/>
    <x v="2"/>
    <d v="2022-09-15T00:00:00"/>
    <m/>
    <m/>
    <d v="2027-05-07T00:00:00"/>
    <s v="AMEREN TRANSMISSION COMPANY OF ILLINOIS"/>
    <s v="Macon"/>
    <m/>
    <m/>
    <s v="IL"/>
    <s v="DPP-2022"/>
    <s v="Central"/>
    <s v="Phase 2"/>
    <s v="NRIS"/>
    <s v="Faraday"/>
    <n v="100"/>
    <n v="100"/>
    <x v="2"/>
    <s v="Battery Storage"/>
    <s v="Not Started"/>
    <m/>
    <n v="100"/>
    <n v="100"/>
    <n v="0"/>
    <n v="0"/>
  </r>
  <r>
    <s v="J2376"/>
    <x v="2"/>
    <d v="2022-09-15T00:00:00"/>
    <m/>
    <m/>
    <d v="2024-12-01T00:00:00"/>
    <s v="AMEREN ILLINOIS"/>
    <s v="Shelby"/>
    <m/>
    <m/>
    <s v="IL"/>
    <s v="DPP-2022"/>
    <s v="Central"/>
    <s v="Phase 2"/>
    <s v="ERIS"/>
    <s v="4PANA 1 - 4SHELBYVL E 138.0kV"/>
    <n v="60"/>
    <n v="60"/>
    <x v="2"/>
    <s v="Battery Storage"/>
    <s v="Not Started"/>
    <m/>
    <n v="60"/>
    <n v="0"/>
    <n v="0"/>
    <n v="0"/>
  </r>
  <r>
    <s v="J2377"/>
    <x v="2"/>
    <d v="2024-11-07T00:00:00"/>
    <m/>
    <m/>
    <d v="2028-04-01T00:00:00"/>
    <s v="AMEREN ILLINOIS"/>
    <s v="Peoria"/>
    <m/>
    <m/>
    <s v="IL"/>
    <s v="DPP-2022"/>
    <s v="Central"/>
    <s v="Phase 2"/>
    <s v="NRIS"/>
    <s v="7CLINTON  - 7BROKAW 345.0kV"/>
    <n v="300"/>
    <n v="300"/>
    <x v="2"/>
    <s v="Battery Storage"/>
    <s v="Not Started"/>
    <m/>
    <n v="300"/>
    <n v="300"/>
    <n v="0"/>
    <n v="0"/>
  </r>
  <r>
    <s v="J2378"/>
    <x v="2"/>
    <d v="2022-09-15T00:00:00"/>
    <m/>
    <m/>
    <d v="2026-05-01T00:00:00"/>
    <s v="ITC"/>
    <s v="Macomb"/>
    <m/>
    <m/>
    <s v="MI"/>
    <s v="DPP-2022"/>
    <s v="East (ITC)"/>
    <s v="Phase 1"/>
    <s v="NRIS"/>
    <s v="LENOX - ST.CLAIR 120.0kV"/>
    <n v="152"/>
    <n v="152"/>
    <x v="2"/>
    <s v="Battery Storage"/>
    <s v="Not Started"/>
    <m/>
    <n v="152"/>
    <n v="152"/>
    <n v="0"/>
    <n v="0"/>
  </r>
  <r>
    <s v="J2379"/>
    <x v="2"/>
    <d v="2022-09-14T00:00:00"/>
    <m/>
    <m/>
    <d v="2026-11-01T00:00:00"/>
    <m/>
    <s v="Clay"/>
    <m/>
    <m/>
    <s v="IL"/>
    <s v="DPP-2022"/>
    <s v="Central"/>
    <s v="Phase 2"/>
    <s v="ERIS"/>
    <s v="Xenia"/>
    <n v="200"/>
    <n v="200"/>
    <x v="2"/>
    <s v="Battery Storage"/>
    <s v="Not Started"/>
    <m/>
    <n v="200"/>
    <n v="0"/>
    <n v="0"/>
    <n v="0"/>
  </r>
  <r>
    <s v="J2380"/>
    <x v="1"/>
    <d v="2022-09-14T00:00:00"/>
    <d v="2025-10-27T00:00:00"/>
    <m/>
    <d v="2027-11-01T00:00:00"/>
    <s v="BIG RIVERS ELECTRIC CORPORATION"/>
    <s v="Meade"/>
    <m/>
    <m/>
    <s v="KY"/>
    <s v="DPP-2022"/>
    <s v="Central"/>
    <s v="Phase 2"/>
    <s v="NRIS"/>
    <s v="Meade County 161kV Substation"/>
    <n v="100"/>
    <n v="100"/>
    <x v="2"/>
    <s v="Battery Storage"/>
    <s v="Not Started"/>
    <m/>
    <n v="0"/>
    <n v="0"/>
    <n v="0"/>
    <n v="0"/>
  </r>
  <r>
    <s v="J2381"/>
    <x v="1"/>
    <d v="2022-09-14T00:00:00"/>
    <d v="2025-07-30T00:00:00"/>
    <m/>
    <d v="2026-10-31T00:00:00"/>
    <s v="ENTERGY LOUISIANA, LLC"/>
    <s v="Union"/>
    <m/>
    <m/>
    <s v="LA"/>
    <s v="DPP-2022"/>
    <s v="South"/>
    <s v="Phase 1"/>
    <s v="NRIS"/>
    <s v="DOWNSVILLE- RUSTON EAST (LAGEN) 115 kV"/>
    <n v="200"/>
    <n v="200"/>
    <x v="0"/>
    <s v="Photovoltaic"/>
    <s v="Not Started"/>
    <m/>
    <n v="0"/>
    <n v="0"/>
    <n v="0"/>
    <n v="0"/>
  </r>
  <r>
    <s v="J2382"/>
    <x v="2"/>
    <d v="2022-09-14T00:00:00"/>
    <m/>
    <m/>
    <d v="2026-04-24T00:00:00"/>
    <s v="AMEREN MISSOURI"/>
    <s v="Randolph"/>
    <m/>
    <m/>
    <s v="MO"/>
    <s v="DPP-2022"/>
    <s v="Central"/>
    <s v="Phase 2"/>
    <s v="NRIS"/>
    <s v="5ADAIR    - 5THMHIL (AECI)  161.0kV"/>
    <n v="115"/>
    <n v="115"/>
    <x v="5"/>
    <s v="Solar/Battery"/>
    <s v="Not Started"/>
    <m/>
    <n v="115"/>
    <n v="115"/>
    <n v="0"/>
    <n v="0"/>
  </r>
  <r>
    <s v="J2383"/>
    <x v="2"/>
    <d v="2022-09-15T00:00:00"/>
    <m/>
    <m/>
    <d v="2027-05-07T00:00:00"/>
    <s v="AMEREN TRANSMISSION COMPANY OF ILLINOIS"/>
    <s v="Macon"/>
    <m/>
    <m/>
    <s v="IL"/>
    <s v="DPP-2022"/>
    <s v="Central"/>
    <s v="Phase 2"/>
    <s v="NRIS"/>
    <s v="Faraday"/>
    <n v="100"/>
    <n v="100"/>
    <x v="2"/>
    <s v="Battery Storage"/>
    <s v="Not Started"/>
    <m/>
    <n v="100"/>
    <n v="100"/>
    <n v="0"/>
    <n v="0"/>
  </r>
  <r>
    <s v="J2384"/>
    <x v="2"/>
    <d v="2022-09-15T00:00:00"/>
    <m/>
    <m/>
    <d v="2024-12-01T00:00:00"/>
    <m/>
    <s v="Shelby"/>
    <m/>
    <m/>
    <s v="IL"/>
    <s v="DPP-2022"/>
    <s v="Central"/>
    <s v="Phase 2"/>
    <s v="ERIS"/>
    <s v="4PANA 1 - 4SHELBYVL E 138.0kV"/>
    <n v="125"/>
    <n v="125"/>
    <x v="0"/>
    <s v="Photovoltaic"/>
    <s v="Not Started"/>
    <m/>
    <n v="125"/>
    <n v="0"/>
    <n v="0"/>
    <n v="0"/>
  </r>
  <r>
    <s v="J2385"/>
    <x v="1"/>
    <d v="2022-09-14T00:00:00"/>
    <d v="2025-07-30T00:00:00"/>
    <m/>
    <d v="2027-04-15T00:00:00"/>
    <s v="ENTERGY LOUISIANA, LLC"/>
    <s v="Franklin"/>
    <m/>
    <m/>
    <s v="LA"/>
    <s v="DPP-2022"/>
    <s v="South"/>
    <s v="Phase 1"/>
    <s v="NRIS"/>
    <s v="SWARTZ 115 KV"/>
    <n v="179"/>
    <n v="179"/>
    <x v="0"/>
    <s v="Photovoltaic"/>
    <s v="Not Started"/>
    <m/>
    <n v="0"/>
    <n v="0"/>
    <n v="0"/>
    <n v="0"/>
  </r>
  <r>
    <s v="J2386"/>
    <x v="1"/>
    <d v="2022-09-13T00:00:00"/>
    <d v="2025-07-30T00:00:00"/>
    <m/>
    <d v="2026-10-31T00:00:00"/>
    <s v="ENTERGY ARKANSAS, LLC"/>
    <s v="Poinsett"/>
    <m/>
    <m/>
    <s v="AR"/>
    <s v="DPP-2022"/>
    <s v="South"/>
    <s v="Phase 1"/>
    <s v="NRIS"/>
    <s v="Marked Tree 161 kV"/>
    <n v="300"/>
    <n v="300"/>
    <x v="0"/>
    <s v="Photovoltaic"/>
    <s v="Not Started"/>
    <m/>
    <n v="0"/>
    <n v="0"/>
    <n v="0"/>
    <n v="0"/>
  </r>
  <r>
    <s v="J2387"/>
    <x v="1"/>
    <d v="2022-09-15T00:00:00"/>
    <d v="2025-10-27T00:00:00"/>
    <m/>
    <d v="2025-12-31T00:00:00"/>
    <s v="AMEREN MISSOURI"/>
    <s v="Stoddard"/>
    <m/>
    <m/>
    <s v="MO"/>
    <s v="DPP-2022"/>
    <s v="Central"/>
    <s v="Phase 2"/>
    <s v="NRIS"/>
    <s v="Stoddard 161 kV Substation"/>
    <n v="50"/>
    <n v="50"/>
    <x v="0"/>
    <s v="Photovoltaic"/>
    <s v="Not Started"/>
    <m/>
    <n v="0"/>
    <n v="0"/>
    <n v="0"/>
    <n v="0"/>
  </r>
  <r>
    <s v="J2388"/>
    <x v="2"/>
    <d v="2022-09-15T00:00:00"/>
    <m/>
    <m/>
    <d v="2028-09-30T00:00:00"/>
    <s v="AMEREN TRANSMISSION COMPANY OF ILLINOIS"/>
    <s v="Macon"/>
    <m/>
    <m/>
    <s v="IL"/>
    <s v="DPP-2022"/>
    <s v="Central"/>
    <s v="Phase 2"/>
    <s v="ERIS"/>
    <s v="Faraday"/>
    <n v="200"/>
    <n v="200"/>
    <x v="5"/>
    <s v="Solar/Battery"/>
    <s v="Not Started"/>
    <m/>
    <n v="200"/>
    <n v="0"/>
    <n v="0"/>
    <n v="0"/>
  </r>
  <r>
    <s v="J2389"/>
    <x v="2"/>
    <d v="2022-09-15T00:00:00"/>
    <m/>
    <m/>
    <d v="2028-09-30T00:00:00"/>
    <s v="AMEREN ILLINOIS"/>
    <s v="Adams"/>
    <m/>
    <m/>
    <s v="IL"/>
    <s v="DPP-2022"/>
    <s v="Central"/>
    <s v="Phase 2"/>
    <s v="ERIS"/>
    <s v="Monument"/>
    <n v="150"/>
    <n v="150"/>
    <x v="5"/>
    <s v="Solar/Battery"/>
    <s v="Not Started"/>
    <m/>
    <n v="150"/>
    <n v="0"/>
    <n v="0"/>
    <n v="0"/>
  </r>
  <r>
    <s v="J2390"/>
    <x v="2"/>
    <d v="2022-09-15T00:00:00"/>
    <m/>
    <m/>
    <d v="2028-09-30T00:00:00"/>
    <s v="AMEREN TRANSMISSION COMPANY OF ILLINOIS"/>
    <s v="Fulton"/>
    <m/>
    <m/>
    <s v="IL"/>
    <s v="DPP-2022"/>
    <s v="Central"/>
    <s v="Phase 2"/>
    <s v="ERIS"/>
    <s v="Ipava 138kV"/>
    <n v="350"/>
    <n v="350"/>
    <x v="5"/>
    <s v="Solar/Battery"/>
    <s v="Not Started"/>
    <m/>
    <n v="350"/>
    <n v="0"/>
    <n v="0"/>
    <n v="0"/>
  </r>
  <r>
    <s v="J2391"/>
    <x v="1"/>
    <d v="2022-09-14T00:00:00"/>
    <d v="2025-07-30T00:00:00"/>
    <m/>
    <d v="2026-10-31T00:00:00"/>
    <s v="ENTERGY MISSISSIPPI, LLC."/>
    <s v="Tallahatchie"/>
    <m/>
    <m/>
    <s v="MS"/>
    <s v="DPP-2022"/>
    <s v="South"/>
    <s v="Phase 1"/>
    <s v="NRIS"/>
    <s v="Webb 115 kV"/>
    <n v="100"/>
    <n v="100"/>
    <x v="0"/>
    <s v="Photovoltaic"/>
    <s v="Not Started"/>
    <m/>
    <n v="0"/>
    <n v="0"/>
    <n v="0"/>
    <n v="0"/>
  </r>
  <r>
    <s v="J2392"/>
    <x v="2"/>
    <d v="2022-09-15T00:00:00"/>
    <m/>
    <m/>
    <d v="2026-10-31T00:00:00"/>
    <s v="METC"/>
    <s v="Mason"/>
    <m/>
    <m/>
    <s v="MI"/>
    <s v="DPP-2022"/>
    <s v="East (ITC)"/>
    <s v="Phase 1"/>
    <s v="NRIS"/>
    <s v="PERE MARQUETTE 138 KV"/>
    <n v="100"/>
    <n v="100"/>
    <x v="2"/>
    <s v="Battery Storage"/>
    <s v="Not Started"/>
    <m/>
    <n v="100"/>
    <n v="100"/>
    <n v="0"/>
    <n v="0"/>
  </r>
  <r>
    <s v="J2393"/>
    <x v="1"/>
    <d v="2023-08-25T00:00:00"/>
    <d v="2025-10-27T00:00:00"/>
    <m/>
    <d v="2027-09-01T00:00:00"/>
    <s v="AMEREN ILLINOIS"/>
    <s v="Coles"/>
    <m/>
    <m/>
    <s v="IL"/>
    <s v="DPP-2022"/>
    <s v="Central"/>
    <s v="Phase 2"/>
    <s v="NRIS"/>
    <s v="Kansas West Substation 138kV"/>
    <n v="164"/>
    <n v="164"/>
    <x v="0"/>
    <s v="Photovoltaic"/>
    <s v="Not Started"/>
    <m/>
    <n v="0"/>
    <n v="0"/>
    <n v="0"/>
    <n v="0"/>
  </r>
  <r>
    <s v="J2394"/>
    <x v="1"/>
    <d v="2022-09-15T00:00:00"/>
    <d v="2023-03-24T00:00:00"/>
    <m/>
    <d v="2025-05-31T00:00:00"/>
    <s v="ENTERGY ARKANSAS, LLC"/>
    <s v="Craighead"/>
    <m/>
    <m/>
    <s v="AR"/>
    <s v="DPP-2022"/>
    <s v="South"/>
    <s v="Phase 1"/>
    <s v="ERIS"/>
    <s v="Independence ISES - Powerline Road 500 kV"/>
    <n v="200"/>
    <n v="200"/>
    <x v="5"/>
    <s v="Solar/Battery"/>
    <s v="Not Started"/>
    <m/>
    <n v="0"/>
    <n v="0"/>
    <n v="0"/>
    <n v="0"/>
  </r>
  <r>
    <s v="J2395"/>
    <x v="2"/>
    <d v="2022-09-14T00:00:00"/>
    <m/>
    <m/>
    <d v="2025-05-31T00:00:00"/>
    <s v="ENTERGY ARKANSAS, LLC EATO"/>
    <s v="Calhoun"/>
    <m/>
    <m/>
    <s v="AR"/>
    <s v="DPP-2022"/>
    <s v="South"/>
    <s v="Phase 1"/>
    <s v="ERIS"/>
    <s v="SHERIDAN EHV - EL DORADO EHV 500.0kV"/>
    <n v="500"/>
    <n v="500"/>
    <x v="0"/>
    <s v="Photovoltaic"/>
    <s v="Not Started"/>
    <m/>
    <n v="500"/>
    <n v="0"/>
    <n v="0"/>
    <n v="0"/>
  </r>
  <r>
    <s v="J2396"/>
    <x v="2"/>
    <d v="2022-09-15T00:00:00"/>
    <m/>
    <m/>
    <d v="2025-05-31T00:00:00"/>
    <s v="ENTERGY ARKANSAS, LLC EATO"/>
    <s v="Calhoun"/>
    <m/>
    <m/>
    <s v="AR"/>
    <s v="DPP-2022"/>
    <s v="South"/>
    <s v="Phase 1"/>
    <s v="ERIS"/>
    <s v="SHERIDAN EHV - EL DORADO EHV 500.0kV"/>
    <n v="400"/>
    <n v="400"/>
    <x v="0"/>
    <s v="Photovoltaic"/>
    <s v="Not Started"/>
    <m/>
    <n v="400"/>
    <n v="0"/>
    <n v="0"/>
    <n v="0"/>
  </r>
  <r>
    <s v="J2397"/>
    <x v="2"/>
    <d v="2022-09-15T00:00:00"/>
    <m/>
    <m/>
    <d v="2025-05-31T00:00:00"/>
    <s v="ENTERGY ARKANSAS, LLC EATO"/>
    <s v="Calhoun"/>
    <m/>
    <m/>
    <s v="AR"/>
    <s v="DPP-2022"/>
    <s v="South"/>
    <s v="Phase 1"/>
    <s v="ERIS"/>
    <s v="SHERIDAN EHV - EL DORADO EHV 500.0kV"/>
    <n v="160"/>
    <n v="160"/>
    <x v="5"/>
    <s v="Solar/Battery"/>
    <s v="Not Started"/>
    <m/>
    <n v="160"/>
    <n v="0"/>
    <n v="0"/>
    <n v="0"/>
  </r>
  <r>
    <s v="J2398"/>
    <x v="1"/>
    <d v="2022-09-15T00:00:00"/>
    <d v="2023-03-24T00:00:00"/>
    <m/>
    <d v="2025-05-31T00:00:00"/>
    <s v="ENTERGY ARKANSAS, LLC"/>
    <s v="Craighead"/>
    <m/>
    <m/>
    <s v="AR"/>
    <s v="DPP-2022"/>
    <s v="South"/>
    <s v="Phase 1"/>
    <s v="ERIS"/>
    <s v="Independence ISES - Powerline Road 500 kV"/>
    <n v="160"/>
    <n v="160"/>
    <x v="5"/>
    <s v="Solar/Battery"/>
    <s v="Not Started"/>
    <m/>
    <n v="0"/>
    <n v="0"/>
    <n v="0"/>
    <n v="0"/>
  </r>
  <r>
    <s v="J2399"/>
    <x v="1"/>
    <d v="2022-09-15T00:00:00"/>
    <d v="2023-03-24T00:00:00"/>
    <m/>
    <d v="2025-05-31T00:00:00"/>
    <s v="ENTERGY ARKANSAS, LLC"/>
    <s v="Craighead"/>
    <m/>
    <m/>
    <s v="AR"/>
    <s v="DPP-2022"/>
    <s v="South"/>
    <s v="Phase 1"/>
    <s v="ERIS"/>
    <s v="Independence ISES - Powerline Road 500 kV"/>
    <n v="500"/>
    <n v="500"/>
    <x v="0"/>
    <s v="Photovoltaic"/>
    <s v="Not Started"/>
    <m/>
    <n v="0"/>
    <n v="0"/>
    <n v="0"/>
    <n v="0"/>
  </r>
  <r>
    <s v="J2400"/>
    <x v="1"/>
    <d v="2022-09-15T00:00:00"/>
    <d v="2025-07-30T00:00:00"/>
    <m/>
    <d v="2025-05-31T00:00:00"/>
    <s v="ENTERGY LOUISIANA, LLC"/>
    <s v="Bienville"/>
    <m/>
    <m/>
    <s v="LA"/>
    <s v="DPP-2022"/>
    <s v="South"/>
    <s v="Phase 1"/>
    <s v="ERIS"/>
    <s v="Sailes Substation 115kV"/>
    <n v="120"/>
    <n v="120"/>
    <x v="0"/>
    <s v="Photovoltaic"/>
    <s v="Not Started"/>
    <m/>
    <n v="0"/>
    <n v="0"/>
    <n v="0"/>
    <n v="0"/>
  </r>
  <r>
    <s v="J2401"/>
    <x v="2"/>
    <d v="2022-09-15T00:00:00"/>
    <m/>
    <m/>
    <d v="2025-05-31T00:00:00"/>
    <m/>
    <s v="Johnson"/>
    <m/>
    <m/>
    <s v="IL"/>
    <s v="DPP-2022"/>
    <s v="Central"/>
    <s v="Phase 2"/>
    <s v="ERIS"/>
    <s v="7W_FRFT_E - 7SHAWNEE FP 345.0kV"/>
    <n v="150"/>
    <n v="150"/>
    <x v="0"/>
    <s v="Photovoltaic"/>
    <s v="Not Started"/>
    <m/>
    <n v="150"/>
    <n v="0"/>
    <n v="0"/>
    <n v="0"/>
  </r>
  <r>
    <s v="J2402"/>
    <x v="2"/>
    <d v="2022-09-15T00:00:00"/>
    <m/>
    <m/>
    <d v="2025-05-31T00:00:00"/>
    <m/>
    <s v="Johnson"/>
    <m/>
    <m/>
    <s v="IL"/>
    <s v="DPP-2022"/>
    <s v="Central"/>
    <s v="Phase 2"/>
    <s v="ERIS"/>
    <s v="7W_FRFT_E - 7SHAWNEE FP 345.0kV"/>
    <n v="200"/>
    <n v="200"/>
    <x v="2"/>
    <s v="Battery Storage"/>
    <s v="Not Started"/>
    <m/>
    <n v="200"/>
    <n v="0"/>
    <n v="0"/>
    <n v="0"/>
  </r>
  <r>
    <s v="J2403"/>
    <x v="2"/>
    <d v="2022-09-15T00:00:00"/>
    <m/>
    <m/>
    <d v="2025-05-31T00:00:00"/>
    <m/>
    <s v="Johnson"/>
    <m/>
    <m/>
    <s v="IL"/>
    <s v="DPP-2022"/>
    <s v="Central"/>
    <s v="Phase 2"/>
    <s v="ERIS"/>
    <s v="7JORD - 7MASS 345.0kV"/>
    <n v="200"/>
    <n v="200"/>
    <x v="0"/>
    <s v="Photovoltaic"/>
    <s v="Not Started"/>
    <m/>
    <n v="200"/>
    <n v="0"/>
    <n v="0"/>
    <n v="0"/>
  </r>
  <r>
    <s v="J2404"/>
    <x v="2"/>
    <d v="2022-09-15T00:00:00"/>
    <m/>
    <m/>
    <d v="2025-11-01T00:00:00"/>
    <s v="ENTERGY LOUISIANA, LLC ELTO"/>
    <s v="East Baton Rouge"/>
    <m/>
    <m/>
    <s v="LA"/>
    <s v="DPP-2022"/>
    <s v="South"/>
    <s v="Phase 1"/>
    <s v="NRIS"/>
    <s v="EAST"/>
    <n v="38.81"/>
    <n v="38.81"/>
    <x v="2"/>
    <s v="Battery Storage"/>
    <s v="Not Started"/>
    <m/>
    <n v="38.799999999999997"/>
    <n v="38.799999999999997"/>
    <n v="0"/>
    <n v="0"/>
  </r>
  <r>
    <s v="J2405"/>
    <x v="1"/>
    <d v="2022-09-13T00:00:00"/>
    <d v="2025-07-14T00:00:00"/>
    <m/>
    <d v="2026-07-31T00:00:00"/>
    <s v="ENTERGY LOUISIANA, LLC"/>
    <s v="Jefferson"/>
    <m/>
    <m/>
    <s v="LA"/>
    <s v="DPP-2022"/>
    <s v="South"/>
    <s v="Phase 1"/>
    <s v="NRIS"/>
    <s v="Peters Road 230 kV substation"/>
    <n v="200"/>
    <n v="200"/>
    <x v="2"/>
    <s v="Battery Storage"/>
    <s v="Not Started"/>
    <m/>
    <n v="0"/>
    <n v="0"/>
    <n v="0"/>
    <n v="0"/>
  </r>
  <r>
    <s v="J2406"/>
    <x v="1"/>
    <d v="2022-09-14T00:00:00"/>
    <d v="2025-07-30T00:00:00"/>
    <m/>
    <d v="2026-09-01T00:00:00"/>
    <s v="ENTERGY MISSISSIPPI, LLC."/>
    <s v="Madison"/>
    <m/>
    <m/>
    <s v="MS"/>
    <s v="DPP-2022"/>
    <s v="South"/>
    <s v="Phase 1"/>
    <s v="NRIS"/>
    <s v="Pickens - Canton 230 kV"/>
    <n v="200"/>
    <n v="200"/>
    <x v="0"/>
    <s v="Photovoltaic"/>
    <s v="Not Started"/>
    <m/>
    <n v="0"/>
    <n v="0"/>
    <n v="0"/>
    <n v="0"/>
  </r>
  <r>
    <s v="J2407"/>
    <x v="1"/>
    <d v="2022-09-14T00:00:00"/>
    <d v="2025-10-27T00:00:00"/>
    <m/>
    <d v="2027-10-01T00:00:00"/>
    <s v="DUKE ENERGY INDIANA, LLC"/>
    <s v="Sullivan"/>
    <m/>
    <m/>
    <s v="IN"/>
    <s v="DPP-2022"/>
    <s v="Central"/>
    <s v="Phase 2"/>
    <s v="NRIS"/>
    <s v="Dresser-Merom (HED) 345kV line break"/>
    <n v="198"/>
    <n v="198"/>
    <x v="0"/>
    <s v="Photovoltaic"/>
    <s v="Not Started"/>
    <m/>
    <n v="0"/>
    <n v="0"/>
    <n v="0"/>
    <n v="0"/>
  </r>
  <r>
    <s v="J2408"/>
    <x v="1"/>
    <d v="2022-09-12T00:00:00"/>
    <d v="2023-03-24T00:00:00"/>
    <m/>
    <d v="2026-03-07T00:00:00"/>
    <s v="DUKE ENERGY INDIANA, LLC"/>
    <s v="Switzerland"/>
    <m/>
    <m/>
    <s v="IN"/>
    <s v="DPP-2022"/>
    <s v="Central"/>
    <s v="Phase 2"/>
    <s v="NRIS"/>
    <s v="Fairview 138 kV Substation"/>
    <n v="100"/>
    <n v="100"/>
    <x v="2"/>
    <s v="Battery Storage"/>
    <s v="Not Started"/>
    <m/>
    <n v="0"/>
    <n v="0"/>
    <n v="0"/>
    <n v="0"/>
  </r>
  <r>
    <s v="J2409"/>
    <x v="1"/>
    <d v="2022-09-14T00:00:00"/>
    <d v="2025-07-30T00:00:00"/>
    <m/>
    <d v="2026-11-01T00:00:00"/>
    <s v="ENTERGY ARKANSAS, LLC"/>
    <s v="Independence"/>
    <m/>
    <m/>
    <s v="AR"/>
    <s v="DPP-2022"/>
    <s v="South"/>
    <s v="Phase 1"/>
    <s v="NRIS"/>
    <s v="INDEPENDENCE-ISES 500kV Substation"/>
    <n v="150"/>
    <n v="150"/>
    <x v="2"/>
    <s v="Battery Storage"/>
    <s v="Not Started"/>
    <m/>
    <n v="0"/>
    <n v="0"/>
    <n v="0"/>
    <n v="0"/>
  </r>
  <r>
    <s v="J2410"/>
    <x v="1"/>
    <d v="2022-09-15T00:00:00"/>
    <d v="2025-10-27T00:00:00"/>
    <m/>
    <d v="2027-10-01T00:00:00"/>
    <s v="MIDAMERICAN ENERGY CO."/>
    <s v="Pottawattamie"/>
    <m/>
    <m/>
    <s v="IA"/>
    <s v="DPP-2022"/>
    <s v="West"/>
    <s v="Phase 1"/>
    <s v="NRIS"/>
    <s v="Pony Creek-Rolling Hills Wind 345kV"/>
    <n v="300"/>
    <n v="300"/>
    <x v="1"/>
    <s v="Wind Turbine"/>
    <s v="Not Started"/>
    <m/>
    <n v="0"/>
    <n v="0"/>
    <n v="0"/>
    <n v="0"/>
  </r>
  <r>
    <s v="J2411"/>
    <x v="1"/>
    <d v="2022-09-13T00:00:00"/>
    <d v="2025-07-30T00:00:00"/>
    <m/>
    <d v="2026-10-01T00:00:00"/>
    <s v="CLECO POWER LLC"/>
    <s v="De Soto"/>
    <m/>
    <m/>
    <s v="LA"/>
    <s v="DPP-2022"/>
    <s v="South"/>
    <s v="Phase 1"/>
    <s v="NRIS"/>
    <s v="Red River-Mansfield 138kV"/>
    <n v="80"/>
    <n v="80"/>
    <x v="0"/>
    <s v="Photovoltaic"/>
    <s v="Not Started"/>
    <m/>
    <n v="0"/>
    <n v="0"/>
    <n v="0"/>
    <n v="0"/>
  </r>
  <r>
    <s v="J2412"/>
    <x v="1"/>
    <d v="2022-09-15T00:00:00"/>
    <d v="2023-03-24T00:00:00"/>
    <m/>
    <d v="2026-10-01T00:00:00"/>
    <s v="ENTERGY ARKANSAS, LLC"/>
    <s v="Pulaski"/>
    <m/>
    <m/>
    <s v="AR"/>
    <s v="DPP-2022"/>
    <s v="South"/>
    <s v="Phase 1"/>
    <s v="NRIS"/>
    <s v="LR Alexander 115kV"/>
    <n v="100"/>
    <n v="100"/>
    <x v="2"/>
    <s v="Battery Storage"/>
    <s v="Not Started"/>
    <m/>
    <n v="0"/>
    <n v="0"/>
    <n v="0"/>
    <n v="0"/>
  </r>
  <r>
    <s v="J2413"/>
    <x v="1"/>
    <d v="2022-09-13T00:00:00"/>
    <d v="2025-10-27T00:00:00"/>
    <m/>
    <d v="2027-10-01T00:00:00"/>
    <s v="AMEREN ILLINOIS"/>
    <s v="McLean"/>
    <m/>
    <m/>
    <s v="IL"/>
    <s v="DPP-2022"/>
    <s v="Central"/>
    <s v="Phase 2"/>
    <s v="NRIS"/>
    <s v="Hoopeston West 138kV"/>
    <n v="150"/>
    <n v="150"/>
    <x v="2"/>
    <s v="Battery Storage"/>
    <s v="Not Started"/>
    <m/>
    <n v="0"/>
    <n v="0"/>
    <n v="0"/>
    <n v="0"/>
  </r>
  <r>
    <s v="J2414"/>
    <x v="1"/>
    <d v="2022-09-13T00:00:00"/>
    <d v="2025-10-27T00:00:00"/>
    <m/>
    <d v="2027-10-01T00:00:00"/>
    <s v="AMEREN ILLINOIS"/>
    <s v="Vermilion"/>
    <m/>
    <m/>
    <s v="IL"/>
    <s v="DPP-2022"/>
    <s v="Central"/>
    <s v="Phase 2"/>
    <s v="NRIS"/>
    <s v="Hoopeston 138kV"/>
    <n v="150"/>
    <n v="150"/>
    <x v="0"/>
    <s v="Photovoltaic"/>
    <s v="Not Started"/>
    <m/>
    <n v="0"/>
    <n v="0"/>
    <n v="0"/>
    <n v="0"/>
  </r>
  <r>
    <s v="J2415"/>
    <x v="1"/>
    <d v="2022-09-13T00:00:00"/>
    <d v="2025-07-30T00:00:00"/>
    <m/>
    <d v="2026-10-01T00:00:00"/>
    <s v="ENTERGY LOUISIANA, LLC"/>
    <s v="Acadia"/>
    <m/>
    <m/>
    <s v="LA"/>
    <s v="DPP-2022"/>
    <s v="South"/>
    <s v="Phase 1"/>
    <s v="NRIS"/>
    <s v="Richard 138kV"/>
    <n v="75"/>
    <n v="75"/>
    <x v="2"/>
    <s v="Battery Storage"/>
    <s v="Not Started"/>
    <m/>
    <n v="0"/>
    <n v="0"/>
    <n v="0"/>
    <n v="0"/>
  </r>
  <r>
    <s v="J2416"/>
    <x v="1"/>
    <d v="2022-09-12T00:00:00"/>
    <d v="2025-10-27T00:00:00"/>
    <m/>
    <d v="2027-10-01T00:00:00"/>
    <s v="NORTHERN STATES POWER COMPANY"/>
    <s v="Trempealeau"/>
    <m/>
    <m/>
    <s v="WI"/>
    <s v="DPP-2022"/>
    <s v="West"/>
    <s v="Phase 1"/>
    <s v="NRIS"/>
    <s v="North Rochester-Briggs Road 345kV"/>
    <n v="125"/>
    <n v="125"/>
    <x v="2"/>
    <s v="Battery Storage"/>
    <s v="Not Started"/>
    <m/>
    <n v="0"/>
    <n v="0"/>
    <n v="0"/>
    <n v="0"/>
  </r>
  <r>
    <s v="J2417"/>
    <x v="1"/>
    <d v="2022-09-12T00:00:00"/>
    <d v="2025-10-27T00:00:00"/>
    <m/>
    <d v="2027-10-01T00:00:00"/>
    <s v="NORTHERN STATES POWER COMPANY"/>
    <s v="Trempealeau"/>
    <m/>
    <m/>
    <s v="WI"/>
    <s v="DPP-2022"/>
    <s v="West"/>
    <s v="Phase 1"/>
    <s v="NRIS"/>
    <s v="North Rochester-Briggs Road 345kV"/>
    <n v="300"/>
    <n v="300"/>
    <x v="0"/>
    <s v="Photovoltaic"/>
    <s v="Not Started"/>
    <m/>
    <n v="0"/>
    <n v="0"/>
    <n v="0"/>
    <n v="0"/>
  </r>
  <r>
    <s v="J2418"/>
    <x v="1"/>
    <d v="2022-09-14T00:00:00"/>
    <d v="2025-10-27T00:00:00"/>
    <m/>
    <d v="2025-10-01T00:00:00"/>
    <s v="NORTHERN INDIANA PUBLIC SERVICE COMPANY LLC"/>
    <s v="Marshall"/>
    <m/>
    <m/>
    <s v="IN"/>
    <s v="DPP-2022"/>
    <s v="Central"/>
    <s v="Phase 2"/>
    <s v="NRIS"/>
    <s v="Burr Oak 138kV"/>
    <n v="140"/>
    <n v="140"/>
    <x v="2"/>
    <s v="Battery Storage"/>
    <s v="Not Started"/>
    <m/>
    <n v="0"/>
    <n v="0"/>
    <n v="0"/>
    <n v="0"/>
  </r>
  <r>
    <s v="J2419"/>
    <x v="1"/>
    <d v="2022-09-12T00:00:00"/>
    <d v="2025-10-27T00:00:00"/>
    <m/>
    <d v="2027-10-01T00:00:00"/>
    <s v="ITC MIDWEST"/>
    <s v="Faribault"/>
    <m/>
    <m/>
    <s v="MN"/>
    <s v="DPP-2022"/>
    <s v="West"/>
    <s v="Phase 1"/>
    <s v="NRIS"/>
    <s v="Huntley 345kV"/>
    <n v="300"/>
    <n v="300"/>
    <x v="2"/>
    <s v="Battery Storage"/>
    <s v="Not Started"/>
    <m/>
    <n v="0"/>
    <n v="0"/>
    <n v="0"/>
    <n v="0"/>
  </r>
  <r>
    <s v="J2420"/>
    <x v="1"/>
    <d v="2022-09-12T00:00:00"/>
    <d v="2025-10-27T00:00:00"/>
    <m/>
    <d v="2027-10-01T00:00:00"/>
    <s v="ITC MIDWEST"/>
    <s v="Faribault"/>
    <m/>
    <m/>
    <s v="MN"/>
    <s v="DPP-2022"/>
    <s v="West"/>
    <s v="Phase 1"/>
    <s v="NRIS"/>
    <s v="Huntley 345kV"/>
    <n v="95"/>
    <n v="95"/>
    <x v="0"/>
    <s v="Photovoltaic"/>
    <s v="Not Started"/>
    <m/>
    <n v="0"/>
    <n v="0"/>
    <n v="0"/>
    <n v="0"/>
  </r>
  <r>
    <s v="J2421"/>
    <x v="1"/>
    <d v="2022-09-14T00:00:00"/>
    <d v="2025-10-27T00:00:00"/>
    <m/>
    <d v="2025-10-01T00:00:00"/>
    <s v="DUKE ENERGY INDIANA, LLC"/>
    <s v="Rush"/>
    <m/>
    <m/>
    <s v="IN"/>
    <s v="DPP-2022"/>
    <s v="Central"/>
    <s v="Phase 2"/>
    <s v="NRIS"/>
    <s v="Greensboro-Gwynneville 345kV"/>
    <n v="200"/>
    <n v="200"/>
    <x v="2"/>
    <s v="Battery Storage"/>
    <s v="Not Started"/>
    <m/>
    <n v="0"/>
    <n v="0"/>
    <n v="0"/>
    <n v="0"/>
  </r>
  <r>
    <s v="J2422"/>
    <x v="1"/>
    <d v="2022-09-12T00:00:00"/>
    <d v="2023-03-24T00:00:00"/>
    <m/>
    <d v="2027-10-01T00:00:00"/>
    <s v="AMEREN TRANSMISSION COMPANY OF ILLINOIS"/>
    <s v="Washington"/>
    <m/>
    <m/>
    <s v="IL"/>
    <s v="DPP-2022"/>
    <s v="Central"/>
    <s v="Phase 2"/>
    <s v="NRIS"/>
    <s v="Baldwin"/>
    <n v="200"/>
    <n v="200"/>
    <x v="2"/>
    <s v="Battery Storage"/>
    <s v="Not Started"/>
    <m/>
    <n v="0"/>
    <n v="0"/>
    <n v="0"/>
    <n v="0"/>
  </r>
  <r>
    <s v="J2423"/>
    <x v="2"/>
    <d v="2022-09-13T00:00:00"/>
    <m/>
    <m/>
    <d v="2027-10-01T00:00:00"/>
    <m/>
    <s v="Columbia"/>
    <m/>
    <m/>
    <s v="WI"/>
    <s v="DPP-2022"/>
    <s v="East (ATC)"/>
    <s v="Phase 1"/>
    <s v="NRIS"/>
    <s v="Columbia-North Madison 345kV"/>
    <n v="300"/>
    <n v="300"/>
    <x v="2"/>
    <s v="Battery Storage"/>
    <s v="Not Started"/>
    <m/>
    <n v="300"/>
    <n v="300"/>
    <n v="0"/>
    <n v="0"/>
  </r>
  <r>
    <s v="J2424"/>
    <x v="1"/>
    <d v="2022-09-13T00:00:00"/>
    <d v="2025-07-30T00:00:00"/>
    <m/>
    <d v="2026-10-01T00:00:00"/>
    <s v="CLECO POWER LLC"/>
    <s v="Evangeline"/>
    <m/>
    <m/>
    <s v="LA"/>
    <s v="DPP-2022"/>
    <s v="South"/>
    <s v="Phase 1"/>
    <s v="NRIS"/>
    <s v="Manuel 138kV"/>
    <n v="100"/>
    <n v="100"/>
    <x v="2"/>
    <s v="Battery Storage"/>
    <s v="Not Started"/>
    <m/>
    <n v="0"/>
    <n v="0"/>
    <n v="0"/>
    <n v="0"/>
  </r>
  <r>
    <s v="J2425"/>
    <x v="1"/>
    <d v="2022-09-13T00:00:00"/>
    <d v="2025-10-27T00:00:00"/>
    <m/>
    <d v="2027-10-01T00:00:00"/>
    <s v="AMEREN MISSOURI"/>
    <s v="Montgomery"/>
    <m/>
    <m/>
    <s v="MO"/>
    <s v="DPP-2022"/>
    <s v="Central"/>
    <s v="Phase 2"/>
    <s v="NRIS"/>
    <s v="7ENON - 7MONTGMRY 345kV"/>
    <n v="150"/>
    <n v="150"/>
    <x v="0"/>
    <s v="Photovoltaic"/>
    <s v="Not Started"/>
    <m/>
    <n v="0"/>
    <n v="0"/>
    <n v="0"/>
    <n v="0"/>
  </r>
  <r>
    <s v="J2426"/>
    <x v="1"/>
    <d v="2022-09-12T00:00:00"/>
    <d v="2025-10-27T00:00:00"/>
    <m/>
    <d v="2027-10-01T00:00:00"/>
    <s v="AMEREN ILLINOIS"/>
    <s v="Marion"/>
    <m/>
    <m/>
    <s v="IL"/>
    <s v="DPP-2022"/>
    <s v="Central"/>
    <s v="Phase 2"/>
    <s v="NRIS"/>
    <s v="Kinmundy 138kV"/>
    <n v="200"/>
    <n v="200"/>
    <x v="2"/>
    <s v="Battery Storage"/>
    <s v="Not Started"/>
    <m/>
    <n v="0"/>
    <n v="0"/>
    <n v="0"/>
    <n v="0"/>
  </r>
  <r>
    <s v="J2427"/>
    <x v="1"/>
    <d v="2022-09-12T00:00:00"/>
    <d v="2025-10-27T00:00:00"/>
    <m/>
    <d v="2027-10-01T00:00:00"/>
    <s v="AMEREN ILLINOIS"/>
    <s v="Marion"/>
    <m/>
    <m/>
    <s v="IL"/>
    <s v="DPP-2022"/>
    <s v="Central"/>
    <s v="Phase 2"/>
    <s v="NRIS"/>
    <s v="Kinmundy 138kV"/>
    <n v="200"/>
    <n v="200"/>
    <x v="0"/>
    <s v="Photovoltaic"/>
    <s v="Not Started"/>
    <m/>
    <n v="0"/>
    <n v="0"/>
    <n v="0"/>
    <n v="0"/>
  </r>
  <r>
    <s v="J2428"/>
    <x v="1"/>
    <d v="2022-09-12T00:00:00"/>
    <d v="2023-03-24T00:00:00"/>
    <m/>
    <d v="2026-10-01T00:00:00"/>
    <s v="ENTERGY MISSISSIPPI, LLC."/>
    <s v="Coahoma"/>
    <m/>
    <m/>
    <s v="MS"/>
    <s v="DPP-2022"/>
    <s v="South"/>
    <s v="Phase 1"/>
    <s v="NRIS"/>
    <s v="Clarksdale 115kV"/>
    <n v="100"/>
    <n v="100"/>
    <x v="0"/>
    <s v="Photovoltaic"/>
    <s v="Not Started"/>
    <m/>
    <n v="0"/>
    <n v="0"/>
    <n v="0"/>
    <n v="0"/>
  </r>
  <r>
    <s v="J2429"/>
    <x v="2"/>
    <d v="2022-09-12T00:00:00"/>
    <m/>
    <m/>
    <d v="2027-10-01T00:00:00"/>
    <s v="AMERICAN TRANSMISSION COMPANY"/>
    <s v="Dane"/>
    <m/>
    <m/>
    <s v="WI"/>
    <s v="DPP-2022"/>
    <s v="East (ATC)"/>
    <s v="Phase 1"/>
    <s v="NRIS"/>
    <s v="North Madison 69kV Substation"/>
    <n v="50"/>
    <n v="50"/>
    <x v="0"/>
    <s v="Photovoltaic"/>
    <s v="Not Started"/>
    <m/>
    <n v="50"/>
    <n v="50"/>
    <n v="0"/>
    <n v="0"/>
  </r>
  <r>
    <s v="J2430"/>
    <x v="1"/>
    <d v="2022-09-13T00:00:00"/>
    <d v="2023-03-24T00:00:00"/>
    <m/>
    <d v="2026-10-01T00:00:00"/>
    <s v="ENTERGY LOUISIANA, LLC"/>
    <s v="Concordia"/>
    <m/>
    <m/>
    <s v="LA"/>
    <s v="DPP-2022"/>
    <s v="South"/>
    <s v="Phase 1"/>
    <s v="NRIS"/>
    <s v="Red Gum 115kV"/>
    <n v="80"/>
    <n v="80"/>
    <x v="0"/>
    <s v="Photovoltaic"/>
    <s v="Not Started"/>
    <m/>
    <n v="0"/>
    <n v="0"/>
    <n v="0"/>
    <n v="0"/>
  </r>
  <r>
    <s v="J2431"/>
    <x v="1"/>
    <d v="2022-09-13T00:00:00"/>
    <d v="2025-07-30T00:00:00"/>
    <m/>
    <d v="2026-10-01T00:00:00"/>
    <s v="ENTERGY ARKANSAS, LLC"/>
    <s v="St. Francis"/>
    <m/>
    <m/>
    <s v="AR"/>
    <s v="DPP-2022"/>
    <s v="South"/>
    <s v="Phase 1"/>
    <s v="NRIS"/>
    <s v="West Memphis-Genpower Keo 500kV Line Break (located at &quot;CHALKBLUFFPV&quot; 500kV POI SS, co-located with"/>
    <n v="150"/>
    <n v="150"/>
    <x v="2"/>
    <s v="Battery Storage"/>
    <s v="Not Started"/>
    <m/>
    <n v="0"/>
    <n v="0"/>
    <n v="0"/>
    <n v="0"/>
  </r>
  <r>
    <s v="J2432"/>
    <x v="1"/>
    <d v="2022-09-12T00:00:00"/>
    <d v="2025-07-30T00:00:00"/>
    <m/>
    <d v="2026-10-01T00:00:00"/>
    <s v="ENTERGY MISSISSIPPI, LLC."/>
    <s v="Tunica"/>
    <m/>
    <m/>
    <s v="MS"/>
    <s v="DPP-2022"/>
    <s v="South"/>
    <s v="Phase 1"/>
    <s v="NRIS"/>
    <s v="Lula-Tunica 115kV"/>
    <n v="150"/>
    <n v="150"/>
    <x v="0"/>
    <s v="Photovoltaic"/>
    <s v="Not Started"/>
    <m/>
    <n v="0"/>
    <n v="0"/>
    <n v="0"/>
    <n v="0"/>
  </r>
  <r>
    <s v="J2433"/>
    <x v="1"/>
    <d v="2022-09-14T00:00:00"/>
    <d v="2023-03-24T00:00:00"/>
    <m/>
    <d v="2027-10-01T00:00:00"/>
    <s v="GREAT RIVER ENERGY"/>
    <s v="Wadena"/>
    <m/>
    <m/>
    <s v="MN"/>
    <s v="DPP-2022"/>
    <s v="West"/>
    <s v="Phase 1"/>
    <s v="NRIS"/>
    <s v="Wing River-Riverton 230kV"/>
    <n v="150"/>
    <n v="150"/>
    <x v="0"/>
    <s v="Photovoltaic"/>
    <s v="Not Started"/>
    <m/>
    <n v="0"/>
    <n v="0"/>
    <n v="0"/>
    <n v="0"/>
  </r>
  <r>
    <s v="J2434"/>
    <x v="1"/>
    <d v="2022-09-13T00:00:00"/>
    <d v="2025-10-27T00:00:00"/>
    <m/>
    <d v="2028-10-01T00:00:00"/>
    <s v="AMEREN ILLINOIS"/>
    <s v="Vermilion"/>
    <m/>
    <m/>
    <s v="IL"/>
    <s v="DPP-2022"/>
    <s v="Central"/>
    <s v="Phase 2"/>
    <s v="NRIS"/>
    <s v="Hoopeston West 138kV"/>
    <n v="150"/>
    <n v="150"/>
    <x v="1"/>
    <s v="Wind Turbine"/>
    <s v="Not Started"/>
    <m/>
    <n v="0"/>
    <n v="0"/>
    <n v="0"/>
    <n v="0"/>
  </r>
  <r>
    <s v="J2435"/>
    <x v="1"/>
    <d v="2022-09-13T00:00:00"/>
    <d v="2025-10-27T00:00:00"/>
    <m/>
    <d v="2030-10-01T00:00:00"/>
    <s v="MIDAMERICAN ENERGY CO."/>
    <s v="Webster"/>
    <m/>
    <m/>
    <s v="IA"/>
    <s v="DPP-2022"/>
    <s v="West"/>
    <s v="Phase 1"/>
    <s v="NRIS"/>
    <s v="Webster-Wright 161kV"/>
    <n v="150"/>
    <n v="150"/>
    <x v="1"/>
    <s v="Wind Turbine"/>
    <s v="Not Started"/>
    <m/>
    <n v="0"/>
    <n v="0"/>
    <n v="0"/>
    <n v="0"/>
  </r>
  <r>
    <s v="J2436"/>
    <x v="2"/>
    <d v="2022-09-12T00:00:00"/>
    <m/>
    <m/>
    <d v="2030-10-01T00:00:00"/>
    <s v="MIDAMERICAN ENERGY CO. MEC"/>
    <s v="Webster"/>
    <m/>
    <m/>
    <s v="IA"/>
    <s v="DPP-2022"/>
    <s v="West"/>
    <s v="Phase 1"/>
    <s v="NRIS"/>
    <s v="Webster-Lehigh 345kV"/>
    <n v="300"/>
    <n v="300"/>
    <x v="1"/>
    <s v="Wind Turbine"/>
    <s v="Not Started"/>
    <m/>
    <n v="300"/>
    <n v="300"/>
    <n v="0"/>
    <n v="0"/>
  </r>
  <r>
    <s v="J2437"/>
    <x v="2"/>
    <d v="2022-09-15T00:00:00"/>
    <m/>
    <m/>
    <d v="2027-09-01T00:00:00"/>
    <s v="ENTERGY ARKANSAS, LLC EATO"/>
    <s v="Lee"/>
    <m/>
    <m/>
    <s v="AR"/>
    <s v="DPP-2022"/>
    <s v="South"/>
    <s v="Phase 1"/>
    <s v="ERIS"/>
    <s v="BRINKLEY EAST - AECC AUBREY 230.0kV"/>
    <n v="175"/>
    <n v="175"/>
    <x v="1"/>
    <s v="Wind Turbine"/>
    <s v="Not Started"/>
    <m/>
    <n v="175"/>
    <n v="0"/>
    <n v="0"/>
    <n v="0"/>
  </r>
  <r>
    <s v="J2438"/>
    <x v="1"/>
    <d v="2022-09-13T00:00:00"/>
    <d v="2023-03-24T00:00:00"/>
    <m/>
    <d v="2027-10-01T00:00:00"/>
    <s v="AMEREN MISSOURI"/>
    <s v="Montgomery"/>
    <m/>
    <m/>
    <s v="MO"/>
    <s v="DPP-2022"/>
    <s v="Central"/>
    <s v="Phase 2"/>
    <s v="NRIS"/>
    <s v="7MONTGMRY -7ENON 345kV"/>
    <n v="150"/>
    <n v="150"/>
    <x v="2"/>
    <s v="Battery Storage"/>
    <s v="Not Started"/>
    <m/>
    <n v="0"/>
    <n v="0"/>
    <n v="0"/>
    <n v="0"/>
  </r>
  <r>
    <s v="J2439"/>
    <x v="1"/>
    <d v="2022-09-12T00:00:00"/>
    <d v="2025-07-30T00:00:00"/>
    <m/>
    <d v="2028-10-01T00:00:00"/>
    <s v="AMERICAN TRANSMISSION COMPANY"/>
    <s v="Marathon"/>
    <m/>
    <m/>
    <s v="WI"/>
    <s v="DPP-2022"/>
    <s v="East (ATC)"/>
    <s v="Phase 1"/>
    <s v="NRIS"/>
    <s v="Gardner Park-Stone Lake 345kV"/>
    <n v="50"/>
    <n v="50"/>
    <x v="2"/>
    <s v="Battery Storage"/>
    <s v="Not Started"/>
    <m/>
    <n v="0"/>
    <n v="0"/>
    <n v="0"/>
    <n v="0"/>
  </r>
  <r>
    <s v="J2440"/>
    <x v="2"/>
    <d v="2022-09-15T00:00:00"/>
    <m/>
    <m/>
    <d v="2027-07-31T00:00:00"/>
    <s v="NORTHERN INDIANA PUBLIC SERVICE COMPANY LLC NIPS"/>
    <s v="Benton"/>
    <m/>
    <m/>
    <s v="IN"/>
    <s v="DPP-2022"/>
    <s v="Central"/>
    <s v="Phase 2"/>
    <s v="ERIS"/>
    <s v="GOODLAND - MORRISON DITCH 138.0kV"/>
    <n v="100"/>
    <n v="100"/>
    <x v="1"/>
    <s v="Wind Turbine"/>
    <s v="Not Started"/>
    <m/>
    <n v="100"/>
    <n v="0"/>
    <n v="0"/>
    <n v="0"/>
  </r>
  <r>
    <s v="J2441"/>
    <x v="1"/>
    <d v="2022-09-15T00:00:00"/>
    <d v="2025-07-30T00:00:00"/>
    <m/>
    <d v="2026-10-31T00:00:00"/>
    <s v="CLECO POWER LLC"/>
    <s v="Beauregard"/>
    <m/>
    <m/>
    <s v="LA"/>
    <s v="DPP-2022"/>
    <s v="South"/>
    <s v="Phase 1"/>
    <s v="NRIS"/>
    <s v="West Bay - Centennial 138 kV"/>
    <n v="250"/>
    <n v="250"/>
    <x v="0"/>
    <s v="Photovoltaic"/>
    <s v="Not Started"/>
    <m/>
    <n v="0"/>
    <n v="0"/>
    <n v="0"/>
    <n v="0"/>
  </r>
  <r>
    <s v="J2442"/>
    <x v="1"/>
    <d v="2022-09-15T00:00:00"/>
    <d v="2025-10-27T00:00:00"/>
    <m/>
    <d v="2025-10-31T00:00:00"/>
    <s v="DUKE ENERGY INDIANA, LLC"/>
    <s v="Ripley"/>
    <m/>
    <m/>
    <s v="IN"/>
    <s v="DPP-2022"/>
    <s v="Central"/>
    <s v="Phase 2"/>
    <s v="NRIS"/>
    <s v="Batesville 138 kV"/>
    <n v="84"/>
    <n v="84"/>
    <x v="0"/>
    <s v="Photovoltaic"/>
    <s v="Not Started"/>
    <m/>
    <n v="0"/>
    <n v="0"/>
    <n v="0"/>
    <n v="0"/>
  </r>
  <r>
    <s v="J2443"/>
    <x v="1"/>
    <d v="2022-09-14T00:00:00"/>
    <d v="2025-10-27T00:00:00"/>
    <m/>
    <d v="2025-10-31T00:00:00"/>
    <s v="NORTHERN INDIANA PUBLIC SERVICE COMPANY LLC"/>
    <s v="Kosciusko"/>
    <m/>
    <m/>
    <s v="IN"/>
    <s v="DPP-2022"/>
    <s v="Central"/>
    <s v="Phase 2"/>
    <s v="NRIS"/>
    <s v="Leesburg 345 kV"/>
    <n v="500"/>
    <n v="500"/>
    <x v="2"/>
    <s v="Battery Storage"/>
    <s v="Not Started"/>
    <m/>
    <n v="0"/>
    <n v="0"/>
    <n v="0"/>
    <n v="0"/>
  </r>
  <r>
    <s v="J2444"/>
    <x v="2"/>
    <d v="2022-09-14T00:00:00"/>
    <m/>
    <m/>
    <d v="2026-08-01T00:00:00"/>
    <s v="METC"/>
    <s v="Van Buren"/>
    <m/>
    <m/>
    <s v="MI"/>
    <s v="DPP-2022"/>
    <s v="East (ITC)"/>
    <s v="Phase 1"/>
    <s v="NRIS"/>
    <s v="ARGENTA - TWIN BRANCH 345.0kV"/>
    <n v="220"/>
    <n v="220"/>
    <x v="0"/>
    <s v="Photovoltaic"/>
    <s v="Not Started"/>
    <m/>
    <n v="220"/>
    <n v="220"/>
    <n v="0"/>
    <n v="0"/>
  </r>
  <r>
    <s v="J2445"/>
    <x v="1"/>
    <d v="2022-09-15T00:00:00"/>
    <d v="2023-03-24T00:00:00"/>
    <m/>
    <d v="2025-09-01T00:00:00"/>
    <s v="ITC MIDWEST"/>
    <s v="Greene"/>
    <m/>
    <m/>
    <s v="IA"/>
    <s v="DPP-2022"/>
    <s v="West"/>
    <s v="Phase 1"/>
    <s v="NRIS"/>
    <s v="Karma 161kV"/>
    <n v="50"/>
    <n v="50"/>
    <x v="0"/>
    <s v="Photovoltaic"/>
    <s v="Not Started"/>
    <m/>
    <n v="0"/>
    <n v="0"/>
    <n v="0"/>
    <n v="0"/>
  </r>
  <r>
    <s v="J2446"/>
    <x v="2"/>
    <d v="2022-09-12T00:00:00"/>
    <m/>
    <m/>
    <d v="2027-09-01T00:00:00"/>
    <s v="NORTHERN STATES POWER COMPANY"/>
    <s v="Dunn"/>
    <m/>
    <m/>
    <s v="WI"/>
    <s v="DPP-2022"/>
    <s v="West"/>
    <s v="Phase 1"/>
    <s v="NRIS"/>
    <s v="Allen S King - Eau Claire 345.0kV"/>
    <n v="300"/>
    <n v="300"/>
    <x v="0"/>
    <s v="Photovoltaic"/>
    <s v="Not Started"/>
    <m/>
    <n v="300"/>
    <n v="300"/>
    <n v="0"/>
    <n v="0"/>
  </r>
  <r>
    <s v="J2447"/>
    <x v="2"/>
    <d v="2025-10-22T00:00:00"/>
    <m/>
    <m/>
    <d v="2027-09-01T00:00:00"/>
    <s v="NORTHERN STATES POWER COMPANY"/>
    <s v="Murray"/>
    <m/>
    <m/>
    <s v="MN"/>
    <s v="DPP-2022"/>
    <s v="West"/>
    <s v="Phase 1"/>
    <s v="NRIS"/>
    <s v="Cedar Mountain - Lyon County 345.0kV"/>
    <n v="200"/>
    <n v="200"/>
    <x v="1"/>
    <s v="Wind Turbine"/>
    <s v="Not Started"/>
    <m/>
    <n v="200"/>
    <n v="200"/>
    <n v="0"/>
    <n v="0"/>
  </r>
  <r>
    <s v="J2448"/>
    <x v="1"/>
    <d v="2022-09-15T00:00:00"/>
    <d v="2025-07-30T00:00:00"/>
    <m/>
    <d v="2026-10-31T00:00:00"/>
    <s v="ENTERGY LOUISIANA, LLC"/>
    <s v="Webster"/>
    <m/>
    <m/>
    <s v="LA"/>
    <s v="DPP-2022"/>
    <s v="South"/>
    <s v="Phase 1"/>
    <s v="NRIS"/>
    <s v="Haynesville South to Sarepta 115kV"/>
    <n v="100"/>
    <n v="100"/>
    <x v="0"/>
    <s v="Photovoltaic"/>
    <s v="Not Started"/>
    <m/>
    <n v="0"/>
    <n v="0"/>
    <n v="0"/>
    <n v="0"/>
  </r>
  <r>
    <s v="J2449"/>
    <x v="1"/>
    <d v="2022-09-15T00:00:00"/>
    <d v="2025-07-31T00:00:00"/>
    <m/>
    <d v="2026-10-31T00:00:00"/>
    <s v="ENTERGY ARKANSAS, LLC"/>
    <s v="Faulkner"/>
    <m/>
    <m/>
    <s v="AR"/>
    <s v="DPP-2022"/>
    <s v="South"/>
    <s v="Phase 1"/>
    <s v="NRIS"/>
    <s v="Mayflower EHV 500 kV"/>
    <n v="200"/>
    <n v="200"/>
    <x v="2"/>
    <s v="Battery Storage"/>
    <s v="Not Started"/>
    <m/>
    <n v="0"/>
    <n v="0"/>
    <n v="0"/>
    <n v="0"/>
  </r>
  <r>
    <s v="J2450"/>
    <x v="2"/>
    <d v="2022-09-15T00:00:00"/>
    <m/>
    <m/>
    <d v="2026-10-31T00:00:00"/>
    <s v="DUKE ENERGY INDIANA, LLC CIN"/>
    <s v="Tippecanoe"/>
    <m/>
    <m/>
    <s v="IN"/>
    <s v="DPP-2022"/>
    <s v="Central"/>
    <s v="Phase 2"/>
    <s v="NRIS"/>
    <s v="WESTWOOD 345 KV"/>
    <n v="100"/>
    <n v="100"/>
    <x v="2"/>
    <s v="Battery Storage"/>
    <s v="Not Started"/>
    <m/>
    <n v="100"/>
    <n v="100"/>
    <n v="0"/>
    <n v="0"/>
  </r>
  <r>
    <s v="J2451"/>
    <x v="1"/>
    <d v="2022-09-15T00:00:00"/>
    <d v="2025-07-31T00:00:00"/>
    <m/>
    <d v="2026-10-01T00:00:00"/>
    <s v="ENTERGY ARKANSAS, LLC"/>
    <s v="Chicot"/>
    <m/>
    <m/>
    <s v="AR"/>
    <s v="DPP-2022"/>
    <s v="South"/>
    <s v="Phase 1"/>
    <s v="NRIS"/>
    <s v="Gerald Andrus SES Switchyard-Lake Village Bagby 230 Kv"/>
    <n v="200"/>
    <n v="200"/>
    <x v="0"/>
    <s v="Photovoltaic"/>
    <s v="Not Started"/>
    <m/>
    <n v="0"/>
    <n v="0"/>
    <n v="0"/>
    <n v="0"/>
  </r>
  <r>
    <s v="J2452"/>
    <x v="1"/>
    <d v="2022-09-15T00:00:00"/>
    <d v="2025-07-31T00:00:00"/>
    <m/>
    <d v="2026-09-15T00:00:00"/>
    <s v="ENTERGY ARKANSAS, LLC"/>
    <s v="Cleveland"/>
    <m/>
    <m/>
    <s v="AR"/>
    <s v="DPP-2022"/>
    <s v="South"/>
    <s v="Phase 1"/>
    <s v="NRIS"/>
    <s v="Sheridan EHV- EL Dorado EHV 500 Kv"/>
    <n v="500"/>
    <n v="500"/>
    <x v="0"/>
    <s v="Photovoltaic"/>
    <s v="Not Started"/>
    <m/>
    <n v="0"/>
    <n v="0"/>
    <n v="0"/>
    <n v="0"/>
  </r>
  <r>
    <s v="J2453"/>
    <x v="1"/>
    <d v="2022-09-15T00:00:00"/>
    <d v="2025-10-27T00:00:00"/>
    <m/>
    <d v="2027-06-01T00:00:00"/>
    <s v="AMEREN ILLINOIS"/>
    <s v="Cumberland"/>
    <m/>
    <m/>
    <s v="IL"/>
    <s v="DPP-2022"/>
    <s v="Central"/>
    <s v="Phase 2"/>
    <s v="NRIS"/>
    <s v="Casey West 345kV"/>
    <n v="100"/>
    <n v="100"/>
    <x v="0"/>
    <s v="Photovoltaic"/>
    <s v="Not Started"/>
    <m/>
    <n v="0"/>
    <n v="0"/>
    <n v="0"/>
    <n v="0"/>
  </r>
  <r>
    <s v="J2454"/>
    <x v="2"/>
    <d v="2022-09-14T00:00:00"/>
    <m/>
    <m/>
    <d v="2025-11-12T00:00:00"/>
    <s v="ITC"/>
    <s v="Montcalm"/>
    <m/>
    <m/>
    <s v="MI"/>
    <s v="DPP-2022"/>
    <s v="East (ITC)"/>
    <s v="Phase 1"/>
    <s v="NRIS"/>
    <s v="Eureka - Vestaburg 138kV"/>
    <n v="150"/>
    <n v="150"/>
    <x v="2"/>
    <s v="Battery Storage"/>
    <s v="Not Started"/>
    <m/>
    <n v="150"/>
    <n v="150"/>
    <n v="0"/>
    <n v="0"/>
  </r>
  <r>
    <s v="J2455"/>
    <x v="2"/>
    <d v="2022-09-15T00:00:00"/>
    <m/>
    <m/>
    <d v="2026-09-15T00:00:00"/>
    <m/>
    <s v="La Crosse"/>
    <m/>
    <m/>
    <s v="WI"/>
    <s v="DPP-2022"/>
    <s v="West"/>
    <s v="Phase 1"/>
    <s v="NRIS"/>
    <s v="FRENCH ISLAND"/>
    <n v="92"/>
    <n v="92"/>
    <x v="2"/>
    <s v="Battery Storage"/>
    <s v="Not Started"/>
    <m/>
    <n v="92"/>
    <n v="92"/>
    <n v="0"/>
    <n v="0"/>
  </r>
  <r>
    <s v="J2456"/>
    <x v="4"/>
    <d v="2022-09-14T00:00:00"/>
    <m/>
    <m/>
    <d v="2027-03-01T00:00:00"/>
    <m/>
    <s v="Phillips"/>
    <m/>
    <m/>
    <s v="AR"/>
    <s v="DPP-2022"/>
    <s v="South"/>
    <s v="Phase 1"/>
    <s v="NRIS"/>
    <s v="AECC AUBREY-RITCHIE SES SWITCHYARD 230 KV"/>
    <n v="100"/>
    <n v="100"/>
    <x v="5"/>
    <s v="Solar/Battery"/>
    <s v="Not Started"/>
    <m/>
    <n v="100"/>
    <n v="100"/>
    <n v="0"/>
    <n v="0"/>
  </r>
  <r>
    <s v="J2457"/>
    <x v="2"/>
    <d v="2022-09-15T00:00:00"/>
    <m/>
    <m/>
    <d v="2025-11-01T00:00:00"/>
    <s v="ENTERGY NEW ORLEANS, LLC ENTO"/>
    <s v="Orleans"/>
    <m/>
    <m/>
    <s v="LA"/>
    <s v="DPP-2022"/>
    <s v="South"/>
    <s v="Phase 1"/>
    <s v="NRIS"/>
    <s v="PATERSON"/>
    <n v="40"/>
    <n v="40"/>
    <x v="2"/>
    <s v="Battery Storage"/>
    <s v="Not Started"/>
    <m/>
    <n v="40"/>
    <n v="40"/>
    <n v="0"/>
    <n v="0"/>
  </r>
  <r>
    <s v="J2458"/>
    <x v="1"/>
    <d v="2022-09-14T00:00:00"/>
    <d v="2025-07-31T00:00:00"/>
    <m/>
    <d v="2026-11-01T00:00:00"/>
    <s v="ENTERGY ARKANSAS, LLC"/>
    <s v="Conway"/>
    <m/>
    <m/>
    <s v="AR"/>
    <s v="DPP-2022"/>
    <s v="South"/>
    <s v="Phase 1"/>
    <s v="NRIS"/>
    <s v="Pleasant Hill 500kV Substation"/>
    <n v="100"/>
    <n v="100"/>
    <x v="2"/>
    <s v="Battery Storage"/>
    <s v="Not Started"/>
    <m/>
    <n v="0"/>
    <n v="0"/>
    <n v="0"/>
    <n v="0"/>
  </r>
  <r>
    <s v="J2459"/>
    <x v="1"/>
    <d v="2022-09-14T00:00:00"/>
    <d v="2025-07-31T00:00:00"/>
    <m/>
    <d v="2026-11-01T00:00:00"/>
    <s v="ENTERGY ARKANSAS, LLC"/>
    <s v="Jefferson"/>
    <m/>
    <m/>
    <s v="AR"/>
    <s v="DPP-2022"/>
    <s v="South"/>
    <s v="Phase 1"/>
    <s v="NRIS"/>
    <s v="White Bluff EHV 500kV"/>
    <n v="100"/>
    <n v="100"/>
    <x v="2"/>
    <s v="Battery Storage"/>
    <s v="Not Started"/>
    <m/>
    <n v="0"/>
    <n v="0"/>
    <n v="0"/>
    <n v="0"/>
  </r>
  <r>
    <s v="J2460"/>
    <x v="1"/>
    <d v="2022-09-14T00:00:00"/>
    <d v="2025-07-31T00:00:00"/>
    <m/>
    <d v="2026-11-01T00:00:00"/>
    <s v="ENTERGY ARKANSAS, LLC"/>
    <s v="Jefferson"/>
    <m/>
    <m/>
    <s v="AR"/>
    <s v="DPP-2022"/>
    <s v="South"/>
    <s v="Phase 1"/>
    <s v="NRIS"/>
    <s v="White Bluff EHV 500kV"/>
    <n v="100"/>
    <n v="100"/>
    <x v="2"/>
    <s v="Battery Storage"/>
    <s v="Not Started"/>
    <m/>
    <n v="0"/>
    <n v="0"/>
    <n v="0"/>
    <n v="0"/>
  </r>
  <r>
    <s v="J2461"/>
    <x v="1"/>
    <d v="2022-09-14T00:00:00"/>
    <d v="2022-11-30T00:00:00"/>
    <m/>
    <d v="2026-11-01T00:00:00"/>
    <s v="AMEREN TRANSMISSION COMPANY OF ILLINOIS"/>
    <s v="Christian"/>
    <m/>
    <m/>
    <s v="IL"/>
    <s v="DPP-2022"/>
    <s v="Central"/>
    <s v="Phase 2"/>
    <s v="NRIS"/>
    <s v="Pana 138 kV"/>
    <n v="100"/>
    <n v="100"/>
    <x v="2"/>
    <s v="Battery Storage"/>
    <s v="Not Started"/>
    <m/>
    <n v="0"/>
    <n v="0"/>
    <n v="0"/>
    <n v="0"/>
  </r>
  <r>
    <s v="J2462"/>
    <x v="1"/>
    <d v="2022-09-13T00:00:00"/>
    <d v="2025-10-27T00:00:00"/>
    <m/>
    <d v="2027-10-01T00:00:00"/>
    <s v="ITC MIDWEST"/>
    <s v="Worth"/>
    <m/>
    <m/>
    <s v="IA"/>
    <s v="DPP-2022"/>
    <s v="West"/>
    <s v="Phase 1"/>
    <s v="NRIS"/>
    <s v="Ledyard-Colby 345kV"/>
    <n v="200"/>
    <n v="200"/>
    <x v="2"/>
    <s v="Battery Storage"/>
    <s v="Not Started"/>
    <m/>
    <n v="0"/>
    <n v="0"/>
    <n v="0"/>
    <n v="0"/>
  </r>
  <r>
    <s v="J2463"/>
    <x v="1"/>
    <d v="2022-09-13T00:00:00"/>
    <d v="2025-10-27T00:00:00"/>
    <m/>
    <d v="2027-10-01T00:00:00"/>
    <s v="AMEREN ILLINOIS"/>
    <s v="Washington"/>
    <m/>
    <m/>
    <s v="IL"/>
    <s v="DPP-2022"/>
    <s v="Central"/>
    <s v="Phase 2"/>
    <s v="NRIS"/>
    <s v="Baldwin"/>
    <n v="200"/>
    <n v="200"/>
    <x v="0"/>
    <s v="Photovoltaic"/>
    <s v="Not Started"/>
    <m/>
    <n v="0"/>
    <n v="0"/>
    <n v="0"/>
    <n v="0"/>
  </r>
  <r>
    <s v="J2464"/>
    <x v="1"/>
    <d v="2022-09-12T00:00:00"/>
    <d v="2025-10-27T00:00:00"/>
    <m/>
    <d v="2027-10-01T00:00:00"/>
    <s v="ITC MIDWEST"/>
    <s v="Worth"/>
    <m/>
    <m/>
    <s v="IA"/>
    <s v="DPP-2022"/>
    <s v="West"/>
    <s v="Phase 1"/>
    <s v="NRIS"/>
    <s v="Ledyard-Colby 345kV"/>
    <n v="200"/>
    <n v="200"/>
    <x v="0"/>
    <s v="Photovoltaic"/>
    <s v="Not Started"/>
    <m/>
    <n v="0"/>
    <n v="0"/>
    <n v="0"/>
    <n v="0"/>
  </r>
  <r>
    <s v="J2465"/>
    <x v="1"/>
    <d v="2022-09-12T00:00:00"/>
    <d v="2025-10-27T00:00:00"/>
    <m/>
    <d v="2028-10-01T00:00:00"/>
    <s v="AMEREN ILLINOIS"/>
    <s v="Logan"/>
    <m/>
    <m/>
    <s v="IL"/>
    <s v="DPP-2022"/>
    <s v="Central"/>
    <s v="Phase 2"/>
    <s v="NRIS"/>
    <s v="Goose Creek Energy Center to Maroa East 345 kV"/>
    <n v="200"/>
    <n v="200"/>
    <x v="1"/>
    <s v="Wind Turbine"/>
    <s v="Not Started"/>
    <m/>
    <n v="0"/>
    <n v="0"/>
    <n v="0"/>
    <n v="0"/>
  </r>
  <r>
    <s v="J2466"/>
    <x v="1"/>
    <d v="2022-09-12T00:00:00"/>
    <d v="2025-10-27T00:00:00"/>
    <m/>
    <d v="2027-10-01T00:00:00"/>
    <s v="ITC MIDWEST"/>
    <s v="Howard"/>
    <m/>
    <m/>
    <s v="IA"/>
    <s v="DPP-2022"/>
    <s v="West"/>
    <s v="Phase 1"/>
    <s v="NRIS"/>
    <s v="Hazleton-Mitchell County 345kV line"/>
    <n v="130"/>
    <n v="130"/>
    <x v="1"/>
    <s v="Wind Turbine"/>
    <s v="Not Started"/>
    <m/>
    <n v="0"/>
    <n v="0"/>
    <n v="0"/>
    <n v="0"/>
  </r>
  <r>
    <s v="J2467"/>
    <x v="1"/>
    <d v="2022-09-13T00:00:00"/>
    <d v="2025-07-31T00:00:00"/>
    <m/>
    <d v="2026-10-01T00:00:00"/>
    <s v="CLECO POWER LLC"/>
    <s v="Evangeline"/>
    <m/>
    <m/>
    <s v="LA"/>
    <s v="DPP-2022"/>
    <s v="South"/>
    <s v="Phase 1"/>
    <s v="NRIS"/>
    <s v="Manuel 138kV"/>
    <n v="105"/>
    <n v="105"/>
    <x v="0"/>
    <s v="Photovoltaic"/>
    <s v="Not Started"/>
    <m/>
    <n v="0"/>
    <n v="0"/>
    <n v="0"/>
    <n v="0"/>
  </r>
  <r>
    <s v="J2468"/>
    <x v="1"/>
    <d v="2022-09-15T00:00:00"/>
    <d v="2023-03-24T00:00:00"/>
    <m/>
    <d v="2026-10-01T00:00:00"/>
    <s v="ENTERGY ARKANSAS, LLC"/>
    <s v="Union"/>
    <m/>
    <m/>
    <s v="AR"/>
    <s v="DPP-2022"/>
    <s v="South"/>
    <s v="Phase 1"/>
    <s v="NRIS"/>
    <s v="El Dorado East 115kV"/>
    <n v="130"/>
    <n v="130"/>
    <x v="2"/>
    <s v="Battery Storage"/>
    <s v="Not Started"/>
    <m/>
    <n v="0"/>
    <n v="0"/>
    <n v="0"/>
    <n v="0"/>
  </r>
  <r>
    <s v="J2469"/>
    <x v="2"/>
    <d v="2022-09-12T00:00:00"/>
    <m/>
    <m/>
    <d v="2027-10-01T00:00:00"/>
    <s v="ITC MIDWEST"/>
    <s v="Linn"/>
    <m/>
    <m/>
    <s v="IA"/>
    <s v="DPP-2022"/>
    <s v="West"/>
    <s v="Phase 1"/>
    <s v="NRIS"/>
    <s v="Sub K (Tiffin)-Duane Arnold 345kV"/>
    <n v="300"/>
    <n v="300"/>
    <x v="2"/>
    <s v="Battery Storage"/>
    <s v="Not Started"/>
    <m/>
    <n v="300"/>
    <n v="300"/>
    <n v="0"/>
    <n v="0"/>
  </r>
  <r>
    <s v="J2470"/>
    <x v="1"/>
    <d v="2022-09-13T00:00:00"/>
    <d v="2025-07-31T00:00:00"/>
    <m/>
    <d v="2026-10-01T00:00:00"/>
    <s v="CLECO POWER LLC"/>
    <s v="Rapides"/>
    <m/>
    <m/>
    <s v="LA"/>
    <s v="DPP-2022"/>
    <s v="South"/>
    <s v="Phase 1"/>
    <s v="NRIS"/>
    <s v="Donahue-Marksville 138kV"/>
    <n v="100"/>
    <n v="100"/>
    <x v="0"/>
    <s v="Photovoltaic"/>
    <s v="Not Started"/>
    <m/>
    <n v="0"/>
    <n v="0"/>
    <n v="0"/>
    <n v="0"/>
  </r>
  <r>
    <s v="J2471"/>
    <x v="1"/>
    <d v="2022-09-14T00:00:00"/>
    <d v="2025-08-01T00:00:00"/>
    <m/>
    <d v="2026-10-01T00:00:00"/>
    <s v="ITC"/>
    <s v="Lenawee"/>
    <m/>
    <m/>
    <s v="MI"/>
    <s v="DPP-2022"/>
    <s v="East (ITC)"/>
    <s v="Phase 1"/>
    <s v="NRIS"/>
    <s v="Beecher-Cement City 138kV"/>
    <n v="100"/>
    <n v="100"/>
    <x v="0"/>
    <s v="Photovoltaic"/>
    <s v="Not Started"/>
    <m/>
    <n v="0"/>
    <n v="0"/>
    <n v="0"/>
    <n v="0"/>
  </r>
  <r>
    <s v="J2472"/>
    <x v="2"/>
    <d v="2022-09-15T00:00:00"/>
    <m/>
    <m/>
    <d v="2027-05-07T00:00:00"/>
    <s v="DUKE ENERGY INDIANA, LLC CIN"/>
    <s v="Sullivan"/>
    <m/>
    <m/>
    <s v="IN"/>
    <s v="DPP-2022"/>
    <s v="Central"/>
    <s v="Phase 2"/>
    <s v="NRIS"/>
    <s v="Gibson Sta - Merom (HED) 345.0kV"/>
    <n v="200"/>
    <n v="200"/>
    <x v="2"/>
    <s v="Battery Storage"/>
    <s v="Not Started"/>
    <m/>
    <n v="200"/>
    <n v="200"/>
    <n v="0"/>
    <n v="0"/>
  </r>
  <r>
    <s v="J2473"/>
    <x v="2"/>
    <d v="2022-09-15T00:00:00"/>
    <m/>
    <m/>
    <d v="2027-09-30T00:00:00"/>
    <s v="INDIANAPOLIS POWER &amp; LIGHT COMPANY"/>
    <s v="Marion"/>
    <m/>
    <m/>
    <s v="IN"/>
    <s v="DPP-2022"/>
    <s v="Central"/>
    <s v="Phase 2"/>
    <s v="NRIS"/>
    <s v="Hanna 138kV"/>
    <n v="150"/>
    <n v="150"/>
    <x v="2"/>
    <s v="Battery Storage"/>
    <s v="Not Started"/>
    <m/>
    <n v="150"/>
    <n v="150"/>
    <n v="0"/>
    <n v="0"/>
  </r>
  <r>
    <s v="J2474"/>
    <x v="2"/>
    <d v="2022-09-15T00:00:00"/>
    <m/>
    <m/>
    <d v="2028-09-30T00:00:00"/>
    <s v="AMEREN ILLINOIS"/>
    <s v="Sangamon"/>
    <m/>
    <m/>
    <s v="IL"/>
    <s v="DPP-2022"/>
    <s v="Central"/>
    <s v="Phase 2"/>
    <s v="ERIS"/>
    <s v="4AUSTIN - 4VIRDEN   138.0kV"/>
    <n v="100"/>
    <n v="100"/>
    <x v="5"/>
    <s v="Solar/Battery"/>
    <s v="Not Started"/>
    <m/>
    <n v="100"/>
    <n v="0"/>
    <n v="0"/>
    <n v="0"/>
  </r>
  <r>
    <s v="J2475"/>
    <x v="2"/>
    <d v="2022-09-15T00:00:00"/>
    <m/>
    <m/>
    <d v="2027-09-30T00:00:00"/>
    <s v="ITC"/>
    <s v="Monroe"/>
    <m/>
    <m/>
    <s v="MI"/>
    <s v="DPP-2022"/>
    <s v="East (ITC)"/>
    <s v="Phase 1"/>
    <s v="NRIS"/>
    <s v="Toll Rd 120kV"/>
    <n v="200"/>
    <n v="200"/>
    <x v="2"/>
    <s v="Battery Storage"/>
    <s v="Not Started"/>
    <m/>
    <n v="200"/>
    <n v="200"/>
    <n v="0"/>
    <n v="0"/>
  </r>
  <r>
    <s v="J2476"/>
    <x v="1"/>
    <d v="2022-09-15T00:00:00"/>
    <d v="2025-10-27T00:00:00"/>
    <m/>
    <d v="2026-09-30T00:00:00"/>
    <s v="AMEREN ILLINOIS"/>
    <s v="Fayette"/>
    <m/>
    <m/>
    <s v="IL"/>
    <s v="DPP-2022"/>
    <s v="Central"/>
    <s v="Phase 2"/>
    <s v="NRIS"/>
    <s v="Otego 138kV"/>
    <n v="150"/>
    <n v="150"/>
    <x v="5"/>
    <s v="Solar/Battery"/>
    <s v="Not Started"/>
    <m/>
    <n v="0"/>
    <n v="0"/>
    <n v="0"/>
    <n v="0"/>
  </r>
  <r>
    <s v="J2477"/>
    <x v="2"/>
    <d v="2022-09-13T00:00:00"/>
    <m/>
    <m/>
    <d v="2026-10-31T00:00:00"/>
    <s v="ENTERGY ARKANSAS, LLC EATO"/>
    <s v="Crittenden"/>
    <m/>
    <m/>
    <s v="AR"/>
    <s v="DPP-2022"/>
    <s v="South"/>
    <s v="Phase 1"/>
    <s v="ERIS"/>
    <s v="WEST MEMPHIS EHV - KEO EHV 500.0kV"/>
    <n v="600"/>
    <n v="600"/>
    <x v="0"/>
    <s v="Photovoltaic"/>
    <s v="Not Started"/>
    <m/>
    <n v="600"/>
    <n v="0"/>
    <n v="0"/>
    <n v="0"/>
  </r>
  <r>
    <s v="J2478"/>
    <x v="2"/>
    <d v="2022-09-14T00:00:00"/>
    <m/>
    <m/>
    <d v="2026-10-31T00:00:00"/>
    <s v="ENTERGY ARKANSAS, LLC EATO"/>
    <s v="Craighead"/>
    <m/>
    <m/>
    <s v="AR"/>
    <s v="DPP-2022"/>
    <s v="South"/>
    <s v="Phase 1"/>
    <s v="ERIS"/>
    <s v="INDEPENDENCE-ISES - POWERLINE ROAD 500.0kV"/>
    <n v="550"/>
    <n v="550"/>
    <x v="0"/>
    <s v="Photovoltaic"/>
    <s v="Not Started"/>
    <m/>
    <n v="550"/>
    <n v="0"/>
    <n v="0"/>
    <n v="0"/>
  </r>
  <r>
    <s v="J2479"/>
    <x v="1"/>
    <d v="2022-09-13T00:00:00"/>
    <d v="2023-03-25T00:00:00"/>
    <m/>
    <d v="2025-10-31T00:00:00"/>
    <s v="ENTERGY LOUISIANA, LLC"/>
    <s v="Concordia"/>
    <m/>
    <m/>
    <s v="LA"/>
    <s v="DPP-2022"/>
    <s v="South"/>
    <s v="Phase 1"/>
    <s v="NRIS"/>
    <s v="Red Gum to Metropolis 115 kV"/>
    <n v="140"/>
    <n v="140"/>
    <x v="2"/>
    <s v="Battery Storage"/>
    <s v="Not Started"/>
    <m/>
    <n v="0"/>
    <n v="0"/>
    <n v="0"/>
    <n v="0"/>
  </r>
  <r>
    <s v="J2480"/>
    <x v="1"/>
    <d v="2022-09-13T00:00:00"/>
    <d v="2025-10-27T00:00:00"/>
    <m/>
    <d v="2026-10-31T00:00:00"/>
    <s v="BIG RIVERS ELECTRIC CORPORATION"/>
    <s v="Daviess"/>
    <m/>
    <m/>
    <s v="KY"/>
    <s v="DPP-2022"/>
    <s v="Central"/>
    <s v="Phase 2"/>
    <s v="NRIS"/>
    <s v="Reid to Daviess County 161 kV"/>
    <n v="75"/>
    <n v="75"/>
    <x v="2"/>
    <s v="Battery Storage"/>
    <s v="Not Started"/>
    <m/>
    <n v="0"/>
    <n v="0"/>
    <n v="0"/>
    <n v="0"/>
  </r>
  <r>
    <s v="J2481"/>
    <x v="1"/>
    <d v="2022-09-12T00:00:00"/>
    <d v="2025-10-27T00:00:00"/>
    <m/>
    <d v="2030-10-01T00:00:00"/>
    <s v="MIDAMERICAN ENERGY CO."/>
    <s v="Pocahontas"/>
    <m/>
    <m/>
    <s v="IA"/>
    <s v="DPP-2022"/>
    <s v="West"/>
    <s v="Phase 1"/>
    <s v="NRIS"/>
    <s v="Webster-Irvington 345kV"/>
    <n v="300"/>
    <n v="300"/>
    <x v="1"/>
    <s v="Wind Turbine"/>
    <s v="Not Started"/>
    <m/>
    <n v="0"/>
    <n v="0"/>
    <n v="0"/>
    <n v="0"/>
  </r>
  <r>
    <s v="J2482"/>
    <x v="2"/>
    <d v="2022-09-14T00:00:00"/>
    <m/>
    <m/>
    <d v="2026-10-31T00:00:00"/>
    <s v="ENTERGY ARKANSAS, LLC EATO"/>
    <s v="Crittenden"/>
    <m/>
    <m/>
    <s v="AR"/>
    <s v="DPP-2022"/>
    <s v="South"/>
    <s v="Phase 1"/>
    <s v="ERIS"/>
    <s v="WEST MEMPHIS EHV - KEO EHV 500.0kV"/>
    <n v="300"/>
    <n v="300"/>
    <x v="0"/>
    <s v="Photovoltaic"/>
    <s v="Not Started"/>
    <m/>
    <n v="300"/>
    <n v="0"/>
    <n v="0"/>
    <n v="0"/>
  </r>
  <r>
    <s v="J2483"/>
    <x v="1"/>
    <d v="2022-09-09T00:00:00"/>
    <d v="2023-03-21T00:00:00"/>
    <m/>
    <d v="2025-11-01T00:00:00"/>
    <s v="ENTERGY MISSISSIPPI, LLC."/>
    <s v="Amite"/>
    <m/>
    <m/>
    <s v="MS"/>
    <s v="DPP-2022"/>
    <s v="South"/>
    <s v="Phase 1"/>
    <s v="NRIS"/>
    <s v="GILLSBURG SS (CE)-LIBERTY115 Kv"/>
    <n v="105"/>
    <n v="105"/>
    <x v="0"/>
    <s v="Photovoltaic"/>
    <s v="Not Started"/>
    <m/>
    <n v="0"/>
    <n v="0"/>
    <n v="0"/>
    <n v="0"/>
  </r>
  <r>
    <s v="J2484"/>
    <x v="4"/>
    <d v="2022-09-14T00:00:00"/>
    <m/>
    <m/>
    <d v="2025-11-01T00:00:00"/>
    <s v="ITC"/>
    <s v="Monroe"/>
    <m/>
    <m/>
    <s v="MI"/>
    <s v="DPP-2022"/>
    <s v="East (ITC)"/>
    <s v="Phase 1"/>
    <s v="NRIS"/>
    <s v="Other_"/>
    <n v="100"/>
    <n v="100"/>
    <x v="0"/>
    <s v="Photovoltaic"/>
    <s v="Not Started"/>
    <m/>
    <n v="100"/>
    <n v="100"/>
    <n v="0"/>
    <n v="0"/>
  </r>
  <r>
    <s v="J2485"/>
    <x v="2"/>
    <d v="2022-09-14T00:00:00"/>
    <m/>
    <m/>
    <d v="2025-11-01T00:00:00"/>
    <s v="ITC"/>
    <s v="Livingston"/>
    <m/>
    <m/>
    <s v="MI"/>
    <s v="DPP-2022"/>
    <s v="East (ITC)"/>
    <s v="Phase 1"/>
    <s v="NRIS"/>
    <s v="BLACKFOOT - MADRID 345.0kV"/>
    <n v="180"/>
    <n v="180"/>
    <x v="0"/>
    <s v="Photovoltaic"/>
    <s v="Not Started"/>
    <m/>
    <n v="180"/>
    <n v="180"/>
    <n v="0"/>
    <n v="0"/>
  </r>
  <r>
    <s v="J2486"/>
    <x v="2"/>
    <d v="2022-09-14T00:00:00"/>
    <m/>
    <m/>
    <d v="2025-11-01T00:00:00"/>
    <s v="ITC"/>
    <s v="Monroe"/>
    <m/>
    <m/>
    <s v="MI"/>
    <s v="DPP-2022"/>
    <s v="East (ITC)"/>
    <s v="Phase 1"/>
    <s v="NRIS"/>
    <s v="LALLENDORF - MONROE 345.0kV"/>
    <n v="85"/>
    <n v="85"/>
    <x v="0"/>
    <s v="Photovoltaic"/>
    <s v="Not Started"/>
    <m/>
    <n v="85"/>
    <n v="85"/>
    <n v="0"/>
    <n v="0"/>
  </r>
  <r>
    <s v="J2487"/>
    <x v="1"/>
    <d v="2022-09-14T00:00:00"/>
    <d v="2023-03-24T00:00:00"/>
    <m/>
    <d v="2025-11-01T00:00:00"/>
    <s v="METC"/>
    <s v="Bay"/>
    <m/>
    <m/>
    <s v="MI"/>
    <s v="DPP-2022"/>
    <s v="East (ITC)"/>
    <s v="Phase 1"/>
    <s v="NRIS"/>
    <s v="Gallagher-Tittabawassee 345kV Transmission Line"/>
    <n v="200"/>
    <n v="200"/>
    <x v="0"/>
    <s v="Photovoltaic"/>
    <s v="Not Started"/>
    <m/>
    <n v="0"/>
    <n v="0"/>
    <n v="0"/>
    <n v="0"/>
  </r>
  <r>
    <s v="J2488"/>
    <x v="1"/>
    <d v="2022-09-14T00:00:00"/>
    <d v="2023-03-24T00:00:00"/>
    <m/>
    <d v="2025-11-01T00:00:00"/>
    <s v="METC"/>
    <s v="Bay"/>
    <m/>
    <m/>
    <s v="MI"/>
    <s v="DPP-2022"/>
    <s v="East (ITC)"/>
    <s v="Phase 1"/>
    <s v="NRIS"/>
    <s v="Almeda Junction-Shale 138kV"/>
    <n v="150"/>
    <n v="150"/>
    <x v="0"/>
    <s v="Photovoltaic"/>
    <s v="Not Started"/>
    <m/>
    <n v="0"/>
    <n v="0"/>
    <n v="0"/>
    <n v="0"/>
  </r>
  <r>
    <s v="J2489"/>
    <x v="1"/>
    <d v="2022-09-14T00:00:00"/>
    <d v="2023-03-25T00:00:00"/>
    <m/>
    <d v="2026-10-31T00:00:00"/>
    <s v="CLECO POWER LLC"/>
    <s v="Red River"/>
    <m/>
    <m/>
    <s v="LA"/>
    <s v="DPP-2022"/>
    <s v="South"/>
    <s v="Phase 1"/>
    <s v="NRIS"/>
    <s v="Western Kraft-Layfield 230 kV"/>
    <n v="140"/>
    <n v="140"/>
    <x v="2"/>
    <s v="Battery Storage"/>
    <s v="Not Started"/>
    <m/>
    <n v="0"/>
    <n v="0"/>
    <n v="0"/>
    <n v="0"/>
  </r>
  <r>
    <s v="J2490"/>
    <x v="2"/>
    <d v="2022-09-14T00:00:00"/>
    <m/>
    <m/>
    <d v="2025-11-01T00:00:00"/>
    <s v="ITC"/>
    <s v="Tuscola"/>
    <m/>
    <m/>
    <s v="MI"/>
    <s v="DPP-2022"/>
    <s v="East (ITC)"/>
    <s v="Phase 1"/>
    <s v="NRIS"/>
    <s v="Tuscola-Arrowhead 120kV Transmission Line"/>
    <n v="125"/>
    <n v="125"/>
    <x v="0"/>
    <s v="Photovoltaic"/>
    <s v="Not Started"/>
    <m/>
    <n v="125"/>
    <n v="125"/>
    <n v="0"/>
    <n v="0"/>
  </r>
  <r>
    <s v="J2491"/>
    <x v="1"/>
    <d v="2022-09-14T00:00:00"/>
    <d v="2025-08-01T00:00:00"/>
    <m/>
    <d v="2025-11-01T00:00:00"/>
    <s v="METC"/>
    <s v="Midland"/>
    <m/>
    <m/>
    <s v="MI"/>
    <s v="DPP-2022"/>
    <s v="East (ITC)"/>
    <s v="Phase 1"/>
    <s v="NRIS"/>
    <s v="Edenville - Price Rd. Jct 138 kV"/>
    <n v="100"/>
    <n v="100"/>
    <x v="0"/>
    <s v="Photovoltaic"/>
    <s v="Not Started"/>
    <m/>
    <n v="0"/>
    <n v="0"/>
    <n v="0"/>
    <n v="0"/>
  </r>
  <r>
    <s v="J2492"/>
    <x v="1"/>
    <d v="2022-09-15T00:00:00"/>
    <d v="2025-10-07T00:00:00"/>
    <m/>
    <d v="2024-10-31T00:00:00"/>
    <s v="OTTER TAIL POWER COMPANY"/>
    <s v="Wilkin"/>
    <m/>
    <m/>
    <s v="MN"/>
    <s v="DPP-2022"/>
    <s v="West"/>
    <s v="Phase 1"/>
    <s v="NRIS"/>
    <s v="Wahpeton 230kV"/>
    <n v="300"/>
    <n v="300"/>
    <x v="2"/>
    <s v="Battery Storage"/>
    <s v="Not Started"/>
    <m/>
    <n v="0"/>
    <n v="0"/>
    <n v="0"/>
    <n v="0"/>
  </r>
  <r>
    <s v="J2493"/>
    <x v="1"/>
    <d v="2022-09-14T00:00:00"/>
    <d v="2025-08-01T00:00:00"/>
    <m/>
    <d v="2025-11-01T00:00:00"/>
    <s v="METC"/>
    <s v="Arenac"/>
    <m/>
    <m/>
    <s v="MI"/>
    <s v="DPP-2022"/>
    <s v="East (ITC)"/>
    <s v="Phase 1"/>
    <s v="NRIS"/>
    <s v="Gallagher - Tittabawassee 345 kV"/>
    <n v="184"/>
    <n v="184"/>
    <x v="0"/>
    <s v="Photovoltaic"/>
    <s v="Not Started"/>
    <m/>
    <n v="0"/>
    <n v="0"/>
    <n v="0"/>
    <n v="0"/>
  </r>
  <r>
    <s v="J2494"/>
    <x v="1"/>
    <d v="2022-09-14T00:00:00"/>
    <d v="2023-03-24T00:00:00"/>
    <m/>
    <d v="2025-11-01T00:00:00"/>
    <s v="METC"/>
    <s v="Midland"/>
    <m/>
    <m/>
    <s v="MI"/>
    <s v="DPP-2022"/>
    <s v="East (ITC)"/>
    <s v="Phase 1"/>
    <s v="NRIS"/>
    <s v="Clare Jct to Vernon Jct 138 kV"/>
    <n v="178"/>
    <n v="178"/>
    <x v="0"/>
    <s v="Photovoltaic"/>
    <s v="Not Started"/>
    <m/>
    <n v="0"/>
    <n v="0"/>
    <n v="0"/>
    <n v="0"/>
  </r>
  <r>
    <s v="J2495"/>
    <x v="4"/>
    <d v="2022-09-13T00:00:00"/>
    <m/>
    <m/>
    <d v="2026-04-29T00:00:00"/>
    <m/>
    <s v="Benton"/>
    <m/>
    <m/>
    <s v="MN"/>
    <s v="DPP-2022"/>
    <s v="West"/>
    <s v="Phase 1"/>
    <s v="NRIS"/>
    <s v="Benton County 115 kV"/>
    <n v="100"/>
    <n v="100"/>
    <x v="0"/>
    <s v="Photovoltaic"/>
    <s v="Not Started"/>
    <m/>
    <n v="100"/>
    <n v="100"/>
    <n v="0"/>
    <n v="0"/>
  </r>
  <r>
    <s v="J2496"/>
    <x v="2"/>
    <d v="2022-09-13T00:00:00"/>
    <m/>
    <m/>
    <d v="2026-03-07T00:00:00"/>
    <s v="NORTHERN INDIANA PUBLIC SERVICE COMPANY LLC NIPS"/>
    <s v="White"/>
    <m/>
    <m/>
    <s v="IN"/>
    <s v="DPP-2022"/>
    <s v="Central"/>
    <s v="Phase 2"/>
    <s v="NRIS"/>
    <s v="Reynolds 345 kV Substation"/>
    <n v="400"/>
    <n v="400"/>
    <x v="2"/>
    <s v="Battery Storage"/>
    <s v="Not Started"/>
    <m/>
    <n v="400"/>
    <n v="400"/>
    <n v="0"/>
    <n v="0"/>
  </r>
  <r>
    <s v="J2497"/>
    <x v="1"/>
    <d v="2022-09-12T00:00:00"/>
    <d v="2025-10-27T00:00:00"/>
    <m/>
    <d v="2026-03-07T00:00:00"/>
    <s v="AMEREN ILLINOIS"/>
    <s v="Jefferson"/>
    <m/>
    <m/>
    <s v="IL"/>
    <s v="DPP-2022"/>
    <s v="Central"/>
    <s v="Phase 2"/>
    <s v="NRIS"/>
    <s v="West Mt. Vernon"/>
    <n v="300"/>
    <n v="300"/>
    <x v="2"/>
    <s v="Battery Storage"/>
    <s v="Not Started"/>
    <m/>
    <n v="0"/>
    <n v="0"/>
    <n v="0"/>
    <n v="0"/>
  </r>
  <r>
    <s v="J2498"/>
    <x v="1"/>
    <d v="2022-09-12T00:00:00"/>
    <d v="2023-03-24T00:00:00"/>
    <m/>
    <d v="2026-03-07T00:00:00"/>
    <s v="INDIANAPOLIS POWER &amp; LIGHT COMPANY"/>
    <s v="Hamilton"/>
    <m/>
    <m/>
    <s v="IN"/>
    <s v="DPP-2022"/>
    <s v="Central"/>
    <s v="Phase 2"/>
    <s v="NRIS"/>
    <s v="Hortonville-Noblesville Line 345 kV"/>
    <n v="250"/>
    <n v="250"/>
    <x v="2"/>
    <s v="Battery Storage"/>
    <s v="Not Started"/>
    <m/>
    <n v="0"/>
    <n v="0"/>
    <n v="0"/>
    <n v="0"/>
  </r>
  <r>
    <s v="J2499"/>
    <x v="2"/>
    <d v="2022-09-12T00:00:00"/>
    <m/>
    <m/>
    <d v="2026-03-07T00:00:00"/>
    <s v="METC"/>
    <s v="Ottawa"/>
    <m/>
    <m/>
    <s v="MI"/>
    <s v="DPP-2022"/>
    <s v="East (ITC)"/>
    <s v="Phase 1"/>
    <s v="NRIS"/>
    <s v="Blendon 138 kV"/>
    <n v="100"/>
    <n v="100"/>
    <x v="2"/>
    <s v="Battery Storage"/>
    <s v="Not Started"/>
    <m/>
    <n v="100"/>
    <n v="100"/>
    <n v="0"/>
    <n v="0"/>
  </r>
  <r>
    <s v="J2500"/>
    <x v="1"/>
    <d v="2022-09-15T00:00:00"/>
    <d v="2025-07-31T00:00:00"/>
    <m/>
    <d v="2026-10-31T00:00:00"/>
    <s v="CLECO POWER LLC"/>
    <s v="Beauregard"/>
    <m/>
    <m/>
    <s v="LA"/>
    <s v="DPP-2022"/>
    <s v="South"/>
    <s v="Phase 1"/>
    <s v="NRIS"/>
    <s v="Bon Wier to Cooper 138 kV"/>
    <n v="175"/>
    <n v="175"/>
    <x v="2"/>
    <s v="Battery Storage"/>
    <s v="Not Started"/>
    <m/>
    <n v="0"/>
    <n v="0"/>
    <n v="0"/>
    <n v="0"/>
  </r>
  <r>
    <s v="J2501"/>
    <x v="2"/>
    <d v="2022-09-13T00:00:00"/>
    <m/>
    <m/>
    <d v="2024-11-01T00:00:00"/>
    <s v="NORTHERN STATES POWER COMPANY"/>
    <s v="Goodhue"/>
    <m/>
    <m/>
    <s v="MN"/>
    <s v="DPP-2022"/>
    <s v="West"/>
    <s v="Phase 1"/>
    <s v="NRIS"/>
    <s v="NORTH ROCHESTER"/>
    <n v="150"/>
    <n v="150"/>
    <x v="0"/>
    <s v="Photovoltaic"/>
    <s v="Not Started"/>
    <m/>
    <n v="150"/>
    <n v="150"/>
    <n v="0"/>
    <n v="0"/>
  </r>
  <r>
    <s v="J2502"/>
    <x v="2"/>
    <d v="2022-09-13T00:00:00"/>
    <m/>
    <m/>
    <d v="2025-02-27T00:00:00"/>
    <s v="MINNESOTA POWER INC."/>
    <s v="Morton"/>
    <m/>
    <m/>
    <s v="ND"/>
    <s v="DPP-2022"/>
    <s v="West"/>
    <s v="Phase 1"/>
    <s v="ERIS"/>
    <s v="Square Butte 230 kV Substation East"/>
    <n v="150"/>
    <n v="150"/>
    <x v="1"/>
    <s v="Wind Turbine"/>
    <s v="Not Started"/>
    <m/>
    <n v="150"/>
    <n v="0"/>
    <n v="0"/>
    <n v="0"/>
  </r>
  <r>
    <s v="J2503"/>
    <x v="1"/>
    <d v="2022-09-14T00:00:00"/>
    <d v="2023-03-25T00:00:00"/>
    <m/>
    <d v="2026-10-31T00:00:00"/>
    <s v="ENTERGY LOUISIANA, LLC"/>
    <s v="Lincoln"/>
    <m/>
    <m/>
    <s v="LA"/>
    <s v="DPP-2022"/>
    <s v="South"/>
    <s v="Phase 1"/>
    <s v="NRIS"/>
    <s v="Downsville - Ruston East 115 kV"/>
    <n v="100"/>
    <n v="100"/>
    <x v="2"/>
    <s v="Battery Storage"/>
    <s v="Not Started"/>
    <m/>
    <n v="0"/>
    <n v="0"/>
    <n v="0"/>
    <n v="0"/>
  </r>
  <r>
    <s v="J2504"/>
    <x v="1"/>
    <d v="2022-09-15T00:00:00"/>
    <d v="2023-03-25T00:00:00"/>
    <m/>
    <d v="2026-10-31T00:00:00"/>
    <s v="AMEREN ILLINOIS"/>
    <s v="Coles"/>
    <m/>
    <m/>
    <s v="IL"/>
    <s v="DPP-2022"/>
    <s v="Central"/>
    <s v="Phase 2"/>
    <s v="NRIS"/>
    <s v="Mattoon East 138 kV"/>
    <n v="300"/>
    <n v="300"/>
    <x v="2"/>
    <s v="Battery Storage"/>
    <s v="Not Started"/>
    <m/>
    <n v="0"/>
    <n v="0"/>
    <n v="0"/>
    <n v="0"/>
  </r>
  <r>
    <s v="J2505"/>
    <x v="1"/>
    <d v="2022-09-15T00:00:00"/>
    <d v="2025-07-31T00:00:00"/>
    <m/>
    <d v="2026-10-31T00:00:00"/>
    <s v="CLECO POWER LLC"/>
    <s v="Beauregard"/>
    <m/>
    <m/>
    <s v="LA"/>
    <s v="DPP-2022"/>
    <s v="South"/>
    <s v="Phase 1"/>
    <s v="NRIS"/>
    <s v="Bon Wier to Cooper 138 kV"/>
    <n v="250"/>
    <n v="250"/>
    <x v="0"/>
    <s v="Photovoltaic"/>
    <s v="Not Started"/>
    <m/>
    <n v="0"/>
    <n v="0"/>
    <n v="0"/>
    <n v="0"/>
  </r>
  <r>
    <s v="J2506"/>
    <x v="1"/>
    <d v="2022-09-15T00:00:00"/>
    <d v="2025-10-27T00:00:00"/>
    <m/>
    <d v="2026-11-01T00:00:00"/>
    <s v="CITY OF COLUMBIA, MISSOURI (WATER AND LIGHT DEPT.)"/>
    <s v="Boone"/>
    <m/>
    <m/>
    <s v="MO"/>
    <s v="DPP-2022"/>
    <s v="Central"/>
    <s v="Phase 2"/>
    <s v="NRIS"/>
    <s v="5BOLSTAD 161kV Substation"/>
    <n v="100"/>
    <n v="100"/>
    <x v="2"/>
    <s v="Battery Storage"/>
    <s v="Not Started"/>
    <m/>
    <n v="0"/>
    <n v="0"/>
    <n v="0"/>
    <n v="0"/>
  </r>
  <r>
    <s v="J2507"/>
    <x v="1"/>
    <d v="2022-09-14T00:00:00"/>
    <d v="2025-10-27T00:00:00"/>
    <m/>
    <d v="2025-10-31T00:00:00"/>
    <s v="DUKE ENERGY INDIANA, LLC"/>
    <s v="Pike"/>
    <m/>
    <m/>
    <s v="IN"/>
    <s v="DPP-2022"/>
    <s v="Central"/>
    <s v="Phase 2"/>
    <s v="NRIS"/>
    <s v="Gibson Sta to Petersburg (IP&amp;L) 345 kV"/>
    <n v="250"/>
    <n v="250"/>
    <x v="0"/>
    <s v="Photovoltaic"/>
    <s v="Not Started"/>
    <m/>
    <n v="0"/>
    <n v="0"/>
    <n v="0"/>
    <n v="0"/>
  </r>
  <r>
    <s v="J2508"/>
    <x v="1"/>
    <d v="2022-09-14T00:00:00"/>
    <d v="2025-07-31T00:00:00"/>
    <m/>
    <d v="2026-11-01T00:00:00"/>
    <s v="ENTERGY LOUISIANA, LLC"/>
    <s v="Webster"/>
    <m/>
    <m/>
    <s v="LA"/>
    <s v="DPP-2022"/>
    <s v="South"/>
    <s v="Phase 1"/>
    <s v="NRIS"/>
    <s v="El Dorado Ehv - Sarepta 345kV"/>
    <n v="300"/>
    <n v="300"/>
    <x v="0"/>
    <s v="Photovoltaic"/>
    <s v="Not Started"/>
    <m/>
    <n v="0"/>
    <n v="0"/>
    <n v="0"/>
    <n v="0"/>
  </r>
  <r>
    <s v="J2509"/>
    <x v="4"/>
    <d v="2022-09-15T00:00:00"/>
    <m/>
    <m/>
    <d v="2025-10-31T00:00:00"/>
    <s v="DUKE ENERGY INDIANA, LLC CIN"/>
    <s v="Tippecanoe"/>
    <m/>
    <m/>
    <s v="IN"/>
    <s v="DPP-2022"/>
    <s v="Central"/>
    <s v="Phase 2"/>
    <s v="NRIS"/>
    <s v="Westwood 345 kV"/>
    <n v="200"/>
    <n v="200"/>
    <x v="1"/>
    <s v="Wind Turbine"/>
    <s v="Not Started"/>
    <m/>
    <n v="200"/>
    <n v="200"/>
    <n v="0"/>
    <n v="0"/>
  </r>
  <r>
    <s v="J2510"/>
    <x v="1"/>
    <d v="2022-09-15T00:00:00"/>
    <d v="2025-07-31T00:00:00"/>
    <m/>
    <d v="2026-11-01T00:00:00"/>
    <s v="ENTERGY ARKANSAS, LLC"/>
    <s v="Jefferson"/>
    <m/>
    <m/>
    <s v="AR"/>
    <s v="DPP-2022"/>
    <s v="South"/>
    <s v="Phase 1"/>
    <s v="NRIS"/>
    <s v="Stuttgart Rcuskey - Woodward 230kV"/>
    <n v="350"/>
    <n v="350"/>
    <x v="0"/>
    <s v="Photovoltaic"/>
    <s v="Not Started"/>
    <m/>
    <n v="0"/>
    <n v="0"/>
    <n v="0"/>
    <n v="0"/>
  </r>
  <r>
    <s v="J2511"/>
    <x v="1"/>
    <d v="2022-09-14T00:00:00"/>
    <d v="2025-07-31T00:00:00"/>
    <m/>
    <d v="2026-11-01T00:00:00"/>
    <s v="ENTERGY ARKANSAS, LLC"/>
    <s v="Conway"/>
    <m/>
    <m/>
    <s v="AR"/>
    <s v="DPP-2022"/>
    <s v="South"/>
    <s v="Phase 1"/>
    <s v="NRIS"/>
    <s v="Pleasant Hill 500kV Substation"/>
    <n v="85"/>
    <n v="85"/>
    <x v="0"/>
    <s v="Photovoltaic"/>
    <s v="Not Started"/>
    <m/>
    <n v="0"/>
    <n v="0"/>
    <n v="0"/>
    <n v="0"/>
  </r>
  <r>
    <s v="J2512"/>
    <x v="1"/>
    <d v="2022-09-14T00:00:00"/>
    <d v="2025-10-27T00:00:00"/>
    <m/>
    <d v="2025-10-31T00:00:00"/>
    <s v="NORTHERN INDIANA PUBLIC SERVICE COMPANY LLC"/>
    <s v="Kosciusko"/>
    <m/>
    <m/>
    <s v="IN"/>
    <s v="DPP-2022"/>
    <s v="Central"/>
    <s v="Phase 2"/>
    <s v="NRIS"/>
    <s v="Leesburg 345 kV"/>
    <n v="173"/>
    <n v="173"/>
    <x v="0"/>
    <s v="Photovoltaic"/>
    <s v="Not Started"/>
    <m/>
    <n v="0"/>
    <n v="0"/>
    <n v="0"/>
    <n v="0"/>
  </r>
  <r>
    <s v="J2513"/>
    <x v="1"/>
    <d v="2022-09-14T00:00:00"/>
    <d v="2025-10-27T00:00:00"/>
    <m/>
    <d v="2025-10-31T00:00:00"/>
    <s v="DUKE ENERGY INDIANA, LLC"/>
    <s v="Vigo"/>
    <m/>
    <m/>
    <s v="IN"/>
    <s v="DPP-2022"/>
    <s v="Central"/>
    <s v="Phase 2"/>
    <s v="NRIS"/>
    <s v="Wabash River-Whitesville South 230 kV"/>
    <n v="220"/>
    <n v="220"/>
    <x v="0"/>
    <s v="Photovoltaic"/>
    <s v="Not Started"/>
    <m/>
    <n v="0"/>
    <n v="0"/>
    <n v="0"/>
    <n v="0"/>
  </r>
  <r>
    <s v="J2514"/>
    <x v="1"/>
    <d v="2022-09-14T00:00:00"/>
    <d v="2025-10-27T00:00:00"/>
    <m/>
    <d v="2025-10-31T00:00:00"/>
    <s v="DUKE ENERGY INDIANA, LLC"/>
    <s v="Pike"/>
    <m/>
    <m/>
    <s v="IN"/>
    <s v="DPP-2022"/>
    <s v="Central"/>
    <s v="Phase 2"/>
    <s v="NRIS"/>
    <s v="Gibson Sta to Petersburg (IP&amp;L) 345 kV"/>
    <n v="100"/>
    <n v="100"/>
    <x v="2"/>
    <s v="Battery Storage"/>
    <s v="Not Started"/>
    <m/>
    <n v="0"/>
    <n v="0"/>
    <n v="0"/>
    <n v="0"/>
  </r>
  <r>
    <s v="J2515"/>
    <x v="1"/>
    <d v="2022-09-14T00:00:00"/>
    <d v="2025-07-31T00:00:00"/>
    <m/>
    <d v="2026-11-01T00:00:00"/>
    <s v="ENTERGY ARKANSAS, LLC"/>
    <s v="Jefferson"/>
    <m/>
    <m/>
    <s v="AR"/>
    <s v="DPP-2022"/>
    <s v="South"/>
    <s v="Phase 1"/>
    <s v="NRIS"/>
    <s v="White Bluff EHV 500kV"/>
    <n v="300"/>
    <n v="300"/>
    <x v="0"/>
    <s v="Photovoltaic"/>
    <s v="Not Started"/>
    <m/>
    <n v="0"/>
    <n v="0"/>
    <n v="0"/>
    <n v="0"/>
  </r>
  <r>
    <s v="J2516"/>
    <x v="1"/>
    <d v="2022-09-14T00:00:00"/>
    <d v="2025-07-31T00:00:00"/>
    <m/>
    <d v="2026-11-01T00:00:00"/>
    <s v="ENTERGY ARKANSAS, LLC"/>
    <s v="Jefferson"/>
    <m/>
    <m/>
    <s v="AR"/>
    <s v="DPP-2022"/>
    <s v="South"/>
    <s v="Phase 1"/>
    <s v="NRIS"/>
    <s v="White Bluff EHV 500kV"/>
    <n v="300"/>
    <n v="300"/>
    <x v="0"/>
    <s v="Photovoltaic"/>
    <s v="Not Started"/>
    <m/>
    <n v="0"/>
    <n v="0"/>
    <n v="0"/>
    <n v="0"/>
  </r>
  <r>
    <s v="J2517"/>
    <x v="1"/>
    <d v="2022-09-13T00:00:00"/>
    <d v="2023-03-25T00:00:00"/>
    <m/>
    <d v="2026-10-31T00:00:00"/>
    <s v="ENTERGY ARKANSAS, LLC"/>
    <s v="Lee"/>
    <m/>
    <m/>
    <s v="AR"/>
    <s v="DPP-2022"/>
    <s v="South"/>
    <s v="Phase 1"/>
    <s v="NRIS"/>
    <s v="AECC  Aubrey to Brinkley East 230 kV"/>
    <n v="100"/>
    <n v="100"/>
    <x v="2"/>
    <s v="Battery Storage"/>
    <s v="Not Started"/>
    <m/>
    <n v="0"/>
    <n v="0"/>
    <n v="0"/>
    <n v="0"/>
  </r>
  <r>
    <s v="J2518"/>
    <x v="1"/>
    <d v="2022-09-13T00:00:00"/>
    <d v="2025-10-07T00:00:00"/>
    <m/>
    <d v="2024-11-01T00:00:00"/>
    <s v="OTTER TAIL POWER COMPANY"/>
    <s v="LaMoure"/>
    <m/>
    <m/>
    <s v="ND"/>
    <s v="DPP-2022"/>
    <s v="West"/>
    <s v="Phase 1"/>
    <s v="NRIS"/>
    <s v="Jamestown 345 kV"/>
    <n v="200"/>
    <n v="200"/>
    <x v="2"/>
    <s v="Battery Storage"/>
    <s v="Not Started"/>
    <m/>
    <n v="0"/>
    <n v="0"/>
    <n v="0"/>
    <n v="0"/>
  </r>
  <r>
    <s v="J2519"/>
    <x v="2"/>
    <d v="2022-09-13T00:00:00"/>
    <m/>
    <m/>
    <d v="2026-10-31T00:00:00"/>
    <s v="ENTERGY MISSISSIPPI, LLC. EMTO"/>
    <s v="Richland"/>
    <m/>
    <m/>
    <s v="LA"/>
    <s v="DPP-2022"/>
    <s v="South"/>
    <s v="Phase 1"/>
    <s v="ERIS"/>
    <s v="Smalling"/>
    <n v="600"/>
    <n v="600"/>
    <x v="0"/>
    <s v="Photovoltaic"/>
    <s v="Not Started"/>
    <m/>
    <n v="600"/>
    <n v="0"/>
    <n v="0"/>
    <n v="0"/>
  </r>
  <r>
    <s v="J2520"/>
    <x v="2"/>
    <d v="2022-09-13T00:00:00"/>
    <m/>
    <m/>
    <d v="2025-10-31T00:00:00"/>
    <s v="AMERICAN TRANSMISSION COMPANY"/>
    <s v="Adams"/>
    <m/>
    <m/>
    <s v="WI"/>
    <s v="DPP-2022"/>
    <s v="East (ATC)"/>
    <s v="Phase 1"/>
    <s v="NRIS"/>
    <s v="Saratoga-ACEC Badger West 138kV"/>
    <n v="200"/>
    <n v="200"/>
    <x v="0"/>
    <s v="Photovoltaic"/>
    <s v="Not Started"/>
    <m/>
    <n v="200"/>
    <n v="200"/>
    <n v="0"/>
    <n v="0"/>
  </r>
  <r>
    <s v="J2521"/>
    <x v="1"/>
    <d v="2022-09-13T00:00:00"/>
    <d v="2023-03-25T00:00:00"/>
    <m/>
    <d v="2026-10-31T00:00:00"/>
    <s v="ENTERGY ARKANSAS, LLC"/>
    <s v="Poinsett"/>
    <m/>
    <m/>
    <s v="AR"/>
    <s v="DPP-2022"/>
    <s v="South"/>
    <s v="Phase 1"/>
    <s v="NRIS"/>
    <s v="Marked Tree 161 kV"/>
    <n v="50"/>
    <n v="50"/>
    <x v="2"/>
    <s v="Battery Storage"/>
    <s v="Not Started"/>
    <m/>
    <n v="0"/>
    <n v="0"/>
    <n v="0"/>
    <n v="0"/>
  </r>
  <r>
    <s v="J2522"/>
    <x v="1"/>
    <d v="2022-09-13T00:00:00"/>
    <d v="2023-03-25T00:00:00"/>
    <m/>
    <d v="2026-10-31T00:00:00"/>
    <s v="ENTERGY ARKANSAS, LLC"/>
    <s v="Mississippi"/>
    <m/>
    <m/>
    <s v="AR"/>
    <s v="DPP-2022"/>
    <s v="South"/>
    <s v="Phase 1"/>
    <s v="NRIS"/>
    <s v="AECC Manila - Dell EHV 161 kV (J2089 POI)"/>
    <n v="100"/>
    <n v="100"/>
    <x v="2"/>
    <s v="Battery Storage"/>
    <s v="Not Started"/>
    <m/>
    <n v="0"/>
    <n v="0"/>
    <n v="0"/>
    <n v="0"/>
  </r>
  <r>
    <s v="J2523"/>
    <x v="2"/>
    <d v="2022-09-14T00:00:00"/>
    <m/>
    <m/>
    <d v="2026-11-01T00:00:00"/>
    <s v="ENTERGY ARKANSAS, LLC EATO"/>
    <s v="Independence"/>
    <m/>
    <m/>
    <s v="AR"/>
    <s v="DPP-2022"/>
    <s v="South"/>
    <s v="Phase 1"/>
    <s v="ERIS"/>
    <s v="INDEPENDENCE-ISES"/>
    <n v="250"/>
    <n v="250"/>
    <x v="0"/>
    <s v="Photovoltaic"/>
    <s v="Not Started"/>
    <m/>
    <n v="250"/>
    <n v="0"/>
    <n v="0"/>
    <n v="0"/>
  </r>
  <r>
    <s v="J2524"/>
    <x v="4"/>
    <d v="2022-09-15T00:00:00"/>
    <m/>
    <m/>
    <d v="2026-11-01T00:00:00"/>
    <m/>
    <s v="Stoddard"/>
    <m/>
    <m/>
    <s v="MO"/>
    <s v="DPP-2022"/>
    <s v="Central"/>
    <s v="Phase 2"/>
    <s v="NRIS"/>
    <s v="5STODDARD - 5MORLEY (AECI) 161kV"/>
    <n v="200"/>
    <n v="200"/>
    <x v="0"/>
    <s v="Photovoltaic"/>
    <s v="Not Started"/>
    <m/>
    <n v="200"/>
    <n v="200"/>
    <n v="0"/>
    <n v="0"/>
  </r>
  <r>
    <s v="J2525"/>
    <x v="1"/>
    <d v="2022-09-15T00:00:00"/>
    <d v="2023-03-25T00:00:00"/>
    <m/>
    <d v="2026-11-01T00:00:00"/>
    <s v="ENTERGY LOUISIANA, LLC"/>
    <s v="Morehouse"/>
    <m/>
    <m/>
    <s v="LA"/>
    <s v="DPP-2022"/>
    <s v="South"/>
    <s v="Phase 1"/>
    <s v="NRIS"/>
    <s v="Dunn - Oak Ridge 115 kV"/>
    <n v="175"/>
    <n v="175"/>
    <x v="5"/>
    <s v="Photovoltaic"/>
    <s v="Not Started"/>
    <m/>
    <n v="0"/>
    <n v="0"/>
    <n v="0"/>
    <n v="0"/>
  </r>
  <r>
    <s v="J2526"/>
    <x v="4"/>
    <d v="2022-09-14T00:00:00"/>
    <m/>
    <m/>
    <d v="2026-10-31T00:00:00"/>
    <s v="CLECO POWER LLC CLEC"/>
    <s v="Red River"/>
    <m/>
    <m/>
    <s v="LA"/>
    <s v="DPP-2022"/>
    <s v="South"/>
    <s v="Phase 1"/>
    <s v="ERIS"/>
    <s v="Layfield - Western Kraft 230.0kV"/>
    <n v="200"/>
    <n v="200"/>
    <x v="0"/>
    <s v="Photovoltaic"/>
    <s v="Not Started"/>
    <m/>
    <n v="200"/>
    <n v="0"/>
    <n v="0"/>
    <n v="0"/>
  </r>
  <r>
    <s v="J2527"/>
    <x v="1"/>
    <d v="2022-09-13T00:00:00"/>
    <d v="2023-03-25T00:00:00"/>
    <m/>
    <d v="2025-10-31T00:00:00"/>
    <s v="CLECO POWER LLC"/>
    <s v="Allen"/>
    <m/>
    <m/>
    <s v="LA"/>
    <s v="DPP-2022"/>
    <s v="South"/>
    <s v="Phase 1"/>
    <s v="NRIS"/>
    <s v="Caney 138 kV"/>
    <n v="140"/>
    <n v="140"/>
    <x v="2"/>
    <s v="Battery Storage"/>
    <s v="Not Started"/>
    <m/>
    <n v="0"/>
    <n v="0"/>
    <n v="0"/>
    <n v="0"/>
  </r>
  <r>
    <s v="J2528"/>
    <x v="1"/>
    <d v="2022-09-14T00:00:00"/>
    <d v="2023-03-25T00:00:00"/>
    <m/>
    <d v="2026-10-31T00:00:00"/>
    <s v="ENTERGY ARKANSAS, LLC"/>
    <s v="Crittenden"/>
    <m/>
    <m/>
    <s v="AR"/>
    <s v="DPP-2022"/>
    <s v="South"/>
    <s v="Phase 1"/>
    <s v="NRIS"/>
    <s v="Parkin to Kuhn Road 161 kV"/>
    <n v="100"/>
    <n v="100"/>
    <x v="2"/>
    <s v="Battery Storage"/>
    <s v="Not Started"/>
    <m/>
    <n v="0"/>
    <n v="0"/>
    <n v="0"/>
    <n v="0"/>
  </r>
  <r>
    <s v="J2529"/>
    <x v="1"/>
    <d v="2022-09-14T00:00:00"/>
    <d v="2025-07-31T00:00:00"/>
    <m/>
    <d v="2026-11-01T00:00:00"/>
    <s v="CLECO POWER LLC"/>
    <s v="Rapides"/>
    <m/>
    <m/>
    <s v="LA"/>
    <s v="DPP-2022"/>
    <s v="South"/>
    <s v="Phase 1"/>
    <s v="NRIS"/>
    <s v="Cocodrie - Hineston 230kV line"/>
    <n v="200"/>
    <n v="200"/>
    <x v="0"/>
    <s v="Photovoltaic"/>
    <s v="Not Started"/>
    <m/>
    <n v="0"/>
    <n v="0"/>
    <n v="0"/>
    <n v="0"/>
  </r>
  <r>
    <s v="J2530"/>
    <x v="1"/>
    <d v="2022-09-14T00:00:00"/>
    <d v="2025-10-27T00:00:00"/>
    <m/>
    <d v="2026-10-31T00:00:00"/>
    <s v="DUKE ENERGY INDIANA, LLC"/>
    <s v="Clinton"/>
    <m/>
    <m/>
    <s v="IN"/>
    <s v="DPP-2022"/>
    <s v="Central"/>
    <s v="Phase 2"/>
    <s v="NRIS"/>
    <s v="Thorntown to Kokomo HP 230 kV"/>
    <n v="170"/>
    <n v="170"/>
    <x v="2"/>
    <s v="Battery Storage"/>
    <s v="Not Started"/>
    <m/>
    <n v="0"/>
    <n v="0"/>
    <n v="0"/>
    <n v="0"/>
  </r>
  <r>
    <s v="J2531"/>
    <x v="1"/>
    <d v="2022-09-14T00:00:00"/>
    <d v="2023-03-25T00:00:00"/>
    <m/>
    <d v="2026-10-31T00:00:00"/>
    <s v="ENTERGY LOUISIANA, LLC"/>
    <s v="Union"/>
    <m/>
    <m/>
    <s v="LA"/>
    <s v="DPP-2022"/>
    <s v="South"/>
    <s v="Phase 1"/>
    <s v="NRIS"/>
    <s v="Bernice - Vienna 115 kV"/>
    <n v="140"/>
    <n v="140"/>
    <x v="2"/>
    <s v="Battery Storage"/>
    <s v="Not Started"/>
    <m/>
    <n v="0"/>
    <n v="0"/>
    <n v="0"/>
    <n v="0"/>
  </r>
  <r>
    <s v="J2532"/>
    <x v="4"/>
    <d v="2022-09-15T00:00:00"/>
    <m/>
    <m/>
    <d v="2026-11-01T00:00:00"/>
    <m/>
    <s v="Sangamon"/>
    <m/>
    <m/>
    <s v="IL"/>
    <s v="DPP-2022"/>
    <s v="Central"/>
    <s v="Phase 2"/>
    <s v="ERIS"/>
    <s v="Latham"/>
    <n v="200"/>
    <n v="200"/>
    <x v="2"/>
    <s v="Battery Storage"/>
    <s v="Not Started"/>
    <m/>
    <n v="200"/>
    <n v="0"/>
    <n v="0"/>
    <n v="0"/>
  </r>
  <r>
    <s v="J2533"/>
    <x v="1"/>
    <d v="2022-09-14T00:00:00"/>
    <d v="2025-07-31T00:00:00"/>
    <m/>
    <d v="2026-10-31T00:00:00"/>
    <s v="ENTERGY LOUISIANA, LLC"/>
    <s v="Union"/>
    <m/>
    <m/>
    <s v="LA"/>
    <s v="DPP-2022"/>
    <s v="South"/>
    <s v="Phase 1"/>
    <s v="NRIS"/>
    <s v="Bernice - Vienna 115 kV"/>
    <n v="100"/>
    <n v="100"/>
    <x v="0"/>
    <s v="Photovoltaic"/>
    <s v="Not Started"/>
    <m/>
    <n v="0"/>
    <n v="0"/>
    <n v="0"/>
    <n v="0"/>
  </r>
  <r>
    <s v="J2534"/>
    <x v="1"/>
    <d v="2022-09-15T00:00:00"/>
    <d v="2025-08-01T00:00:00"/>
    <m/>
    <d v="2025-10-31T00:00:00"/>
    <s v="METC"/>
    <s v="Mason"/>
    <m/>
    <m/>
    <s v="MI"/>
    <s v="DPP-2022"/>
    <s v="East (ITC)"/>
    <s v="Phase 1"/>
    <s v="NRIS"/>
    <s v="Pere Marquette 138 KV"/>
    <n v="100"/>
    <n v="100"/>
    <x v="0"/>
    <s v="Photovoltaic"/>
    <s v="Not Started"/>
    <m/>
    <n v="0"/>
    <n v="0"/>
    <n v="0"/>
    <n v="0"/>
  </r>
  <r>
    <s v="J2535"/>
    <x v="1"/>
    <d v="2022-09-15T00:00:00"/>
    <d v="2025-07-31T00:00:00"/>
    <m/>
    <d v="2026-10-31T00:00:00"/>
    <s v="CLECO POWER LLC"/>
    <s v="Vermilion"/>
    <m/>
    <m/>
    <s v="LA"/>
    <s v="DPP-2022"/>
    <s v="South"/>
    <s v="Phase 1"/>
    <s v="NRIS"/>
    <s v="Cooper - Leesville 138 kV"/>
    <n v="210"/>
    <n v="210"/>
    <x v="2"/>
    <s v="Battery Storage"/>
    <s v="Not Started"/>
    <m/>
    <n v="0"/>
    <n v="0"/>
    <n v="0"/>
    <n v="0"/>
  </r>
  <r>
    <s v="J2536"/>
    <x v="1"/>
    <d v="2022-09-15T00:00:00"/>
    <d v="2025-10-27T00:00:00"/>
    <m/>
    <d v="2026-10-31T00:00:00"/>
    <s v="AMEREN ILLINOIS"/>
    <s v="LaSalle"/>
    <m/>
    <m/>
    <s v="IL"/>
    <s v="DPP-2022"/>
    <s v="Central"/>
    <s v="Phase 2"/>
    <s v="NRIS"/>
    <s v="Fox River - Ottawa 138kV"/>
    <n v="200"/>
    <n v="200"/>
    <x v="2"/>
    <s v="Battery Storage"/>
    <s v="Not Started"/>
    <m/>
    <n v="0"/>
    <n v="0"/>
    <n v="0"/>
    <n v="0"/>
  </r>
  <r>
    <s v="J2537"/>
    <x v="1"/>
    <d v="2022-09-15T00:00:00"/>
    <d v="2025-07-30T00:00:00"/>
    <m/>
    <d v="2024-12-01T00:00:00"/>
    <s v="AMERICAN TRANSMISSION COMPANY"/>
    <s v="Shawano"/>
    <m/>
    <m/>
    <s v="WI"/>
    <s v="DPP-2022"/>
    <s v="East (ATC)"/>
    <s v="Phase 1"/>
    <s v="NRIS"/>
    <s v="Highway 22 345 kV Substation"/>
    <n v="100"/>
    <n v="100"/>
    <x v="2"/>
    <s v="Battery Storage"/>
    <s v="Not Started"/>
    <m/>
    <n v="0"/>
    <n v="0"/>
    <n v="0"/>
    <n v="0"/>
  </r>
  <r>
    <s v="J2538"/>
    <x v="2"/>
    <d v="2025-10-22T00:00:00"/>
    <m/>
    <m/>
    <d v="2026-03-01T00:00:00"/>
    <s v="DUKE ENERGY INDIANA, LLC CIN"/>
    <s v="Clark"/>
    <m/>
    <m/>
    <s v="IN"/>
    <s v="DPP-2022"/>
    <s v="Central"/>
    <s v="Phase 2"/>
    <s v="NRIS"/>
    <s v="Speed  - Trimble (LGEE) 345.0kV"/>
    <n v="200"/>
    <n v="200"/>
    <x v="0"/>
    <s v="Photovoltaic"/>
    <s v="Not Started"/>
    <m/>
    <n v="200"/>
    <n v="200"/>
    <n v="0"/>
    <n v="0"/>
  </r>
  <r>
    <s v="J2539"/>
    <x v="1"/>
    <d v="2022-09-15T00:00:00"/>
    <d v="2025-10-27T00:00:00"/>
    <m/>
    <d v="2026-03-01T00:00:00"/>
    <s v="DUKE ENERGY INDIANA, LLC"/>
    <s v="Clark"/>
    <m/>
    <m/>
    <s v="IN"/>
    <s v="DPP-2022"/>
    <s v="Central"/>
    <s v="Phase 2"/>
    <s v="NRIS"/>
    <s v="Trimble (LGEE) - Speed 345 kV"/>
    <n v="150"/>
    <n v="150"/>
    <x v="0"/>
    <s v="Photovoltaic"/>
    <s v="Not Started"/>
    <m/>
    <n v="0"/>
    <n v="0"/>
    <n v="0"/>
    <n v="0"/>
  </r>
  <r>
    <s v="J2540"/>
    <x v="2"/>
    <d v="2025-10-22T00:00:00"/>
    <m/>
    <m/>
    <d v="2026-03-01T00:00:00"/>
    <s v="BIG RIVERS ELECTRIC CORPORATION BREC"/>
    <s v="Graves"/>
    <m/>
    <m/>
    <s v="KY"/>
    <s v="DPP-2022"/>
    <s v="Central"/>
    <s v="Phase 2"/>
    <s v="NRIS"/>
    <s v="Bryan Road"/>
    <n v="150"/>
    <n v="150"/>
    <x v="0"/>
    <s v="Photovoltaic"/>
    <s v="Not Started"/>
    <m/>
    <n v="150"/>
    <n v="150"/>
    <n v="0"/>
    <n v="0"/>
  </r>
  <r>
    <s v="J2541"/>
    <x v="2"/>
    <d v="2025-10-22T00:00:00"/>
    <m/>
    <m/>
    <d v="2026-03-01T00:00:00"/>
    <s v="BIG RIVERS ELECTRIC CORPORATION BREC"/>
    <s v="Graves"/>
    <m/>
    <m/>
    <s v="KY"/>
    <s v="DPP-2022"/>
    <s v="Central"/>
    <s v="Phase 2"/>
    <s v="NRIS"/>
    <s v="Bryan Road"/>
    <n v="50"/>
    <n v="50"/>
    <x v="0"/>
    <s v="Photovoltaic"/>
    <s v="Not Started"/>
    <m/>
    <n v="50"/>
    <n v="50"/>
    <n v="0"/>
    <n v="0"/>
  </r>
  <r>
    <s v="J2542"/>
    <x v="1"/>
    <d v="2022-09-15T00:00:00"/>
    <d v="2023-03-24T00:00:00"/>
    <m/>
    <d v="2026-03-01T00:00:00"/>
    <s v="DUKE ENERGY INDIANA, LLC"/>
    <s v="Clark"/>
    <m/>
    <m/>
    <s v="IN"/>
    <s v="DPP-2022"/>
    <s v="Central"/>
    <s v="Phase 2"/>
    <s v="NRIS"/>
    <s v="Vesta Rd 138kV"/>
    <n v="100"/>
    <n v="100"/>
    <x v="0"/>
    <s v="Photovoltaic"/>
    <s v="Not Started"/>
    <m/>
    <n v="0"/>
    <n v="0"/>
    <n v="0"/>
    <n v="0"/>
  </r>
  <r>
    <s v="J2543"/>
    <x v="1"/>
    <d v="2022-09-15T00:00:00"/>
    <d v="2025-07-31T00:00:00"/>
    <m/>
    <d v="2026-10-31T00:00:00"/>
    <s v="CLECO POWER LLC"/>
    <s v="Beauregard"/>
    <m/>
    <m/>
    <s v="LA"/>
    <s v="DPP-2022"/>
    <s v="South"/>
    <s v="Phase 1"/>
    <s v="NRIS"/>
    <s v="West Bay - Centennial 138 kV"/>
    <n v="175"/>
    <n v="175"/>
    <x v="2"/>
    <s v="Battery Storage"/>
    <s v="Not Started"/>
    <m/>
    <n v="0"/>
    <n v="0"/>
    <n v="0"/>
    <n v="0"/>
  </r>
  <r>
    <s v="J2544"/>
    <x v="1"/>
    <d v="2022-09-15T00:00:00"/>
    <d v="2025-07-30T00:00:00"/>
    <m/>
    <d v="2024-12-01T00:00:00"/>
    <s v="AMERICAN TRANSMISSION COMPANY"/>
    <s v="Shawano"/>
    <m/>
    <m/>
    <s v="WI"/>
    <s v="DPP-2022"/>
    <s v="East (ATC)"/>
    <s v="Phase 1"/>
    <s v="NRIS"/>
    <s v="Highway 22 345 kV Substation"/>
    <n v="95"/>
    <n v="95"/>
    <x v="0"/>
    <s v="Photovoltaic"/>
    <s v="Not Started"/>
    <m/>
    <n v="0"/>
    <n v="0"/>
    <n v="0"/>
    <n v="0"/>
  </r>
  <r>
    <s v="J2545"/>
    <x v="4"/>
    <d v="2022-09-15T00:00:00"/>
    <m/>
    <m/>
    <d v="2026-11-01T00:00:00"/>
    <s v="ITC MIDWEST"/>
    <s v="Buchanan"/>
    <m/>
    <m/>
    <s v="IA"/>
    <s v="DPP-2022"/>
    <s v="West"/>
    <s v="Phase 1"/>
    <s v="NRIS"/>
    <s v="Duane Arnold"/>
    <n v="200"/>
    <n v="200"/>
    <x v="2"/>
    <s v="Battery Storage"/>
    <s v="Not Started"/>
    <m/>
    <n v="200"/>
    <n v="200"/>
    <n v="0"/>
    <n v="0"/>
  </r>
  <r>
    <s v="J2546"/>
    <x v="1"/>
    <d v="2022-09-14T00:00:00"/>
    <d v="2025-10-27T00:00:00"/>
    <m/>
    <d v="2027-10-01T00:00:00"/>
    <s v="OTTER TAIL POWER COMPANY"/>
    <s v="Deuel"/>
    <m/>
    <m/>
    <s v="SD"/>
    <s v="DPP-2022"/>
    <s v="West"/>
    <s v="Phase 1"/>
    <s v="NRIS"/>
    <s v="Astoria 345kV"/>
    <n v="185"/>
    <n v="185"/>
    <x v="1"/>
    <s v="Wind Turbine"/>
    <s v="Not Started"/>
    <m/>
    <n v="0"/>
    <n v="0"/>
    <n v="0"/>
    <n v="0"/>
  </r>
  <r>
    <s v="J2547"/>
    <x v="1"/>
    <d v="2022-09-15T00:00:00"/>
    <d v="2025-10-27T00:00:00"/>
    <m/>
    <d v="2027-07-18T00:00:00"/>
    <s v="BIG RIVERS ELECTRIC CORPORATION"/>
    <s v="McCracken"/>
    <m/>
    <m/>
    <s v="KY"/>
    <s v="DPP-2022"/>
    <s v="Central"/>
    <s v="Phase 2"/>
    <s v="NRIS"/>
    <s v="Bryan Road - McCracken County 161.0kV"/>
    <n v="150"/>
    <n v="150"/>
    <x v="0"/>
    <s v="Photovoltaic"/>
    <s v="Not Started"/>
    <m/>
    <n v="0"/>
    <n v="0"/>
    <n v="0"/>
    <n v="0"/>
  </r>
  <r>
    <s v="J2548"/>
    <x v="1"/>
    <d v="2022-09-15T00:00:00"/>
    <d v="2025-10-27T00:00:00"/>
    <m/>
    <d v="2027-07-18T00:00:00"/>
    <s v="BIG RIVERS ELECTRIC CORPORATION"/>
    <s v="McCracken"/>
    <m/>
    <m/>
    <s v="KY"/>
    <s v="DPP-2022"/>
    <s v="Central"/>
    <s v="Phase 2"/>
    <s v="NRIS"/>
    <s v="Bryan Road - McCracken County 161.0kV"/>
    <n v="75"/>
    <n v="75"/>
    <x v="2"/>
    <s v="Battery Storage"/>
    <s v="Not Started"/>
    <m/>
    <n v="0"/>
    <n v="0"/>
    <n v="0"/>
    <n v="0"/>
  </r>
  <r>
    <s v="J2549"/>
    <x v="1"/>
    <d v="2022-09-14T00:00:00"/>
    <d v="2023-03-24T00:00:00"/>
    <m/>
    <d v="2027-07-18T00:00:00"/>
    <s v="AMEREN MISSOURI"/>
    <s v="Clark"/>
    <m/>
    <m/>
    <s v="MO"/>
    <s v="DPP-2022"/>
    <s v="Central"/>
    <s v="Phase 2"/>
    <s v="NRIS"/>
    <s v="Sub T to Maywood 345kV line"/>
    <n v="75"/>
    <n v="75"/>
    <x v="2"/>
    <s v="Battery Storage"/>
    <s v="Not Started"/>
    <m/>
    <n v="0"/>
    <n v="0"/>
    <n v="0"/>
    <n v="0"/>
  </r>
  <r>
    <s v="J2550"/>
    <x v="2"/>
    <d v="2022-09-14T00:00:00"/>
    <m/>
    <m/>
    <d v="2030-07-18T00:00:00"/>
    <s v="NORTHERN STATES POWER COMPANY"/>
    <s v="Yellow Medicine"/>
    <m/>
    <m/>
    <s v="MN"/>
    <s v="DPP-2022"/>
    <s v="West"/>
    <s v="Phase 1"/>
    <s v="NRIS"/>
    <s v="HAZEL CREEK"/>
    <n v="75"/>
    <n v="75"/>
    <x v="2"/>
    <s v="Battery Storage"/>
    <s v="Not Started"/>
    <m/>
    <n v="75"/>
    <n v="75"/>
    <n v="0"/>
    <n v="0"/>
  </r>
  <r>
    <s v="J2551"/>
    <x v="2"/>
    <d v="2022-09-14T00:00:00"/>
    <m/>
    <m/>
    <d v="2026-06-18T00:00:00"/>
    <s v="AMEREN ILLINOIS"/>
    <s v="Putnam"/>
    <m/>
    <m/>
    <s v="IL"/>
    <s v="DPP-2022"/>
    <s v="Central"/>
    <s v="Phase 2"/>
    <s v="NRIS"/>
    <s v="Putnam"/>
    <n v="110"/>
    <n v="110"/>
    <x v="2"/>
    <s v="Battery Storage"/>
    <s v="Not Started"/>
    <m/>
    <n v="110"/>
    <n v="110"/>
    <n v="0"/>
    <n v="0"/>
  </r>
  <r>
    <s v="J2552"/>
    <x v="2"/>
    <d v="2022-09-14T00:00:00"/>
    <m/>
    <m/>
    <d v="2026-06-18T00:00:00"/>
    <s v="MIDAMERICAN ENERGY CO. MEC"/>
    <s v="Rock Island"/>
    <m/>
    <m/>
    <s v="IL"/>
    <s v="DPP-2022"/>
    <s v="West"/>
    <s v="Phase 1"/>
    <s v="NRIS"/>
    <s v="SUB 39 - CORDOVA 345.0kV"/>
    <n v="80"/>
    <n v="80"/>
    <x v="2"/>
    <s v="Battery Storage"/>
    <s v="Not Started"/>
    <m/>
    <n v="80"/>
    <n v="80"/>
    <n v="0"/>
    <n v="0"/>
  </r>
  <r>
    <s v="J2553"/>
    <x v="2"/>
    <d v="2022-09-14T00:00:00"/>
    <m/>
    <m/>
    <d v="2026-09-01T00:00:00"/>
    <s v="ITC MIDWEST"/>
    <s v="Cerro Gordo"/>
    <m/>
    <m/>
    <s v="IA"/>
    <s v="DPP-2022"/>
    <s v="West"/>
    <s v="Phase 1"/>
    <s v="NRIS"/>
    <s v="Killdeer"/>
    <n v="210"/>
    <n v="210"/>
    <x v="0"/>
    <s v="Photovoltaic"/>
    <s v="Not Started"/>
    <m/>
    <n v="210"/>
    <n v="210"/>
    <n v="0"/>
    <n v="0"/>
  </r>
  <r>
    <s v="J2554"/>
    <x v="2"/>
    <d v="2022-09-14T00:00:00"/>
    <m/>
    <m/>
    <d v="2026-06-18T00:00:00"/>
    <m/>
    <s v="Putnam"/>
    <m/>
    <m/>
    <s v="IL"/>
    <s v="DPP-2022"/>
    <s v="Central"/>
    <s v="Phase 2"/>
    <s v="NRIS"/>
    <s v="Putnam"/>
    <n v="220"/>
    <n v="220"/>
    <x v="0"/>
    <s v="Photovoltaic"/>
    <s v="Not Started"/>
    <m/>
    <n v="220"/>
    <n v="220"/>
    <n v="0"/>
    <n v="0"/>
  </r>
  <r>
    <s v="J2555"/>
    <x v="2"/>
    <d v="2023-08-28T00:00:00"/>
    <m/>
    <m/>
    <d v="2026-09-01T00:00:00"/>
    <m/>
    <s v="Ingham"/>
    <m/>
    <m/>
    <s v="MI"/>
    <s v="DPP-2022"/>
    <s v="East (ITC)"/>
    <s v="Phase 1"/>
    <s v="NRIS"/>
    <s v="DELHI to TOMPKINS 138kV"/>
    <n v="100"/>
    <n v="100"/>
    <x v="2"/>
    <s v="Battery Storage"/>
    <s v="Not Started"/>
    <m/>
    <n v="100"/>
    <n v="100"/>
    <n v="0"/>
    <n v="0"/>
  </r>
  <r>
    <s v="J2556"/>
    <x v="2"/>
    <d v="2022-09-14T00:00:00"/>
    <m/>
    <m/>
    <d v="2026-06-18T00:00:00"/>
    <s v="MIDAMERICAN ENERGY CO. MEC"/>
    <s v="Whiteside"/>
    <m/>
    <m/>
    <s v="IL"/>
    <s v="DPP-2022"/>
    <s v="West"/>
    <s v="Phase 1"/>
    <s v="NRIS"/>
    <s v="SUB 39 - CORDOVA 345.0kV"/>
    <n v="300"/>
    <n v="300"/>
    <x v="0"/>
    <s v="Photovoltaic"/>
    <s v="Not Started"/>
    <m/>
    <n v="300"/>
    <n v="300"/>
    <n v="0"/>
    <n v="0"/>
  </r>
  <r>
    <s v="J2557"/>
    <x v="1"/>
    <d v="2022-09-14T00:00:00"/>
    <d v="2025-07-30T00:00:00"/>
    <m/>
    <d v="2029-07-18T00:00:00"/>
    <s v="AMERICAN TRANSMISSION COMPANY"/>
    <s v="Wood"/>
    <m/>
    <m/>
    <s v="WI"/>
    <s v="DPP-2022"/>
    <s v="East (ATC)"/>
    <s v="Phase 1"/>
    <s v="NRIS"/>
    <s v="Arpin"/>
    <n v="100"/>
    <n v="100"/>
    <x v="2"/>
    <s v="Battery Storage"/>
    <s v="Not Started"/>
    <m/>
    <n v="0"/>
    <n v="0"/>
    <n v="0"/>
    <n v="0"/>
  </r>
  <r>
    <s v="J2558"/>
    <x v="1"/>
    <d v="2022-09-14T00:00:00"/>
    <d v="2023-03-24T00:00:00"/>
    <m/>
    <d v="2027-07-18T00:00:00"/>
    <s v="ENTERGY MISSISSIPPI, LLC."/>
    <s v="Sunflower"/>
    <m/>
    <m/>
    <s v="MS"/>
    <s v="DPP-2022"/>
    <s v="South"/>
    <s v="Phase 1"/>
    <s v="NRIS"/>
    <s v="Delta Ms - Ruleville 115kV Line"/>
    <n v="150"/>
    <n v="150"/>
    <x v="0"/>
    <s v="Photovoltaic"/>
    <s v="Not Started"/>
    <m/>
    <n v="0"/>
    <n v="0"/>
    <n v="0"/>
    <n v="0"/>
  </r>
  <r>
    <s v="J2559"/>
    <x v="2"/>
    <d v="2022-09-14T00:00:00"/>
    <m/>
    <m/>
    <d v="2029-07-18T00:00:00"/>
    <m/>
    <s v="Wood"/>
    <m/>
    <m/>
    <s v="WI"/>
    <s v="DPP-2022"/>
    <s v="East (ATC)"/>
    <s v="Phase 1"/>
    <s v="ERIS"/>
    <s v="Arpin"/>
    <n v="200"/>
    <n v="200"/>
    <x v="0"/>
    <s v="Photovoltaic"/>
    <s v="Not Started"/>
    <m/>
    <n v="200"/>
    <n v="0"/>
    <n v="0"/>
    <n v="0"/>
  </r>
  <r>
    <s v="J2560"/>
    <x v="1"/>
    <d v="2022-09-14T00:00:00"/>
    <d v="2025-07-31T00:00:00"/>
    <m/>
    <d v="2027-06-15T00:00:00"/>
    <s v="ENTERGY MISSISSIPPI, LLC."/>
    <s v="Sunflower"/>
    <m/>
    <m/>
    <s v="MS"/>
    <s v="DPP-2022"/>
    <s v="South"/>
    <s v="Phase 1"/>
    <s v="NRIS"/>
    <s v="CLEVELAND/SOUTH - STEINER (CE) 115.0kV"/>
    <n v="130"/>
    <n v="130"/>
    <x v="0"/>
    <s v="Photovoltaic"/>
    <s v="Not Started"/>
    <m/>
    <n v="0"/>
    <n v="0"/>
    <n v="0"/>
    <n v="0"/>
  </r>
  <r>
    <s v="J2561"/>
    <x v="2"/>
    <d v="2022-09-15T00:00:00"/>
    <m/>
    <m/>
    <d v="2030-07-18T00:00:00"/>
    <s v="NORTHERN STATES POWER COMPANY"/>
    <s v="Yellow Medicine"/>
    <m/>
    <m/>
    <s v="MN"/>
    <s v="DPP-2022"/>
    <s v="West"/>
    <s v="Phase 1"/>
    <s v="NRIS"/>
    <s v="HAZEL CREEK"/>
    <n v="153"/>
    <n v="153"/>
    <x v="0"/>
    <s v="Photovoltaic"/>
    <s v="Not Started"/>
    <m/>
    <n v="153"/>
    <n v="153"/>
    <n v="0"/>
    <n v="0"/>
  </r>
  <r>
    <s v="J2562"/>
    <x v="1"/>
    <d v="2022-09-15T00:00:00"/>
    <d v="2025-07-31T00:00:00"/>
    <m/>
    <d v="2025-11-20T00:00:00"/>
    <s v="ENTERGY ARKANSAS, LLC"/>
    <s v="Arkansas"/>
    <m/>
    <m/>
    <s v="AR"/>
    <s v="DPP-2022"/>
    <s v="South"/>
    <s v="Phase 1"/>
    <s v="NRIS"/>
    <s v="Dewitt - Deluce"/>
    <n v="80"/>
    <n v="80"/>
    <x v="0"/>
    <s v="Photovoltaic"/>
    <s v="Not Started"/>
    <m/>
    <n v="0"/>
    <n v="0"/>
    <n v="0"/>
    <n v="0"/>
  </r>
  <r>
    <s v="J2563"/>
    <x v="2"/>
    <d v="2022-09-15T00:00:00"/>
    <m/>
    <m/>
    <d v="2026-06-30T00:00:00"/>
    <s v="NORTHERN STATES POWER COMPANY"/>
    <s v="Cottonwood"/>
    <m/>
    <m/>
    <s v="MN"/>
    <s v="DPP-2022"/>
    <s v="West"/>
    <s v="Phase 1"/>
    <s v="NRIS"/>
    <s v="crandal"/>
    <n v="200"/>
    <n v="200"/>
    <x v="1"/>
    <s v="Wind Turbine"/>
    <s v="Not Started"/>
    <m/>
    <n v="200"/>
    <n v="200"/>
    <n v="0"/>
    <n v="0"/>
  </r>
  <r>
    <s v="J2564"/>
    <x v="1"/>
    <d v="2022-09-14T00:00:00"/>
    <d v="2025-10-27T00:00:00"/>
    <m/>
    <d v="2025-05-31T00:00:00"/>
    <s v="DUKE ENERGY INDIANA, LLC"/>
    <s v="Montgomery"/>
    <m/>
    <m/>
    <s v="IN"/>
    <s v="DPP-2022"/>
    <s v="Central"/>
    <s v="Phase 2"/>
    <s v="NRIS"/>
    <s v="138kV Crawfordsville"/>
    <n v="18.899999999999999"/>
    <n v="18.899999999999999"/>
    <x v="5"/>
    <s v="Solar/Battery"/>
    <s v="Not Started"/>
    <m/>
    <n v="0"/>
    <n v="0"/>
    <n v="0"/>
    <n v="0"/>
  </r>
  <r>
    <s v="J2565"/>
    <x v="2"/>
    <d v="2022-09-14T00:00:00"/>
    <m/>
    <m/>
    <d v="2026-09-01T00:00:00"/>
    <m/>
    <s v="Iroquois"/>
    <m/>
    <m/>
    <s v="IL"/>
    <s v="DPP-2022"/>
    <s v="Central"/>
    <s v="Phase 2"/>
    <s v="NRIS"/>
    <s v="4GILMAN-4PAXTON E 138kV"/>
    <n v="265"/>
    <n v="265"/>
    <x v="0"/>
    <s v="Photovoltaic"/>
    <s v="Not Started"/>
    <m/>
    <n v="265"/>
    <n v="265"/>
    <n v="0"/>
    <n v="0"/>
  </r>
  <r>
    <s v="J2566"/>
    <x v="2"/>
    <d v="2022-09-14T00:00:00"/>
    <m/>
    <m/>
    <d v="2026-08-01T00:00:00"/>
    <s v="DUKE ENERGY INDIANA, LLC CIN"/>
    <s v="Daviess"/>
    <m/>
    <m/>
    <s v="IN"/>
    <s v="DPP-2022"/>
    <s v="Central"/>
    <s v="Phase 2"/>
    <s v="NRIS"/>
    <s v="Gibson Sta - Bedford 345 345.0kV"/>
    <n v="200"/>
    <n v="200"/>
    <x v="0"/>
    <s v="Photovoltaic"/>
    <s v="Not Started"/>
    <m/>
    <n v="200"/>
    <n v="200"/>
    <n v="0"/>
    <n v="0"/>
  </r>
  <r>
    <s v="J2567"/>
    <x v="2"/>
    <d v="2022-09-15T00:00:00"/>
    <m/>
    <m/>
    <d v="2025-04-01T00:00:00"/>
    <s v="METC"/>
    <s v="Oceana"/>
    <m/>
    <m/>
    <s v="MI"/>
    <s v="DPP-2022"/>
    <s v="East (ITC)"/>
    <s v="Phase 1"/>
    <s v="NRIS"/>
    <s v="KENOWA - LUDINGTON 345.0kV"/>
    <n v="240"/>
    <n v="240"/>
    <x v="2"/>
    <s v="Battery Storage"/>
    <s v="Not Started"/>
    <m/>
    <n v="240"/>
    <n v="240"/>
    <n v="0"/>
    <n v="0"/>
  </r>
  <r>
    <s v="J2568"/>
    <x v="1"/>
    <d v="2022-09-15T00:00:00"/>
    <d v="2023-03-24T00:00:00"/>
    <m/>
    <d v="2025-04-01T00:00:00"/>
    <s v="CLECO POWER LLC"/>
    <s v="Acadia"/>
    <m/>
    <m/>
    <s v="LA"/>
    <s v="DPP-2022"/>
    <s v="South"/>
    <s v="Phase 1"/>
    <s v="NRIS"/>
    <s v="Habetz - Sellers Road 138 kV Line"/>
    <n v="120"/>
    <n v="120"/>
    <x v="2"/>
    <s v="Battery Storage"/>
    <s v="Not Started"/>
    <m/>
    <n v="0"/>
    <n v="0"/>
    <n v="0"/>
    <n v="0"/>
  </r>
  <r>
    <s v="J2569"/>
    <x v="1"/>
    <d v="2022-09-15T00:00:00"/>
    <d v="2025-10-27T00:00:00"/>
    <m/>
    <d v="2026-05-01T00:00:00"/>
    <s v="MINNESOTA POWER INC."/>
    <s v="St. Louis"/>
    <m/>
    <m/>
    <s v="MN"/>
    <s v="DPP-2022"/>
    <s v="West"/>
    <s v="Phase 1"/>
    <s v="NRIS"/>
    <s v="Arrowhead 115 kV Substation"/>
    <n v="300"/>
    <n v="300"/>
    <x v="2"/>
    <s v="Battery Storage"/>
    <s v="Not Started"/>
    <m/>
    <n v="0"/>
    <n v="0"/>
    <n v="0"/>
    <n v="0"/>
  </r>
  <r>
    <s v="J2570"/>
    <x v="1"/>
    <d v="2022-09-15T00:00:00"/>
    <d v="2025-07-31T00:00:00"/>
    <m/>
    <d v="2026-05-01T00:00:00"/>
    <s v="ENTERGY LOUISIANA, LLC"/>
    <s v="Lafourche"/>
    <m/>
    <m/>
    <s v="LA"/>
    <s v="DPP-2022"/>
    <s v="South"/>
    <s v="Phase 1"/>
    <s v="NRIS"/>
    <s v="Thibodaux 230 kV Substation"/>
    <n v="200"/>
    <n v="200"/>
    <x v="2"/>
    <s v="Battery Storage"/>
    <s v="Not Started"/>
    <m/>
    <n v="0"/>
    <n v="0"/>
    <n v="0"/>
    <n v="0"/>
  </r>
  <r>
    <s v="J2571"/>
    <x v="2"/>
    <d v="2022-09-15T00:00:00"/>
    <m/>
    <m/>
    <d v="2024-01-31T00:00:00"/>
    <s v="BROOKFIELD ENERGY MARKETING INC."/>
    <s v="Tunica"/>
    <m/>
    <m/>
    <s v="MS"/>
    <s v="DPP-2022"/>
    <s v="South"/>
    <s v="Phase 1"/>
    <s v="NRIS"/>
    <s v="J866 Six Mile Lake Substation"/>
    <n v="176.6"/>
    <n v="176.6"/>
    <x v="1"/>
    <s v="Wind Turbine"/>
    <s v="Not Started"/>
    <m/>
    <n v="176.6"/>
    <n v="176.6"/>
    <n v="0"/>
    <n v="0"/>
  </r>
  <r>
    <s v="J2572"/>
    <x v="2"/>
    <d v="2022-09-15T00:00:00"/>
    <m/>
    <m/>
    <d v="2025-04-01T00:00:00"/>
    <s v="INDIANAPOLIS POWER &amp; LIGHT COMPANY"/>
    <s v="Hamilton"/>
    <m/>
    <m/>
    <s v="IN"/>
    <s v="DPP-2022"/>
    <s v="Central"/>
    <s v="Phase 2"/>
    <s v="NRIS"/>
    <s v="Noblesville (Duke) - Hortonville (Duke) 345.0kV"/>
    <n v="200"/>
    <n v="200"/>
    <x v="2"/>
    <s v="Battery Storage"/>
    <s v="Not Started"/>
    <m/>
    <n v="200"/>
    <n v="200"/>
    <n v="0"/>
    <n v="0"/>
  </r>
  <r>
    <s v="J2573"/>
    <x v="1"/>
    <d v="2022-09-14T00:00:00"/>
    <d v="2025-10-27T00:00:00"/>
    <m/>
    <d v="2026-09-01T00:00:00"/>
    <s v="DUKE ENERGY INDIANA, LLC"/>
    <s v="Washington"/>
    <m/>
    <m/>
    <s v="IN"/>
    <s v="DPP-2022"/>
    <s v="Central"/>
    <s v="Phase 2"/>
    <s v="NRIS"/>
    <s v="Gallagher to Bedford 138kV Line"/>
    <n v="200"/>
    <n v="200"/>
    <x v="0"/>
    <s v="Photovoltaic"/>
    <s v="Not Started"/>
    <m/>
    <n v="0"/>
    <n v="0"/>
    <n v="0"/>
    <n v="0"/>
  </r>
  <r>
    <s v="J2574"/>
    <x v="1"/>
    <d v="2022-09-14T00:00:00"/>
    <d v="2025-07-31T00:00:00"/>
    <m/>
    <d v="2027-09-30T00:00:00"/>
    <s v="ENTERGY ARKANSAS, LLC"/>
    <s v="Arkansas"/>
    <m/>
    <m/>
    <s v="AR"/>
    <s v="DPP-2022"/>
    <s v="South"/>
    <s v="Phase 1"/>
    <s v="NRIS"/>
    <s v="STUTTGART RICUSKEY - WOODWARD 230 SUB 230.0kV"/>
    <n v="172"/>
    <n v="172"/>
    <x v="5"/>
    <s v="Solar/Battery"/>
    <s v="Not Started"/>
    <m/>
    <n v="0"/>
    <n v="0"/>
    <n v="0"/>
    <n v="0"/>
  </r>
  <r>
    <s v="J2575"/>
    <x v="2"/>
    <d v="2022-09-15T00:00:00"/>
    <m/>
    <m/>
    <d v="2027-06-15T00:00:00"/>
    <s v="AMEREN ILLINOIS"/>
    <s v="Tazewell"/>
    <m/>
    <m/>
    <s v="IL"/>
    <s v="DPP-2022"/>
    <s v="Central"/>
    <s v="Phase 2"/>
    <s v="NRIS"/>
    <s v="Cincinnati 138 kV Substation"/>
    <n v="198"/>
    <n v="198"/>
    <x v="2"/>
    <s v="Battery Storage"/>
    <s v="Not Started"/>
    <m/>
    <n v="198"/>
    <n v="198"/>
    <n v="0"/>
    <n v="0"/>
  </r>
  <r>
    <s v="J2576"/>
    <x v="2"/>
    <d v="2022-09-15T00:00:00"/>
    <m/>
    <m/>
    <d v="2025-01-31T00:00:00"/>
    <s v="MIDAMERICAN ENERGY CO. MEC"/>
    <s v="Louisa"/>
    <m/>
    <m/>
    <s v="IA"/>
    <s v="DPP-2022"/>
    <s v="West"/>
    <s v="Phase 1"/>
    <s v="NRIS"/>
    <s v="Denmark - Newport 161kV"/>
    <n v="164.1"/>
    <n v="164.1"/>
    <x v="1"/>
    <s v="Wind Turbine"/>
    <s v="Not Started"/>
    <m/>
    <n v="164.1"/>
    <n v="164.1"/>
    <n v="0"/>
    <n v="0"/>
  </r>
  <r>
    <s v="J2577"/>
    <x v="2"/>
    <d v="2022-09-15T00:00:00"/>
    <m/>
    <m/>
    <d v="2025-10-01T00:00:00"/>
    <s v="ENTERGY ARKANSAS, LLC EATO"/>
    <s v="Cross"/>
    <m/>
    <m/>
    <s v="AR"/>
    <s v="DPP-2022"/>
    <s v="South"/>
    <s v="Phase 1"/>
    <s v="NRIS"/>
    <s v="Parkin"/>
    <n v="200"/>
    <n v="200"/>
    <x v="1"/>
    <s v="Wind Turbine"/>
    <s v="Not Started"/>
    <m/>
    <n v="200"/>
    <n v="200"/>
    <n v="0"/>
    <n v="0"/>
  </r>
  <r>
    <s v="J2578"/>
    <x v="2"/>
    <d v="2022-09-13T00:00:00"/>
    <m/>
    <m/>
    <d v="2026-09-01T00:00:00"/>
    <s v="METC"/>
    <s v="Tuscola"/>
    <m/>
    <m/>
    <s v="MI"/>
    <s v="DPP-2022"/>
    <s v="East (ITC)"/>
    <s v="Phase 1"/>
    <s v="NRIS"/>
    <s v="KARN - THETFORD (ATLANTA) 138.0kV"/>
    <n v="180"/>
    <n v="180"/>
    <x v="0"/>
    <s v="Photovoltaic"/>
    <s v="Not Started"/>
    <m/>
    <n v="180"/>
    <n v="180"/>
    <n v="0"/>
    <n v="0"/>
  </r>
  <r>
    <s v="J2579"/>
    <x v="1"/>
    <d v="2022-09-15T00:00:00"/>
    <d v="2023-03-10T00:00:00"/>
    <m/>
    <d v="2027-06-15T00:00:00"/>
    <s v="AMEREN ILLINOIS"/>
    <s v="Tazewell"/>
    <m/>
    <m/>
    <s v="IL"/>
    <s v="DPP-2022"/>
    <s v="Central"/>
    <s v="Phase 2"/>
    <s v="NRIS"/>
    <s v="Cincinnati 138 kV Substation"/>
    <n v="362"/>
    <n v="362"/>
    <x v="0"/>
    <s v="Photovoltaic"/>
    <s v="Not Started"/>
    <m/>
    <n v="0"/>
    <n v="0"/>
    <n v="0"/>
    <n v="0"/>
  </r>
  <r>
    <s v="J2580"/>
    <x v="1"/>
    <d v="2022-09-14T00:00:00"/>
    <d v="2025-07-31T00:00:00"/>
    <m/>
    <d v="2027-06-01T00:00:00"/>
    <s v="ENTERGY LOUISIANA, LLC"/>
    <s v="Winn"/>
    <m/>
    <m/>
    <s v="LA"/>
    <s v="DPP-2022"/>
    <s v="South"/>
    <s v="Phase 1"/>
    <s v="NRIS"/>
    <s v="Montgomery to Winnfield 230 kV"/>
    <n v="100"/>
    <n v="100"/>
    <x v="0"/>
    <s v="Photovoltaic"/>
    <s v="Not Started"/>
    <m/>
    <n v="0"/>
    <n v="0"/>
    <n v="0"/>
    <n v="0"/>
  </r>
  <r>
    <s v="J2581"/>
    <x v="2"/>
    <d v="2022-09-15T00:00:00"/>
    <m/>
    <m/>
    <d v="2027-09-30T00:00:00"/>
    <s v="DUKE ENERGY INDIANA, LLC CIN"/>
    <s v="Ripley"/>
    <m/>
    <m/>
    <s v="IN"/>
    <s v="DPP-2022"/>
    <s v="Central"/>
    <s v="Phase 2"/>
    <s v="NRIS"/>
    <s v="Batesville 138kV Substation"/>
    <n v="250"/>
    <n v="250"/>
    <x v="2"/>
    <s v="Battery Storage"/>
    <s v="Not Started"/>
    <m/>
    <n v="250"/>
    <n v="250"/>
    <n v="0"/>
    <n v="0"/>
  </r>
  <r>
    <s v="J2582"/>
    <x v="1"/>
    <d v="2022-09-15T00:00:00"/>
    <d v="2025-10-27T00:00:00"/>
    <m/>
    <d v="2026-09-30T00:00:00"/>
    <s v="DUKE ENERGY INDIANA, LLC"/>
    <s v="Clark"/>
    <m/>
    <m/>
    <s v="IN"/>
    <s v="DPP-2022"/>
    <s v="Central"/>
    <s v="Phase 2"/>
    <s v="NRIS"/>
    <s v="Speed 138 kV substation"/>
    <n v="100"/>
    <n v="100"/>
    <x v="2"/>
    <s v="Battery Storage"/>
    <s v="Not Started"/>
    <m/>
    <n v="0"/>
    <n v="0"/>
    <n v="0"/>
    <n v="0"/>
  </r>
  <r>
    <s v="J2583"/>
    <x v="1"/>
    <d v="2022-09-14T00:00:00"/>
    <d v="2025-08-01T00:00:00"/>
    <m/>
    <d v="2025-09-15T00:00:00"/>
    <s v="METC"/>
    <s v="Eaton"/>
    <m/>
    <m/>
    <s v="MI"/>
    <s v="DPP-2022"/>
    <s v="East (ITC)"/>
    <s v="Phase 1"/>
    <s v="NRIS"/>
    <s v="Battle Creek - Island Road 138 kV Line"/>
    <n v="50"/>
    <n v="50"/>
    <x v="0"/>
    <s v="Photovoltaic"/>
    <s v="Not Started"/>
    <m/>
    <n v="0"/>
    <n v="0"/>
    <n v="0"/>
    <n v="0"/>
  </r>
  <r>
    <s v="J2584"/>
    <x v="1"/>
    <d v="2022-09-13T00:00:00"/>
    <d v="2023-03-24T00:00:00"/>
    <m/>
    <d v="2026-09-01T00:00:00"/>
    <s v="AMEREN MISSOURI"/>
    <s v="Warren"/>
    <m/>
    <m/>
    <s v="MO"/>
    <s v="DPP-2022"/>
    <s v="Central"/>
    <s v="Phase 2"/>
    <s v="NRIS"/>
    <s v="Warrenton 161kV Substation"/>
    <n v="100"/>
    <n v="100"/>
    <x v="2"/>
    <s v="Battery Storage"/>
    <s v="Not Started"/>
    <m/>
    <n v="0"/>
    <n v="0"/>
    <n v="0"/>
    <n v="0"/>
  </r>
  <r>
    <s v="J2585"/>
    <x v="1"/>
    <d v="2022-09-15T00:00:00"/>
    <d v="2023-03-24T00:00:00"/>
    <m/>
    <d v="2025-04-01T00:00:00"/>
    <s v="HOOSIER ENERGY"/>
    <s v="Greene"/>
    <m/>
    <m/>
    <s v="IN"/>
    <s v="DPP-2022"/>
    <s v="Central"/>
    <s v="Phase 2"/>
    <s v="NRIS"/>
    <s v="Worthington Primary - Merom Primary 345 kV line"/>
    <n v="240"/>
    <n v="240"/>
    <x v="2"/>
    <s v="Battery Storage"/>
    <s v="Not Started"/>
    <m/>
    <n v="0"/>
    <n v="0"/>
    <n v="0"/>
    <n v="0"/>
  </r>
  <r>
    <s v="J2586"/>
    <x v="2"/>
    <d v="2022-09-15T00:00:00"/>
    <m/>
    <m/>
    <d v="2025-04-01T00:00:00"/>
    <s v="DUKE ENERGY INDIANA, LLC CIN"/>
    <s v="Clark"/>
    <m/>
    <m/>
    <s v="IN"/>
    <s v="DPP-2022"/>
    <s v="Central"/>
    <s v="Phase 2"/>
    <s v="NRIS"/>
    <s v="SPEED 345"/>
    <n v="200"/>
    <n v="200"/>
    <x v="2"/>
    <s v="Battery Storage"/>
    <s v="Not Started"/>
    <m/>
    <n v="200"/>
    <n v="200"/>
    <n v="0"/>
    <n v="0"/>
  </r>
  <r>
    <s v="J2587"/>
    <x v="2"/>
    <d v="2022-09-15T00:00:00"/>
    <m/>
    <m/>
    <d v="2025-04-01T00:00:00"/>
    <s v="DUKE ENERGY INDIANA, LLC CIN"/>
    <s v="Edgar"/>
    <m/>
    <m/>
    <s v="IL"/>
    <s v="DPP-2022"/>
    <s v="Central"/>
    <s v="Phase 2"/>
    <s v="NRIS"/>
    <s v="Sugar Creek - Cayuga CT  345.0kV"/>
    <n v="200"/>
    <n v="200"/>
    <x v="2"/>
    <s v="Battery Storage"/>
    <s v="Not Started"/>
    <m/>
    <n v="200"/>
    <n v="200"/>
    <n v="0"/>
    <n v="0"/>
  </r>
  <r>
    <s v="J2588"/>
    <x v="2"/>
    <d v="2022-09-15T00:00:00"/>
    <m/>
    <m/>
    <d v="2025-04-01T00:00:00"/>
    <s v="METC"/>
    <s v="Jackson"/>
    <m/>
    <m/>
    <s v="MI"/>
    <s v="DPP-2022"/>
    <s v="East (ITC)"/>
    <s v="Phase 1"/>
    <s v="NRIS"/>
    <s v="TOMPKINS - VROOMAN 138.0kV"/>
    <n v="120"/>
    <n v="120"/>
    <x v="2"/>
    <s v="Battery Storage"/>
    <s v="Not Started"/>
    <m/>
    <n v="120"/>
    <n v="120"/>
    <n v="0"/>
    <n v="0"/>
  </r>
  <r>
    <s v="J2589"/>
    <x v="2"/>
    <d v="2022-09-15T00:00:00"/>
    <m/>
    <m/>
    <d v="2025-04-01T00:00:00"/>
    <s v="METC"/>
    <s v="Jackson"/>
    <m/>
    <m/>
    <s v="MI"/>
    <s v="DPP-2022"/>
    <s v="East (ITC)"/>
    <s v="Phase 1"/>
    <s v="NRIS"/>
    <s v="TOMPKINS - VROOMAN 138.0kV"/>
    <n v="150"/>
    <n v="150"/>
    <x v="2"/>
    <s v="Battery Storage"/>
    <s v="Not Started"/>
    <m/>
    <n v="150"/>
    <n v="150"/>
    <n v="0"/>
    <n v="0"/>
  </r>
  <r>
    <s v="J2590"/>
    <x v="2"/>
    <d v="2022-09-15T00:00:00"/>
    <m/>
    <m/>
    <d v="2025-04-01T00:00:00"/>
    <s v="ITC"/>
    <s v="Huron"/>
    <m/>
    <m/>
    <s v="MI"/>
    <s v="DPP-2022"/>
    <s v="East (ITC)"/>
    <s v="Phase 1"/>
    <s v="NRIS"/>
    <s v="Stein - Rapson 345 kV line"/>
    <n v="500"/>
    <n v="500"/>
    <x v="2"/>
    <s v="Battery Storage"/>
    <s v="Not Started"/>
    <m/>
    <n v="500"/>
    <n v="500"/>
    <n v="0"/>
    <n v="0"/>
  </r>
  <r>
    <s v="J2591"/>
    <x v="1"/>
    <d v="2022-09-14T00:00:00"/>
    <d v="2025-07-31T00:00:00"/>
    <m/>
    <d v="2028-10-02T00:00:00"/>
    <s v="ENTERGY MISSISSIPPI, LLC."/>
    <s v="Choctaw"/>
    <m/>
    <m/>
    <s v="MS"/>
    <s v="DPP-2022"/>
    <s v="South"/>
    <s v="Phase 1"/>
    <s v="E-NRIS"/>
    <s v="WOLF CREEK 500 kV"/>
    <n v="500"/>
    <n v="500"/>
    <x v="10"/>
    <s v="Wind Turbine"/>
    <s v="Not Started"/>
    <m/>
    <n v="0"/>
    <n v="0"/>
    <n v="0"/>
    <n v="0"/>
  </r>
  <r>
    <s v="J2592"/>
    <x v="1"/>
    <d v="2022-09-14T00:00:00"/>
    <d v="2025-08-01T00:00:00"/>
    <m/>
    <d v="2026-09-01T00:00:00"/>
    <s v="METC"/>
    <s v="Tuscola"/>
    <m/>
    <m/>
    <s v="MI"/>
    <s v="DPP-2022"/>
    <s v="East (ITC)"/>
    <s v="Phase 1"/>
    <s v="NRIS"/>
    <s v="Thetford (Atlanta) - Karn 138 kV line"/>
    <n v="50"/>
    <n v="50"/>
    <x v="2"/>
    <s v="Battery Storage"/>
    <s v="Not Started"/>
    <m/>
    <n v="0"/>
    <n v="0"/>
    <n v="0"/>
    <n v="0"/>
  </r>
  <r>
    <s v="J2593"/>
    <x v="4"/>
    <d v="2022-09-14T00:00:00"/>
    <m/>
    <m/>
    <d v="2026-04-24T00:00:00"/>
    <s v="AMEREN MISSOURI"/>
    <s v="Gasconade"/>
    <m/>
    <m/>
    <s v="MO"/>
    <s v="DPP-2022"/>
    <s v="Central"/>
    <s v="Phase 2"/>
    <s v="NRIS"/>
    <s v="Bland 138 kV Substation"/>
    <n v="140"/>
    <n v="140"/>
    <x v="5"/>
    <s v="Solar/Battery"/>
    <s v="Not Started"/>
    <m/>
    <n v="140"/>
    <n v="140"/>
    <n v="0"/>
    <n v="0"/>
  </r>
  <r>
    <s v="J2594"/>
    <x v="1"/>
    <d v="2022-09-15T00:00:00"/>
    <d v="2025-07-31T00:00:00"/>
    <m/>
    <d v="2026-06-30T00:00:00"/>
    <s v="ENTERGY MISSISSIPPI, LLC."/>
    <s v="Hinds"/>
    <m/>
    <m/>
    <s v="MS"/>
    <s v="DPP-2022"/>
    <s v="South"/>
    <s v="Phase 1"/>
    <s v="NRIS"/>
    <s v="Ray Braswell 230 kV"/>
    <n v="650"/>
    <n v="650"/>
    <x v="0"/>
    <s v="Photovoltaic"/>
    <s v="Not Started"/>
    <m/>
    <n v="0"/>
    <n v="0"/>
    <n v="0"/>
    <n v="0"/>
  </r>
  <r>
    <s v="J2595"/>
    <x v="1"/>
    <d v="2022-09-15T00:00:00"/>
    <d v="2023-03-24T00:00:00"/>
    <m/>
    <d v="2026-06-30T00:00:00"/>
    <s v="ENTERGY MISSISSIPPI, LLC."/>
    <s v="Hinds"/>
    <m/>
    <m/>
    <s v="MS"/>
    <s v="DPP-2022"/>
    <s v="South"/>
    <s v="Phase 1"/>
    <s v="NRIS"/>
    <s v="LAKEOVER EHV-RAY BRASWELL EHV 500 kV"/>
    <n v="650"/>
    <n v="650"/>
    <x v="0"/>
    <s v="Photovoltaic"/>
    <s v="Not Started"/>
    <m/>
    <n v="0"/>
    <n v="0"/>
    <n v="0"/>
    <n v="0"/>
  </r>
  <r>
    <s v="J2596"/>
    <x v="1"/>
    <d v="2022-09-15T00:00:00"/>
    <d v="2023-03-24T00:00:00"/>
    <m/>
    <d v="2026-06-30T00:00:00"/>
    <s v="ENTERGY ARKANSAS, LLC"/>
    <s v="Crittenden"/>
    <m/>
    <m/>
    <s v="AR"/>
    <s v="DPP-2022"/>
    <s v="South"/>
    <s v="Phase 1"/>
    <s v="NRIS"/>
    <s v="West Memphis 500 kV"/>
    <n v="200"/>
    <n v="200"/>
    <x v="0"/>
    <s v="Photovoltaic"/>
    <s v="Not Started"/>
    <m/>
    <n v="0"/>
    <n v="0"/>
    <n v="0"/>
    <n v="0"/>
  </r>
  <r>
    <s v="J2597"/>
    <x v="1"/>
    <d v="2022-09-15T00:00:00"/>
    <d v="2023-03-24T00:00:00"/>
    <m/>
    <d v="2026-06-30T00:00:00"/>
    <s v="ENTERGY ARKANSAS, LLC"/>
    <s v="Crittenden"/>
    <m/>
    <m/>
    <s v="AR"/>
    <s v="DPP-2022"/>
    <s v="South"/>
    <s v="Phase 1"/>
    <s v="NRIS"/>
    <s v="West Memphis 500 kV"/>
    <n v="100"/>
    <n v="100"/>
    <x v="2"/>
    <s v="Battery Storage"/>
    <s v="Not Started"/>
    <m/>
    <n v="0"/>
    <n v="0"/>
    <n v="0"/>
    <n v="0"/>
  </r>
  <r>
    <s v="J2598"/>
    <x v="1"/>
    <d v="2022-09-14T00:00:00"/>
    <d v="2025-10-27T00:00:00"/>
    <m/>
    <d v="2026-06-30T00:00:00"/>
    <s v="ITC MIDWEST"/>
    <s v="Mower"/>
    <m/>
    <m/>
    <s v="MN"/>
    <s v="DPP-2022"/>
    <s v="West"/>
    <s v="Phase 1"/>
    <s v="NRIS"/>
    <s v="Adams to Hayward 161 kV Tap"/>
    <n v="198"/>
    <n v="198"/>
    <x v="0"/>
    <s v="Solar/Battery"/>
    <s v="Not Started"/>
    <m/>
    <n v="0"/>
    <n v="0"/>
    <n v="0"/>
    <n v="0"/>
  </r>
  <r>
    <s v="J2599"/>
    <x v="2"/>
    <d v="2022-09-15T00:00:00"/>
    <m/>
    <m/>
    <d v="2026-06-30T00:00:00"/>
    <s v="NORTHERN STATES POWER COMPANY"/>
    <s v="Redwood"/>
    <m/>
    <m/>
    <s v="MN"/>
    <s v="DPP-2022"/>
    <s v="West"/>
    <s v="Phase 1"/>
    <s v="NRIS"/>
    <s v="Lyon County 345kV Substation"/>
    <n v="216"/>
    <n v="216"/>
    <x v="0"/>
    <s v="Photovoltaic"/>
    <s v="Not Started"/>
    <m/>
    <n v="216"/>
    <n v="216"/>
    <n v="0"/>
    <n v="0"/>
  </r>
  <r>
    <s v="J2600"/>
    <x v="1"/>
    <d v="2022-09-14T00:00:00"/>
    <d v="2025-10-27T00:00:00"/>
    <m/>
    <d v="2026-06-30T00:00:00"/>
    <s v="DAIRYLAND POWER COOPERATIVE"/>
    <s v="Wabasha"/>
    <m/>
    <m/>
    <s v="MN"/>
    <s v="DPP-2022"/>
    <s v="West"/>
    <s v="Phase 1"/>
    <s v="NRIS"/>
    <s v="Wabaco to Alma 161 kV Tap"/>
    <n v="245"/>
    <n v="245"/>
    <x v="0"/>
    <s v="Photovoltaic"/>
    <s v="Not Started"/>
    <m/>
    <n v="0"/>
    <n v="0"/>
    <n v="0"/>
    <n v="0"/>
  </r>
  <r>
    <s v="J2601"/>
    <x v="2"/>
    <d v="2022-09-15T00:00:00"/>
    <m/>
    <m/>
    <d v="2026-06-30T00:00:00"/>
    <m/>
    <s v="Wabasha"/>
    <m/>
    <m/>
    <s v="MN"/>
    <s v="DPP-2022"/>
    <s v="West"/>
    <s v="Phase 1"/>
    <s v="NRIS"/>
    <s v="North Rochester - Briggs Road 345.0kV"/>
    <n v="200"/>
    <n v="200"/>
    <x v="2"/>
    <s v="Battery Storage"/>
    <s v="Not Started"/>
    <m/>
    <n v="200"/>
    <n v="200"/>
    <n v="0"/>
    <n v="0"/>
  </r>
  <r>
    <s v="J2602"/>
    <x v="4"/>
    <d v="2022-09-14T00:00:00"/>
    <m/>
    <m/>
    <d v="2026-06-30T00:00:00"/>
    <s v="ENTERGY MISSISSIPPI, LLC. EMTO"/>
    <s v="DeSoto"/>
    <m/>
    <m/>
    <s v="MS"/>
    <s v="DPP-2022"/>
    <s v="South"/>
    <s v="Phase 1"/>
    <s v="NRIS"/>
    <s v="Twinkletown 230 kV"/>
    <n v="250"/>
    <n v="250"/>
    <x v="0"/>
    <s v="Photovoltaic"/>
    <s v="Not Started"/>
    <m/>
    <n v="250"/>
    <n v="250"/>
    <n v="0"/>
    <n v="0"/>
  </r>
  <r>
    <s v="J2603"/>
    <x v="2"/>
    <d v="2022-09-15T00:00:00"/>
    <m/>
    <m/>
    <d v="2026-06-30T00:00:00"/>
    <m/>
    <s v="Mason"/>
    <m/>
    <m/>
    <s v="IL"/>
    <s v="DPP-2022"/>
    <s v="Central"/>
    <s v="Phase 2"/>
    <s v="NRIS"/>
    <s v="4PURO - 4HAVANA3 138.0kV"/>
    <n v="320"/>
    <n v="320"/>
    <x v="0"/>
    <s v="Photovoltaic"/>
    <s v="Not Started"/>
    <m/>
    <n v="320"/>
    <n v="0"/>
    <n v="0"/>
    <n v="0"/>
  </r>
  <r>
    <s v="J2604"/>
    <x v="1"/>
    <d v="2022-09-15T00:00:00"/>
    <d v="2025-10-27T00:00:00"/>
    <m/>
    <d v="2026-06-30T00:00:00"/>
    <s v="AMEREN ILLINOIS"/>
    <s v="Clinton"/>
    <m/>
    <m/>
    <s v="IL"/>
    <s v="DPP-2022"/>
    <s v="Central"/>
    <s v="Phase 2"/>
    <s v="NRIS"/>
    <s v="South Centralia 138 kV"/>
    <n v="100"/>
    <n v="100"/>
    <x v="0"/>
    <s v="Photovoltaic"/>
    <s v="Not Started"/>
    <m/>
    <n v="0"/>
    <n v="0"/>
    <n v="0"/>
    <n v="0"/>
  </r>
  <r>
    <s v="J2605"/>
    <x v="1"/>
    <d v="2022-09-15T00:00:00"/>
    <d v="2025-10-27T00:00:00"/>
    <m/>
    <d v="2027-06-30T00:00:00"/>
    <s v="MISSOURI RIVER ENERGY SERVICES - TRANSMISSION"/>
    <s v="Steele"/>
    <m/>
    <m/>
    <s v="ND"/>
    <s v="DPP-2022"/>
    <s v="West"/>
    <s v="Phase 1"/>
    <s v="NRIS"/>
    <s v="ALEXANDRIA 345 KV"/>
    <n v="339"/>
    <n v="339"/>
    <x v="1"/>
    <s v="Wind Turbine"/>
    <s v="Not Started"/>
    <m/>
    <n v="0"/>
    <n v="0"/>
    <n v="0"/>
    <n v="0"/>
  </r>
  <r>
    <s v="J2606"/>
    <x v="1"/>
    <d v="2022-09-15T00:00:00"/>
    <d v="2025-10-27T00:00:00"/>
    <m/>
    <d v="2027-06-30T00:00:00"/>
    <s v="MISSOURI RIVER ENERGY SERVICES - TRANSMISSION"/>
    <s v="Steele"/>
    <m/>
    <m/>
    <s v="ND"/>
    <s v="DPP-2022"/>
    <s v="West"/>
    <s v="Phase 1"/>
    <s v="NRIS"/>
    <s v="Alexandria 345kV"/>
    <n v="361"/>
    <n v="361"/>
    <x v="2"/>
    <s v="Battery Storage"/>
    <s v="Not Started"/>
    <m/>
    <n v="0"/>
    <n v="0"/>
    <n v="0"/>
    <n v="0"/>
  </r>
  <r>
    <s v="J2607"/>
    <x v="2"/>
    <d v="2022-09-15T00:00:00"/>
    <m/>
    <m/>
    <d v="2026-06-30T00:00:00"/>
    <s v="AMEREN ILLINOIS"/>
    <s v="Montgomery"/>
    <m/>
    <m/>
    <s v="IL"/>
    <s v="DPP-2022"/>
    <s v="Central"/>
    <s v="Phase 2"/>
    <s v="NRIS"/>
    <s v="Redhawk 138 kV - MTEP Project (17976)"/>
    <n v="200"/>
    <n v="200"/>
    <x v="2"/>
    <s v="Battery Storage"/>
    <s v="Not Started"/>
    <m/>
    <n v="200"/>
    <n v="200"/>
    <n v="0"/>
    <n v="0"/>
  </r>
  <r>
    <s v="J2608"/>
    <x v="2"/>
    <d v="2022-09-14T00:00:00"/>
    <m/>
    <m/>
    <d v="2026-09-01T00:00:00"/>
    <m/>
    <s v="Stevens"/>
    <m/>
    <m/>
    <s v="MN"/>
    <s v="DPP-2022"/>
    <s v="West"/>
    <s v="Phase 1"/>
    <s v="NRIS"/>
    <s v="Hancock 115kV Substation"/>
    <n v="160"/>
    <n v="160"/>
    <x v="0"/>
    <s v="Photovoltaic"/>
    <s v="Not Started"/>
    <m/>
    <n v="160"/>
    <n v="160"/>
    <n v="0"/>
    <n v="0"/>
  </r>
  <r>
    <s v="J2609"/>
    <x v="2"/>
    <d v="2022-09-13T00:00:00"/>
    <m/>
    <m/>
    <d v="2026-09-01T00:00:00"/>
    <s v="AMERICAN TRANSMISSION COMPANY"/>
    <s v="Waushara"/>
    <m/>
    <m/>
    <s v="WI"/>
    <s v="DPP-2022"/>
    <s v="East (ATC)"/>
    <s v="Phase 1"/>
    <s v="NRIS"/>
    <s v="Sand Lake"/>
    <n v="80"/>
    <n v="80"/>
    <x v="0"/>
    <s v="Photovoltaic"/>
    <s v="Not Started"/>
    <m/>
    <n v="80"/>
    <n v="80"/>
    <n v="0"/>
    <n v="0"/>
  </r>
  <r>
    <s v="J2610"/>
    <x v="1"/>
    <d v="2022-09-13T00:00:00"/>
    <d v="2025-10-27T00:00:00"/>
    <m/>
    <d v="2026-09-01T00:00:00"/>
    <s v="AMEREN ILLINOIS"/>
    <s v="Bond"/>
    <m/>
    <m/>
    <s v="IL"/>
    <s v="DPP-2022"/>
    <s v="Central"/>
    <s v="Phase 2"/>
    <s v="NRIS"/>
    <s v="4GREENVIL to 4HOOKDALE 138kV"/>
    <n v="150"/>
    <n v="150"/>
    <x v="0"/>
    <s v="Photovoltaic"/>
    <s v="Not Started"/>
    <m/>
    <n v="0"/>
    <n v="0"/>
    <n v="0"/>
    <n v="0"/>
  </r>
  <r>
    <s v="J2611"/>
    <x v="2"/>
    <d v="2022-09-14T00:00:00"/>
    <m/>
    <m/>
    <d v="2028-09-01T00:00:00"/>
    <s v="METC"/>
    <s v="Alcona"/>
    <m/>
    <m/>
    <s v="MI"/>
    <s v="DPP-2022"/>
    <s v="East (ITC)"/>
    <s v="Phase 1"/>
    <s v="NRIS"/>
    <s v="IOSCO - SPRUCE ROAD 138.0kV"/>
    <n v="215"/>
    <n v="215"/>
    <x v="0"/>
    <s v="Photovoltaic"/>
    <s v="Not Started"/>
    <m/>
    <n v="215"/>
    <n v="215"/>
    <n v="0"/>
    <n v="0"/>
  </r>
  <r>
    <s v="J2612"/>
    <x v="1"/>
    <d v="2023-09-07T00:00:00"/>
    <d v="2025-07-31T00:00:00"/>
    <m/>
    <d v="2026-09-01T00:00:00"/>
    <s v="ENTERGY MISSISSIPPI, LLC. EMTO"/>
    <s v="Madison"/>
    <m/>
    <m/>
    <s v="MS"/>
    <s v="DPP-2022"/>
    <s v="South"/>
    <s v="Phase 1"/>
    <s v="NRIS"/>
    <s v="Flora 115kV Substation"/>
    <n v="150"/>
    <n v="150"/>
    <x v="0"/>
    <s v="Photovoltaic"/>
    <s v="Not Started"/>
    <m/>
    <n v="0"/>
    <n v="0"/>
    <n v="0"/>
    <n v="0"/>
  </r>
  <r>
    <s v="J2613"/>
    <x v="2"/>
    <d v="2022-09-15T00:00:00"/>
    <m/>
    <m/>
    <d v="2025-10-01T00:00:00"/>
    <s v="ENTERGY ARKANSAS, LLC EATO"/>
    <s v="Jackson"/>
    <m/>
    <m/>
    <s v="AR"/>
    <s v="DPP-2022"/>
    <s v="South"/>
    <s v="Phase 1"/>
    <s v="NRIS"/>
    <s v="HOLLAND BOTTOM - INDEPENDENCE-ISES 500.0kV"/>
    <n v="300"/>
    <n v="300"/>
    <x v="1"/>
    <s v="Wind Turbine"/>
    <s v="Not Started"/>
    <m/>
    <n v="300"/>
    <n v="300"/>
    <n v="0"/>
    <n v="0"/>
  </r>
  <r>
    <s v="J2614"/>
    <x v="2"/>
    <d v="2022-09-15T00:00:00"/>
    <m/>
    <m/>
    <d v="2028-09-30T00:00:00"/>
    <s v="AMEREN ILLINOIS"/>
    <s v="Henry"/>
    <m/>
    <m/>
    <s v="IL"/>
    <s v="DPP-2022"/>
    <s v="Central"/>
    <s v="Phase 2"/>
    <s v="NRIS"/>
    <s v="Mercer 161kV"/>
    <n v="200"/>
    <n v="200"/>
    <x v="1"/>
    <s v="Wind Turbine"/>
    <s v="Not Started"/>
    <m/>
    <n v="200"/>
    <n v="200"/>
    <n v="0"/>
    <n v="0"/>
  </r>
  <r>
    <s v="J2615"/>
    <x v="1"/>
    <d v="2022-09-15T00:00:00"/>
    <d v="2025-10-27T00:00:00"/>
    <m/>
    <d v="2026-09-30T00:00:00"/>
    <s v="SOUTHERN INDIANA GAS &amp; ELECTRIC COMPANY D/B/A CENTERPOINT ENERGY INDIANA SOUTH"/>
    <s v="Warren"/>
    <m/>
    <m/>
    <s v="IN"/>
    <s v="DPP-2022"/>
    <s v="Central"/>
    <s v="Phase 2"/>
    <s v="NRIS"/>
    <s v="FB Culley to Dubois Transmission Line"/>
    <n v="145"/>
    <n v="145"/>
    <x v="5"/>
    <s v="Solar/Battery"/>
    <s v="Not Started"/>
    <m/>
    <n v="0"/>
    <n v="0"/>
    <n v="0"/>
    <n v="0"/>
  </r>
  <r>
    <s v="J2616"/>
    <x v="1"/>
    <d v="2022-09-15T00:00:00"/>
    <d v="2025-07-31T00:00:00"/>
    <m/>
    <d v="2026-09-30T00:00:00"/>
    <s v="ENTERGY LOUISIANA, LLC"/>
    <s v="Acadia"/>
    <m/>
    <m/>
    <s v="LA"/>
    <s v="DPP-2022"/>
    <s v="South"/>
    <s v="Phase 1"/>
    <s v="NRIS"/>
    <s v="Scanlan (Cajun) to Bosco SS 138 kV line"/>
    <n v="100"/>
    <n v="100"/>
    <x v="5"/>
    <s v="Solar/Battery"/>
    <s v="Not Started"/>
    <m/>
    <n v="0"/>
    <n v="0"/>
    <n v="0"/>
    <n v="0"/>
  </r>
  <r>
    <s v="J2617"/>
    <x v="1"/>
    <d v="2022-09-15T00:00:00"/>
    <d v="2025-08-01T00:00:00"/>
    <m/>
    <d v="2026-09-30T00:00:00"/>
    <s v="METC"/>
    <s v="Van Buren"/>
    <m/>
    <m/>
    <s v="MI"/>
    <s v="DPP-2022"/>
    <s v="East (ITC)"/>
    <s v="Phase 1"/>
    <s v="NRIS"/>
    <s v="Palisades to Argenta 345 kV"/>
    <n v="240"/>
    <n v="240"/>
    <x v="5"/>
    <s v="Solar/Battery"/>
    <s v="Not Started"/>
    <m/>
    <n v="0"/>
    <n v="0"/>
    <n v="0"/>
    <n v="0"/>
  </r>
  <r>
    <s v="J2618"/>
    <x v="2"/>
    <d v="2022-09-15T00:00:00"/>
    <m/>
    <m/>
    <d v="2027-09-30T00:00:00"/>
    <s v="ITC"/>
    <s v="Macomb"/>
    <m/>
    <m/>
    <s v="MI"/>
    <s v="DPP-2022"/>
    <s v="East (ITC)"/>
    <s v="Phase 1"/>
    <s v="NRIS"/>
    <s v="Lenox 120kV"/>
    <n v="100"/>
    <n v="100"/>
    <x v="2"/>
    <s v="Battery Storage"/>
    <s v="Not Started"/>
    <m/>
    <n v="100"/>
    <n v="100"/>
    <n v="0"/>
    <n v="0"/>
  </r>
  <r>
    <s v="J2619"/>
    <x v="2"/>
    <d v="2022-09-15T00:00:00"/>
    <m/>
    <m/>
    <d v="2028-09-30T00:00:00"/>
    <s v="METC"/>
    <s v="Montcalm"/>
    <m/>
    <m/>
    <s v="MI"/>
    <s v="DPP-2022"/>
    <s v="East (ITC)"/>
    <s v="Phase 1"/>
    <s v="NRIS"/>
    <s v="Kenowa to Nelson Rd. 345kV"/>
    <n v="140"/>
    <n v="140"/>
    <x v="5"/>
    <s v="Solar/Battery"/>
    <s v="Not Started"/>
    <m/>
    <n v="140"/>
    <n v="140"/>
    <n v="0"/>
    <n v="0"/>
  </r>
  <r>
    <s v="J2620"/>
    <x v="1"/>
    <d v="2022-09-14T00:00:00"/>
    <d v="2025-07-31T00:00:00"/>
    <m/>
    <d v="2027-06-01T00:00:00"/>
    <s v="ENTERGY ARKANSAS, LLC"/>
    <s v="Ouachita"/>
    <m/>
    <m/>
    <s v="AR"/>
    <s v="DPP-2022"/>
    <s v="South"/>
    <s v="Phase 1"/>
    <s v="NRIS"/>
    <s v="Bearden to Camden North 115 kV"/>
    <n v="164"/>
    <n v="164"/>
    <x v="0"/>
    <s v="Photovoltaic"/>
    <s v="Not Started"/>
    <m/>
    <n v="0"/>
    <n v="0"/>
    <n v="0"/>
    <n v="0"/>
  </r>
  <r>
    <s v="J2621"/>
    <x v="1"/>
    <d v="2022-09-14T00:00:00"/>
    <d v="2025-10-27T00:00:00"/>
    <m/>
    <d v="2027-06-01T00:00:00"/>
    <s v="NORTHERN STATES POWER COMPANY"/>
    <s v="St. Croix"/>
    <m/>
    <m/>
    <s v="WI"/>
    <s v="DPP-2022"/>
    <s v="West"/>
    <s v="Phase 1"/>
    <s v="NRIS"/>
    <s v="Pine Lake 161 kV Substation"/>
    <n v="115"/>
    <n v="115"/>
    <x v="2"/>
    <s v="Battery Storage"/>
    <s v="Not Started"/>
    <m/>
    <n v="0"/>
    <n v="0"/>
    <n v="0"/>
    <n v="0"/>
  </r>
  <r>
    <s v="J2622"/>
    <x v="1"/>
    <d v="2022-09-14T00:00:00"/>
    <d v="2025-07-31T00:00:00"/>
    <m/>
    <d v="2027-06-01T00:00:00"/>
    <s v="ENTERGY ARKANSAS, LLC"/>
    <s v="Drew"/>
    <m/>
    <m/>
    <s v="AR"/>
    <s v="DPP-2022"/>
    <s v="South"/>
    <s v="Phase 1"/>
    <s v="NRIS"/>
    <s v="Wilmar to Monticello South 115 kV"/>
    <n v="107"/>
    <n v="107"/>
    <x v="0"/>
    <s v="Photovoltaic"/>
    <s v="Not Started"/>
    <m/>
    <n v="0"/>
    <n v="0"/>
    <n v="0"/>
    <n v="0"/>
  </r>
  <r>
    <s v="J2623"/>
    <x v="1"/>
    <d v="2022-09-14T00:00:00"/>
    <d v="2025-07-31T00:00:00"/>
    <m/>
    <d v="2027-06-01T00:00:00"/>
    <s v="ENTERGY ARKANSAS, LLC"/>
    <s v="Hot Spring"/>
    <m/>
    <m/>
    <s v="AR"/>
    <s v="DPP-2022"/>
    <s v="South"/>
    <s v="Phase 1"/>
    <s v="NRIS"/>
    <s v="H.S. EHV to Friendship 115 kV"/>
    <n v="125"/>
    <n v="125"/>
    <x v="0"/>
    <s v="Photovoltaic"/>
    <s v="Not Started"/>
    <m/>
    <n v="0"/>
    <n v="0"/>
    <n v="0"/>
    <n v="0"/>
  </r>
  <r>
    <s v="J2624"/>
    <x v="1"/>
    <d v="2022-09-14T00:00:00"/>
    <d v="2023-03-24T00:00:00"/>
    <m/>
    <d v="2026-01-01T00:00:00"/>
    <s v="OTTER TAIL POWER COMPANY OTP"/>
    <s v="Stevens"/>
    <m/>
    <m/>
    <s v="MN"/>
    <s v="DPP-2022"/>
    <s v="West"/>
    <s v="Phase 1"/>
    <s v="NRIS"/>
    <s v="Big Stone South 345kV Substation"/>
    <n v="450"/>
    <n v="450"/>
    <x v="2"/>
    <s v="Battery Storage"/>
    <s v="Not Started"/>
    <m/>
    <n v="0"/>
    <n v="0"/>
    <n v="0"/>
    <n v="0"/>
  </r>
  <r>
    <s v="J2625"/>
    <x v="1"/>
    <d v="2022-09-15T00:00:00"/>
    <d v="2025-10-27T00:00:00"/>
    <m/>
    <d v="2026-09-30T00:00:00"/>
    <s v="AMEREN TRANSMISSION COMPANY OF ILLINOIS"/>
    <s v="Marion"/>
    <m/>
    <m/>
    <s v="MO"/>
    <s v="DPP-2022"/>
    <s v="Central"/>
    <s v="Phase 2"/>
    <s v="NRIS"/>
    <s v="Maywood 345kV"/>
    <n v="100"/>
    <n v="100"/>
    <x v="5"/>
    <s v="Solar/Battery"/>
    <s v="Not Started"/>
    <m/>
    <n v="0"/>
    <n v="0"/>
    <n v="0"/>
    <n v="0"/>
  </r>
  <r>
    <s v="J2626"/>
    <x v="1"/>
    <d v="2022-09-15T00:00:00"/>
    <d v="2025-10-27T00:00:00"/>
    <m/>
    <d v="2026-07-31T00:00:00"/>
    <s v="AMEREN ILLINOIS"/>
    <s v="Perry"/>
    <m/>
    <m/>
    <s v="IL"/>
    <s v="DPP-2022"/>
    <s v="Central"/>
    <s v="Phase 2"/>
    <s v="NRIS"/>
    <s v="345kV Commodore to Jordan"/>
    <n v="300"/>
    <n v="300"/>
    <x v="0"/>
    <s v="Photovoltaic"/>
    <s v="Not Started"/>
    <m/>
    <n v="0"/>
    <n v="0"/>
    <n v="0"/>
    <n v="0"/>
  </r>
  <r>
    <s v="J2627"/>
    <x v="4"/>
    <d v="2022-09-15T00:00:00"/>
    <m/>
    <m/>
    <d v="2025-09-30T00:00:00"/>
    <m/>
    <s v="Adams"/>
    <m/>
    <m/>
    <s v="IL"/>
    <s v="DPP-2022"/>
    <s v="Central"/>
    <s v="Phase 2"/>
    <s v="NRIS"/>
    <s v="East Quincy"/>
    <n v="150"/>
    <n v="150"/>
    <x v="2"/>
    <s v="Battery Storage"/>
    <s v="Not Started"/>
    <m/>
    <n v="150"/>
    <n v="150"/>
    <n v="0"/>
    <n v="0"/>
  </r>
  <r>
    <s v="J2628"/>
    <x v="2"/>
    <d v="2022-09-15T00:00:00"/>
    <m/>
    <m/>
    <d v="2028-07-01T00:00:00"/>
    <s v="ITC"/>
    <s v="Huron"/>
    <m/>
    <m/>
    <s v="MI"/>
    <s v="DPP-2022"/>
    <s v="East (ITC)"/>
    <s v="Phase 1"/>
    <s v="NRIS"/>
    <s v="RAPSON"/>
    <n v="250"/>
    <n v="250"/>
    <x v="2"/>
    <s v="Battery Storage"/>
    <s v="Not Started"/>
    <m/>
    <n v="250"/>
    <n v="250"/>
    <n v="0"/>
    <n v="0"/>
  </r>
  <r>
    <s v="J2629"/>
    <x v="2"/>
    <d v="2022-09-14T00:00:00"/>
    <m/>
    <m/>
    <d v="2026-09-30T00:00:00"/>
    <s v="ENTERGY TEXAS, INC. ETTO"/>
    <s v="Newton"/>
    <m/>
    <m/>
    <s v="TX"/>
    <s v="DPP-2022"/>
    <s v="South"/>
    <s v="Phase 1"/>
    <s v="NRIS"/>
    <s v="Leach to Newton Bulk 138 kV Line"/>
    <n v="175"/>
    <n v="175"/>
    <x v="0"/>
    <s v="Photovoltaic"/>
    <s v="Not Started"/>
    <m/>
    <n v="175"/>
    <n v="175"/>
    <n v="0"/>
    <n v="0"/>
  </r>
  <r>
    <s v="J2630"/>
    <x v="1"/>
    <d v="2022-09-15T00:00:00"/>
    <d v="2025-07-24T00:00:00"/>
    <m/>
    <d v="2025-10-31T00:00:00"/>
    <s v="ENTERGY ARKANSAS, LLC"/>
    <s v="Woodruff"/>
    <m/>
    <m/>
    <s v="AR"/>
    <s v="DPP-2022"/>
    <s v="South"/>
    <s v="Phase 1"/>
    <s v="NRIS"/>
    <s v="Des Arc to Cotton Plant 115 kV"/>
    <n v="100"/>
    <n v="100"/>
    <x v="0"/>
    <s v="Photovoltaic"/>
    <s v="Not Started"/>
    <m/>
    <n v="0"/>
    <n v="0"/>
    <n v="0"/>
    <n v="0"/>
  </r>
  <r>
    <s v="J2631"/>
    <x v="1"/>
    <d v="2022-09-15T00:00:00"/>
    <d v="2025-07-24T00:00:00"/>
    <m/>
    <d v="2025-10-31T00:00:00"/>
    <s v="ENTERGY ARKANSAS, LLC"/>
    <s v="Arkansas"/>
    <m/>
    <m/>
    <s v="AR"/>
    <s v="DPP-2022"/>
    <s v="South"/>
    <s v="Phase 1"/>
    <s v="NRIS"/>
    <s v="Stuttgart Ricuskey- Tarleton 230 KV"/>
    <n v="250"/>
    <n v="250"/>
    <x v="0"/>
    <s v="Photovoltaic"/>
    <s v="Not Started"/>
    <m/>
    <n v="0"/>
    <n v="0"/>
    <n v="0"/>
    <n v="0"/>
  </r>
  <r>
    <s v="J2632"/>
    <x v="1"/>
    <d v="2022-09-15T00:00:00"/>
    <d v="2025-07-24T00:00:00"/>
    <m/>
    <d v="2025-10-31T00:00:00"/>
    <s v="ENTERGY LOUISIANA, LLC"/>
    <s v="Webster"/>
    <m/>
    <m/>
    <s v="LA"/>
    <s v="DPP-2022"/>
    <s v="South"/>
    <s v="Phase 1"/>
    <s v="NRIS"/>
    <s v="Sarpeta to Minden 115 kV"/>
    <n v="100"/>
    <n v="100"/>
    <x v="0"/>
    <s v="Photovoltaic"/>
    <s v="Not Started"/>
    <m/>
    <n v="0"/>
    <n v="0"/>
    <n v="0"/>
    <n v="0"/>
  </r>
  <r>
    <s v="J2633"/>
    <x v="1"/>
    <d v="2022-09-13T00:00:00"/>
    <d v="2023-03-24T00:00:00"/>
    <m/>
    <d v="2025-06-01T00:00:00"/>
    <s v="ENTERGY ARKANSAS, LLC"/>
    <s v="Van Buren"/>
    <m/>
    <m/>
    <s v="AR"/>
    <s v="DPP-2022"/>
    <s v="South"/>
    <s v="Phase 1"/>
    <s v="NRIS"/>
    <s v="AECC Clinton Industrial - AECC Clinton West 161 KV"/>
    <n v="61"/>
    <n v="61"/>
    <x v="0"/>
    <s v="Photovoltaic"/>
    <s v="Not Started"/>
    <m/>
    <n v="0"/>
    <n v="0"/>
    <n v="0"/>
    <n v="0"/>
  </r>
  <r>
    <s v="J2634"/>
    <x v="2"/>
    <d v="2022-09-12T00:00:00"/>
    <m/>
    <m/>
    <d v="2025-06-01T00:00:00"/>
    <s v="ENTERGY ARKANSAS, LLC EATO"/>
    <s v="Ouachita"/>
    <m/>
    <m/>
    <s v="AR"/>
    <s v="DPP-2022"/>
    <s v="South"/>
    <s v="Phase 1"/>
    <s v="NRIS"/>
    <s v="CAMDEN MAGUIRE - SMACKOVER 115.0kV"/>
    <n v="105.8"/>
    <n v="105.8"/>
    <x v="0"/>
    <s v="Photovoltaic"/>
    <s v="Not Started"/>
    <m/>
    <n v="105.8"/>
    <n v="67"/>
    <n v="0"/>
    <n v="0"/>
  </r>
  <r>
    <s v="J2635"/>
    <x v="1"/>
    <d v="2022-09-15T00:00:00"/>
    <d v="2023-03-24T00:00:00"/>
    <m/>
    <d v="2026-09-30T00:00:00"/>
    <s v="AMEREN ILLINOIS"/>
    <s v="Mason"/>
    <m/>
    <m/>
    <s v="IL"/>
    <s v="DPP-2022"/>
    <s v="Central"/>
    <s v="Phase 2"/>
    <s v="NRIS"/>
    <s v="Cane 138 kV"/>
    <n v="52"/>
    <n v="52"/>
    <x v="0"/>
    <s v="Photovoltaic"/>
    <s v="Not Started"/>
    <m/>
    <n v="0"/>
    <n v="0"/>
    <n v="0"/>
    <n v="0"/>
  </r>
  <r>
    <s v="J2636"/>
    <x v="1"/>
    <d v="2022-09-12T00:00:00"/>
    <d v="2023-03-24T00:00:00"/>
    <m/>
    <d v="2025-06-01T00:00:00"/>
    <s v="ENTERGY ARKANSAS, LLC"/>
    <s v="Clark"/>
    <m/>
    <m/>
    <s v="AR"/>
    <s v="DPP-2022"/>
    <s v="South"/>
    <s v="Phase 1"/>
    <s v="NRIS"/>
    <s v="BISMARCK-AECC ALPINE 115 KV"/>
    <n v="78.5"/>
    <n v="78.5"/>
    <x v="0"/>
    <s v="Photovoltaic"/>
    <s v="Not Started"/>
    <m/>
    <n v="0"/>
    <n v="0"/>
    <n v="0"/>
    <n v="0"/>
  </r>
  <r>
    <s v="J2637"/>
    <x v="1"/>
    <d v="2022-09-10T00:00:00"/>
    <d v="2023-03-24T00:00:00"/>
    <m/>
    <d v="2025-06-01T00:00:00"/>
    <s v="ENTERGY ARKANSAS, LLC"/>
    <s v="Monroe"/>
    <m/>
    <m/>
    <s v="AR"/>
    <s v="DPP-2022"/>
    <s v="South"/>
    <s v="Phase 1"/>
    <s v="NRIS"/>
    <s v="Cotton Plant- Brinkley West 115KV"/>
    <n v="64.5"/>
    <n v="64.5"/>
    <x v="0"/>
    <s v="Photovoltaic"/>
    <s v="Not Started"/>
    <m/>
    <n v="0"/>
    <n v="0"/>
    <n v="0"/>
    <n v="0"/>
  </r>
  <r>
    <s v="J2638"/>
    <x v="1"/>
    <d v="2022-09-12T00:00:00"/>
    <d v="2023-03-24T00:00:00"/>
    <m/>
    <d v="2025-06-01T00:00:00"/>
    <s v="ENTERGY ARKANSAS, LLC"/>
    <s v="Nevada"/>
    <m/>
    <m/>
    <s v="AR"/>
    <s v="DPP-2022"/>
    <s v="South"/>
    <s v="Phase 1"/>
    <s v="NRIS"/>
    <s v="Emmet SS - Hope East SS 115KV"/>
    <n v="58"/>
    <n v="58"/>
    <x v="0"/>
    <s v="Photovoltaic"/>
    <s v="Not Started"/>
    <m/>
    <n v="0"/>
    <n v="0"/>
    <n v="0"/>
    <n v="0"/>
  </r>
  <r>
    <s v="J2639"/>
    <x v="2"/>
    <d v="2022-09-09T00:00:00"/>
    <m/>
    <m/>
    <d v="2025-06-01T00:00:00"/>
    <s v="ENTERGY ARKANSAS, LLC EATO"/>
    <s v="Bradley"/>
    <m/>
    <m/>
    <s v="AR"/>
    <s v="DPP-2022"/>
    <s v="South"/>
    <s v="Phase 1"/>
    <s v="NRIS"/>
    <s v="AECC HERMITAGE SOUTH - HILO 115.0kV"/>
    <n v="105.8"/>
    <n v="105.8"/>
    <x v="0"/>
    <s v="Photovoltaic"/>
    <s v="Not Started"/>
    <m/>
    <n v="105.8"/>
    <n v="70"/>
    <n v="0"/>
    <n v="0"/>
  </r>
  <r>
    <s v="J2640"/>
    <x v="1"/>
    <d v="2022-09-15T00:00:00"/>
    <d v="2025-07-30T00:00:00"/>
    <m/>
    <d v="2025-06-01T00:00:00"/>
    <s v="ENTERGY ARKANSAS, LLC"/>
    <s v="Calhoun"/>
    <m/>
    <m/>
    <s v="AR"/>
    <s v="DPP-2022"/>
    <s v="South"/>
    <s v="Phase 1"/>
    <s v="NRIS"/>
    <s v="SHERIDAN EHV - EL DORADO EHV 500.0kV"/>
    <n v="394.5"/>
    <n v="394.5"/>
    <x v="0"/>
    <s v="Photovoltaic"/>
    <s v="Not Started"/>
    <m/>
    <n v="0"/>
    <n v="0"/>
    <n v="0"/>
    <n v="0"/>
  </r>
  <r>
    <s v="J2641"/>
    <x v="2"/>
    <d v="2022-09-15T00:00:00"/>
    <m/>
    <m/>
    <d v="2025-10-01T00:00:00"/>
    <s v="ENTERGY ARKANSAS, LLC EATO"/>
    <s v="Jackson"/>
    <m/>
    <m/>
    <s v="AR"/>
    <s v="DPP-2022"/>
    <s v="South"/>
    <s v="Phase 1"/>
    <s v="ERIS"/>
    <s v="NEWPORT"/>
    <n v="200"/>
    <n v="200"/>
    <x v="1"/>
    <s v="Wind Turbine"/>
    <s v="Not Started"/>
    <m/>
    <n v="200"/>
    <n v="0"/>
    <n v="0"/>
    <n v="0"/>
  </r>
  <r>
    <s v="J2642"/>
    <x v="1"/>
    <d v="2022-09-12T00:00:00"/>
    <d v="2025-07-31T00:00:00"/>
    <m/>
    <d v="2027-10-01T00:00:00"/>
    <s v="ENTERGY LOUISIANA, LLC"/>
    <s v="Washington"/>
    <m/>
    <m/>
    <s v="LA"/>
    <s v="DPP-2022"/>
    <s v="South"/>
    <s v="Phase 1"/>
    <s v="NRIS"/>
    <s v="BOGALUSA - DEXTER SS (CE) 115.0kV"/>
    <n v="50"/>
    <n v="50"/>
    <x v="2"/>
    <s v="Battery Storage"/>
    <s v="Not Started"/>
    <m/>
    <n v="0"/>
    <n v="0"/>
    <n v="0"/>
    <n v="0"/>
  </r>
  <r>
    <s v="J2643"/>
    <x v="2"/>
    <d v="2022-09-12T00:00:00"/>
    <m/>
    <m/>
    <d v="2027-10-01T00:00:00"/>
    <s v="ENTERGY LOUISIANA, LLC ELTO"/>
    <s v="Washington"/>
    <m/>
    <m/>
    <s v="LA"/>
    <s v="DPP-2022"/>
    <s v="South"/>
    <s v="Phase 1"/>
    <s v="ERIS"/>
    <s v="BOGALUSA - DEXTER SS (CE) 115.0kV"/>
    <n v="150"/>
    <n v="150"/>
    <x v="0"/>
    <s v="Photovoltaic"/>
    <s v="Not Started"/>
    <m/>
    <n v="150"/>
    <n v="0"/>
    <n v="0"/>
    <n v="0"/>
  </r>
  <r>
    <s v="J2644"/>
    <x v="1"/>
    <d v="2022-09-10T00:00:00"/>
    <d v="2025-07-30T00:00:00"/>
    <m/>
    <d v="2025-06-01T00:00:00"/>
    <s v="ENTERGY ARKANSAS, LLC"/>
    <s v="Chicot"/>
    <m/>
    <m/>
    <s v="AR"/>
    <s v="DPP-2022"/>
    <s v="South"/>
    <s v="Phase 1"/>
    <s v="NRIS"/>
    <s v="EUDORA - CHICKASAW (LAGEN) 115.0kV"/>
    <n v="90"/>
    <n v="90"/>
    <x v="0"/>
    <s v="Photovoltaic"/>
    <s v="Not Started"/>
    <m/>
    <n v="0"/>
    <n v="0"/>
    <n v="0"/>
    <n v="0"/>
  </r>
  <r>
    <s v="J2645"/>
    <x v="1"/>
    <d v="2022-09-15T00:00:00"/>
    <d v="2025-08-18T00:00:00"/>
    <m/>
    <d v="2024-12-01T00:00:00"/>
    <s v="AMEREN ILLINOIS"/>
    <s v="St. Clair"/>
    <m/>
    <m/>
    <s v="IL"/>
    <s v="DPP-2022"/>
    <s v="Central"/>
    <s v="Phase 2"/>
    <s v="NRIS"/>
    <s v="4PREST - 4BALDWIN 138.0kV"/>
    <n v="199"/>
    <n v="199"/>
    <x v="0"/>
    <s v="Photovoltaic"/>
    <s v="Not Started"/>
    <m/>
    <n v="0"/>
    <n v="0"/>
    <n v="0"/>
    <n v="0"/>
  </r>
  <r>
    <s v="J2646"/>
    <x v="1"/>
    <d v="2022-09-14T00:00:00"/>
    <d v="2025-07-31T00:00:00"/>
    <m/>
    <d v="2026-10-31T00:00:00"/>
    <s v="ENTERGY LOUISIANA, LLC"/>
    <s v="Lincoln"/>
    <m/>
    <m/>
    <s v="LA"/>
    <s v="DPP-2022"/>
    <s v="South"/>
    <s v="Phase 1"/>
    <s v="NRIS"/>
    <s v="REESE 115 - TRUSSELS CROSSING (LAGEN)"/>
    <n v="130"/>
    <n v="130"/>
    <x v="2"/>
    <s v="Battery Storage"/>
    <s v="Not Started"/>
    <m/>
    <n v="0"/>
    <n v="0"/>
    <n v="0"/>
    <n v="0"/>
  </r>
  <r>
    <s v="J2647"/>
    <x v="2"/>
    <d v="2022-09-14T00:00:00"/>
    <m/>
    <m/>
    <d v="2028-02-01T00:00:00"/>
    <s v="AMEREN ILLINOIS"/>
    <s v="Franklin"/>
    <m/>
    <m/>
    <s v="IL"/>
    <s v="DPP-2022"/>
    <s v="Central"/>
    <s v="Phase 2"/>
    <s v="NRIS"/>
    <s v="West Frankfort East 345 kV (7E W FKFT)"/>
    <n v="300"/>
    <n v="300"/>
    <x v="2"/>
    <s v="Battery Storage"/>
    <s v="Not Started"/>
    <m/>
    <n v="300"/>
    <n v="300"/>
    <n v="0"/>
    <n v="0"/>
  </r>
  <r>
    <s v="J2648"/>
    <x v="2"/>
    <d v="2022-09-15T00:00:00"/>
    <m/>
    <m/>
    <d v="2027-09-02T00:00:00"/>
    <m/>
    <s v="Champaign"/>
    <m/>
    <m/>
    <s v="IL"/>
    <s v="DPP-2022"/>
    <s v="Central"/>
    <s v="Phase 2"/>
    <s v="NRIS"/>
    <s v="Sidney 138 kV"/>
    <n v="135"/>
    <n v="135"/>
    <x v="5"/>
    <s v="Solar/Battery"/>
    <s v="Not Started"/>
    <m/>
    <n v="135"/>
    <n v="135"/>
    <n v="0"/>
    <n v="0"/>
  </r>
  <r>
    <s v="J2649"/>
    <x v="1"/>
    <d v="2022-09-15T00:00:00"/>
    <d v="2023-03-24T00:00:00"/>
    <m/>
    <d v="2027-09-02T00:00:00"/>
    <s v="ENTERGY ARKANSAS, LLC"/>
    <s v="Lee"/>
    <m/>
    <m/>
    <s v="AR"/>
    <s v="DPP-2022"/>
    <s v="South"/>
    <s v="Phase 1"/>
    <s v="NRIS"/>
    <s v="WEST MEMPHIS EHV - KEO EHV 500kv"/>
    <n v="250"/>
    <n v="250"/>
    <x v="5"/>
    <s v="Solar/Battery"/>
    <s v="Not Started"/>
    <m/>
    <n v="0"/>
    <n v="0"/>
    <n v="0"/>
    <n v="0"/>
  </r>
  <r>
    <s v="J2650"/>
    <x v="1"/>
    <d v="2022-09-14T00:00:00"/>
    <d v="2024-02-05T00:00:00"/>
    <m/>
    <d v="2027-09-30T00:00:00"/>
    <s v="INDIANAPOLIS POWER &amp; LIGHT COMPANY"/>
    <s v="Hancock"/>
    <m/>
    <m/>
    <s v="IN"/>
    <s v="DPP-2022"/>
    <s v="Central"/>
    <s v="Phase 2"/>
    <s v="NRIS"/>
    <s v="Sunnyside to Hanna 345 kV"/>
    <n v="236"/>
    <n v="236"/>
    <x v="5"/>
    <s v="Solar/Battery"/>
    <s v="Not Started"/>
    <m/>
    <n v="0"/>
    <n v="0"/>
    <n v="0"/>
    <n v="0"/>
  </r>
  <r>
    <s v="J2651"/>
    <x v="2"/>
    <d v="2022-09-15T00:00:00"/>
    <m/>
    <m/>
    <d v="2026-05-01T00:00:00"/>
    <m/>
    <s v="East Baton Rouge"/>
    <m/>
    <m/>
    <s v="LA"/>
    <s v="DPP-2022"/>
    <s v="South"/>
    <s v="Phase 1"/>
    <s v="NRIS"/>
    <s v="MOLER - COLFEL 230.0kV"/>
    <n v="160"/>
    <n v="160"/>
    <x v="0"/>
    <s v="Photovoltaic"/>
    <s v="Not Started"/>
    <m/>
    <n v="160"/>
    <n v="0"/>
    <n v="0"/>
    <n v="0"/>
  </r>
  <r>
    <s v="J2652"/>
    <x v="1"/>
    <d v="2022-09-15T00:00:00"/>
    <d v="2025-10-27T00:00:00"/>
    <m/>
    <d v="2026-05-01T00:00:00"/>
    <s v="NORTHERN STATES POWER COMPANY"/>
    <s v="Dakota"/>
    <m/>
    <m/>
    <s v="MN"/>
    <s v="DPP-2022"/>
    <s v="West"/>
    <s v="Phase 1"/>
    <s v="NRIS"/>
    <s v="Rosemount - Nininger (GRE) 115 kV line"/>
    <n v="197"/>
    <n v="197"/>
    <x v="2"/>
    <s v="Battery Storage"/>
    <s v="Not Started"/>
    <m/>
    <n v="0"/>
    <n v="0"/>
    <n v="0"/>
    <n v="0"/>
  </r>
  <r>
    <s v="J2653"/>
    <x v="2"/>
    <d v="2022-09-15T00:00:00"/>
    <m/>
    <m/>
    <d v="2027-05-01T00:00:00"/>
    <s v="MIDAMERICAN ENERGY CO. MEC"/>
    <s v="Polk"/>
    <m/>
    <m/>
    <s v="IA"/>
    <s v="DPP-2022"/>
    <s v="West"/>
    <s v="Phase 1"/>
    <s v="NRIS"/>
    <s v="Army Post 161kV Substation"/>
    <n v="170"/>
    <n v="170"/>
    <x v="2"/>
    <s v="Battery Storage"/>
    <s v="Not Started"/>
    <m/>
    <n v="170"/>
    <n v="170"/>
    <n v="0"/>
    <n v="0"/>
  </r>
  <r>
    <s v="J2654"/>
    <x v="2"/>
    <d v="2022-09-14T00:00:00"/>
    <m/>
    <m/>
    <d v="2026-07-01T00:00:00"/>
    <s v="DUKE ENERGY INDIANA, LLC CIN"/>
    <s v="Clinton"/>
    <m/>
    <m/>
    <s v="IN"/>
    <s v="DPP-2022"/>
    <s v="Central"/>
    <s v="Phase 2"/>
    <s v="ERIS"/>
    <s v="Frankfort  -  New London 230.0kV"/>
    <n v="180"/>
    <n v="180"/>
    <x v="1"/>
    <s v="Wind Turbine"/>
    <s v="Not Started"/>
    <m/>
    <n v="180"/>
    <n v="0"/>
    <n v="0"/>
    <n v="0"/>
  </r>
  <r>
    <s v="J2655"/>
    <x v="2"/>
    <d v="2022-09-15T00:00:00"/>
    <m/>
    <m/>
    <d v="2026-05-01T00:00:00"/>
    <s v="MIDAMERICAN ENERGY CO. MEC"/>
    <s v="Polk"/>
    <m/>
    <m/>
    <s v="IA"/>
    <s v="DPP-2022"/>
    <s v="West"/>
    <s v="Phase 1"/>
    <s v="NRIS"/>
    <s v="Army Post 161 kV Substation"/>
    <n v="170"/>
    <n v="170"/>
    <x v="2"/>
    <s v="Battery Storage"/>
    <s v="Not Started"/>
    <m/>
    <n v="170"/>
    <n v="170"/>
    <n v="0"/>
    <n v="0"/>
  </r>
  <r>
    <s v="J2656"/>
    <x v="2"/>
    <d v="2022-09-15T00:00:00"/>
    <m/>
    <m/>
    <d v="2026-05-01T00:00:00"/>
    <m/>
    <s v="Macon"/>
    <m/>
    <m/>
    <s v="IL"/>
    <m/>
    <m/>
    <m/>
    <s v="NRIS"/>
    <s v="4LATHAM-4N DEC E 138 kV"/>
    <n v="180"/>
    <n v="180"/>
    <x v="8"/>
    <m/>
    <s v="Not Started"/>
    <m/>
    <n v="180"/>
    <n v="180"/>
    <n v="0"/>
    <n v="0"/>
  </r>
  <r>
    <s v="J2656"/>
    <x v="2"/>
    <d v="2022-09-15T00:00:00"/>
    <m/>
    <m/>
    <d v="2026-05-01T00:00:00"/>
    <m/>
    <s v="Macon"/>
    <m/>
    <m/>
    <m/>
    <m/>
    <m/>
    <m/>
    <s v="NRIS"/>
    <s v="4LATHAM-4N DEC E 138 kV"/>
    <n v="0"/>
    <n v="0"/>
    <x v="8"/>
    <m/>
    <s v="Not Started"/>
    <m/>
    <n v="180"/>
    <n v="180"/>
    <n v="0"/>
    <n v="0"/>
  </r>
  <r>
    <s v="J2657"/>
    <x v="2"/>
    <d v="2022-09-15T00:00:00"/>
    <m/>
    <m/>
    <d v="2027-05-01T00:00:00"/>
    <s v="NORTHERN INDIANA PUBLIC SERVICE COMPANY LLC NIPS"/>
    <s v="White"/>
    <m/>
    <m/>
    <s v="IN"/>
    <s v="DPP-2022"/>
    <s v="Central"/>
    <s v="Phase 2"/>
    <s v="NRIS"/>
    <s v="REYNOLDS - BURR OAK 345.0kV"/>
    <n v="138"/>
    <n v="138"/>
    <x v="2"/>
    <s v="Battery Storage"/>
    <s v="Not Started"/>
    <m/>
    <n v="138"/>
    <n v="138"/>
    <n v="0"/>
    <n v="0"/>
  </r>
  <r>
    <s v="J2658"/>
    <x v="1"/>
    <d v="2022-09-15T00:00:00"/>
    <d v="2023-03-23T00:00:00"/>
    <m/>
    <d v="2026-05-01T00:00:00"/>
    <s v="AMEREN ILLINOIS"/>
    <s v="Cumberland"/>
    <m/>
    <m/>
    <s v="IL"/>
    <s v="DPP-2022"/>
    <s v="Central"/>
    <s v="Phase 2"/>
    <s v="NRIS"/>
    <s v="7CASEY-7NEWTON 345kV"/>
    <n v="150"/>
    <n v="150"/>
    <x v="2"/>
    <s v="Battery Storage"/>
    <s v="Not Started"/>
    <m/>
    <n v="0"/>
    <n v="0"/>
    <n v="0"/>
    <n v="0"/>
  </r>
  <r>
    <s v="J2659"/>
    <x v="2"/>
    <d v="2025-10-27T00:00:00"/>
    <m/>
    <m/>
    <d v="2026-07-20T00:00:00"/>
    <s v="AMEREN TRANSMISSION COMPANY OF ILLINOIS"/>
    <s v="Sangamon"/>
    <m/>
    <m/>
    <s v="IL"/>
    <s v="DPP-2022"/>
    <s v="Central"/>
    <s v="Phase 2"/>
    <s v="NRIS"/>
    <s v="Turner"/>
    <n v="150"/>
    <n v="150"/>
    <x v="0"/>
    <s v="Photovoltaic"/>
    <s v="Not Started"/>
    <m/>
    <n v="150"/>
    <n v="150"/>
    <n v="0"/>
    <n v="0"/>
  </r>
  <r>
    <s v="J2660"/>
    <x v="1"/>
    <d v="2022-09-15T00:00:00"/>
    <d v="2023-03-23T00:00:00"/>
    <m/>
    <d v="2027-05-01T00:00:00"/>
    <s v="AMEREN ILLINOIS"/>
    <s v="Cumberland"/>
    <m/>
    <m/>
    <s v="IL"/>
    <s v="DPP-2022"/>
    <s v="Central"/>
    <s v="Phase 2"/>
    <s v="NRIS"/>
    <s v="7CASEY-7NEWTON 345kV"/>
    <n v="150"/>
    <n v="150"/>
    <x v="2"/>
    <s v="Battery Storage"/>
    <s v="Not Started"/>
    <m/>
    <n v="0"/>
    <n v="0"/>
    <n v="0"/>
    <n v="0"/>
  </r>
  <r>
    <s v="J2661"/>
    <x v="1"/>
    <d v="2022-09-15T00:00:00"/>
    <d v="2025-10-27T00:00:00"/>
    <m/>
    <d v="2026-05-01T00:00:00"/>
    <s v="AMEREN ILLINOIS"/>
    <s v="Marion"/>
    <m/>
    <m/>
    <s v="IL"/>
    <s v="DPP-2022"/>
    <s v="Central"/>
    <s v="Phase 2"/>
    <s v="NRIS"/>
    <s v="7Xenia- 7MT Vrnon 345 KV"/>
    <n v="200"/>
    <n v="200"/>
    <x v="0"/>
    <s v="Photovoltaic"/>
    <s v="Not Started"/>
    <m/>
    <n v="0"/>
    <n v="0"/>
    <n v="0"/>
    <n v="0"/>
  </r>
  <r>
    <s v="J2662"/>
    <x v="2"/>
    <d v="2022-09-15T00:00:00"/>
    <m/>
    <m/>
    <d v="2026-05-01T00:00:00"/>
    <m/>
    <s v="Cumberland"/>
    <m/>
    <m/>
    <s v="IL"/>
    <s v="DPP-2022"/>
    <s v="Central"/>
    <s v="Phase 2"/>
    <s v="NRIS"/>
    <s v="7CASEY    - 7NEWTON   345.0kV"/>
    <n v="250"/>
    <n v="250"/>
    <x v="0"/>
    <s v="Photovoltaic"/>
    <s v="Not Started"/>
    <m/>
    <n v="250"/>
    <n v="0"/>
    <n v="0"/>
    <n v="0"/>
  </r>
  <r>
    <s v="J2663"/>
    <x v="2"/>
    <d v="2022-09-15T00:00:00"/>
    <m/>
    <m/>
    <d v="2026-05-01T00:00:00"/>
    <s v="NORTHERN INDIANA PUBLIC SERVICE COMPANY LLC NIPS"/>
    <s v="White"/>
    <m/>
    <m/>
    <s v="IN"/>
    <s v="DPP-2022"/>
    <s v="Central"/>
    <s v="Phase 2"/>
    <s v="NRIS"/>
    <s v="Reynolds - Burr Oak 345 kV Line"/>
    <n v="200"/>
    <n v="200"/>
    <x v="2"/>
    <s v="Battery Storage"/>
    <s v="Not Started"/>
    <m/>
    <n v="200"/>
    <n v="200"/>
    <n v="0"/>
    <n v="0"/>
  </r>
  <r>
    <s v="J2664"/>
    <x v="1"/>
    <d v="2022-09-15T00:00:00"/>
    <d v="2025-10-27T00:00:00"/>
    <m/>
    <d v="2026-09-30T00:00:00"/>
    <s v="DUKE ENERGY INDIANA, LLC"/>
    <s v="Montgomery"/>
    <m/>
    <m/>
    <s v="IN"/>
    <s v="DPP-2022"/>
    <s v="Central"/>
    <s v="Phase 2"/>
    <s v="NRIS"/>
    <s v="Cayuga Sta - Nucor 345 kV line"/>
    <n v="200"/>
    <n v="200"/>
    <x v="0"/>
    <s v="Photovoltaic"/>
    <s v="Not Started"/>
    <m/>
    <n v="0"/>
    <n v="0"/>
    <n v="0"/>
    <n v="0"/>
  </r>
  <r>
    <s v="J2665"/>
    <x v="1"/>
    <d v="2022-09-15T00:00:00"/>
    <d v="2025-07-29T00:00:00"/>
    <m/>
    <d v="2027-09-01T00:00:00"/>
    <s v="MONTANA-DAKOTA UTILITIES CO."/>
    <s v="Mercer"/>
    <m/>
    <m/>
    <s v="ND"/>
    <s v="DPP-2022"/>
    <s v="West"/>
    <s v="Phase 1"/>
    <s v="NRIS"/>
    <s v="Coyote Switchyard 345kV Substation"/>
    <n v="347"/>
    <n v="347"/>
    <x v="5"/>
    <s v="Solar/Battery"/>
    <s v="Not Started"/>
    <m/>
    <n v="0"/>
    <n v="0"/>
    <n v="0"/>
    <n v="0"/>
  </r>
  <r>
    <s v="J2666"/>
    <x v="2"/>
    <d v="2024-01-09T00:00:00"/>
    <m/>
    <m/>
    <d v="2026-06-30T00:00:00"/>
    <s v="AMERICAN TRANSMISSION COMPANY"/>
    <s v="Walworth"/>
    <m/>
    <m/>
    <s v="WI"/>
    <s v="DPP-2022"/>
    <s v="East (ATC)"/>
    <s v="Phase 1"/>
    <s v="NRIS"/>
    <s v="Brick Church 138 kV"/>
    <n v="100"/>
    <n v="100"/>
    <x v="0"/>
    <s v="Photovoltaic"/>
    <s v="Not Started"/>
    <m/>
    <n v="100"/>
    <n v="100"/>
    <n v="0"/>
    <n v="0"/>
  </r>
  <r>
    <s v="J2667"/>
    <x v="4"/>
    <d v="2022-09-14T00:00:00"/>
    <m/>
    <m/>
    <d v="2025-11-01T00:00:00"/>
    <s v="ITC"/>
    <s v="Sanilac"/>
    <m/>
    <m/>
    <s v="MI"/>
    <s v="DPP-2022"/>
    <s v="East (ITC)"/>
    <s v="Phase 1"/>
    <s v="NRIS"/>
    <s v="GREENWOOD - RAPSON 345.0kV"/>
    <n v="135"/>
    <n v="135"/>
    <x v="0"/>
    <s v="Photovoltaic"/>
    <s v="Not Started"/>
    <m/>
    <n v="135"/>
    <n v="135"/>
    <n v="0"/>
    <n v="0"/>
  </r>
  <r>
    <s v="J2668"/>
    <x v="4"/>
    <d v="2022-09-14T00:00:00"/>
    <m/>
    <m/>
    <d v="2025-11-01T00:00:00"/>
    <s v="WOLVERINE POWER SUPPLY COOPERATIVE"/>
    <s v="Mason"/>
    <m/>
    <m/>
    <s v="MI"/>
    <s v="DPP-2022"/>
    <s v="East (ITC)"/>
    <s v="Phase 1"/>
    <s v="NRIS"/>
    <s v="Lake County - Pere Marquette (METC) 138.0kV"/>
    <n v="215"/>
    <n v="215"/>
    <x v="0"/>
    <s v="Photovoltaic"/>
    <s v="Not Started"/>
    <m/>
    <n v="215"/>
    <n v="215"/>
    <n v="0"/>
    <n v="0"/>
  </r>
  <r>
    <s v="J2669"/>
    <x v="4"/>
    <d v="2022-09-14T00:00:00"/>
    <m/>
    <m/>
    <d v="2025-11-01T00:00:00"/>
    <s v="WOLVERINE POWER SUPPLY COOPERATIVE"/>
    <s v="Mason"/>
    <m/>
    <m/>
    <s v="MI"/>
    <s v="DPP-2022"/>
    <s v="East (ITC)"/>
    <s v="Phase 1"/>
    <s v="NRIS"/>
    <s v="Lake County - Pere Marquette (METC) 138.0kV"/>
    <n v="120"/>
    <n v="120"/>
    <x v="0"/>
    <s v="Photovoltaic"/>
    <s v="Not Started"/>
    <m/>
    <n v="120"/>
    <n v="120"/>
    <n v="0"/>
    <n v="0"/>
  </r>
  <r>
    <s v="J2670"/>
    <x v="4"/>
    <d v="2022-09-14T00:00:00"/>
    <m/>
    <m/>
    <d v="2025-11-01T00:00:00"/>
    <m/>
    <s v="Mason"/>
    <m/>
    <m/>
    <s v="MI"/>
    <s v="DPP-2022"/>
    <s v="East (ITC)"/>
    <s v="Phase 1"/>
    <s v="NRIS"/>
    <s v="Ludington to Keystone 345 kV"/>
    <n v="223"/>
    <n v="223"/>
    <x v="0"/>
    <s v="Photovoltaic"/>
    <s v="Not Started"/>
    <m/>
    <n v="223"/>
    <n v="223"/>
    <n v="0"/>
    <n v="0"/>
  </r>
  <r>
    <s v="J2671"/>
    <x v="1"/>
    <d v="2022-09-14T00:00:00"/>
    <d v="2025-08-01T00:00:00"/>
    <m/>
    <d v="2025-11-01T00:00:00"/>
    <s v="METC"/>
    <s v="Arenac"/>
    <m/>
    <m/>
    <s v="MI"/>
    <s v="DPP-2022"/>
    <s v="East (ITC)"/>
    <s v="Phase 1"/>
    <s v="NRIS"/>
    <s v="Whittemore to Twining 138 kV"/>
    <n v="150"/>
    <n v="150"/>
    <x v="0"/>
    <s v="Photovoltaic"/>
    <s v="Not Started"/>
    <m/>
    <n v="0"/>
    <n v="0"/>
    <n v="0"/>
    <n v="0"/>
  </r>
  <r>
    <s v="J2672"/>
    <x v="2"/>
    <d v="2022-09-14T00:00:00"/>
    <m/>
    <m/>
    <d v="2025-11-01T00:00:00"/>
    <s v="METC"/>
    <s v="Shiawassee"/>
    <m/>
    <m/>
    <s v="MI"/>
    <s v="DPP-2022"/>
    <s v="East (ITC)"/>
    <s v="Phase 1"/>
    <s v="NRIS"/>
    <s v="BINGHAM - CORNELL 138.0kV"/>
    <n v="120"/>
    <n v="120"/>
    <x v="0"/>
    <s v="Photovoltaic"/>
    <s v="Not Started"/>
    <m/>
    <n v="120"/>
    <n v="120"/>
    <n v="0"/>
    <n v="0"/>
  </r>
  <r>
    <s v="J2673"/>
    <x v="4"/>
    <d v="2022-09-14T00:00:00"/>
    <m/>
    <m/>
    <d v="2025-11-01T00:00:00"/>
    <s v="METC"/>
    <s v="Clare"/>
    <m/>
    <m/>
    <s v="MI"/>
    <s v="DPP-2022"/>
    <s v="East (ITC)"/>
    <s v="Phase 1"/>
    <s v="NRIS"/>
    <s v="BARD ROAD - WARREN 138.0kV"/>
    <n v="145"/>
    <n v="145"/>
    <x v="0"/>
    <s v="Photovoltaic"/>
    <s v="Not Started"/>
    <d v="2026-12-31T00:00:00"/>
    <n v="145"/>
    <n v="145"/>
    <n v="0"/>
    <n v="0"/>
  </r>
  <r>
    <s v="J2674"/>
    <x v="1"/>
    <d v="2022-09-14T00:00:00"/>
    <d v="2025-08-01T00:00:00"/>
    <m/>
    <d v="2025-11-01T00:00:00"/>
    <s v="METC"/>
    <s v="Clinton"/>
    <m/>
    <m/>
    <s v="MI"/>
    <s v="DPP-2022"/>
    <s v="East (ITC)"/>
    <s v="Phase 1"/>
    <s v="NRIS"/>
    <s v="Bingham to Marquette 138 kV"/>
    <n v="200"/>
    <n v="200"/>
    <x v="0"/>
    <s v="Photovoltaic"/>
    <s v="Not Started"/>
    <m/>
    <n v="0"/>
    <n v="0"/>
    <n v="0"/>
    <n v="0"/>
  </r>
  <r>
    <s v="J2675"/>
    <x v="4"/>
    <d v="2022-09-14T00:00:00"/>
    <m/>
    <m/>
    <d v="2025-11-01T00:00:00"/>
    <s v="METC"/>
    <s v="Gladwin"/>
    <m/>
    <m/>
    <s v="MI"/>
    <s v="DPP-2022"/>
    <s v="East (ITC)"/>
    <s v="Phase 1"/>
    <s v="NRIS"/>
    <s v="BARD ROAD - GALLAGHER 138.0kV"/>
    <n v="90"/>
    <n v="90"/>
    <x v="0"/>
    <s v="Photovoltaic"/>
    <s v="Not Started"/>
    <m/>
    <n v="90"/>
    <n v="90"/>
    <n v="0"/>
    <n v="0"/>
  </r>
  <r>
    <s v="J2676"/>
    <x v="4"/>
    <d v="2022-09-14T00:00:00"/>
    <m/>
    <m/>
    <d v="2025-11-01T00:00:00"/>
    <s v="ITC"/>
    <s v="Huron"/>
    <m/>
    <m/>
    <s v="MI"/>
    <s v="DPP-2022"/>
    <s v="East (ITC)"/>
    <s v="Phase 1"/>
    <s v="NRIS"/>
    <s v="RAPSON - STEIN 345.0kV"/>
    <n v="200"/>
    <n v="200"/>
    <x v="0"/>
    <s v="Photovoltaic"/>
    <s v="Not Started"/>
    <d v="2027-10-04T00:00:00"/>
    <n v="200"/>
    <n v="200"/>
    <n v="0"/>
    <n v="0"/>
  </r>
  <r>
    <s v="J2677"/>
    <x v="4"/>
    <d v="2022-09-14T00:00:00"/>
    <m/>
    <m/>
    <d v="2025-11-01T00:00:00"/>
    <s v="ITC"/>
    <s v="St. Clair"/>
    <m/>
    <m/>
    <s v="MI"/>
    <s v="DPP-2022"/>
    <s v="East (ITC)"/>
    <s v="Phase 1"/>
    <s v="NRIS"/>
    <s v="Greenwood 120 kV"/>
    <n v="195"/>
    <n v="195"/>
    <x v="0"/>
    <s v="Photovoltaic"/>
    <s v="Not Started"/>
    <m/>
    <n v="195"/>
    <n v="195"/>
    <n v="0"/>
    <n v="0"/>
  </r>
  <r>
    <s v="J2678"/>
    <x v="4"/>
    <d v="2022-09-14T00:00:00"/>
    <m/>
    <m/>
    <d v="2025-11-01T00:00:00"/>
    <s v="AMERICAN TRANSMISSION COMPANY"/>
    <s v="Delta"/>
    <m/>
    <m/>
    <s v="MI"/>
    <s v="DPP-2022"/>
    <s v="East (ATC)"/>
    <s v="Phase 1"/>
    <s v="NRIS"/>
    <s v="Chandler 138 kV"/>
    <n v="150"/>
    <n v="150"/>
    <x v="0"/>
    <s v="Photovoltaic"/>
    <s v="Not Started"/>
    <m/>
    <n v="150"/>
    <n v="150"/>
    <n v="0"/>
    <n v="0"/>
  </r>
  <r>
    <s v="J2679"/>
    <x v="2"/>
    <d v="2022-09-14T00:00:00"/>
    <m/>
    <m/>
    <d v="2027-04-15T00:00:00"/>
    <s v="ITC"/>
    <s v="Livingston"/>
    <m/>
    <m/>
    <s v="MI"/>
    <s v="DPP-2022"/>
    <s v="East (ITC)"/>
    <s v="Phase 1"/>
    <s v="NRIS"/>
    <s v="COLFAX to Madrid 120 kV"/>
    <n v="100"/>
    <n v="100"/>
    <x v="0"/>
    <s v="Photovoltaic"/>
    <s v="Not Started"/>
    <m/>
    <n v="100"/>
    <n v="100"/>
    <n v="0"/>
    <n v="0"/>
  </r>
  <r>
    <s v="J2680"/>
    <x v="1"/>
    <d v="2022-09-15T00:00:00"/>
    <d v="2023-03-24T00:00:00"/>
    <m/>
    <d v="2026-10-20T00:00:00"/>
    <s v="ENTERGY ARKANSAS, LLC"/>
    <s v="Dunklin"/>
    <m/>
    <m/>
    <s v="MO"/>
    <s v="DPP-2022"/>
    <s v="South"/>
    <s v="Phase 1"/>
    <s v="NRIS"/>
    <s v="Jim Hill-Hayti South 161 kV Line"/>
    <n v="150"/>
    <n v="150"/>
    <x v="0"/>
    <s v="Photovoltaic"/>
    <s v="Not Started"/>
    <m/>
    <n v="0"/>
    <n v="0"/>
    <n v="0"/>
    <n v="0"/>
  </r>
  <r>
    <s v="J2681"/>
    <x v="1"/>
    <d v="2022-09-13T00:00:00"/>
    <d v="2023-03-24T00:00:00"/>
    <m/>
    <d v="2027-08-31T00:00:00"/>
    <s v="ENTERGY ARKANSAS, LLC"/>
    <s v="Columbia"/>
    <m/>
    <m/>
    <s v="AR"/>
    <s v="DPP-2022"/>
    <s v="South"/>
    <s v="Phase 1"/>
    <s v="NRIS"/>
    <s v="Springhill 115kV (A) to Taylor 115kV (B)"/>
    <n v="170"/>
    <n v="170"/>
    <x v="0"/>
    <s v="Photovoltaic"/>
    <s v="Not Started"/>
    <m/>
    <n v="0"/>
    <n v="0"/>
    <n v="0"/>
    <n v="0"/>
  </r>
  <r>
    <s v="J2682"/>
    <x v="1"/>
    <d v="2022-09-15T00:00:00"/>
    <d v="2023-03-02T00:00:00"/>
    <m/>
    <d v="2025-10-31T00:00:00"/>
    <s v="ENTERGY ARKANSAS, LLC"/>
    <s v="Jackson"/>
    <m/>
    <m/>
    <s v="AR"/>
    <s v="DPP-2022"/>
    <s v="South"/>
    <s v="Phase 1"/>
    <s v="NRIS"/>
    <s v="Independence-ISES- Newport 161 KV"/>
    <n v="500"/>
    <n v="500"/>
    <x v="0"/>
    <s v="Photovoltaic"/>
    <s v="Not Started"/>
    <m/>
    <n v="0"/>
    <n v="0"/>
    <n v="0"/>
    <n v="0"/>
  </r>
  <r>
    <s v="J2683"/>
    <x v="1"/>
    <d v="2022-09-14T00:00:00"/>
    <d v="2025-07-31T00:00:00"/>
    <m/>
    <d v="2026-01-01T00:00:00"/>
    <s v="ENTERGY TEXAS, INC."/>
    <s v="Hardin"/>
    <m/>
    <m/>
    <s v="TX"/>
    <s v="DPP-2022"/>
    <s v="South"/>
    <s v="Phase 1"/>
    <s v="NRIS"/>
    <s v="New Substation on Rye  Co - Cypress 138 kV (Same POI as J2071)"/>
    <n v="120"/>
    <n v="120"/>
    <x v="0"/>
    <s v="Photovoltaic"/>
    <s v="Not Started"/>
    <m/>
    <n v="0"/>
    <n v="0"/>
    <n v="0"/>
    <n v="0"/>
  </r>
  <r>
    <s v="J2684"/>
    <x v="4"/>
    <d v="2022-09-08T00:00:00"/>
    <m/>
    <m/>
    <d v="2025-01-01T00:00:00"/>
    <s v="ITC"/>
    <s v="St. Clair"/>
    <m/>
    <m/>
    <s v="MI"/>
    <s v="DPP-2022"/>
    <s v="East (ITC)"/>
    <s v="Phase 1"/>
    <s v="NRIS"/>
    <s v="BUNCE"/>
    <n v="140"/>
    <n v="140"/>
    <x v="2"/>
    <s v="Battery Storage"/>
    <s v="Not Started"/>
    <m/>
    <n v="140"/>
    <n v="140"/>
    <n v="0"/>
    <n v="0"/>
  </r>
  <r>
    <s v="J2685"/>
    <x v="2"/>
    <d v="2025-08-21T00:00:00"/>
    <m/>
    <m/>
    <d v="2026-01-01T00:00:00"/>
    <s v="ENTERGY MISSISSIPPI, LLC. EMTO"/>
    <s v="Sharkey"/>
    <m/>
    <m/>
    <s v="MS"/>
    <s v="DPP-2022"/>
    <s v="South"/>
    <s v="Phase 1"/>
    <s v="ERIS"/>
    <s v="ROLLING FORK"/>
    <n v="120"/>
    <n v="120"/>
    <x v="0"/>
    <s v="Photovoltaic"/>
    <s v="Not Started"/>
    <m/>
    <n v="120"/>
    <n v="0"/>
    <n v="0"/>
    <n v="0"/>
  </r>
  <r>
    <s v="J2686"/>
    <x v="2"/>
    <d v="2022-09-15T00:00:00"/>
    <m/>
    <m/>
    <d v="2028-09-30T00:00:00"/>
    <s v="MIDAMERICAN ENERGY CO. MEC"/>
    <s v="Muscatine"/>
    <m/>
    <m/>
    <s v="IA"/>
    <s v="DPP-2022"/>
    <s v="West"/>
    <s v="Phase 1"/>
    <s v="NRIS"/>
    <s v="Walcott 345 kV"/>
    <n v="150"/>
    <n v="150"/>
    <x v="1"/>
    <s v="Wind Turbine"/>
    <s v="Not Started"/>
    <m/>
    <n v="150"/>
    <n v="150"/>
    <n v="0"/>
    <n v="0"/>
  </r>
  <r>
    <s v="J2687"/>
    <x v="1"/>
    <d v="2022-09-15T00:00:00"/>
    <d v="2025-10-27T00:00:00"/>
    <m/>
    <d v="2026-09-30T00:00:00"/>
    <s v="INDIANAPOLIS POWER &amp; LIGHT COMPANY"/>
    <s v="Hancock"/>
    <m/>
    <m/>
    <s v="IN"/>
    <s v="DPP-2022"/>
    <s v="Central"/>
    <s v="Phase 2"/>
    <s v="NRIS"/>
    <s v="Sunnyside to Gwynneville 345kV line"/>
    <n v="300"/>
    <n v="300"/>
    <x v="5"/>
    <s v="Solar/Battery"/>
    <s v="Not Started"/>
    <m/>
    <n v="0"/>
    <n v="0"/>
    <n v="0"/>
    <n v="0"/>
  </r>
  <r>
    <s v="J2688"/>
    <x v="1"/>
    <d v="2022-09-15T00:00:00"/>
    <d v="2025-07-31T00:00:00"/>
    <m/>
    <d v="2026-05-26T00:00:00"/>
    <s v="ENTERGY TEXAS, INC."/>
    <s v="Newton"/>
    <m/>
    <m/>
    <s v="TX"/>
    <s v="DPP-2022"/>
    <s v="South"/>
    <s v="Phase 1"/>
    <s v="NRIS"/>
    <s v="NEWTON 138 kV"/>
    <n v="130"/>
    <n v="130"/>
    <x v="5"/>
    <s v="Solar/Battery"/>
    <s v="Not Started"/>
    <m/>
    <n v="0"/>
    <n v="0"/>
    <n v="0"/>
    <n v="0"/>
  </r>
  <r>
    <s v="J2689"/>
    <x v="2"/>
    <d v="2025-07-31T00:00:00"/>
    <m/>
    <m/>
    <d v="2026-05-26T00:00:00"/>
    <s v="ENTERGY TEXAS, INC. ETTO"/>
    <s v="Liberty"/>
    <m/>
    <m/>
    <s v="TX"/>
    <s v="DPP-2022"/>
    <s v="South"/>
    <s v="Phase 1"/>
    <s v="NRIS"/>
    <s v="JACINTO 230kV"/>
    <n v="180"/>
    <n v="180"/>
    <x v="5"/>
    <s v="Solar/Battery"/>
    <s v="Not Started"/>
    <m/>
    <n v="180"/>
    <n v="0"/>
    <n v="0"/>
    <n v="0"/>
  </r>
  <r>
    <s v="J2690"/>
    <x v="2"/>
    <d v="2022-09-15T00:00:00"/>
    <m/>
    <m/>
    <d v="2027-04-15T00:00:00"/>
    <m/>
    <s v="Washington"/>
    <m/>
    <m/>
    <s v="IL"/>
    <s v="DPP-2022"/>
    <s v="Central"/>
    <s v="Phase 2"/>
    <s v="NRIS"/>
    <s v="Other_"/>
    <n v="500"/>
    <n v="500"/>
    <x v="5"/>
    <s v="Wind/Battery"/>
    <s v="Not Started"/>
    <m/>
    <n v="500"/>
    <n v="500"/>
    <n v="0"/>
    <n v="0"/>
  </r>
  <r>
    <s v="J2691"/>
    <x v="2"/>
    <d v="2022-09-15T00:00:00"/>
    <m/>
    <m/>
    <d v="2027-04-15T00:00:00"/>
    <s v="AMEREN MISSOURI"/>
    <s v="Bollinger"/>
    <m/>
    <m/>
    <s v="MO"/>
    <s v="DPP-2022"/>
    <s v="Central"/>
    <s v="Phase 2"/>
    <s v="ERIS"/>
    <s v="7RUSH     - 7BALDWIN 345.0kV"/>
    <n v="250"/>
    <n v="250"/>
    <x v="5"/>
    <s v="Solar/Wind/Battery"/>
    <s v="Not Started"/>
    <m/>
    <n v="250"/>
    <n v="0"/>
    <n v="0"/>
    <n v="0"/>
  </r>
  <r>
    <s v="J2692"/>
    <x v="1"/>
    <d v="2022-09-14T00:00:00"/>
    <d v="2025-07-31T00:00:00"/>
    <m/>
    <d v="2028-10-02T00:00:00"/>
    <s v="ENTERGY MISSISSIPPI, LLC."/>
    <s v="Choctaw"/>
    <m/>
    <m/>
    <s v="MS"/>
    <s v="DPP-2022"/>
    <s v="South"/>
    <s v="Phase 1"/>
    <s v="E-NRIS"/>
    <s v="WOLF CREEK 500 kV"/>
    <n v="500"/>
    <n v="500"/>
    <x v="10"/>
    <s v="Solar/Wind/Battery"/>
    <s v="Not Started"/>
    <m/>
    <n v="0"/>
    <n v="0"/>
    <n v="0"/>
    <n v="0"/>
  </r>
  <r>
    <s v="J2693"/>
    <x v="2"/>
    <d v="2022-09-14T00:00:00"/>
    <m/>
    <m/>
    <d v="2027-04-15T00:00:00"/>
    <m/>
    <s v="Franklin"/>
    <m/>
    <m/>
    <s v="LA"/>
    <s v="DPP-2022"/>
    <s v="South"/>
    <s v="Phase 1"/>
    <s v="NRIS"/>
    <s v="WISNER"/>
    <n v="105"/>
    <n v="105"/>
    <x v="0"/>
    <s v="Photovoltaic"/>
    <s v="Not Started"/>
    <m/>
    <n v="105"/>
    <n v="0"/>
    <n v="0"/>
    <n v="0"/>
  </r>
  <r>
    <s v="J2694"/>
    <x v="2"/>
    <d v="2022-09-15T00:00:00"/>
    <m/>
    <m/>
    <d v="2027-04-15T00:00:00"/>
    <m/>
    <s v="Christian"/>
    <m/>
    <m/>
    <s v="IL"/>
    <s v="DPP-2022"/>
    <s v="Central"/>
    <s v="Phase 2"/>
    <s v="NRIS"/>
    <s v="7COFFEEN  - 7PANA     345.0kV"/>
    <n v="500"/>
    <n v="500"/>
    <x v="5"/>
    <s v="Solar/Wind/Battery"/>
    <s v="Not Started"/>
    <m/>
    <n v="500"/>
    <n v="500"/>
    <n v="0"/>
    <n v="0"/>
  </r>
  <r>
    <s v="J2695"/>
    <x v="1"/>
    <d v="2022-09-14T00:00:00"/>
    <d v="2025-10-27T00:00:00"/>
    <m/>
    <d v="2027-04-15T00:00:00"/>
    <s v="DUKE ENERGY INDIANA, LLC"/>
    <s v="Carroll"/>
    <m/>
    <m/>
    <s v="IN"/>
    <s v="DPP-2022"/>
    <s v="Central"/>
    <s v="Phase 2"/>
    <s v="NRIS"/>
    <s v="Other_"/>
    <n v="234"/>
    <n v="234"/>
    <x v="0"/>
    <s v="Photovoltaic"/>
    <s v="Not Started"/>
    <m/>
    <n v="0"/>
    <n v="0"/>
    <n v="0"/>
    <n v="0"/>
  </r>
  <r>
    <s v="J2696"/>
    <x v="2"/>
    <d v="2022-09-15T00:00:00"/>
    <m/>
    <m/>
    <d v="2027-04-15T00:00:00"/>
    <s v="ENTERGY ARKANSAS INC. EAI"/>
    <s v="Mississippi"/>
    <m/>
    <m/>
    <s v="AR"/>
    <s v="DPP-2022"/>
    <s v="South"/>
    <s v="Phase 1"/>
    <s v="NRIS"/>
    <s v="Sandy Bayou"/>
    <n v="500"/>
    <n v="500"/>
    <x v="0"/>
    <s v="Photovoltaic"/>
    <s v="Not Started"/>
    <m/>
    <n v="500"/>
    <n v="500"/>
    <n v="0"/>
    <n v="0"/>
  </r>
  <r>
    <s v="J2697"/>
    <x v="1"/>
    <d v="2022-09-15T00:00:00"/>
    <d v="2025-10-27T00:00:00"/>
    <m/>
    <d v="2027-04-15T00:00:00"/>
    <s v="AMEREN ILLINOIS"/>
    <s v="St. Clair"/>
    <m/>
    <m/>
    <s v="IL"/>
    <s v="DPP-2022"/>
    <s v="Central"/>
    <s v="Phase 2"/>
    <s v="NRIS"/>
    <s v="7ASTER - 7CMDR 345.0kV"/>
    <n v="500"/>
    <n v="500"/>
    <x v="5"/>
    <s v="Solar/Wind/Battery"/>
    <s v="Not Started"/>
    <m/>
    <n v="0"/>
    <n v="0"/>
    <n v="0"/>
    <n v="0"/>
  </r>
  <r>
    <s v="J2698"/>
    <x v="1"/>
    <d v="2022-09-14T00:00:00"/>
    <d v="2025-07-31T00:00:00"/>
    <m/>
    <d v="2028-10-02T00:00:00"/>
    <s v="ENTERGY MISSISSIPPI, LLC."/>
    <s v="Choctaw"/>
    <m/>
    <m/>
    <s v="MS"/>
    <s v="DPP-2022"/>
    <s v="South"/>
    <s v="Phase 1"/>
    <s v="E-NRIS"/>
    <s v="WOLF CREEK 500 kV"/>
    <n v="500"/>
    <n v="500"/>
    <x v="10"/>
    <s v="Wind Turbine"/>
    <s v="Not Started"/>
    <m/>
    <n v="0"/>
    <n v="0"/>
    <n v="0"/>
    <n v="0"/>
  </r>
  <r>
    <s v="J2699"/>
    <x v="1"/>
    <d v="2022-09-14T00:00:00"/>
    <d v="2025-07-31T00:00:00"/>
    <m/>
    <d v="2027-04-15T00:00:00"/>
    <s v="ENTERGY LOUISIANA, LLC"/>
    <s v="East Carroll"/>
    <m/>
    <m/>
    <s v="LA"/>
    <s v="DPP-2022"/>
    <s v="South"/>
    <s v="Phase 1"/>
    <s v="NRIS"/>
    <s v="115 kV DARNELL"/>
    <n v="58.1"/>
    <n v="58.1"/>
    <x v="0"/>
    <s v="Photovoltaic"/>
    <s v="Not Started"/>
    <m/>
    <n v="0"/>
    <n v="0"/>
    <n v="0"/>
    <n v="0"/>
  </r>
  <r>
    <s v="J2700"/>
    <x v="1"/>
    <d v="2022-09-14T00:00:00"/>
    <d v="2025-07-31T00:00:00"/>
    <m/>
    <d v="2027-04-15T00:00:00"/>
    <s v="ENTERGY LOUISIANA, LLC"/>
    <s v="Calcasieu"/>
    <m/>
    <m/>
    <s v="LA"/>
    <s v="DPP-2022"/>
    <s v="South"/>
    <s v="Phase 1"/>
    <s v="NRIS"/>
    <s v="138 kV LAKE CHARLES BULK"/>
    <n v="170"/>
    <n v="170"/>
    <x v="0"/>
    <s v="Photovoltaic"/>
    <s v="Not Started"/>
    <m/>
    <n v="0"/>
    <n v="0"/>
    <n v="0"/>
    <n v="0"/>
  </r>
  <r>
    <s v="J2701"/>
    <x v="2"/>
    <d v="2022-09-14T00:00:00"/>
    <m/>
    <m/>
    <d v="2027-04-15T00:00:00"/>
    <s v="ENTERGY LOUISIANA, LLC ELTO"/>
    <s v="Jefferson Davis"/>
    <m/>
    <m/>
    <s v="LA"/>
    <s v="DPP-2022"/>
    <s v="South"/>
    <s v="Phase 1"/>
    <s v="NRIS"/>
    <s v="COLONIAL WELSH 138"/>
    <n v="100"/>
    <n v="100"/>
    <x v="0"/>
    <s v="Photovoltaic"/>
    <s v="Not Started"/>
    <m/>
    <n v="100"/>
    <n v="0"/>
    <n v="0"/>
    <n v="0"/>
  </r>
  <r>
    <s v="J2702"/>
    <x v="1"/>
    <d v="2022-09-14T00:00:00"/>
    <d v="2025-10-27T00:00:00"/>
    <m/>
    <d v="2027-04-15T00:00:00"/>
    <s v="AMEREN TRANSMISSION COMPANY OF ILLINOIS"/>
    <s v="Fulton"/>
    <m/>
    <m/>
    <s v="IL"/>
    <s v="DPP-2022"/>
    <s v="Central"/>
    <s v="Phase 2"/>
    <s v="NRIS"/>
    <s v="Ipava-Macomb, West-1429 138 kV"/>
    <n v="100.8"/>
    <n v="100.8"/>
    <x v="0"/>
    <s v="Photovoltaic"/>
    <s v="Not Started"/>
    <m/>
    <n v="0"/>
    <n v="0"/>
    <n v="0"/>
    <n v="0"/>
  </r>
  <r>
    <s v="J2703"/>
    <x v="1"/>
    <d v="2022-09-14T00:00:00"/>
    <d v="2025-10-27T00:00:00"/>
    <m/>
    <d v="2027-04-15T00:00:00"/>
    <s v="AMEREN TRANSMISSION COMPANY OF ILLINOIS"/>
    <s v="Scott"/>
    <m/>
    <m/>
    <s v="IL"/>
    <s v="DPP-2022"/>
    <s v="Central"/>
    <s v="Phase 2"/>
    <s v="NRIS"/>
    <s v="Meredosia 345 kV"/>
    <n v="398"/>
    <n v="398"/>
    <x v="0"/>
    <s v="Photovoltaic"/>
    <s v="Not Started"/>
    <m/>
    <n v="0"/>
    <n v="0"/>
    <n v="0"/>
    <n v="0"/>
  </r>
  <r>
    <s v="J2704"/>
    <x v="2"/>
    <d v="2022-09-14T00:00:00"/>
    <m/>
    <m/>
    <d v="2027-04-15T00:00:00"/>
    <m/>
    <s v="Ouachita"/>
    <m/>
    <m/>
    <s v="LA"/>
    <s v="DPP-2022"/>
    <s v="South"/>
    <s v="Phase 1"/>
    <s v="NRIS"/>
    <s v="Cargas"/>
    <n v="500"/>
    <n v="500"/>
    <x v="0"/>
    <s v="Photovoltaic"/>
    <s v="Not Started"/>
    <m/>
    <n v="500"/>
    <n v="219"/>
    <n v="0"/>
    <n v="0"/>
  </r>
  <r>
    <s v="J2705"/>
    <x v="1"/>
    <d v="2022-09-15T00:00:00"/>
    <d v="2025-07-31T00:00:00"/>
    <m/>
    <d v="2027-04-15T00:00:00"/>
    <s v="ENTERGY LOUISIANA, LLC"/>
    <s v="Assumption"/>
    <m/>
    <m/>
    <s v="LA"/>
    <s v="DPP-2022"/>
    <s v="South"/>
    <s v="Phase 1"/>
    <s v="NRIS"/>
    <s v="NAPOLEONVILLE 115 kV"/>
    <n v="220"/>
    <n v="220"/>
    <x v="0"/>
    <s v="Photovoltaic"/>
    <s v="Not Started"/>
    <m/>
    <n v="0"/>
    <n v="0"/>
    <n v="0"/>
    <n v="0"/>
  </r>
  <r>
    <s v="J2706"/>
    <x v="1"/>
    <d v="2022-09-14T00:00:00"/>
    <d v="2025-07-31T00:00:00"/>
    <m/>
    <d v="2027-04-15T00:00:00"/>
    <s v="ENTERGY LOUISIANA, LLC"/>
    <s v="Morehouse"/>
    <m/>
    <m/>
    <s v="LA"/>
    <s v="DPP-2022"/>
    <s v="South"/>
    <s v="Phase 1"/>
    <s v="NRIS"/>
    <s v="BAXTER WILSON SES SWYD - PERRYVILLE 500 500 kV (181.1,503.0)"/>
    <n v="500"/>
    <n v="500"/>
    <x v="0"/>
    <s v="Photovoltaic"/>
    <s v="Not Started"/>
    <m/>
    <n v="0"/>
    <n v="0"/>
    <n v="0"/>
    <n v="0"/>
  </r>
  <r>
    <s v="J2707"/>
    <x v="1"/>
    <d v="2022-09-15T00:00:00"/>
    <d v="2025-07-31T00:00:00"/>
    <m/>
    <d v="2027-04-15T00:00:00"/>
    <s v="ENTERGY LOUISIANA, LLC"/>
    <s v="Assumption"/>
    <m/>
    <m/>
    <s v="LA"/>
    <s v="DPP-2022"/>
    <s v="South"/>
    <s v="Phase 1"/>
    <s v="NRIS"/>
    <s v="PAINCOURTVILLE 115 kV"/>
    <n v="165"/>
    <n v="165"/>
    <x v="0"/>
    <s v="Photovoltaic"/>
    <s v="Not Started"/>
    <m/>
    <n v="0"/>
    <n v="0"/>
    <n v="0"/>
    <n v="0"/>
  </r>
  <r>
    <s v="J2708"/>
    <x v="2"/>
    <d v="2022-09-14T00:00:00"/>
    <m/>
    <m/>
    <d v="2027-04-15T00:00:00"/>
    <m/>
    <s v="Ouachita"/>
    <m/>
    <m/>
    <s v="LA"/>
    <s v="DPP-2022"/>
    <s v="South"/>
    <s v="Phase 1"/>
    <s v="NRIS"/>
    <s v="Cargas"/>
    <n v="500"/>
    <n v="500"/>
    <x v="0"/>
    <s v="Photovoltaic"/>
    <s v="Not Started"/>
    <m/>
    <n v="500"/>
    <n v="219"/>
    <n v="0"/>
    <n v="0"/>
  </r>
  <r>
    <s v="J2709"/>
    <x v="1"/>
    <d v="2022-09-14T00:00:00"/>
    <d v="2023-03-24T00:00:00"/>
    <m/>
    <d v="2027-04-15T00:00:00"/>
    <s v="DUKE ENERGY INDIANA, LLC"/>
    <s v="Miami"/>
    <m/>
    <m/>
    <s v="IN"/>
    <s v="DPP-2022"/>
    <s v="Central"/>
    <s v="Phase 2"/>
    <s v="NRIS"/>
    <s v="DEEDSVILLE 345"/>
    <n v="228"/>
    <n v="228"/>
    <x v="0"/>
    <s v="Photovoltaic"/>
    <s v="Not Started"/>
    <m/>
    <n v="0"/>
    <n v="0"/>
    <n v="0"/>
    <n v="0"/>
  </r>
  <r>
    <s v="J2710"/>
    <x v="1"/>
    <d v="2022-09-14T00:00:00"/>
    <d v="2025-08-01T00:00:00"/>
    <m/>
    <d v="2027-04-15T00:00:00"/>
    <s v="WOLVERINE POWER SUPPLY COOPERATIVE"/>
    <s v="Clinton"/>
    <m/>
    <m/>
    <s v="MI"/>
    <s v="DPP-2022"/>
    <s v="East (ITC)"/>
    <s v="Phase 1"/>
    <s v="NRIS"/>
    <s v="Mulliken Jct.- Chester 69 kV"/>
    <n v="100"/>
    <n v="100"/>
    <x v="0"/>
    <s v="Photovoltaic"/>
    <s v="Not Started"/>
    <m/>
    <n v="0"/>
    <n v="0"/>
    <n v="0"/>
    <n v="0"/>
  </r>
  <r>
    <s v="J2711"/>
    <x v="1"/>
    <d v="2022-09-14T00:00:00"/>
    <d v="2025-10-27T00:00:00"/>
    <m/>
    <d v="2027-04-15T00:00:00"/>
    <s v="NORTHERN INDIANA PUBLIC SERVICE COMPANY LLC"/>
    <s v="Porter"/>
    <m/>
    <m/>
    <s v="IN"/>
    <s v="DPP-2022"/>
    <s v="Central"/>
    <s v="Phase 2"/>
    <s v="NRIS"/>
    <s v="FLINT LAKE - SOUTH VALPARAISO 138 kV"/>
    <n v="122"/>
    <n v="122"/>
    <x v="0"/>
    <s v="Photovoltaic"/>
    <s v="Not Started"/>
    <m/>
    <n v="0"/>
    <n v="0"/>
    <n v="0"/>
    <n v="0"/>
  </r>
  <r>
    <s v="J2712"/>
    <x v="1"/>
    <d v="2022-09-14T00:00:00"/>
    <d v="2025-10-27T00:00:00"/>
    <m/>
    <d v="2027-04-15T00:00:00"/>
    <s v="DUKE ENERGY INDIANA, LLC"/>
    <s v="Vermillion"/>
    <m/>
    <m/>
    <s v="IN"/>
    <s v="DPP-2022"/>
    <s v="Central"/>
    <s v="Phase 2"/>
    <s v="NRIS"/>
    <s v="Clinton 230"/>
    <n v="75"/>
    <n v="75"/>
    <x v="0"/>
    <s v="Photovoltaic"/>
    <s v="Not Started"/>
    <m/>
    <n v="0"/>
    <n v="0"/>
    <n v="0"/>
    <n v="0"/>
  </r>
  <r>
    <s v="J2713"/>
    <x v="1"/>
    <d v="2022-09-14T00:00:00"/>
    <d v="2025-10-27T00:00:00"/>
    <m/>
    <d v="2027-04-15T00:00:00"/>
    <s v="MIDAMERICAN ENERGY CO."/>
    <s v="Mercer"/>
    <m/>
    <m/>
    <s v="IL"/>
    <s v="DPP-2022"/>
    <s v="West"/>
    <s v="Phase 1"/>
    <s v="NRIS"/>
    <s v="OAK GROVE - MERCER CO (AMRN)"/>
    <n v="47.6"/>
    <n v="47.6"/>
    <x v="0"/>
    <s v="Photovoltaic"/>
    <s v="Not Started"/>
    <m/>
    <n v="0"/>
    <n v="0"/>
    <n v="0"/>
    <n v="0"/>
  </r>
  <r>
    <s v="J2714"/>
    <x v="2"/>
    <d v="2022-09-14T00:00:00"/>
    <m/>
    <m/>
    <d v="2027-04-15T00:00:00"/>
    <s v="CLECO POWER LLC CLEC"/>
    <s v="St. Landry"/>
    <m/>
    <m/>
    <s v="LA"/>
    <s v="DPP-2022"/>
    <s v="South"/>
    <s v="Phase 1"/>
    <s v="NRIS"/>
    <s v="Eunice"/>
    <n v="162"/>
    <n v="162"/>
    <x v="0"/>
    <s v="Photovoltaic"/>
    <s v="Not Started"/>
    <m/>
    <n v="162"/>
    <n v="130"/>
    <n v="0"/>
    <n v="0"/>
  </r>
  <r>
    <s v="J2715"/>
    <x v="2"/>
    <d v="2022-09-14T00:00:00"/>
    <m/>
    <m/>
    <d v="2027-04-15T00:00:00"/>
    <s v="ENTERGY LOUISIANA, LLC ELTO"/>
    <s v="Acadia"/>
    <m/>
    <m/>
    <s v="LA"/>
    <s v="DPP-2022"/>
    <s v="South"/>
    <s v="Phase 1"/>
    <s v="NRIS"/>
    <s v="ACADIA - COLONIAL ACADEMY CO 138.0kV"/>
    <n v="120"/>
    <n v="120"/>
    <x v="0"/>
    <s v="Photovoltaic"/>
    <s v="Not Started"/>
    <m/>
    <n v="120"/>
    <n v="0"/>
    <n v="0"/>
    <n v="0"/>
  </r>
  <r>
    <s v="J2716"/>
    <x v="2"/>
    <d v="2022-09-14T00:00:00"/>
    <m/>
    <m/>
    <d v="2027-04-15T00:00:00"/>
    <s v="NORTHERN STATES POWER COMPANY"/>
    <s v="Dakota"/>
    <m/>
    <m/>
    <s v="MN"/>
    <s v="DPP-2022"/>
    <s v="West"/>
    <s v="Phase 1"/>
    <s v="NRIS"/>
    <s v="HAMPTON 345 KV"/>
    <n v="300"/>
    <n v="300"/>
    <x v="2"/>
    <s v="Battery Storage"/>
    <s v="Not Started"/>
    <m/>
    <n v="300"/>
    <n v="300"/>
    <n v="0"/>
    <n v="0"/>
  </r>
  <r>
    <s v="J2717"/>
    <x v="1"/>
    <d v="2022-09-15T00:00:00"/>
    <d v="2023-10-23T00:00:00"/>
    <m/>
    <d v="2029-05-01T00:00:00"/>
    <s v="ENTERGY ARKANSAS, LLC"/>
    <s v="Hot Spring"/>
    <m/>
    <m/>
    <s v="AR"/>
    <s v="DPP-2022"/>
    <s v="South"/>
    <s v="Phase 1"/>
    <s v="NRIS"/>
    <s v="ETTA 500kV Substation"/>
    <n v="600"/>
    <n v="600"/>
    <x v="5"/>
    <s v="Solar/Battery"/>
    <s v="Not Started"/>
    <m/>
    <n v="0"/>
    <n v="0"/>
    <n v="0"/>
    <n v="0"/>
  </r>
  <r>
    <s v="J2718"/>
    <x v="1"/>
    <d v="2022-09-14T00:00:00"/>
    <d v="2025-10-27T00:00:00"/>
    <m/>
    <d v="2025-12-31T00:00:00"/>
    <s v="AMEREN MISSOURI"/>
    <s v="New Madrid"/>
    <m/>
    <m/>
    <s v="MO"/>
    <s v="DPP-2022"/>
    <s v="Central"/>
    <s v="Phase 2"/>
    <s v="NRIS"/>
    <s v="Other_"/>
    <n v="50"/>
    <n v="50"/>
    <x v="0"/>
    <s v="Photovoltaic"/>
    <s v="Not Started"/>
    <m/>
    <n v="0"/>
    <n v="0"/>
    <n v="0"/>
    <n v="0"/>
  </r>
  <r>
    <s v="J2719"/>
    <x v="1"/>
    <d v="2022-09-14T00:00:00"/>
    <d v="2025-08-01T00:00:00"/>
    <m/>
    <d v="2026-10-31T00:00:00"/>
    <s v="METC"/>
    <s v="Gladwin"/>
    <m/>
    <m/>
    <s v="MI"/>
    <s v="DPP-2022"/>
    <s v="East (ITC)"/>
    <s v="Phase 1"/>
    <s v="NRIS"/>
    <s v="BARD ROAD 138kV Substation"/>
    <n v="200"/>
    <n v="200"/>
    <x v="0"/>
    <s v="Photovoltaic"/>
    <s v="Not Started"/>
    <m/>
    <n v="0"/>
    <n v="0"/>
    <n v="0"/>
    <n v="0"/>
  </r>
  <r>
    <s v="J2720"/>
    <x v="2"/>
    <d v="2022-09-14T00:00:00"/>
    <m/>
    <m/>
    <d v="2025-04-25T00:00:00"/>
    <s v="ENTERGY MISSISSIPPI, LLC. EMTO"/>
    <s v="Yazoo"/>
    <m/>
    <m/>
    <s v="MS"/>
    <s v="DPP-2022"/>
    <s v="South"/>
    <s v="Phase 1"/>
    <s v="NRIS"/>
    <s v="MIDWAY SS (CE) - YAZOO CITY SS 115.0kV"/>
    <n v="150"/>
    <n v="150"/>
    <x v="0"/>
    <s v="Photovoltaic"/>
    <s v="Not Started"/>
    <m/>
    <n v="150"/>
    <n v="150"/>
    <n v="0"/>
    <n v="0"/>
  </r>
  <r>
    <s v="J2721"/>
    <x v="1"/>
    <d v="2023-10-19T00:00:00"/>
    <d v="2025-07-31T00:00:00"/>
    <m/>
    <d v="2026-09-01T00:00:00"/>
    <s v="ENTERGY MISSISSIPPI, LLC."/>
    <s v="Panola"/>
    <m/>
    <m/>
    <s v="MS"/>
    <s v="DPP-2022"/>
    <s v="South"/>
    <s v="Phase 1"/>
    <s v="NRIS"/>
    <s v="Senatobia-Sardis 115 kV Line"/>
    <n v="120"/>
    <n v="120"/>
    <x v="0"/>
    <s v="Photovoltaic"/>
    <s v="Not Started"/>
    <m/>
    <n v="0"/>
    <n v="0"/>
    <n v="0"/>
    <n v="0"/>
  </r>
  <r>
    <s v="J2722"/>
    <x v="1"/>
    <d v="2022-09-14T00:00:00"/>
    <d v="2025-08-14T00:00:00"/>
    <m/>
    <d v="2026-07-01T00:00:00"/>
    <s v="DUKE ENERGY INDIANA, LLC"/>
    <s v="Clinton"/>
    <m/>
    <m/>
    <s v="IN"/>
    <s v="DPP-2022"/>
    <s v="Central"/>
    <s v="Phase 2"/>
    <s v="NRIS"/>
    <s v="Tap on Frankfort - New London 230 kV Line"/>
    <n v="100"/>
    <n v="100"/>
    <x v="2"/>
    <s v="Battery Storage"/>
    <s v="Not Started"/>
    <m/>
    <n v="100"/>
    <n v="100"/>
    <n v="0"/>
    <n v="0"/>
  </r>
  <r>
    <s v="J2723"/>
    <x v="1"/>
    <d v="2022-09-14T00:00:00"/>
    <d v="2025-10-27T00:00:00"/>
    <m/>
    <d v="2027-06-01T00:00:00"/>
    <s v="NORTHERN INDIANA PUBLIC SERVICE COMPANY LLC"/>
    <s v="Vermillion"/>
    <m/>
    <m/>
    <s v="IN"/>
    <s v="DPP-2022"/>
    <s v="Central"/>
    <s v="Phase 2"/>
    <s v="NRIS"/>
    <s v="EAST WINAMAC-MONTICELLO 138kV"/>
    <n v="249"/>
    <n v="249"/>
    <x v="1"/>
    <s v="Wind Turbine"/>
    <s v="Not Started"/>
    <m/>
    <n v="0"/>
    <n v="0"/>
    <n v="0"/>
    <n v="0"/>
  </r>
  <r>
    <s v="J2724"/>
    <x v="1"/>
    <d v="2022-09-14T00:00:00"/>
    <d v="2025-10-27T00:00:00"/>
    <m/>
    <d v="2027-06-01T00:00:00"/>
    <s v="AMEREN ILLINOIS"/>
    <s v="Shelby"/>
    <m/>
    <m/>
    <s v="IL"/>
    <s v="DPP-2022"/>
    <s v="Central"/>
    <s v="Phase 2"/>
    <s v="NRIS"/>
    <s v="7NEOGA-7HOLLAND 345 kV"/>
    <n v="300"/>
    <n v="300"/>
    <x v="2"/>
    <s v="Battery Storage"/>
    <s v="Not Started"/>
    <m/>
    <n v="0"/>
    <n v="0"/>
    <n v="0"/>
    <n v="0"/>
  </r>
  <r>
    <s v="J2725"/>
    <x v="1"/>
    <d v="2022-09-15T00:00:00"/>
    <d v="2025-08-01T00:00:00"/>
    <m/>
    <d v="2027-06-01T00:00:00"/>
    <s v="METC"/>
    <s v="Ionia"/>
    <m/>
    <m/>
    <s v="MI"/>
    <s v="DPP-2022"/>
    <s v="East (ITC)"/>
    <s v="Phase 1"/>
    <s v="NRIS"/>
    <s v="Marquette - North Belding 138kV"/>
    <n v="100"/>
    <n v="100"/>
    <x v="0"/>
    <s v="Photovoltaic"/>
    <s v="Not Started"/>
    <m/>
    <n v="0"/>
    <n v="0"/>
    <n v="0"/>
    <n v="0"/>
  </r>
  <r>
    <s v="J2726"/>
    <x v="1"/>
    <d v="2022-09-15T00:00:00"/>
    <d v="2025-10-27T00:00:00"/>
    <m/>
    <d v="2027-06-01T00:00:00"/>
    <s v="AMEREN MISSOURI"/>
    <s v="Montgomery"/>
    <m/>
    <m/>
    <s v="MO"/>
    <s v="DPP-2022"/>
    <s v="Central"/>
    <s v="Phase 2"/>
    <s v="NRIS"/>
    <s v="7Enon- 7Montgmry 345 KV"/>
    <n v="248"/>
    <n v="248"/>
    <x v="0"/>
    <s v="Photovoltaic"/>
    <s v="Not Started"/>
    <m/>
    <n v="0"/>
    <n v="0"/>
    <n v="0"/>
    <n v="0"/>
  </r>
  <r>
    <s v="J2727"/>
    <x v="1"/>
    <d v="2022-09-14T00:00:00"/>
    <d v="2025-07-31T00:00:00"/>
    <m/>
    <d v="2025-12-06T00:00:00"/>
    <s v="ENTERGY MISSISSIPPI, LLC."/>
    <s v="Holmes"/>
    <m/>
    <m/>
    <s v="MS"/>
    <s v="DPP-2022"/>
    <s v="South"/>
    <s v="Phase 1"/>
    <s v="NRIS"/>
    <s v="Pickens - Midway SS (CE) 115kV"/>
    <n v="140"/>
    <n v="140"/>
    <x v="5"/>
    <s v="Solar/Battery"/>
    <s v="Not Started"/>
    <m/>
    <n v="0"/>
    <n v="0"/>
    <n v="0"/>
    <n v="0"/>
  </r>
  <r>
    <s v="J2728"/>
    <x v="2"/>
    <d v="2022-09-14T00:00:00"/>
    <m/>
    <m/>
    <d v="2025-07-24T00:00:00"/>
    <s v="ITC MIDWEST"/>
    <s v="Freeborn"/>
    <m/>
    <m/>
    <s v="MN"/>
    <s v="DPP-2022"/>
    <s v="West"/>
    <s v="Phase 1"/>
    <s v="NRIS"/>
    <s v="Glenworth"/>
    <n v="150"/>
    <n v="150"/>
    <x v="2"/>
    <s v="Battery Storage"/>
    <s v="Not Started"/>
    <m/>
    <n v="150"/>
    <n v="150"/>
    <n v="0"/>
    <n v="0"/>
  </r>
  <r>
    <s v="J2729"/>
    <x v="4"/>
    <d v="2022-09-14T00:00:00"/>
    <m/>
    <m/>
    <d v="2025-02-01T00:00:00"/>
    <m/>
    <s v="West Baton Rouge"/>
    <m/>
    <m/>
    <s v="LA"/>
    <s v="DPP-2022"/>
    <s v="South"/>
    <s v="Phase 1"/>
    <s v="NRIS"/>
    <s v="ADDIS - BIG CAJUN #1 230.0kV"/>
    <n v="200"/>
    <n v="200"/>
    <x v="0"/>
    <s v="Photovoltaic"/>
    <s v="Not Started"/>
    <m/>
    <n v="200"/>
    <n v="200"/>
    <n v="0"/>
    <n v="0"/>
  </r>
  <r>
    <s v="J2730"/>
    <x v="2"/>
    <d v="2022-09-15T00:00:00"/>
    <m/>
    <m/>
    <d v="2025-07-24T00:00:00"/>
    <s v="ITC MIDWEST"/>
    <s v="Jackson"/>
    <m/>
    <m/>
    <s v="MN"/>
    <s v="DPP-2022"/>
    <s v="West"/>
    <s v="Phase 1"/>
    <s v="NRIS"/>
    <s v="Jackson North 161kV Substation"/>
    <n v="150"/>
    <n v="150"/>
    <x v="2"/>
    <s v="Battery Storage"/>
    <s v="Not Started"/>
    <m/>
    <n v="150"/>
    <n v="150"/>
    <n v="0"/>
    <n v="0"/>
  </r>
  <r>
    <s v="J2731"/>
    <x v="2"/>
    <d v="2022-09-15T00:00:00"/>
    <m/>
    <m/>
    <d v="2025-07-24T00:00:00"/>
    <s v="SOUTHERN MINNESOTA MUNICIPAL POWER AGENCY"/>
    <s v="Olmsted"/>
    <m/>
    <m/>
    <s v="MN"/>
    <s v="DPP-2022"/>
    <s v="West"/>
    <s v="Phase 1"/>
    <s v="NRIS"/>
    <s v="Maple Leaf"/>
    <n v="150"/>
    <n v="150"/>
    <x v="2"/>
    <s v="Battery Storage"/>
    <s v="Not Started"/>
    <m/>
    <n v="150"/>
    <n v="150"/>
    <n v="0"/>
    <n v="0"/>
  </r>
  <r>
    <s v="J2732"/>
    <x v="1"/>
    <d v="2022-09-15T00:00:00"/>
    <d v="2025-08-01T00:00:00"/>
    <m/>
    <d v="2025-12-06T00:00:00"/>
    <s v="METC"/>
    <s v="Ogemaw"/>
    <m/>
    <m/>
    <s v="MI"/>
    <s v="DPP-2022"/>
    <s v="East (ITC)"/>
    <s v="Phase 1"/>
    <s v="NRIS"/>
    <s v="Gallagher to Twinning 138kV"/>
    <n v="250"/>
    <n v="250"/>
    <x v="5"/>
    <s v="Solar/Battery"/>
    <s v="Not Started"/>
    <m/>
    <n v="0"/>
    <n v="0"/>
    <n v="0"/>
    <n v="0"/>
  </r>
  <r>
    <s v="J2733"/>
    <x v="1"/>
    <d v="2025-09-05T00:00:00"/>
    <d v="2025-11-03T00:00:00"/>
    <m/>
    <d v="2026-09-30T00:00:00"/>
    <s v="ENTERGY ARKANSAS, LLC"/>
    <s v="Lawrence"/>
    <m/>
    <m/>
    <s v="AR"/>
    <s v="DPP-2022"/>
    <s v="South"/>
    <s v="Phase 1"/>
    <s v="NRIS"/>
    <s v="SWIFTON - AECC HOXIE SOUTH 161.0kV"/>
    <n v="126"/>
    <n v="126"/>
    <x v="0"/>
    <s v="Photovoltaic"/>
    <s v="Not Started"/>
    <m/>
    <n v="126"/>
    <n v="126"/>
    <n v="0"/>
    <n v="0"/>
  </r>
  <r>
    <s v="J2734"/>
    <x v="2"/>
    <d v="2025-07-28T00:00:00"/>
    <m/>
    <m/>
    <d v="2025-12-06T00:00:00"/>
    <s v="ENTERGY ARKANSAS, LLC EATO"/>
    <s v="Crittenden"/>
    <m/>
    <m/>
    <s v="AR"/>
    <s v="DPP-2022"/>
    <s v="South"/>
    <s v="Phase 1"/>
    <s v="NRIS"/>
    <s v="GILMORE - WILSON 161.0kV"/>
    <n v="150"/>
    <n v="150"/>
    <x v="5"/>
    <s v="Solar/Battery"/>
    <s v="Not Started"/>
    <m/>
    <n v="150"/>
    <n v="75"/>
    <n v="0"/>
    <n v="0"/>
  </r>
  <r>
    <s v="J2735"/>
    <x v="1"/>
    <d v="2022-09-15T00:00:00"/>
    <d v="2022-12-06T00:00:00"/>
    <m/>
    <d v="2026-09-30T00:00:00"/>
    <s v="ENTERGY LOUISIANA, LLC"/>
    <s v="Ouachita"/>
    <m/>
    <m/>
    <s v="LA"/>
    <s v="DPP-2022"/>
    <s v="South"/>
    <s v="Phase 1"/>
    <s v="NRIS"/>
    <s v="Selman Field 69 kV Substation"/>
    <n v="80"/>
    <n v="80"/>
    <x v="0"/>
    <s v="Photovoltaic"/>
    <s v="Not Started"/>
    <m/>
    <n v="0"/>
    <n v="0"/>
    <n v="0"/>
    <n v="0"/>
  </r>
  <r>
    <s v="J2736"/>
    <x v="1"/>
    <d v="2022-09-15T00:00:00"/>
    <d v="2025-07-31T00:00:00"/>
    <m/>
    <d v="2025-12-06T00:00:00"/>
    <s v="ENTERGY MISSISSIPPI, LLC."/>
    <s v="Bolivar"/>
    <m/>
    <m/>
    <s v="MS"/>
    <s v="DPP-2022"/>
    <s v="South"/>
    <s v="Phase 1"/>
    <s v="NRIS"/>
    <s v="Rosedale to Stringtown 115kV"/>
    <n v="100"/>
    <n v="100"/>
    <x v="5"/>
    <s v="Solar/Battery"/>
    <s v="Not Started"/>
    <m/>
    <n v="0"/>
    <n v="0"/>
    <n v="0"/>
    <n v="0"/>
  </r>
  <r>
    <s v="J2737"/>
    <x v="2"/>
    <d v="2025-09-05T00:00:00"/>
    <m/>
    <m/>
    <d v="2026-09-30T00:00:00"/>
    <s v="CLECO POWER LLC CLEC"/>
    <s v="Sabine"/>
    <m/>
    <m/>
    <s v="LA"/>
    <s v="DPP-2022"/>
    <s v="South"/>
    <s v="Phase 1"/>
    <s v="NRIS"/>
    <s v="Sharing substation for J1890. POI for J1890 is not in the MTEP22 model yet. Reference bus A: 48904"/>
    <n v="180"/>
    <n v="180"/>
    <x v="0"/>
    <s v="Photovoltaic"/>
    <s v="Not Started"/>
    <m/>
    <n v="180"/>
    <n v="180"/>
    <n v="0"/>
    <n v="0"/>
  </r>
  <r>
    <s v="J2738"/>
    <x v="2"/>
    <d v="2022-09-15T00:00:00"/>
    <m/>
    <m/>
    <d v="2025-02-01T00:00:00"/>
    <s v="MIDAMERICAN ENERGY CO. MEC"/>
    <s v="Rock Island"/>
    <m/>
    <m/>
    <s v="IL"/>
    <s v="DPP-2022"/>
    <s v="West"/>
    <s v="Phase 1"/>
    <s v="NRIS"/>
    <s v="SUB 17"/>
    <n v="128"/>
    <n v="128"/>
    <x v="5"/>
    <s v="Solar/Battery"/>
    <s v="Not Started"/>
    <m/>
    <n v="128"/>
    <n v="128"/>
    <n v="0"/>
    <n v="0"/>
  </r>
  <r>
    <s v="J2739"/>
    <x v="2"/>
    <d v="2022-09-14T00:00:00"/>
    <m/>
    <m/>
    <d v="2026-09-01T00:00:00"/>
    <m/>
    <s v="Ohio"/>
    <m/>
    <m/>
    <s v="KY"/>
    <s v="DPP-2022"/>
    <s v="Central"/>
    <s v="Phase 2"/>
    <s v="NRIS"/>
    <s v="WILSON"/>
    <n v="100"/>
    <n v="100"/>
    <x v="0"/>
    <s v="Photovoltaic"/>
    <s v="Not Started"/>
    <m/>
    <n v="100"/>
    <n v="100"/>
    <n v="0"/>
    <n v="0"/>
  </r>
  <r>
    <s v="J2740"/>
    <x v="2"/>
    <d v="2022-09-13T00:00:00"/>
    <m/>
    <m/>
    <d v="2029-02-15T00:00:00"/>
    <m/>
    <s v="Sunflower"/>
    <m/>
    <m/>
    <s v="MS"/>
    <s v="DPP-2022"/>
    <s v="South"/>
    <s v="Phase 1"/>
    <s v="ERIS"/>
    <s v="DELTA SWYD - SHELBY SS 115.0kV"/>
    <n v="150"/>
    <n v="150"/>
    <x v="0"/>
    <s v="Photovoltaic"/>
    <s v="Not Started"/>
    <m/>
    <n v="150"/>
    <n v="0"/>
    <n v="0"/>
    <n v="0"/>
  </r>
  <r>
    <s v="J2741"/>
    <x v="1"/>
    <d v="2022-09-13T00:00:00"/>
    <d v="2025-07-31T00:00:00"/>
    <m/>
    <d v="2026-09-01T00:00:00"/>
    <s v="ENTERGY MISSISSIPPI, LLC."/>
    <s v="Sunflower"/>
    <m/>
    <m/>
    <s v="MS"/>
    <s v="DPP-2022"/>
    <s v="South"/>
    <s v="Phase 1"/>
    <s v="NRIS"/>
    <s v="DELTA SWYD - DREW [MS] 115.0kV"/>
    <n v="100"/>
    <n v="100"/>
    <x v="0"/>
    <s v="Photovoltaic"/>
    <s v="Not Started"/>
    <m/>
    <n v="0"/>
    <n v="0"/>
    <n v="0"/>
    <n v="0"/>
  </r>
  <r>
    <s v="J2742"/>
    <x v="2"/>
    <d v="2022-09-13T00:00:00"/>
    <m/>
    <m/>
    <d v="2026-09-01T00:00:00"/>
    <s v="ENTERGY ARKANSAS, LLC EATO"/>
    <s v="White"/>
    <m/>
    <m/>
    <s v="AR"/>
    <s v="DPP-2022"/>
    <s v="South"/>
    <s v="Phase 1"/>
    <s v="NRIS"/>
    <s v="BEEBE - GARNER SS 115.0kV"/>
    <n v="100"/>
    <n v="100"/>
    <x v="0"/>
    <s v="Photovoltaic"/>
    <s v="Not Started"/>
    <m/>
    <n v="100"/>
    <n v="0"/>
    <n v="0"/>
    <n v="0"/>
  </r>
  <r>
    <s v="J2743"/>
    <x v="1"/>
    <d v="2022-09-15T00:00:00"/>
    <d v="2025-07-31T00:00:00"/>
    <m/>
    <d v="2026-09-01T00:00:00"/>
    <s v="ENTERGY LOUISIANA, LLC"/>
    <s v="Washington"/>
    <m/>
    <m/>
    <s v="LA"/>
    <s v="DPP-2022"/>
    <s v="South"/>
    <s v="Phase 1"/>
    <s v="NRIS"/>
    <s v="BOGALUSA"/>
    <n v="175"/>
    <n v="175"/>
    <x v="0"/>
    <s v="Photovoltaic"/>
    <s v="Not Started"/>
    <m/>
    <n v="0"/>
    <n v="0"/>
    <n v="0"/>
    <n v="0"/>
  </r>
  <r>
    <s v="J2744"/>
    <x v="1"/>
    <d v="2022-09-15T00:00:00"/>
    <d v="2025-07-31T00:00:00"/>
    <m/>
    <d v="2026-09-01T00:00:00"/>
    <s v="ENTERGY MISSISSIPPI, LLC."/>
    <s v="Wilkinson"/>
    <m/>
    <m/>
    <s v="MS"/>
    <s v="DPP-2022"/>
    <s v="South"/>
    <s v="Phase 1"/>
    <s v="NRIS"/>
    <s v="CENTREVILLE"/>
    <n v="50"/>
    <n v="50"/>
    <x v="0"/>
    <s v="Photovoltaic"/>
    <s v="Not Started"/>
    <m/>
    <n v="0"/>
    <n v="0"/>
    <n v="0"/>
    <n v="0"/>
  </r>
  <r>
    <s v="J2745"/>
    <x v="1"/>
    <d v="2022-09-15T00:00:00"/>
    <d v="2025-07-31T00:00:00"/>
    <m/>
    <d v="2026-09-01T00:00:00"/>
    <s v="ENTERGY MISSISSIPPI, LLC."/>
    <s v="Humphreys"/>
    <m/>
    <m/>
    <s v="MS"/>
    <s v="DPP-2022"/>
    <s v="South"/>
    <s v="Phase 1"/>
    <s v="NRIS"/>
    <s v="BELZONI - BELZONI TAP SS 115.0kV"/>
    <n v="90"/>
    <n v="90"/>
    <x v="0"/>
    <s v="Photovoltaic"/>
    <s v="Not Started"/>
    <m/>
    <n v="0"/>
    <n v="0"/>
    <n v="0"/>
    <n v="0"/>
  </r>
  <r>
    <s v="J2746"/>
    <x v="1"/>
    <d v="2022-09-15T00:00:00"/>
    <d v="2023-03-24T00:00:00"/>
    <m/>
    <d v="2026-07-04T00:00:00"/>
    <s v="HOOSIER ENERGY"/>
    <s v="Rush"/>
    <m/>
    <m/>
    <s v="IN"/>
    <s v="DPP-2022"/>
    <s v="Central"/>
    <s v="Phase 2"/>
    <s v="NRIS"/>
    <s v="Boyd - Sexton"/>
    <n v="70"/>
    <n v="70"/>
    <x v="0"/>
    <s v="Photovoltaic"/>
    <s v="Not Started"/>
    <m/>
    <n v="0"/>
    <n v="0"/>
    <n v="0"/>
    <n v="0"/>
  </r>
  <r>
    <s v="J2747"/>
    <x v="2"/>
    <d v="2022-09-15T00:00:00"/>
    <m/>
    <m/>
    <d v="2026-08-04T00:00:00"/>
    <s v="DUKE ENERGY INDIANA, LLC CIN"/>
    <s v="Greene"/>
    <m/>
    <m/>
    <s v="IN"/>
    <s v="DPP-2022"/>
    <s v="Central"/>
    <s v="Phase 2"/>
    <s v="NRIS"/>
    <s v="Edwardsport IGCC - Amo 345.0kV"/>
    <n v="160"/>
    <n v="160"/>
    <x v="0"/>
    <s v="Photovoltaic"/>
    <s v="Not Started"/>
    <m/>
    <n v="160"/>
    <n v="160"/>
    <n v="0"/>
    <n v="0"/>
  </r>
  <r>
    <s v="J2748"/>
    <x v="1"/>
    <d v="2022-09-15T00:00:00"/>
    <d v="2025-10-07T00:00:00"/>
    <m/>
    <d v="2026-08-04T00:00:00"/>
    <s v="OTTER TAIL POWER COMPANY"/>
    <s v="Clearwater"/>
    <m/>
    <m/>
    <s v="MN"/>
    <s v="DPP-2022"/>
    <s v="West"/>
    <s v="Phase 1"/>
    <s v="NRIS"/>
    <s v="Wilton - Winger 230.0kV"/>
    <n v="150"/>
    <n v="150"/>
    <x v="0"/>
    <s v="Photovoltaic"/>
    <s v="Not Started"/>
    <m/>
    <n v="0"/>
    <n v="0"/>
    <n v="0"/>
    <n v="0"/>
  </r>
  <r>
    <s v="J2749"/>
    <x v="2"/>
    <d v="2022-09-15T00:00:00"/>
    <m/>
    <m/>
    <d v="2026-08-04T00:00:00"/>
    <s v="OTTER TAIL POWER COMPANY OTP"/>
    <s v="Polk"/>
    <m/>
    <m/>
    <s v="MN"/>
    <s v="DPP-2022"/>
    <s v="West"/>
    <s v="Phase 1"/>
    <s v="NRIS"/>
    <s v="Winger 115kV"/>
    <n v="150"/>
    <n v="150"/>
    <x v="0"/>
    <s v="Photovoltaic"/>
    <s v="Not Started"/>
    <m/>
    <n v="150"/>
    <n v="150"/>
    <n v="0"/>
    <n v="0"/>
  </r>
  <r>
    <s v="J2750"/>
    <x v="2"/>
    <d v="2025-08-21T00:00:00"/>
    <m/>
    <m/>
    <d v="2026-01-01T00:00:00"/>
    <m/>
    <s v="Phillips"/>
    <m/>
    <m/>
    <s v="AR"/>
    <s v="DPP-2022"/>
    <s v="South"/>
    <s v="Phase 1"/>
    <s v="ERIS"/>
    <s v="RITCHIE SWYD - TARLETON 230.0kV"/>
    <n v="197.5"/>
    <n v="197.5"/>
    <x v="0"/>
    <s v="Photovoltaic"/>
    <s v="Not Started"/>
    <m/>
    <n v="197.5"/>
    <n v="0"/>
    <n v="0"/>
    <n v="0"/>
  </r>
  <r>
    <s v="J2751"/>
    <x v="2"/>
    <d v="2022-09-14T00:00:00"/>
    <m/>
    <m/>
    <d v="2026-01-01T00:00:00"/>
    <s v="ENTERGY MISSISSIPPI, LLC. EMTO"/>
    <s v="Bolivar"/>
    <m/>
    <m/>
    <s v="MS"/>
    <s v="DPP-2022"/>
    <s v="South"/>
    <s v="Phase 1"/>
    <s v="ERIS"/>
    <s v="STRINGTOWN"/>
    <n v="125"/>
    <n v="125"/>
    <x v="0"/>
    <s v="Photovoltaic"/>
    <s v="Not Started"/>
    <m/>
    <n v="125"/>
    <n v="0"/>
    <n v="0"/>
    <n v="0"/>
  </r>
  <r>
    <s v="J2752"/>
    <x v="2"/>
    <d v="2022-09-15T00:00:00"/>
    <m/>
    <m/>
    <d v="2026-01-01T00:00:00"/>
    <s v="ENTERGY MISSISSIPPI, LLC. EMTO"/>
    <s v="Montgomery"/>
    <m/>
    <m/>
    <s v="MS"/>
    <s v="DPP-2022"/>
    <s v="South"/>
    <s v="Phase 1"/>
    <s v="ERIS"/>
    <s v="ELLIOTT SS - SAWYER SS (CE) 115.0kV"/>
    <n v="110"/>
    <n v="110"/>
    <x v="0"/>
    <s v="Photovoltaic"/>
    <s v="Not Started"/>
    <m/>
    <n v="110"/>
    <n v="0"/>
    <n v="0"/>
    <n v="0"/>
  </r>
  <r>
    <s v="J2753"/>
    <x v="2"/>
    <d v="2025-08-21T00:00:00"/>
    <m/>
    <m/>
    <d v="2026-01-01T00:00:00"/>
    <m/>
    <s v="East Carroll"/>
    <m/>
    <m/>
    <s v="LA"/>
    <s v="DPP-2022"/>
    <s v="South"/>
    <s v="Phase 1"/>
    <s v="ERIS"/>
    <s v="DARNELL - TALLULAH 115.0kV"/>
    <n v="200"/>
    <n v="200"/>
    <x v="0"/>
    <s v="Photovoltaic"/>
    <s v="Not Started"/>
    <m/>
    <n v="200"/>
    <n v="0"/>
    <n v="0"/>
    <n v="0"/>
  </r>
  <r>
    <s v="J2754"/>
    <x v="2"/>
    <d v="2022-09-15T00:00:00"/>
    <m/>
    <m/>
    <d v="2026-01-01T00:00:00"/>
    <s v="ENTERGY TEXAS, INC. ETTO"/>
    <s v="Polk"/>
    <m/>
    <m/>
    <s v="TX"/>
    <s v="DPP-2022"/>
    <s v="South"/>
    <s v="Phase 1"/>
    <s v="ERIS"/>
    <s v="138kV Bragg - SHECO Menard Line"/>
    <n v="170"/>
    <n v="170"/>
    <x v="0"/>
    <s v="Photovoltaic"/>
    <s v="Not Started"/>
    <m/>
    <n v="170"/>
    <n v="0"/>
    <n v="0"/>
    <n v="0"/>
  </r>
  <r>
    <s v="J2755"/>
    <x v="1"/>
    <d v="2022-09-15T00:00:00"/>
    <d v="2025-07-24T00:00:00"/>
    <m/>
    <d v="2025-10-31T00:00:00"/>
    <s v="ENTERGY ARKANSAS, LLC"/>
    <s v="Pike"/>
    <m/>
    <m/>
    <s v="AR"/>
    <s v="DPP-2022"/>
    <s v="South"/>
    <s v="Phase 1"/>
    <s v="NRIS"/>
    <s v="AMITY SS-AECC MURFREESBORO EAST 115kV"/>
    <n v="100"/>
    <n v="100"/>
    <x v="0"/>
    <s v="Photovoltaic"/>
    <s v="Not Started"/>
    <m/>
    <n v="0"/>
    <n v="0"/>
    <n v="0"/>
    <n v="0"/>
  </r>
  <r>
    <s v="J2756"/>
    <x v="2"/>
    <d v="2022-09-09T00:00:00"/>
    <m/>
    <m/>
    <d v="2025-11-01T00:00:00"/>
    <s v="GREAT RIVER ENERGY"/>
    <s v="Livingston"/>
    <m/>
    <m/>
    <s v="KY"/>
    <s v="DPP-2022"/>
    <s v="Central"/>
    <s v="Phase 2"/>
    <s v="NRIS"/>
    <s v="Burna Tap - Joy 69.0kV"/>
    <n v="42"/>
    <n v="42"/>
    <x v="0"/>
    <s v="Photovoltaic"/>
    <s v="Not Started"/>
    <m/>
    <n v="42"/>
    <n v="42"/>
    <n v="0"/>
    <n v="0"/>
  </r>
  <r>
    <s v="J2757"/>
    <x v="2"/>
    <d v="2025-10-17T00:00:00"/>
    <m/>
    <m/>
    <d v="2026-05-01T00:00:00"/>
    <s v="MIDAMERICAN ENERGY CO. MEC"/>
    <s v="Cherokee"/>
    <m/>
    <m/>
    <s v="IA"/>
    <s v="DPP-2022"/>
    <s v="West"/>
    <s v="Phase 1"/>
    <s v="ERIS"/>
    <s v="LITTLE SIOUX - CLIPPER 161.0kV"/>
    <n v="160.30000000000001"/>
    <n v="160.30000000000001"/>
    <x v="0"/>
    <s v="Photovoltaic"/>
    <s v="Not Started"/>
    <m/>
    <n v="160.30000000000001"/>
    <n v="0"/>
    <n v="0"/>
    <n v="0"/>
  </r>
  <r>
    <s v="J2758"/>
    <x v="1"/>
    <d v="2022-09-15T00:00:00"/>
    <d v="2023-02-27T00:00:00"/>
    <m/>
    <d v="2025-10-31T00:00:00"/>
    <s v="ENTERGY ARKANSAS, LLC"/>
    <s v="Jefferson"/>
    <m/>
    <m/>
    <s v="AR"/>
    <s v="DPP-2022"/>
    <s v="South"/>
    <s v="Phase 1"/>
    <s v="NRIS"/>
    <s v="Stuttgart Ricuskey to Woodward 230kV"/>
    <n v="500"/>
    <n v="500"/>
    <x v="0"/>
    <s v="Photovoltaic"/>
    <s v="Not Started"/>
    <m/>
    <n v="0"/>
    <n v="0"/>
    <n v="0"/>
    <n v="0"/>
  </r>
  <r>
    <s v="J2759"/>
    <x v="4"/>
    <d v="2023-09-12T00:00:00"/>
    <m/>
    <m/>
    <d v="2029-02-15T00:00:00"/>
    <m/>
    <s v="Arkansas"/>
    <m/>
    <m/>
    <s v="AR"/>
    <s v="DPP-2022"/>
    <s v="South"/>
    <s v="Phase 1"/>
    <s v="ERIS"/>
    <s v="STUTTGART RICUSKEY - WOODWARD 230 SUB 230.0kV"/>
    <n v="170"/>
    <n v="170"/>
    <x v="0"/>
    <s v="Photovoltaic"/>
    <s v="Not Started"/>
    <m/>
    <n v="170"/>
    <n v="0"/>
    <n v="0"/>
    <n v="0"/>
  </r>
  <r>
    <s v="J2760"/>
    <x v="1"/>
    <d v="2022-09-15T00:00:00"/>
    <d v="2025-10-27T00:00:00"/>
    <m/>
    <d v="2027-06-01T00:00:00"/>
    <s v="MINNESOTA POWER INC."/>
    <s v="Hubbard"/>
    <m/>
    <m/>
    <s v="MN"/>
    <s v="DPP-2022"/>
    <s v="West"/>
    <s v="Phase 1"/>
    <s v="NRIS"/>
    <s v="BADOURA4 (608610) 230 kV Substation"/>
    <n v="68"/>
    <n v="68"/>
    <x v="5"/>
    <s v="Solar/Battery"/>
    <s v="Not Started"/>
    <m/>
    <n v="0"/>
    <n v="0"/>
    <n v="0"/>
    <n v="0"/>
  </r>
  <r>
    <s v="J2761"/>
    <x v="2"/>
    <d v="2022-09-15T00:00:00"/>
    <m/>
    <m/>
    <d v="2029-09-28T00:00:00"/>
    <s v="COOPERATIVE ENERGY SME"/>
    <s v="Marion"/>
    <m/>
    <m/>
    <s v="MS"/>
    <s v="DPP-2022"/>
    <s v="South"/>
    <s v="Phase 1"/>
    <s v="NRIS"/>
    <s v="Columbia"/>
    <n v="100"/>
    <n v="100"/>
    <x v="0"/>
    <s v="Photovoltaic"/>
    <s v="Not Started"/>
    <m/>
    <n v="100"/>
    <n v="100"/>
    <n v="0"/>
    <n v="0"/>
  </r>
  <r>
    <s v="J2762"/>
    <x v="1"/>
    <d v="2022-09-14T00:00:00"/>
    <d v="2023-03-13T00:00:00"/>
    <m/>
    <d v="2025-11-05T00:00:00"/>
    <s v="AMEREN ILLINOIS"/>
    <s v="Tazewell"/>
    <m/>
    <m/>
    <s v="IL"/>
    <s v="DPP-2022"/>
    <s v="Central"/>
    <s v="Phase 2"/>
    <s v="NRIS"/>
    <s v="4TAZEWELL-4FLINT 138kV"/>
    <n v="200"/>
    <n v="200"/>
    <x v="2"/>
    <s v="Battery Storage"/>
    <s v="Not Started"/>
    <m/>
    <n v="0"/>
    <n v="0"/>
    <n v="0"/>
    <n v="0"/>
  </r>
  <r>
    <s v="J2763"/>
    <x v="2"/>
    <d v="2022-09-14T00:00:00"/>
    <m/>
    <m/>
    <d v="2025-12-06T00:00:00"/>
    <s v="ENTERGY MISSISSIPPI, LLC. EMTO"/>
    <s v="Sunflower"/>
    <m/>
    <m/>
    <s v="MS"/>
    <s v="DPP-2022"/>
    <s v="South"/>
    <s v="Phase 1"/>
    <s v="ERIS"/>
    <s v="CLEVELAND/SOUTH - STEINER (CE) 115.0kV"/>
    <n v="100"/>
    <n v="100"/>
    <x v="5"/>
    <s v="Solar/Battery"/>
    <s v="Not Started"/>
    <m/>
    <n v="100"/>
    <n v="0"/>
    <n v="0"/>
    <n v="0"/>
  </r>
  <r>
    <s v="J2764"/>
    <x v="2"/>
    <d v="2025-07-24T00:00:00"/>
    <m/>
    <m/>
    <d v="2025-12-06T00:00:00"/>
    <s v="ENTERGY ARKANSAS, LLC EATO"/>
    <s v="Craighead"/>
    <m/>
    <m/>
    <s v="AR"/>
    <s v="DPP-2022"/>
    <s v="South"/>
    <s v="Phase 1"/>
    <s v="NRIS"/>
    <s v="JONESBORO (APL) - CASH 161.0kV"/>
    <n v="150"/>
    <n v="150"/>
    <x v="5"/>
    <s v="Solar/Battery"/>
    <s v="Not Started"/>
    <m/>
    <n v="150"/>
    <n v="150"/>
    <n v="0"/>
    <n v="0"/>
  </r>
  <r>
    <s v="J2765"/>
    <x v="1"/>
    <d v="2022-09-15T00:00:00"/>
    <d v="2025-07-31T00:00:00"/>
    <m/>
    <d v="2025-12-06T00:00:00"/>
    <s v="ENTERGY LOUISIANA, LLC"/>
    <s v="West Carroll"/>
    <m/>
    <m/>
    <s v="LA"/>
    <s v="DPP-2022"/>
    <s v="South"/>
    <s v="Phase 1"/>
    <s v="NRIS"/>
    <s v="Darnell 115 kV"/>
    <n v="100"/>
    <n v="100"/>
    <x v="5"/>
    <s v="Solar/Battery"/>
    <s v="Not Started"/>
    <m/>
    <n v="0"/>
    <n v="0"/>
    <n v="0"/>
    <n v="0"/>
  </r>
  <r>
    <s v="J2766"/>
    <x v="1"/>
    <d v="2023-08-21T00:00:00"/>
    <d v="2025-12-18T00:00:00"/>
    <m/>
    <d v="2025-01-01T00:00:00"/>
    <s v="DUKE ENERGY INDIANA, LLC"/>
    <s v="Howard"/>
    <m/>
    <m/>
    <s v="IN"/>
    <s v="DPP-2022"/>
    <s v="Central"/>
    <s v="Phase 2"/>
    <s v="NRIS"/>
    <s v="Other_"/>
    <n v="190"/>
    <n v="190"/>
    <x v="2"/>
    <s v="Battery Storage"/>
    <s v="Not Started"/>
    <m/>
    <n v="190"/>
    <n v="190"/>
    <n v="0"/>
    <n v="0"/>
  </r>
  <r>
    <s v="J2767"/>
    <x v="1"/>
    <d v="2022-09-15T00:00:00"/>
    <d v="2025-07-31T00:00:00"/>
    <m/>
    <d v="2026-08-04T00:00:00"/>
    <s v="ENTERGY TEXAS, INC."/>
    <s v="Liberty"/>
    <m/>
    <m/>
    <s v="TX"/>
    <s v="DPP-2022"/>
    <s v="South"/>
    <s v="Phase 1"/>
    <s v="NRIS"/>
    <s v="Hightower - Rye 138kV"/>
    <n v="200"/>
    <n v="200"/>
    <x v="0"/>
    <s v="Photovoltaic"/>
    <s v="Not Started"/>
    <m/>
    <n v="0"/>
    <n v="0"/>
    <n v="0"/>
    <n v="0"/>
  </r>
  <r>
    <s v="J2768"/>
    <x v="1"/>
    <d v="2022-09-14T00:00:00"/>
    <d v="2025-07-31T00:00:00"/>
    <m/>
    <d v="2026-09-01T00:00:00"/>
    <s v="ENTERGY MISSISSIPPI, LLC."/>
    <s v="Bolivar"/>
    <m/>
    <m/>
    <s v="MS"/>
    <s v="DPP-2022"/>
    <s v="South"/>
    <s v="Phase 1"/>
    <s v="NRIS"/>
    <s v="Shelby SS - Roundaway SS (CE) 115 kV Line"/>
    <n v="120"/>
    <n v="120"/>
    <x v="0"/>
    <s v="Photovoltaic"/>
    <s v="Not Started"/>
    <m/>
    <n v="0"/>
    <n v="0"/>
    <n v="0"/>
    <n v="0"/>
  </r>
  <r>
    <s v="J2769"/>
    <x v="1"/>
    <d v="2022-09-14T00:00:00"/>
    <d v="2025-07-31T00:00:00"/>
    <m/>
    <d v="2026-09-01T00:00:00"/>
    <s v="ENTERGY LOUISIANA, LLC"/>
    <s v="St. Helena"/>
    <m/>
    <m/>
    <s v="LA"/>
    <s v="DPP-2022"/>
    <s v="South"/>
    <s v="Phase 1"/>
    <s v="NRIS"/>
    <s v="Amite - Gillsburg Tap 115 kV"/>
    <n v="200"/>
    <n v="200"/>
    <x v="0"/>
    <s v="Photovoltaic"/>
    <s v="Not Started"/>
    <m/>
    <n v="0"/>
    <n v="0"/>
    <n v="0"/>
    <n v="0"/>
  </r>
  <r>
    <s v="J2770"/>
    <x v="1"/>
    <d v="2023-09-12T00:00:00"/>
    <d v="2025-07-31T00:00:00"/>
    <m/>
    <d v="2026-09-01T00:00:00"/>
    <s v="CLECO POWER LLC"/>
    <s v="Grant"/>
    <m/>
    <m/>
    <s v="LA"/>
    <s v="DPP-2022"/>
    <s v="South"/>
    <s v="Phase 1"/>
    <s v="NRIS"/>
    <s v="Colfax-Montgomery (EES) 230 kV Line"/>
    <n v="125"/>
    <n v="125"/>
    <x v="0"/>
    <s v="Photovoltaic"/>
    <s v="Not Started"/>
    <m/>
    <n v="0"/>
    <n v="0"/>
    <n v="0"/>
    <n v="0"/>
  </r>
  <r>
    <s v="J2771"/>
    <x v="1"/>
    <d v="2022-09-15T00:00:00"/>
    <d v="2025-07-31T00:00:00"/>
    <m/>
    <d v="2027-03-01T00:00:00"/>
    <s v="ENTERGY MISSISSIPPI, LLC."/>
    <s v="Coahoma"/>
    <m/>
    <m/>
    <s v="MS"/>
    <s v="DPP-2022"/>
    <s v="South"/>
    <s v="Phase 1"/>
    <s v="NRIS"/>
    <s v="6CROSSROADS! (337100) - 6MOONLAKE%  (337107) 230 kV"/>
    <n v="100"/>
    <n v="100"/>
    <x v="5"/>
    <s v="Solar/Battery"/>
    <s v="Not Started"/>
    <m/>
    <n v="0"/>
    <n v="0"/>
    <n v="0"/>
    <n v="0"/>
  </r>
  <r>
    <s v="J2772"/>
    <x v="1"/>
    <d v="2022-09-15T00:00:00"/>
    <d v="2025-10-27T00:00:00"/>
    <m/>
    <d v="2027-06-01T00:00:00"/>
    <s v="MONTANA-DAKOTA UTILITIES CO."/>
    <s v="Mercer"/>
    <m/>
    <m/>
    <s v="ND"/>
    <s v="DPP-2022"/>
    <s v="West"/>
    <s v="Phase 1"/>
    <s v="NRIS"/>
    <s v="Coyote Switchyard 345 kV Substation"/>
    <n v="200"/>
    <n v="200"/>
    <x v="5"/>
    <s v="Solar/Battery"/>
    <s v="Not Started"/>
    <m/>
    <n v="0"/>
    <n v="0"/>
    <n v="0"/>
    <n v="0"/>
  </r>
  <r>
    <s v="J2773"/>
    <x v="2"/>
    <d v="2022-09-15T00:00:00"/>
    <m/>
    <m/>
    <d v="2027-06-01T00:00:00"/>
    <m/>
    <s v="Poinsett"/>
    <m/>
    <m/>
    <s v="AR"/>
    <s v="DPP-2022"/>
    <s v="South"/>
    <s v="Phase 1"/>
    <s v="NRIS"/>
    <s v="Newport - Fisher 161 kV Line"/>
    <n v="100"/>
    <n v="100"/>
    <x v="5"/>
    <s v="Solar/Battery"/>
    <s v="Not Started"/>
    <m/>
    <n v="100"/>
    <n v="100"/>
    <n v="0"/>
    <n v="0"/>
  </r>
  <r>
    <s v="J2774"/>
    <x v="1"/>
    <d v="2024-08-20T00:00:00"/>
    <d v="2025-08-01T00:00:00"/>
    <m/>
    <d v="2026-07-20T00:00:00"/>
    <s v="WOLVERINE POWER SUPPLY COOPERATIVE"/>
    <s v="Ionia"/>
    <m/>
    <m/>
    <s v="MI"/>
    <s v="DPP-2022"/>
    <s v="East (ITC)"/>
    <s v="Phase 1"/>
    <s v="NRIS"/>
    <s v="Other_"/>
    <n v="200"/>
    <n v="200"/>
    <x v="0"/>
    <s v="Photovoltaic"/>
    <s v="Not Started"/>
    <m/>
    <n v="0"/>
    <n v="0"/>
    <n v="0"/>
    <n v="0"/>
  </r>
  <r>
    <s v="J2775"/>
    <x v="1"/>
    <d v="2022-09-08T00:00:00"/>
    <d v="2025-08-07T00:00:00"/>
    <m/>
    <d v="2025-01-01T00:00:00"/>
    <s v="DUKE ENERGY INDIANA, LLC"/>
    <s v="White"/>
    <m/>
    <m/>
    <s v="IN"/>
    <s v="DPP-2022"/>
    <s v="Central"/>
    <s v="Phase 2"/>
    <s v="NRIS"/>
    <s v="Other_"/>
    <n v="125"/>
    <n v="125"/>
    <x v="2"/>
    <s v="Battery Storage"/>
    <s v="Not Started"/>
    <m/>
    <n v="0"/>
    <n v="0"/>
    <n v="0"/>
    <n v="0"/>
  </r>
  <r>
    <s v="J2776"/>
    <x v="1"/>
    <d v="2022-09-07T00:00:00"/>
    <d v="2023-03-22T00:00:00"/>
    <m/>
    <d v="2025-01-01T00:00:00"/>
    <s v="NORTHERN INDIANA PUBLIC SERVICE COMPANY LLC"/>
    <s v="Fulton"/>
    <m/>
    <m/>
    <s v="IN"/>
    <s v="DPP-2022"/>
    <s v="Central"/>
    <s v="Phase 2"/>
    <s v="NRIS"/>
    <s v="WINAMAC to BRUCE LAKE 69kV (Circuit ID 6913) NIPSCO AREA"/>
    <n v="10"/>
    <n v="10"/>
    <x v="5"/>
    <s v="Solar/Battery"/>
    <s v="Not Started"/>
    <m/>
    <n v="0"/>
    <n v="0"/>
    <n v="0"/>
    <n v="0"/>
  </r>
  <r>
    <s v="J2777"/>
    <x v="1"/>
    <d v="2022-09-07T00:00:00"/>
    <d v="2023-03-22T00:00:00"/>
    <m/>
    <d v="2025-01-01T00:00:00"/>
    <s v="DUKE ENERGY INDIANA, LLC"/>
    <s v="Madison"/>
    <m/>
    <m/>
    <s v="IN"/>
    <s v="DPP-2022"/>
    <s v="Central"/>
    <s v="Phase 2"/>
    <s v="NRIS"/>
    <s v="Cadiz_x0009_Lapel Brockway Glass 69kV"/>
    <n v="35"/>
    <n v="35"/>
    <x v="5"/>
    <s v="Solar/Battery"/>
    <s v="Not Started"/>
    <m/>
    <n v="0"/>
    <n v="0"/>
    <n v="0"/>
    <n v="0"/>
  </r>
  <r>
    <s v="J2778"/>
    <x v="1"/>
    <d v="2022-09-07T00:00:00"/>
    <d v="2025-10-27T00:00:00"/>
    <m/>
    <d v="2025-01-01T00:00:00"/>
    <s v="DUKE ENERGY INDIANA, LLC"/>
    <s v="Miami"/>
    <m/>
    <m/>
    <s v="IN"/>
    <s v="DPP-2022"/>
    <s v="Central"/>
    <s v="Phase 2"/>
    <s v="NRIS"/>
    <s v="Deedsville_x0009_North Manchester Switching Sta 69kV (Circuit Number 6974)."/>
    <n v="15"/>
    <n v="15"/>
    <x v="5"/>
    <s v="Solar/Battery"/>
    <s v="Not Started"/>
    <m/>
    <n v="0"/>
    <n v="0"/>
    <n v="0"/>
    <n v="0"/>
  </r>
  <r>
    <s v="J2779"/>
    <x v="1"/>
    <d v="2022-09-08T00:00:00"/>
    <d v="2025-10-27T00:00:00"/>
    <m/>
    <d v="2025-01-01T00:00:00"/>
    <s v="DUKE ENERGY INDIANA, LLC"/>
    <s v="Clinton"/>
    <m/>
    <m/>
    <s v="IN"/>
    <s v="DPP-2022"/>
    <s v="Central"/>
    <s v="Phase 2"/>
    <s v="NRIS"/>
    <s v="Lafayette_x0009_to Middlefork 69kV Line (Circuit 6909)"/>
    <n v="40"/>
    <n v="40"/>
    <x v="5"/>
    <s v="Solar/Battery"/>
    <s v="Not Started"/>
    <m/>
    <n v="0"/>
    <n v="0"/>
    <n v="0"/>
    <n v="0"/>
  </r>
  <r>
    <s v="J2780"/>
    <x v="1"/>
    <d v="2023-10-05T00:00:00"/>
    <d v="2025-10-27T00:00:00"/>
    <m/>
    <d v="2025-01-01T00:00:00"/>
    <s v="NORTHERN INDIANA PUBLIC SERVICE COMPANY LLC"/>
    <s v="Pulaski"/>
    <m/>
    <m/>
    <s v="IN"/>
    <s v="DPP-2022"/>
    <s v="Central"/>
    <s v="Phase 2"/>
    <s v="NRIS"/>
    <s v="STARKE (Actual POI is on ASPHALTUM to MEDARYVILLE 69kV Circuit 6919 an appendix  G facility)"/>
    <n v="33"/>
    <n v="33"/>
    <x v="5"/>
    <s v="Solar/Battery"/>
    <s v="Not Started"/>
    <m/>
    <n v="0"/>
    <n v="0"/>
    <n v="0"/>
    <n v="0"/>
  </r>
  <r>
    <s v="J2781"/>
    <x v="1"/>
    <d v="2022-09-07T00:00:00"/>
    <d v="2025-10-27T00:00:00"/>
    <m/>
    <d v="2025-01-01T00:00:00"/>
    <s v="NORTHERN INDIANA PUBLIC SERVICE COMPANY LLC"/>
    <s v="Jasper"/>
    <m/>
    <m/>
    <s v="IN"/>
    <s v="DPP-2022"/>
    <s v="Central"/>
    <s v="Phase 2"/>
    <s v="NRIS"/>
    <s v="Other_"/>
    <n v="35"/>
    <n v="35"/>
    <x v="5"/>
    <s v="Solar/Battery"/>
    <s v="Not Started"/>
    <m/>
    <n v="0"/>
    <n v="0"/>
    <n v="0"/>
    <n v="0"/>
  </r>
  <r>
    <s v="J2782"/>
    <x v="1"/>
    <d v="2022-09-07T00:00:00"/>
    <d v="2025-10-27T00:00:00"/>
    <m/>
    <d v="2025-01-01T00:00:00"/>
    <s v="NORTHERN INDIANA PUBLIC SERVICE COMPANY LLC"/>
    <s v="Newton"/>
    <m/>
    <m/>
    <s v="IN"/>
    <s v="DPP-2022"/>
    <s v="Central"/>
    <s v="Phase 2"/>
    <s v="NRIS"/>
    <s v="KENTLAND-MOROCCO 69kV"/>
    <n v="38"/>
    <n v="38"/>
    <x v="5"/>
    <s v="Solar/Battery"/>
    <s v="Not Started"/>
    <m/>
    <n v="0"/>
    <n v="0"/>
    <n v="0"/>
    <n v="0"/>
  </r>
  <r>
    <s v="J2783"/>
    <x v="1"/>
    <d v="2022-09-07T00:00:00"/>
    <d v="2025-10-27T00:00:00"/>
    <m/>
    <d v="2025-01-01T00:00:00"/>
    <s v="NORTHERN INDIANA PUBLIC SERVICE COMPANY LLC"/>
    <s v="White"/>
    <m/>
    <m/>
    <s v="IN"/>
    <s v="DPP-2022"/>
    <s v="Central"/>
    <s v="Phase 2"/>
    <s v="NRIS"/>
    <s v="Monticello 69kV (Acutal POI is a tap on GUERNSEY - Monon Circuit 6907 an appendix G  facility)"/>
    <n v="33"/>
    <n v="33"/>
    <x v="5"/>
    <s v="Solar/Battery"/>
    <s v="Not Started"/>
    <m/>
    <n v="0"/>
    <n v="0"/>
    <n v="0"/>
    <n v="0"/>
  </r>
  <r>
    <s v="J2784"/>
    <x v="1"/>
    <d v="2022-09-15T00:00:00"/>
    <d v="2025-11-03T00:00:00"/>
    <m/>
    <d v="2026-07-20T00:00:00"/>
    <s v="AMEREN TRANSMISSION COMPANY OF ILLINOIS"/>
    <s v="Sangamon"/>
    <m/>
    <m/>
    <s v="IL"/>
    <s v="DPP-2022"/>
    <s v="Central"/>
    <s v="Phase 2"/>
    <s v="NRIS"/>
    <s v="Turner 345kv Substation"/>
    <n v="200"/>
    <n v="200"/>
    <x v="1"/>
    <s v="Wind Turbine"/>
    <s v="Not Started"/>
    <m/>
    <n v="200"/>
    <n v="200"/>
    <n v="0"/>
    <n v="0"/>
  </r>
  <r>
    <s v="J2785"/>
    <x v="1"/>
    <d v="2022-09-15T00:00:00"/>
    <d v="2025-07-31T00:00:00"/>
    <m/>
    <d v="2026-09-15T00:00:00"/>
    <s v="ENTERGY ARKANSAS, LLC"/>
    <s v="Calhoun"/>
    <m/>
    <m/>
    <s v="AR"/>
    <s v="DPP-2022"/>
    <s v="South"/>
    <s v="Phase 1"/>
    <s v="NRIS"/>
    <s v="El Dorado - Sheridan 500 kV"/>
    <n v="500"/>
    <n v="500"/>
    <x v="0"/>
    <s v="Photovoltaic"/>
    <s v="Not Started"/>
    <m/>
    <n v="0"/>
    <n v="0"/>
    <n v="0"/>
    <n v="0"/>
  </r>
  <r>
    <s v="J2786"/>
    <x v="2"/>
    <d v="2022-09-15T00:00:00"/>
    <m/>
    <m/>
    <d v="2024-07-01T00:00:00"/>
    <s v="METC"/>
    <s v="Allegan"/>
    <m/>
    <m/>
    <s v="MI"/>
    <s v="DPP-2022"/>
    <s v="East (ITC)"/>
    <s v="Phase 1"/>
    <s v="NRIS"/>
    <s v="ARGENTA - TALLMADGE 345.0kV"/>
    <n v="170"/>
    <n v="170"/>
    <x v="5"/>
    <s v="Solar/Battery"/>
    <s v="Not Started"/>
    <m/>
    <n v="170"/>
    <n v="170"/>
    <n v="0"/>
    <n v="0"/>
  </r>
  <r>
    <s v="J2787"/>
    <x v="1"/>
    <d v="2022-09-15T00:00:00"/>
    <d v="2023-03-27T00:00:00"/>
    <m/>
    <d v="2025-06-30T00:00:00"/>
    <s v="ENTERGY ARKANSAS, LLC"/>
    <s v="Lee"/>
    <m/>
    <m/>
    <s v="AR"/>
    <s v="DPP-2022"/>
    <s v="South"/>
    <s v="Phase 1"/>
    <s v="NRIS"/>
    <s v="BRINKLEY EAST-AECC AUBREY 230kV"/>
    <n v="200"/>
    <n v="200"/>
    <x v="0"/>
    <s v="Photovoltaic"/>
    <s v="Not Started"/>
    <m/>
    <n v="0"/>
    <n v="0"/>
    <n v="0"/>
    <n v="0"/>
  </r>
  <r>
    <s v="J2788"/>
    <x v="1"/>
    <d v="2022-09-14T00:00:00"/>
    <d v="2025-08-01T00:00:00"/>
    <m/>
    <d v="2025-08-07T00:00:00"/>
    <s v="ITC"/>
    <s v="Wayne"/>
    <m/>
    <m/>
    <s v="MI"/>
    <s v="DPP-2022"/>
    <s v="East (ITC)"/>
    <s v="Phase 1"/>
    <s v="NRIS"/>
    <s v="Dayton 120kV Substation"/>
    <n v="100"/>
    <n v="100"/>
    <x v="2"/>
    <s v="Battery Storage"/>
    <s v="Not Started"/>
    <m/>
    <n v="0"/>
    <n v="0"/>
    <n v="0"/>
    <n v="0"/>
  </r>
  <r>
    <s v="J2789"/>
    <x v="1"/>
    <d v="2022-09-14T00:00:00"/>
    <d v="2023-03-08T00:00:00"/>
    <m/>
    <d v="2025-11-05T00:00:00"/>
    <s v="AMEREN ILLINOIS"/>
    <s v="Jasper"/>
    <m/>
    <m/>
    <s v="IL"/>
    <s v="DPP-2022"/>
    <s v="Central"/>
    <s v="Phase 2"/>
    <s v="NRIS"/>
    <s v="4NEWTON-4ROBNSNAM 138kV"/>
    <n v="250"/>
    <n v="250"/>
    <x v="2"/>
    <s v="Battery Storage"/>
    <s v="Not Started"/>
    <m/>
    <n v="0"/>
    <n v="0"/>
    <n v="0"/>
    <n v="0"/>
  </r>
  <r>
    <s v="J2790"/>
    <x v="1"/>
    <d v="2022-09-14T00:00:00"/>
    <d v="2023-03-13T00:00:00"/>
    <m/>
    <d v="2026-02-05T00:00:00"/>
    <s v="AMEREN TRANSMISSION COMPANY OF ILLINOIS"/>
    <s v="Christian"/>
    <m/>
    <m/>
    <s v="IL"/>
    <s v="DPP-2022"/>
    <s v="Central"/>
    <s v="Phase 2"/>
    <s v="NRIS"/>
    <s v="7Pana-7Austin 345kV"/>
    <n v="300"/>
    <n v="300"/>
    <x v="2"/>
    <s v="Battery Storage"/>
    <s v="Not Started"/>
    <m/>
    <n v="0"/>
    <n v="0"/>
    <n v="0"/>
    <n v="0"/>
  </r>
  <r>
    <s v="J2791"/>
    <x v="2"/>
    <d v="2022-09-13T00:00:00"/>
    <m/>
    <m/>
    <d v="2027-05-01T00:00:00"/>
    <s v="LAFAYETTE UTILITIES SYSTEM"/>
    <s v="Lafayette"/>
    <m/>
    <m/>
    <s v="LA"/>
    <s v="DPP-2022"/>
    <s v="South"/>
    <s v="Phase 1"/>
    <s v="NRIS"/>
    <s v="Doc Bonin 69kV"/>
    <n v="243.1"/>
    <n v="243.1"/>
    <x v="3"/>
    <s v="Combustion Turbine (Simple Cycle)"/>
    <s v="Not Started"/>
    <m/>
    <n v="243.1"/>
    <n v="243.1"/>
    <n v="0"/>
    <n v="0"/>
  </r>
  <r>
    <s v="J2792"/>
    <x v="1"/>
    <d v="2022-08-31T00:00:00"/>
    <d v="2023-03-24T00:00:00"/>
    <m/>
    <d v="2026-09-01T00:00:00"/>
    <s v="ENTERGY LOUISIANA, LLC ELTO"/>
    <s v="Concordia"/>
    <m/>
    <m/>
    <s v="LA"/>
    <s v="DPP-2022"/>
    <s v="South"/>
    <s v="Phase 1"/>
    <s v="NRIS"/>
    <s v="Persimmon Mill--Red Gum  115kV Line"/>
    <n v="150"/>
    <n v="150"/>
    <x v="0"/>
    <s v="Photovoltaic"/>
    <s v="Not Started"/>
    <m/>
    <n v="0"/>
    <n v="0"/>
    <n v="0"/>
    <n v="0"/>
  </r>
  <r>
    <s v="J2793"/>
    <x v="2"/>
    <d v="2022-09-14T00:00:00"/>
    <m/>
    <m/>
    <d v="2026-06-30T00:00:00"/>
    <s v="AMEREN ILLINOIS"/>
    <s v="Saline"/>
    <m/>
    <m/>
    <s v="IL"/>
    <s v="DPP-2022"/>
    <s v="Central"/>
    <s v="Phase 2"/>
    <s v="ERIS"/>
    <s v="Muddy"/>
    <n v="250"/>
    <n v="250"/>
    <x v="0"/>
    <s v="Photovoltaic"/>
    <s v="Not Started"/>
    <m/>
    <n v="250"/>
    <n v="0"/>
    <n v="0"/>
    <n v="0"/>
  </r>
  <r>
    <s v="J2794"/>
    <x v="4"/>
    <d v="2022-08-23T00:00:00"/>
    <m/>
    <m/>
    <d v="2029-12-27T00:00:00"/>
    <s v="AMEREN ILLINOIS"/>
    <s v="Fayette"/>
    <m/>
    <m/>
    <s v="IL"/>
    <s v="DPP-2022"/>
    <s v="Central"/>
    <s v="Phase 2"/>
    <s v="ERIS"/>
    <s v="A Tap on Kinmundy-Otego 138kv line"/>
    <n v="90"/>
    <n v="90"/>
    <x v="0"/>
    <s v="Photovoltaic"/>
    <s v="Not Started"/>
    <m/>
    <n v="90"/>
    <n v="0"/>
    <n v="0"/>
    <n v="0"/>
  </r>
  <r>
    <s v="J2795"/>
    <x v="1"/>
    <d v="2022-09-15T00:00:00"/>
    <d v="2025-07-31T00:00:00"/>
    <m/>
    <d v="2025-09-30T00:00:00"/>
    <s v="ENTERGY LOUISIANA, LLC"/>
    <s v="Lincoln"/>
    <m/>
    <m/>
    <s v="LA"/>
    <s v="DPP-2022"/>
    <s v="South"/>
    <s v="Phase 1"/>
    <s v="NRIS"/>
    <s v="DOWNSVILLE"/>
    <n v="100"/>
    <n v="100"/>
    <x v="0"/>
    <s v="Photovoltaic"/>
    <s v="Not Started"/>
    <m/>
    <n v="0"/>
    <n v="0"/>
    <n v="0"/>
    <n v="0"/>
  </r>
  <r>
    <s v="J2796"/>
    <x v="1"/>
    <d v="2022-09-15T00:00:00"/>
    <d v="2025-07-31T00:00:00"/>
    <m/>
    <d v="2026-10-01T00:00:00"/>
    <s v="ENTERGY ARKANSAS, LLC"/>
    <s v="Jackson"/>
    <m/>
    <m/>
    <s v="AR"/>
    <s v="DPP-2022"/>
    <s v="South"/>
    <s v="Phase 1"/>
    <s v="NRIS"/>
    <s v="Newport Ab-Cash 161kV"/>
    <n v="250"/>
    <n v="250"/>
    <x v="0"/>
    <s v="Photovoltaic"/>
    <s v="Not Started"/>
    <m/>
    <n v="0"/>
    <n v="0"/>
    <n v="0"/>
    <n v="0"/>
  </r>
  <r>
    <s v="J2797"/>
    <x v="4"/>
    <d v="2025-10-25T00:00:00"/>
    <m/>
    <m/>
    <d v="2026-09-15T00:00:00"/>
    <s v="AMEREN ILLINOIS"/>
    <s v="White"/>
    <m/>
    <m/>
    <s v="IL"/>
    <s v="DPP-2022"/>
    <s v="Central"/>
    <s v="Phase 2"/>
    <s v="NRIS"/>
    <s v="Norris City North"/>
    <n v="150"/>
    <n v="150"/>
    <x v="5"/>
    <s v="Solar/Battery"/>
    <s v="Not Started"/>
    <m/>
    <n v="150"/>
    <n v="150"/>
    <n v="0"/>
    <n v="0"/>
  </r>
  <r>
    <s v="J2798"/>
    <x v="1"/>
    <d v="2022-09-15T00:00:00"/>
    <d v="2023-03-24T00:00:00"/>
    <m/>
    <d v="2026-08-15T00:00:00"/>
    <s v="NORTHERN INDIANA PUBLIC SERVICE COMPANY LLC"/>
    <s v="White"/>
    <m/>
    <m/>
    <s v="IN"/>
    <s v="DPP-2022"/>
    <s v="Central"/>
    <s v="Phase 2"/>
    <s v="NRIS"/>
    <s v="E. Winamac - Monticello 138 kV line"/>
    <n v="250"/>
    <n v="250"/>
    <x v="0"/>
    <s v="Photovoltaic"/>
    <s v="Not Started"/>
    <m/>
    <n v="0"/>
    <n v="0"/>
    <n v="0"/>
    <n v="0"/>
  </r>
  <r>
    <s v="J2799"/>
    <x v="2"/>
    <d v="2025-10-25T00:00:00"/>
    <m/>
    <m/>
    <d v="2025-09-01T00:00:00"/>
    <s v="METC"/>
    <s v="Van Buren"/>
    <m/>
    <m/>
    <s v="MI"/>
    <s v="DPP-2022"/>
    <s v="East (ITC)"/>
    <s v="Phase 1"/>
    <s v="NRIS"/>
    <s v="ARGENTA - PALISADES 345.0kV"/>
    <n v="200"/>
    <n v="200"/>
    <x v="2"/>
    <s v="Battery Storage"/>
    <s v="Not Started"/>
    <m/>
    <n v="200"/>
    <n v="200"/>
    <n v="0"/>
    <n v="0"/>
  </r>
  <r>
    <s v="J2800"/>
    <x v="1"/>
    <d v="2022-09-15T00:00:00"/>
    <d v="2025-07-31T00:00:00"/>
    <m/>
    <d v="2028-09-29T00:00:00"/>
    <s v="ENTERGY ARKANSAS, LLC"/>
    <s v="Columbia"/>
    <m/>
    <m/>
    <s v="AR"/>
    <s v="DPP-2022"/>
    <s v="South"/>
    <s v="Phase 1"/>
    <s v="NRIS"/>
    <s v="EL DORADO EHV - SAREPTA 345/115KV SW STA 345kV"/>
    <n v="200"/>
    <n v="200"/>
    <x v="0"/>
    <s v="Photovoltaic"/>
    <s v="Not Started"/>
    <m/>
    <n v="0"/>
    <n v="0"/>
    <n v="0"/>
    <n v="0"/>
  </r>
  <r>
    <s v="J2801"/>
    <x v="4"/>
    <d v="2023-09-11T00:00:00"/>
    <m/>
    <m/>
    <d v="2026-09-01T00:00:00"/>
    <m/>
    <s v="Woodruff"/>
    <m/>
    <m/>
    <s v="AR"/>
    <s v="DPP-2022"/>
    <s v="South"/>
    <s v="Phase 1"/>
    <s v="ERIS"/>
    <s v="AECC HUNTER NORTH - MCCRORY 161.0kV"/>
    <n v="130"/>
    <n v="130"/>
    <x v="0"/>
    <s v="Photovoltaic"/>
    <s v="Not Started"/>
    <m/>
    <n v="130"/>
    <n v="0"/>
    <n v="0"/>
    <n v="0"/>
  </r>
  <r>
    <s v="J2802"/>
    <x v="1"/>
    <d v="2022-09-15T00:00:00"/>
    <d v="2023-04-06T00:00:00"/>
    <m/>
    <d v="2025-10-31T00:00:00"/>
    <s v="CLECO POWER LLC"/>
    <s v="Beauregard"/>
    <m/>
    <m/>
    <s v="LA"/>
    <s v="DPP-2022"/>
    <s v="South"/>
    <s v="Phase 1"/>
    <s v="NRIS"/>
    <s v="Singer J1424 to Penton 230 kV line"/>
    <n v="100"/>
    <n v="100"/>
    <x v="0"/>
    <s v="Photovoltaic"/>
    <s v="Not Started"/>
    <m/>
    <n v="0"/>
    <n v="0"/>
    <n v="0"/>
    <n v="0"/>
  </r>
  <r>
    <s v="J2803"/>
    <x v="1"/>
    <d v="2022-09-14T00:00:00"/>
    <d v="2025-07-31T00:00:00"/>
    <m/>
    <d v="2027-03-01T00:00:00"/>
    <s v="ENTERGY MISSISSIPPI, LLC."/>
    <s v="Carroll"/>
    <m/>
    <m/>
    <s v="MS"/>
    <s v="DPP-2022"/>
    <s v="South"/>
    <s v="Phase 1"/>
    <s v="NRIS"/>
    <s v="Winona (3WINONA!  337060) - Carrollton (3CARROLLTON+  337056) 115 kV"/>
    <n v="150"/>
    <n v="150"/>
    <x v="5"/>
    <s v="Solar/Battery"/>
    <s v="Not Started"/>
    <m/>
    <n v="0"/>
    <n v="0"/>
    <n v="0"/>
    <n v="0"/>
  </r>
  <r>
    <s v="J2804"/>
    <x v="1"/>
    <d v="2022-09-15T00:00:00"/>
    <d v="2025-07-31T00:00:00"/>
    <m/>
    <d v="2017-06-01T00:00:00"/>
    <s v="ENTERGY LOUISIANA, LLC"/>
    <s v="West Carroll"/>
    <m/>
    <m/>
    <s v="LA"/>
    <s v="DPP-2022"/>
    <s v="South"/>
    <s v="Phase 1"/>
    <s v="NRIS"/>
    <s v="Oak Grove - Galion 115kV Tap"/>
    <n v="100"/>
    <n v="100"/>
    <x v="5"/>
    <s v="Solar/Battery"/>
    <s v="Not Started"/>
    <m/>
    <n v="0"/>
    <n v="0"/>
    <n v="0"/>
    <n v="0"/>
  </r>
  <r>
    <s v="J2805"/>
    <x v="1"/>
    <d v="2022-09-13T00:00:00"/>
    <d v="2025-10-27T00:00:00"/>
    <m/>
    <d v="2026-09-01T00:00:00"/>
    <s v="DUKE ENERGY INDIANA, LLC"/>
    <s v="Fountain"/>
    <m/>
    <m/>
    <s v="IN"/>
    <s v="DPP-2022"/>
    <s v="Central"/>
    <s v="Phase 2"/>
    <s v="NRIS"/>
    <s v="VEEDERSBURG WEST 230 Substation"/>
    <n v="200"/>
    <n v="200"/>
    <x v="0"/>
    <s v="Photovoltaic"/>
    <s v="Not Started"/>
    <m/>
    <n v="0"/>
    <n v="0"/>
    <n v="0"/>
    <n v="0"/>
  </r>
  <r>
    <s v="J2806"/>
    <x v="2"/>
    <d v="2022-09-13T00:00:00"/>
    <m/>
    <m/>
    <d v="2026-09-01T00:00:00"/>
    <m/>
    <s v="Warren"/>
    <m/>
    <m/>
    <s v="MO"/>
    <s v="DPP-2022"/>
    <s v="Central"/>
    <s v="Phase 2"/>
    <s v="NRIS"/>
    <s v="Warrenton 161kV Substation"/>
    <n v="200"/>
    <n v="200"/>
    <x v="0"/>
    <s v="Photovoltaic"/>
    <s v="Not Started"/>
    <m/>
    <n v="200"/>
    <n v="200"/>
    <n v="0"/>
    <n v="0"/>
  </r>
  <r>
    <s v="J2807"/>
    <x v="1"/>
    <d v="2022-09-14T00:00:00"/>
    <d v="2023-03-24T00:00:00"/>
    <m/>
    <d v="2026-09-01T00:00:00"/>
    <s v="METC"/>
    <s v="Ingham"/>
    <m/>
    <m/>
    <s v="MI"/>
    <s v="DPP-2022"/>
    <s v="East (ITC)"/>
    <s v="Phase 1"/>
    <s v="NRIS"/>
    <s v="DELHI to TOMPKINS 138kV"/>
    <n v="100"/>
    <n v="100"/>
    <x v="0"/>
    <s v="Photovoltaic"/>
    <s v="Not Started"/>
    <m/>
    <n v="0"/>
    <n v="0"/>
    <n v="0"/>
    <n v="0"/>
  </r>
  <r>
    <s v="J2808"/>
    <x v="2"/>
    <d v="2022-09-14T00:00:00"/>
    <m/>
    <m/>
    <d v="2026-09-01T00:00:00"/>
    <s v="AMEREN ILLINOIS"/>
    <s v="Fayette"/>
    <m/>
    <m/>
    <s v="IL"/>
    <s v="DPP-2022"/>
    <s v="Central"/>
    <s v="Phase 2"/>
    <s v="NRIS"/>
    <s v="Ramsey East 138 sub (co-located with Dressor and Switchgrass)"/>
    <n v="100"/>
    <n v="100"/>
    <x v="0"/>
    <s v="Photovoltaic"/>
    <s v="Not Started"/>
    <m/>
    <n v="100"/>
    <n v="100"/>
    <n v="0"/>
    <n v="0"/>
  </r>
  <r>
    <s v="J2809"/>
    <x v="2"/>
    <d v="2022-09-14T00:00:00"/>
    <m/>
    <m/>
    <d v="2026-09-01T00:00:00"/>
    <m/>
    <s v="Iroquois"/>
    <m/>
    <m/>
    <s v="IL"/>
    <s v="DPP-2022"/>
    <s v="Central"/>
    <s v="Phase 2"/>
    <s v="NRIS"/>
    <s v="4GILMAN - 4PAXTON E 138 kV"/>
    <n v="133"/>
    <n v="133"/>
    <x v="0"/>
    <s v="Photovoltaic"/>
    <s v="Not Started"/>
    <m/>
    <n v="133"/>
    <n v="133"/>
    <n v="0"/>
    <n v="0"/>
  </r>
  <r>
    <s v="J2810"/>
    <x v="1"/>
    <d v="2022-09-14T00:00:00"/>
    <d v="2023-03-24T00:00:00"/>
    <m/>
    <d v="2026-09-01T00:00:00"/>
    <s v="ITC MIDWEST"/>
    <s v="Cerro Gordo"/>
    <m/>
    <m/>
    <s v="IA"/>
    <s v="DPP-2022"/>
    <s v="West"/>
    <s v="Phase 1"/>
    <s v="NRIS"/>
    <s v="Killdeer 345/161 sub (Emery station 161 outlet)"/>
    <n v="100"/>
    <n v="100"/>
    <x v="2"/>
    <s v="Battery Storage"/>
    <s v="Not Started"/>
    <m/>
    <n v="0"/>
    <n v="0"/>
    <n v="0"/>
    <n v="0"/>
  </r>
  <r>
    <s v="J2811"/>
    <x v="2"/>
    <d v="2022-09-14T00:00:00"/>
    <m/>
    <m/>
    <d v="2026-09-01T00:00:00"/>
    <s v="ITC MIDWEST"/>
    <s v="Cerro Gordo"/>
    <m/>
    <m/>
    <s v="IA"/>
    <s v="DPP-2022"/>
    <s v="West"/>
    <s v="Phase 1"/>
    <s v="NRIS"/>
    <s v="Killdeer"/>
    <n v="210"/>
    <n v="210"/>
    <x v="0"/>
    <s v="Photovoltaic"/>
    <s v="Not Started"/>
    <m/>
    <n v="210"/>
    <n v="210"/>
    <n v="0"/>
    <n v="0"/>
  </r>
  <r>
    <s v="J2812"/>
    <x v="2"/>
    <d v="2022-09-14T00:00:00"/>
    <m/>
    <m/>
    <d v="2026-09-01T00:00:00"/>
    <s v="METC"/>
    <s v="Hillsdale"/>
    <m/>
    <m/>
    <s v="MI"/>
    <s v="DPP-2022"/>
    <s v="East (ITC)"/>
    <s v="Phase 1"/>
    <s v="NRIS"/>
    <s v="MOORE ROAD"/>
    <n v="140"/>
    <n v="140"/>
    <x v="0"/>
    <s v="Photovoltaic"/>
    <s v="Not Started"/>
    <m/>
    <n v="140"/>
    <n v="140"/>
    <n v="0"/>
    <n v="0"/>
  </r>
  <r>
    <s v="J2813"/>
    <x v="1"/>
    <d v="2022-09-13T00:00:00"/>
    <d v="2023-03-24T00:00:00"/>
    <m/>
    <d v="2027-02-15T00:00:00"/>
    <s v="METC"/>
    <s v="Saginaw"/>
    <m/>
    <m/>
    <s v="MI"/>
    <s v="DPP-2022"/>
    <s v="East (ITC)"/>
    <s v="Phase 1"/>
    <s v="NRIS"/>
    <s v="Slate Goss 345 KV Line"/>
    <n v="195"/>
    <n v="195"/>
    <x v="0"/>
    <s v="Photovoltaic"/>
    <s v="Not Started"/>
    <m/>
    <n v="0"/>
    <n v="0"/>
    <n v="0"/>
    <n v="0"/>
  </r>
  <r>
    <s v="J2814"/>
    <x v="2"/>
    <d v="2022-09-07T00:00:00"/>
    <m/>
    <m/>
    <d v="2026-02-15T00:00:00"/>
    <s v="METC"/>
    <s v="Kalamazoo"/>
    <m/>
    <m/>
    <s v="MI"/>
    <s v="DPP-2022"/>
    <s v="East (ITC)"/>
    <s v="Phase 1"/>
    <s v="NRIS"/>
    <s v="ARGENTA - MORROW 138.0kV"/>
    <n v="220"/>
    <n v="220"/>
    <x v="0"/>
    <s v="Photovoltaic"/>
    <s v="Not Started"/>
    <d v="2027-03-27T00:00:00"/>
    <n v="220"/>
    <n v="220"/>
    <n v="0"/>
    <n v="0"/>
  </r>
  <r>
    <s v="J2815"/>
    <x v="4"/>
    <d v="2022-08-30T00:00:00"/>
    <m/>
    <m/>
    <d v="2025-02-15T00:00:00"/>
    <s v="METC"/>
    <s v="Calhoun"/>
    <m/>
    <m/>
    <s v="MI"/>
    <s v="DPP-2022"/>
    <s v="East (ITC)"/>
    <s v="Phase 1"/>
    <s v="NRIS"/>
    <s v="ARGENTA - VERONA 138.0kV"/>
    <n v="140"/>
    <n v="140"/>
    <x v="0"/>
    <s v="Photovoltaic"/>
    <s v="Not Started"/>
    <d v="2026-02-14T00:00:00"/>
    <n v="140"/>
    <n v="140"/>
    <n v="0"/>
    <n v="0"/>
  </r>
  <r>
    <s v="J2816"/>
    <x v="2"/>
    <d v="2022-09-08T00:00:00"/>
    <m/>
    <m/>
    <d v="2028-10-31T00:00:00"/>
    <m/>
    <s v="Ouachita"/>
    <m/>
    <m/>
    <s v="LA"/>
    <s v="DPP-2022"/>
    <s v="South"/>
    <s v="Phase 1"/>
    <s v="ERIS"/>
    <s v="RILLA - RIVERTON 115.0kV"/>
    <n v="100"/>
    <n v="100"/>
    <x v="0"/>
    <s v="Photovoltaic"/>
    <s v="Not Started"/>
    <m/>
    <n v="100"/>
    <n v="0"/>
    <n v="0"/>
    <n v="0"/>
  </r>
  <r>
    <s v="J2817"/>
    <x v="1"/>
    <d v="2022-09-09T00:00:00"/>
    <d v="2025-07-31T00:00:00"/>
    <m/>
    <d v="2024-09-30T00:00:00"/>
    <s v="EAST TEXAS ELECTRIC COOPERATIVE, INC."/>
    <s v="Liberty"/>
    <m/>
    <m/>
    <s v="TX"/>
    <s v="DPP-2022"/>
    <s v="South"/>
    <s v="Phase 1"/>
    <s v="NRIS"/>
    <s v="Batiste Creek 230kV Substation"/>
    <n v="120"/>
    <n v="120"/>
    <x v="0"/>
    <s v="Photovoltaic"/>
    <s v="Not Started"/>
    <m/>
    <n v="0"/>
    <n v="0"/>
    <n v="0"/>
    <n v="0"/>
  </r>
  <r>
    <s v="J2818"/>
    <x v="2"/>
    <d v="2025-10-27T00:00:00"/>
    <m/>
    <m/>
    <d v="2025-03-01T00:00:00"/>
    <s v="ENTERGY ARKANSAS, LLC EATO"/>
    <s v="Ouachita"/>
    <m/>
    <m/>
    <s v="AR"/>
    <s v="DPP-2022"/>
    <s v="South"/>
    <s v="Phase 1"/>
    <s v="NRIS"/>
    <s v="AECC CAMDEN SOUTH - STEPHENS 115.0kV"/>
    <n v="130"/>
    <n v="130"/>
    <x v="5"/>
    <s v="Solar/Battery"/>
    <s v="Not Started"/>
    <m/>
    <n v="130"/>
    <n v="0"/>
    <n v="0"/>
    <n v="0"/>
  </r>
  <r>
    <s v="J2819"/>
    <x v="2"/>
    <d v="2025-10-27T00:00:00"/>
    <m/>
    <m/>
    <d v="2025-02-01T00:00:00"/>
    <s v="ENTERGY LOUISIANA, LLC ELTO"/>
    <s v="Red River"/>
    <m/>
    <m/>
    <s v="LA"/>
    <s v="DPP-2022"/>
    <s v="South"/>
    <s v="Phase 1"/>
    <s v="NRIS"/>
    <s v="RINGGOLD - CARROLL (CLECO) 115.0kV"/>
    <n v="80"/>
    <n v="80"/>
    <x v="5"/>
    <s v="Solar/Battery"/>
    <s v="Not Started"/>
    <m/>
    <n v="80"/>
    <n v="0"/>
    <n v="0"/>
    <n v="0"/>
  </r>
  <r>
    <s v="J2820"/>
    <x v="1"/>
    <d v="2022-09-08T00:00:00"/>
    <d v="2025-10-27T00:00:00"/>
    <m/>
    <d v="2025-03-01T00:00:00"/>
    <s v="BIG RIVERS ELECTRIC CORPORATION"/>
    <s v="Daviess"/>
    <m/>
    <m/>
    <s v="KY"/>
    <s v="DPP-2022"/>
    <s v="Central"/>
    <s v="Phase 2"/>
    <s v="NRIS"/>
    <s v="Bon Harbor Tap-Stanley Tap 69kv"/>
    <n v="35"/>
    <n v="35"/>
    <x v="5"/>
    <s v="Solar/Battery"/>
    <s v="Not Started"/>
    <m/>
    <n v="0"/>
    <n v="0"/>
    <n v="0"/>
    <n v="0"/>
  </r>
  <r>
    <s v="J2821"/>
    <x v="1"/>
    <d v="2022-09-08T00:00:00"/>
    <d v="2025-10-27T00:00:00"/>
    <m/>
    <d v="2025-03-01T00:00:00"/>
    <s v="BIG RIVERS ELECTRIC CORPORATION"/>
    <s v="Crittenden"/>
    <m/>
    <m/>
    <s v="KY"/>
    <s v="DPP-2022"/>
    <s v="Central"/>
    <s v="Phase 2"/>
    <s v="NRIS"/>
    <s v="Sullivan - Marion Jct 69 kV"/>
    <n v="30"/>
    <n v="30"/>
    <x v="5"/>
    <s v="Solar/Battery"/>
    <s v="Not Started"/>
    <m/>
    <n v="0"/>
    <n v="0"/>
    <n v="0"/>
    <n v="0"/>
  </r>
  <r>
    <s v="J2822"/>
    <x v="2"/>
    <d v="2022-09-08T00:00:00"/>
    <m/>
    <m/>
    <d v="2025-03-01T00:00:00"/>
    <s v="METC"/>
    <s v="Van Buren"/>
    <m/>
    <m/>
    <s v="MI"/>
    <s v="DPP-2022"/>
    <s v="East (ITC)"/>
    <s v="Phase 1"/>
    <s v="NRIS"/>
    <s v="PALISADES - VERGENNES 345.0kV"/>
    <n v="200"/>
    <n v="200"/>
    <x v="2"/>
    <s v="Battery Storage"/>
    <s v="Not Started"/>
    <m/>
    <n v="200"/>
    <n v="200"/>
    <n v="0"/>
    <n v="0"/>
  </r>
  <r>
    <s v="J2823"/>
    <x v="1"/>
    <d v="2022-09-09T00:00:00"/>
    <d v="2025-10-27T00:00:00"/>
    <m/>
    <d v="2025-03-01T00:00:00"/>
    <s v="DUKE ENERGY INDIANA, LLC"/>
    <s v="Jefferson"/>
    <m/>
    <m/>
    <s v="IN"/>
    <s v="DPP-2022"/>
    <s v="Central"/>
    <s v="Phase 2"/>
    <s v="NRIS"/>
    <s v="Madison West 138kV Substation"/>
    <n v="200"/>
    <n v="200"/>
    <x v="2"/>
    <s v="Battery Storage"/>
    <s v="Not Started"/>
    <m/>
    <n v="0"/>
    <n v="0"/>
    <n v="0"/>
    <n v="0"/>
  </r>
  <r>
    <s v="J2824"/>
    <x v="1"/>
    <d v="2022-09-12T00:00:00"/>
    <d v="2025-07-31T00:00:00"/>
    <m/>
    <d v="2025-03-01T00:00:00"/>
    <s v="ENTERGY MISSISSIPPI, LLC."/>
    <s v="Yazoo"/>
    <m/>
    <m/>
    <s v="MS"/>
    <s v="DPP-2022"/>
    <s v="South"/>
    <s v="Phase 1"/>
    <s v="NRIS"/>
    <s v="Picken - Midway SS (CE) 115 kV"/>
    <n v="70"/>
    <n v="70"/>
    <x v="5"/>
    <s v="Solar/Battery"/>
    <s v="Not Started"/>
    <m/>
    <n v="0"/>
    <n v="0"/>
    <n v="0"/>
    <n v="0"/>
  </r>
  <r>
    <s v="J2825"/>
    <x v="1"/>
    <d v="2022-09-13T00:00:00"/>
    <d v="2025-07-31T00:00:00"/>
    <m/>
    <d v="2025-03-01T00:00:00"/>
    <s v="ENTERGY MISSISSIPPI, LLC."/>
    <s v="Panola"/>
    <m/>
    <m/>
    <s v="MS"/>
    <s v="DPP-2022"/>
    <s v="South"/>
    <s v="Phase 1"/>
    <s v="NRIS"/>
    <s v="COMO - CRENSHAW 115kV"/>
    <n v="100"/>
    <n v="100"/>
    <x v="5"/>
    <s v="Solar/Battery"/>
    <s v="Not Started"/>
    <m/>
    <n v="0"/>
    <n v="0"/>
    <n v="0"/>
    <n v="0"/>
  </r>
  <r>
    <s v="J2826"/>
    <x v="2"/>
    <d v="2022-09-15T00:00:00"/>
    <m/>
    <m/>
    <d v="2027-06-01T00:00:00"/>
    <s v="HOOSIER ENERGY"/>
    <s v="Greene"/>
    <m/>
    <m/>
    <s v="IN"/>
    <s v="DPP-2022"/>
    <s v="Central"/>
    <s v="Phase 2"/>
    <s v="NRIS"/>
    <s v="Sandborn Primary - Worthington Primary 161.0kV"/>
    <n v="125"/>
    <n v="125"/>
    <x v="5"/>
    <s v="Solar/Battery"/>
    <s v="Not Started"/>
    <m/>
    <n v="125"/>
    <n v="125"/>
    <n v="0"/>
    <n v="0"/>
  </r>
  <r>
    <s v="J2827"/>
    <x v="1"/>
    <d v="2022-09-13T00:00:00"/>
    <d v="2025-07-31T00:00:00"/>
    <m/>
    <d v="2025-03-01T00:00:00"/>
    <s v="ENTERGY MISSISSIPPI, LLC."/>
    <s v="Hinds"/>
    <m/>
    <m/>
    <s v="MS"/>
    <s v="DPP-2022"/>
    <s v="South"/>
    <s v="Phase 1"/>
    <s v="NRIS"/>
    <s v="Norrell 230kV Substation"/>
    <n v="200"/>
    <n v="200"/>
    <x v="5"/>
    <s v="Solar/Battery"/>
    <s v="Not Started"/>
    <m/>
    <n v="0"/>
    <n v="0"/>
    <n v="0"/>
    <n v="0"/>
  </r>
  <r>
    <s v="J2828"/>
    <x v="1"/>
    <d v="2022-09-15T00:00:00"/>
    <d v="2025-07-31T00:00:00"/>
    <m/>
    <d v="2025-03-01T00:00:00"/>
    <s v="ENTERGY ARKANSAS, LLC"/>
    <s v="Pulaski"/>
    <m/>
    <m/>
    <s v="AR"/>
    <s v="DPP-2022"/>
    <s v="South"/>
    <s v="Phase 1"/>
    <s v="NRIS"/>
    <s v="L.R. 145th St - Wrightsville 115kV"/>
    <n v="50"/>
    <n v="50"/>
    <x v="5"/>
    <s v="Solar/Battery"/>
    <s v="Not Started"/>
    <m/>
    <n v="0"/>
    <n v="0"/>
    <n v="0"/>
    <n v="0"/>
  </r>
  <r>
    <s v="J2829"/>
    <x v="1"/>
    <d v="2022-09-15T00:00:00"/>
    <d v="2025-10-27T00:00:00"/>
    <m/>
    <d v="2025-03-01T00:00:00"/>
    <s v="DUKE ENERGY INDIANA, LLC"/>
    <s v="Scott"/>
    <m/>
    <m/>
    <s v="IN"/>
    <s v="DPP-2022"/>
    <s v="Central"/>
    <s v="Phase 2"/>
    <s v="NRIS"/>
    <s v="Scottsburg - Speed 69kV"/>
    <n v="30"/>
    <n v="30"/>
    <x v="5"/>
    <s v="Solar/Battery"/>
    <s v="Not Started"/>
    <m/>
    <n v="0"/>
    <n v="0"/>
    <n v="0"/>
    <n v="0"/>
  </r>
  <r>
    <s v="J2830"/>
    <x v="1"/>
    <d v="2022-09-13T00:00:00"/>
    <d v="2025-10-27T00:00:00"/>
    <m/>
    <d v="2025-03-01T00:00:00"/>
    <s v="HOOSIER ENERGY"/>
    <s v="Jennings"/>
    <m/>
    <m/>
    <s v="IN"/>
    <s v="DPP-2022"/>
    <s v="Central"/>
    <s v="Phase 2"/>
    <s v="NRIS"/>
    <s v="Brewersville - Dabney 69kV"/>
    <n v="50"/>
    <n v="50"/>
    <x v="5"/>
    <s v="Solar/Battery"/>
    <s v="Not Started"/>
    <m/>
    <n v="0"/>
    <n v="0"/>
    <n v="0"/>
    <n v="0"/>
  </r>
  <r>
    <s v="J2831"/>
    <x v="1"/>
    <d v="2022-09-15T00:00:00"/>
    <d v="2025-07-31T00:00:00"/>
    <m/>
    <d v="2027-04-01T00:00:00"/>
    <s v="CLECO POWER LLC"/>
    <s v="Natchitoches"/>
    <m/>
    <m/>
    <s v="LA"/>
    <s v="DPP-2022"/>
    <s v="South"/>
    <s v="Phase 1"/>
    <s v="NRIS"/>
    <s v="Colfax-Rodemacher 230 kV"/>
    <n v="36"/>
    <n v="36"/>
    <x v="6"/>
    <s v="Hydroelectric"/>
    <s v="Not Started"/>
    <m/>
    <n v="0"/>
    <n v="0"/>
    <n v="0"/>
    <n v="0"/>
  </r>
  <r>
    <s v="J2832"/>
    <x v="1"/>
    <d v="2022-09-14T00:00:00"/>
    <d v="2025-07-31T00:00:00"/>
    <m/>
    <d v="2025-03-01T00:00:00"/>
    <s v="ENTERGY LOUISIANA, LLC"/>
    <s v="East Carroll"/>
    <m/>
    <m/>
    <s v="LA"/>
    <s v="DPP-2022"/>
    <s v="South"/>
    <s v="Phase 1"/>
    <s v="NRIS"/>
    <s v="Darnell - Tallulah 115 kV"/>
    <n v="110"/>
    <n v="110"/>
    <x v="5"/>
    <s v="Solar/Battery"/>
    <s v="Not Started"/>
    <m/>
    <n v="0"/>
    <n v="0"/>
    <n v="0"/>
    <n v="0"/>
  </r>
  <r>
    <s v="J2833"/>
    <x v="1"/>
    <d v="2022-09-12T00:00:00"/>
    <d v="2025-07-30T00:00:00"/>
    <m/>
    <d v="2025-03-01T00:00:00"/>
    <s v="AMERICAN TRANSMISSION COMPANY"/>
    <s v="Wood"/>
    <m/>
    <m/>
    <s v="WI"/>
    <s v="DPP-2022"/>
    <s v="East (ATC)"/>
    <s v="Phase 1"/>
    <s v="NRIS"/>
    <s v="Sigel - Auburndale Tap (Y-107) 69kV"/>
    <n v="40"/>
    <n v="40"/>
    <x v="5"/>
    <s v="Solar/Battery"/>
    <s v="Not Started"/>
    <m/>
    <n v="0"/>
    <n v="0"/>
    <n v="0"/>
    <n v="0"/>
  </r>
  <r>
    <s v="J2834"/>
    <x v="1"/>
    <d v="2022-09-14T00:00:00"/>
    <d v="2025-07-30T00:00:00"/>
    <m/>
    <d v="2025-03-01T00:00:00"/>
    <s v="AMERICAN TRANSMISSION COMPANY"/>
    <s v="Fond du Lac"/>
    <m/>
    <m/>
    <s v="WI"/>
    <s v="DPP-2022"/>
    <s v="East (ATC)"/>
    <s v="Phase 1"/>
    <s v="NRIS"/>
    <s v="South Fond du Lac - North Fond du Lac 69kV"/>
    <n v="50"/>
    <n v="50"/>
    <x v="5"/>
    <s v="Solar/Battery"/>
    <s v="Not Started"/>
    <m/>
    <n v="0"/>
    <n v="0"/>
    <n v="0"/>
    <n v="0"/>
  </r>
  <r>
    <s v="J2835"/>
    <x v="1"/>
    <d v="2022-09-13T00:00:00"/>
    <d v="2025-10-27T00:00:00"/>
    <m/>
    <d v="2025-03-01T00:00:00"/>
    <s v="DUKE ENERGY INDIANA, LLC"/>
    <s v="Jefferson"/>
    <m/>
    <m/>
    <s v="IN"/>
    <s v="DPP-2022"/>
    <s v="Central"/>
    <s v="Phase 2"/>
    <s v="NRIS"/>
    <s v="Madison - Scottsburg 138kV"/>
    <n v="50"/>
    <n v="50"/>
    <x v="5"/>
    <s v="Solar/Battery"/>
    <s v="Not Started"/>
    <m/>
    <n v="0"/>
    <n v="0"/>
    <n v="0"/>
    <n v="0"/>
  </r>
  <r>
    <s v="J2836"/>
    <x v="1"/>
    <d v="2022-09-12T00:00:00"/>
    <d v="2025-10-27T00:00:00"/>
    <m/>
    <d v="2025-03-01T00:00:00"/>
    <s v="BIG RIVERS ELECTRIC CORPORATION"/>
    <s v="Livingston"/>
    <m/>
    <m/>
    <s v="KY"/>
    <s v="DPP-2022"/>
    <s v="Central"/>
    <s v="Phase 2"/>
    <s v="NRIS"/>
    <s v="Tap - Cumberland 69.0kV"/>
    <n v="45"/>
    <n v="45"/>
    <x v="5"/>
    <s v="Solar/Battery"/>
    <s v="Not Started"/>
    <m/>
    <n v="0"/>
    <n v="0"/>
    <n v="0"/>
    <n v="0"/>
  </r>
  <r>
    <s v="J2837"/>
    <x v="1"/>
    <d v="2022-09-13T00:00:00"/>
    <d v="2025-10-27T00:00:00"/>
    <m/>
    <d v="2025-03-01T00:00:00"/>
    <s v="DUKE ENERGY INDIANA, LLC"/>
    <s v="Jennings"/>
    <m/>
    <m/>
    <s v="IN"/>
    <s v="DPP-2022"/>
    <s v="Central"/>
    <s v="Phase 2"/>
    <s v="NRIS"/>
    <s v="North Vernon - Madison 138 kV"/>
    <n v="50"/>
    <n v="50"/>
    <x v="5"/>
    <s v="Solar/Battery"/>
    <s v="Not Started"/>
    <m/>
    <n v="0"/>
    <n v="0"/>
    <n v="0"/>
    <n v="0"/>
  </r>
  <r>
    <s v="J2838"/>
    <x v="2"/>
    <d v="2025-10-27T00:00:00"/>
    <m/>
    <m/>
    <d v="2025-03-01T00:00:00"/>
    <m/>
    <s v="Richland"/>
    <m/>
    <m/>
    <s v="LA"/>
    <s v="DPP-2022"/>
    <s v="South"/>
    <s v="Phase 1"/>
    <s v="NRIS"/>
    <s v="DUNN - OAK RIDGE (LA) 115.0kV"/>
    <n v="150"/>
    <n v="150"/>
    <x v="5"/>
    <s v="Solar/Battery"/>
    <s v="Not Started"/>
    <m/>
    <n v="150"/>
    <n v="0"/>
    <n v="0"/>
    <n v="0"/>
  </r>
  <r>
    <s v="J2839"/>
    <x v="1"/>
    <d v="2022-09-15T00:00:00"/>
    <d v="2025-07-31T00:00:00"/>
    <m/>
    <d v="2025-10-15T00:00:00"/>
    <s v="ENTERGY LOUISIANA, LLC"/>
    <s v="Ascension"/>
    <m/>
    <m/>
    <s v="LA"/>
    <s v="DPP-2022"/>
    <s v="South"/>
    <s v="Phase 1"/>
    <s v="NRIS"/>
    <s v="Donaldsonville to Evergreen 230 kV line"/>
    <n v="200"/>
    <n v="200"/>
    <x v="0"/>
    <s v="Photovoltaic"/>
    <s v="Not Started"/>
    <m/>
    <n v="0"/>
    <n v="0"/>
    <n v="0"/>
    <n v="0"/>
  </r>
  <r>
    <s v="J2840"/>
    <x v="4"/>
    <d v="2022-09-15T00:00:00"/>
    <m/>
    <m/>
    <d v="2025-09-30T00:00:00"/>
    <s v="SOUTHERN MINNESOTA MUNICIPAL POWER AGENCY"/>
    <s v="Olmsted"/>
    <m/>
    <m/>
    <s v="MN"/>
    <s v="DPP-2022"/>
    <s v="West"/>
    <s v="Phase 1"/>
    <s v="NRIS"/>
    <s v="Byron 161 kV"/>
    <n v="200"/>
    <n v="200"/>
    <x v="2"/>
    <s v="Battery Storage"/>
    <s v="Not Started"/>
    <m/>
    <n v="200"/>
    <n v="200"/>
    <n v="0"/>
    <n v="0"/>
  </r>
  <r>
    <s v="J2841"/>
    <x v="2"/>
    <d v="2022-09-15T00:00:00"/>
    <m/>
    <m/>
    <d v="2025-10-01T00:00:00"/>
    <s v="ENTERGY ARKANSAS, LLC EATO"/>
    <s v="Independence"/>
    <m/>
    <m/>
    <s v="AR"/>
    <s v="DPP-2022"/>
    <s v="South"/>
    <s v="Phase 1"/>
    <s v="NRIS"/>
    <s v="Independent - Holland Bottom 500kV"/>
    <n v="500"/>
    <n v="500"/>
    <x v="1"/>
    <s v="Wind Turbine"/>
    <s v="Not Started"/>
    <m/>
    <n v="500"/>
    <n v="500"/>
    <n v="0"/>
    <n v="0"/>
  </r>
  <r>
    <s v="J2842"/>
    <x v="1"/>
    <d v="2022-09-15T00:00:00"/>
    <d v="2023-03-24T00:00:00"/>
    <m/>
    <d v="2025-10-01T00:00:00"/>
    <s v="AMEREN ILLINOIS"/>
    <s v="Mason"/>
    <m/>
    <m/>
    <s v="IL"/>
    <s v="DPP-2022"/>
    <s v="Central"/>
    <s v="Phase 2"/>
    <s v="NRIS"/>
    <s v="Mason 138kV"/>
    <n v="200"/>
    <n v="200"/>
    <x v="2"/>
    <s v="Battery Storage"/>
    <s v="Not Started"/>
    <m/>
    <n v="0"/>
    <n v="0"/>
    <n v="0"/>
    <n v="0"/>
  </r>
  <r>
    <s v="J2843"/>
    <x v="1"/>
    <d v="2022-09-15T00:00:00"/>
    <d v="2025-10-27T00:00:00"/>
    <m/>
    <d v="2025-10-01T00:00:00"/>
    <s v="DUKE ENERGY INDIANA, LLC"/>
    <s v="Hendricks"/>
    <m/>
    <m/>
    <s v="IN"/>
    <s v="DPP-2022"/>
    <s v="Central"/>
    <s v="Phase 2"/>
    <s v="NRIS"/>
    <s v="Qualitech 345kV - Amo 345kV"/>
    <n v="110"/>
    <n v="110"/>
    <x v="1"/>
    <s v="Wind Turbine"/>
    <s v="Not Started"/>
    <m/>
    <n v="0"/>
    <n v="0"/>
    <n v="0"/>
    <n v="0"/>
  </r>
  <r>
    <s v="J2844"/>
    <x v="2"/>
    <d v="2022-09-14T00:00:00"/>
    <m/>
    <m/>
    <d v="2025-10-01T00:00:00"/>
    <m/>
    <s v="Henderson"/>
    <m/>
    <m/>
    <s v="KY"/>
    <s v="DPP-2022"/>
    <s v="Central"/>
    <s v="Phase 2"/>
    <s v="NRIS"/>
    <s v="AB Brown 345 - Reid EHV (BREC Terminal) 345.0kV"/>
    <n v="200"/>
    <n v="200"/>
    <x v="2"/>
    <s v="Battery Storage"/>
    <s v="Not Started"/>
    <m/>
    <n v="200"/>
    <n v="200"/>
    <n v="0"/>
    <n v="0"/>
  </r>
  <r>
    <s v="J2845"/>
    <x v="2"/>
    <d v="2025-10-23T00:00:00"/>
    <m/>
    <m/>
    <d v="2025-10-15T00:00:00"/>
    <s v="ITC MIDWEST"/>
    <s v="Freeborn"/>
    <m/>
    <m/>
    <s v="MN"/>
    <s v="DPP-2022"/>
    <s v="West"/>
    <s v="Phase 1"/>
    <s v="NRIS"/>
    <s v="Adams - Hayward 161kV"/>
    <n v="200"/>
    <n v="200"/>
    <x v="0"/>
    <s v="Photovoltaic"/>
    <s v="Not Started"/>
    <m/>
    <n v="200"/>
    <n v="200"/>
    <n v="0"/>
    <n v="0"/>
  </r>
  <r>
    <s v="J2846"/>
    <x v="2"/>
    <d v="2022-09-15T00:00:00"/>
    <m/>
    <m/>
    <d v="2025-12-01T00:00:00"/>
    <s v="NORTHERN INDIANA PUBLIC SERVICE COMPANY LLC NIPS"/>
    <s v="Pulaski"/>
    <m/>
    <m/>
    <s v="IN"/>
    <s v="DPP-2022"/>
    <s v="Central"/>
    <s v="Phase 2"/>
    <s v="NRIS"/>
    <s v="Reynolds--Burr Oak 345kV line"/>
    <n v="700"/>
    <n v="700"/>
    <x v="0"/>
    <s v="Photovoltaic"/>
    <s v="Not Started"/>
    <m/>
    <n v="700"/>
    <n v="700"/>
    <n v="0"/>
    <n v="0"/>
  </r>
  <r>
    <s v="J2847"/>
    <x v="2"/>
    <d v="2022-09-15T00:00:00"/>
    <m/>
    <m/>
    <d v="2026-08-01T00:00:00"/>
    <s v="NORTHERN INDIANA PUBLIC SERVICE COMPANY LLC NIPS"/>
    <s v="Starke"/>
    <m/>
    <m/>
    <s v="IN"/>
    <s v="DPP-2022"/>
    <s v="Central"/>
    <s v="Phase 2"/>
    <s v="NRIS"/>
    <s v="Reynolds--Burr Oak 345kV Line"/>
    <n v="180"/>
    <n v="180"/>
    <x v="0"/>
    <s v="Photovoltaic"/>
    <s v="Not Started"/>
    <m/>
    <n v="180"/>
    <n v="180"/>
    <n v="0"/>
    <n v="0"/>
  </r>
  <r>
    <s v="J2848"/>
    <x v="2"/>
    <d v="2025-11-19T00:00:00"/>
    <m/>
    <m/>
    <d v="2025-08-01T00:00:00"/>
    <s v="INDIANAPOLIS POWER &amp; LIGHT COMPANY"/>
    <s v="Hamilton"/>
    <m/>
    <m/>
    <s v="IN"/>
    <s v="DPP-2022"/>
    <s v="Central"/>
    <s v="Phase 2"/>
    <s v="NRIS"/>
    <s v="Noblesville  - Fall Creek (AEP) 345.0kV"/>
    <n v="200"/>
    <n v="200"/>
    <x v="0"/>
    <s v="Photovoltaic"/>
    <s v="Not Started"/>
    <m/>
    <n v="200"/>
    <n v="200"/>
    <n v="0"/>
    <n v="0"/>
  </r>
  <r>
    <s v="J2849"/>
    <x v="2"/>
    <d v="2022-09-15T00:00:00"/>
    <m/>
    <m/>
    <d v="2025-12-01T00:00:00"/>
    <s v="NORTHERN INDIANA PUBLIC SERVICE COMPANY LLC NIPS"/>
    <s v="Pulaski"/>
    <m/>
    <m/>
    <s v="IN"/>
    <s v="DPP-2022"/>
    <s v="Central"/>
    <s v="Phase 2"/>
    <s v="NRIS"/>
    <s v="Reynolds--Burr Oak 345kV line"/>
    <n v="245"/>
    <n v="245"/>
    <x v="0"/>
    <s v="Photovoltaic"/>
    <s v="Not Started"/>
    <m/>
    <n v="245"/>
    <n v="245"/>
    <n v="0"/>
    <n v="0"/>
  </r>
  <r>
    <s v="J2850"/>
    <x v="1"/>
    <d v="2022-09-15T00:00:00"/>
    <d v="2025-07-09T00:00:00"/>
    <m/>
    <d v="2027-06-01T00:00:00"/>
    <s v="ENTERGY ARKANSAS, LLC"/>
    <s v="Chicot"/>
    <m/>
    <m/>
    <s v="AR"/>
    <s v="DPP-2022"/>
    <s v="South"/>
    <s v="Phase 1"/>
    <s v="NRIS"/>
    <s v="Bagby to Gerald Andrus 230 kV"/>
    <n v="250"/>
    <n v="250"/>
    <x v="0"/>
    <s v="Photovoltaic"/>
    <s v="Not Started"/>
    <m/>
    <n v="0"/>
    <n v="0"/>
    <n v="0"/>
    <n v="0"/>
  </r>
  <r>
    <s v="J2851"/>
    <x v="1"/>
    <d v="2022-09-15T00:00:00"/>
    <d v="2022-12-09T00:00:00"/>
    <m/>
    <d v="2027-06-01T00:00:00"/>
    <s v="ENTERGY TEXAS, INC."/>
    <s v="Walker"/>
    <m/>
    <m/>
    <s v="TX"/>
    <s v="DPP-2022"/>
    <s v="South"/>
    <s v="Phase 1"/>
    <s v="NRIS"/>
    <s v="Rocky Creek"/>
    <n v="250"/>
    <n v="250"/>
    <x v="0"/>
    <s v="Photovoltaic"/>
    <s v="Not Started"/>
    <m/>
    <n v="0"/>
    <n v="0"/>
    <n v="0"/>
    <n v="0"/>
  </r>
  <r>
    <s v="J2852"/>
    <x v="2"/>
    <d v="2022-09-14T00:00:00"/>
    <m/>
    <m/>
    <d v="2025-04-30T00:00:00"/>
    <s v="OTTER TAIL POWER COMPANY OTP"/>
    <s v="Roberts"/>
    <m/>
    <m/>
    <s v="SD"/>
    <s v="DPP-2022"/>
    <s v="West"/>
    <s v="Phase 1"/>
    <s v="ERIS"/>
    <s v="Browns Valley 230 kV Substation"/>
    <n v="200"/>
    <n v="200"/>
    <x v="2"/>
    <s v="Battery Storage"/>
    <s v="Not Started"/>
    <m/>
    <n v="200"/>
    <n v="0"/>
    <n v="0"/>
    <n v="0"/>
  </r>
  <r>
    <s v="J2853"/>
    <x v="1"/>
    <d v="2022-09-14T00:00:00"/>
    <d v="2025-10-27T00:00:00"/>
    <m/>
    <d v="2026-08-30T00:00:00"/>
    <s v="CITY WATER LIGHT &amp; POWER"/>
    <s v="Sangamon"/>
    <m/>
    <m/>
    <s v="IL"/>
    <s v="DPP-2022"/>
    <s v="Central"/>
    <s v="Phase 2"/>
    <s v="NRIS"/>
    <s v="Westchester 138 kV station - PSSE bus 343513"/>
    <n v="100"/>
    <n v="100"/>
    <x v="2"/>
    <s v="Battery Storage"/>
    <s v="Not Started"/>
    <m/>
    <n v="0"/>
    <n v="0"/>
    <n v="0"/>
    <n v="0"/>
  </r>
  <r>
    <s v="J2854"/>
    <x v="1"/>
    <d v="2022-09-15T00:00:00"/>
    <d v="2025-07-31T00:00:00"/>
    <m/>
    <d v="2024-06-30T00:00:00"/>
    <s v="ENTERGY ARKANSAS, LLC"/>
    <s v="White"/>
    <m/>
    <m/>
    <s v="AR"/>
    <s v="DPP-2022"/>
    <s v="South"/>
    <s v="Phase 1"/>
    <s v="NRIS"/>
    <s v="Griffithville - SERCY Price 115 kV"/>
    <n v="150"/>
    <n v="150"/>
    <x v="5"/>
    <s v="Solar/Battery"/>
    <s v="Not Started"/>
    <m/>
    <n v="0"/>
    <n v="0"/>
    <n v="0"/>
    <n v="0"/>
  </r>
  <r>
    <s v="J2855"/>
    <x v="1"/>
    <d v="2022-09-14T00:00:00"/>
    <d v="2025-10-27T00:00:00"/>
    <m/>
    <d v="2026-03-01T00:00:00"/>
    <s v="DUKE ENERGY INDIANA, LLC"/>
    <s v="Lawrence"/>
    <m/>
    <m/>
    <s v="IN"/>
    <s v="DPP-2022"/>
    <s v="Central"/>
    <s v="Phase 2"/>
    <s v="NRIS"/>
    <s v="Bedford - Edwardsport 138 kV line"/>
    <n v="100"/>
    <n v="100"/>
    <x v="5"/>
    <s v="Solar/Battery"/>
    <s v="Not Started"/>
    <m/>
    <n v="0"/>
    <n v="0"/>
    <n v="0"/>
    <n v="0"/>
  </r>
  <r>
    <s v="J2856"/>
    <x v="1"/>
    <d v="2022-09-15T00:00:00"/>
    <d v="2025-07-31T00:00:00"/>
    <m/>
    <d v="2024-06-30T00:00:00"/>
    <s v="ENTERGY MISSISSIPPI, LLC."/>
    <s v="Jefferson"/>
    <m/>
    <m/>
    <s v="MS"/>
    <s v="DPP-2022"/>
    <s v="South"/>
    <s v="Phase 1"/>
    <s v="NRIS"/>
    <s v="Franklin EHV - Grand Gulf Transmission 500 kV"/>
    <n v="500"/>
    <n v="500"/>
    <x v="5"/>
    <s v="Solar/Battery"/>
    <s v="Not Started"/>
    <m/>
    <n v="0"/>
    <n v="0"/>
    <n v="0"/>
    <n v="0"/>
  </r>
  <r>
    <s v="J2857"/>
    <x v="1"/>
    <d v="2022-09-15T00:00:00"/>
    <d v="2025-07-31T00:00:00"/>
    <m/>
    <d v="2024-06-30T00:00:00"/>
    <s v="ENTERGY MISSISSIPPI, LLC."/>
    <s v="Tunica"/>
    <m/>
    <m/>
    <s v="MS"/>
    <s v="DPP-2022"/>
    <s v="South"/>
    <s v="Phase 1"/>
    <s v="NRIS"/>
    <s v="Banks SS (CE) - Hambrick SS (CE) 115 kV"/>
    <n v="150"/>
    <n v="150"/>
    <x v="5"/>
    <s v="Solar/Battery"/>
    <s v="Not Started"/>
    <m/>
    <n v="0"/>
    <n v="0"/>
    <n v="0"/>
    <n v="0"/>
  </r>
  <r>
    <s v="J2858"/>
    <x v="1"/>
    <d v="2022-09-15T00:00:00"/>
    <d v="2025-07-31T00:00:00"/>
    <m/>
    <d v="2025-11-20T00:00:00"/>
    <s v="ENTERGY LOUISIANA, LLC"/>
    <s v="Acadia"/>
    <m/>
    <m/>
    <s v="LA"/>
    <s v="DPP-2022"/>
    <s v="South"/>
    <s v="Phase 1"/>
    <s v="NRIS"/>
    <s v="Bayou Cove - Richard 138 kV circuit 2"/>
    <n v="110"/>
    <n v="110"/>
    <x v="0"/>
    <s v="Photovoltaic"/>
    <s v="Not Started"/>
    <m/>
    <n v="0"/>
    <n v="0"/>
    <n v="0"/>
    <n v="0"/>
  </r>
  <r>
    <s v="J2859"/>
    <x v="1"/>
    <d v="2022-09-15T00:00:00"/>
    <d v="2025-07-31T00:00:00"/>
    <m/>
    <d v="2025-11-20T00:00:00"/>
    <s v="ENTERGY ARKANSAS, LLC"/>
    <s v="Lonoke"/>
    <m/>
    <m/>
    <s v="AR"/>
    <s v="DPP-2022"/>
    <s v="South"/>
    <s v="Phase 1"/>
    <s v="NRIS"/>
    <s v="AECC KEO-BAUCUM 115 kV"/>
    <n v="125"/>
    <n v="125"/>
    <x v="0"/>
    <s v="Photovoltaic"/>
    <s v="Not Started"/>
    <m/>
    <n v="0"/>
    <n v="0"/>
    <n v="0"/>
    <n v="0"/>
  </r>
  <r>
    <s v="J2860"/>
    <x v="1"/>
    <d v="2022-09-15T00:00:00"/>
    <d v="2025-07-31T00:00:00"/>
    <m/>
    <d v="2026-10-31T00:00:00"/>
    <s v="CLECO POWER LLC"/>
    <s v="Beauregard"/>
    <m/>
    <m/>
    <s v="LA"/>
    <s v="DPP-2022"/>
    <s v="South"/>
    <s v="Phase 1"/>
    <s v="NRIS"/>
    <s v="Roy S Nelson - DeRidder Mill 138 kV"/>
    <n v="200"/>
    <n v="200"/>
    <x v="0"/>
    <s v="Photovoltaic"/>
    <s v="Not Started"/>
    <m/>
    <n v="0"/>
    <n v="0"/>
    <n v="0"/>
    <n v="0"/>
  </r>
  <r>
    <s v="J2861"/>
    <x v="2"/>
    <d v="2022-09-13T00:00:00"/>
    <m/>
    <m/>
    <d v="2029-08-31T00:00:00"/>
    <s v="DAIRYLAND POWER COOPERATIVE DPC"/>
    <s v="Mower"/>
    <m/>
    <m/>
    <s v="MN"/>
    <s v="DPP-2022"/>
    <s v="West"/>
    <s v="Phase 1"/>
    <s v="NRIS"/>
    <s v="Rochester 161kV (A) to Adams 161kV (B)"/>
    <n v="147"/>
    <n v="147"/>
    <x v="0"/>
    <s v="Photovoltaic"/>
    <s v="Not Started"/>
    <m/>
    <n v="147"/>
    <n v="147"/>
    <n v="0"/>
    <n v="0"/>
  </r>
  <r>
    <s v="J2862"/>
    <x v="1"/>
    <d v="2022-09-13T00:00:00"/>
    <d v="2023-03-24T00:00:00"/>
    <m/>
    <d v="2027-08-31T00:00:00"/>
    <s v="ENTERGY ARKANSAS, LLC"/>
    <s v="Bradley"/>
    <m/>
    <m/>
    <s v="AR"/>
    <s v="DPP-2022"/>
    <s v="South"/>
    <s v="Phase 1"/>
    <s v="NRIS"/>
    <s v="AECC Hermitage South-Hilo 115kV"/>
    <n v="150"/>
    <n v="150"/>
    <x v="0"/>
    <s v="Photovoltaic"/>
    <s v="Not Started"/>
    <m/>
    <n v="0"/>
    <n v="0"/>
    <n v="0"/>
    <n v="0"/>
  </r>
  <r>
    <s v="J2863"/>
    <x v="1"/>
    <d v="2022-09-13T00:00:00"/>
    <d v="2025-10-20T00:00:00"/>
    <m/>
    <d v="2027-08-31T00:00:00"/>
    <s v="DAIRYLAND POWER COOPERATIVE"/>
    <s v="Fillmore"/>
    <m/>
    <m/>
    <s v="MN"/>
    <s v="DPP-2022"/>
    <s v="West"/>
    <s v="Phase 1"/>
    <s v="NRIS"/>
    <s v="Other_"/>
    <n v="125"/>
    <n v="125"/>
    <x v="0"/>
    <s v="Photovoltaic"/>
    <s v="Not Started"/>
    <m/>
    <n v="0"/>
    <n v="0"/>
    <n v="0"/>
    <n v="0"/>
  </r>
  <r>
    <s v="J2864"/>
    <x v="2"/>
    <d v="2022-09-13T00:00:00"/>
    <m/>
    <m/>
    <d v="2027-10-31T00:00:00"/>
    <s v="ENTERGY ARKANSAS, LLC EATO"/>
    <s v="Nevada"/>
    <m/>
    <m/>
    <s v="AR"/>
    <s v="DPP-2022"/>
    <s v="South"/>
    <s v="Phase 1"/>
    <s v="NRIS"/>
    <s v="McNeil EHV to Etta EHV 500kV"/>
    <n v="375"/>
    <n v="375"/>
    <x v="0"/>
    <s v="Photovoltaic"/>
    <s v="Not Started"/>
    <m/>
    <n v="375"/>
    <n v="375"/>
    <n v="0"/>
    <n v="0"/>
  </r>
  <r>
    <s v="J2865"/>
    <x v="2"/>
    <d v="2022-09-13T00:00:00"/>
    <m/>
    <m/>
    <d v="2027-08-31T00:00:00"/>
    <s v="ENTERGY ARKANSAS, LLC EATO"/>
    <s v="Ouachita"/>
    <m/>
    <m/>
    <s v="AR"/>
    <s v="DPP-2022"/>
    <s v="South"/>
    <s v="Phase 1"/>
    <s v="NRIS"/>
    <s v="El Dorado EHV - McNeil EHV 500kV"/>
    <n v="375"/>
    <n v="375"/>
    <x v="0"/>
    <s v="Photovoltaic"/>
    <s v="Not Started"/>
    <m/>
    <n v="375"/>
    <n v="375"/>
    <n v="0"/>
    <n v="0"/>
  </r>
  <r>
    <s v="J2866"/>
    <x v="2"/>
    <d v="2022-09-13T00:00:00"/>
    <m/>
    <m/>
    <d v="2027-08-31T00:00:00"/>
    <s v="ENTERGY ARKANSAS, LLC EATO"/>
    <s v="Nevada"/>
    <m/>
    <m/>
    <s v="AR"/>
    <s v="DPP-2022"/>
    <s v="South"/>
    <s v="Phase 1"/>
    <s v="NRIS"/>
    <s v="McNeil 500kV (A) to Etta 500kV (B)"/>
    <n v="375"/>
    <n v="375"/>
    <x v="0"/>
    <s v="Photovoltaic"/>
    <s v="Not Started"/>
    <m/>
    <n v="375"/>
    <n v="375"/>
    <n v="0"/>
    <n v="0"/>
  </r>
  <r>
    <s v="J2867"/>
    <x v="2"/>
    <d v="2022-09-12T00:00:00"/>
    <m/>
    <m/>
    <d v="2029-08-31T00:00:00"/>
    <s v="SOUTHERN MINNESOTA MUNICIPAL POWER AGENCY"/>
    <s v="Wabasha"/>
    <m/>
    <m/>
    <s v="MN"/>
    <s v="DPP-2022"/>
    <s v="West"/>
    <s v="Phase 1"/>
    <s v="NRIS"/>
    <s v="Lake City (A) to Zumbro Falls (B)"/>
    <n v="50"/>
    <n v="50"/>
    <x v="0"/>
    <s v="Photovoltaic"/>
    <s v="Not Started"/>
    <m/>
    <n v="50"/>
    <n v="50"/>
    <n v="0"/>
    <n v="0"/>
  </r>
  <r>
    <s v="J2868"/>
    <x v="1"/>
    <d v="2022-09-15T00:00:00"/>
    <d v="2025-08-04T00:00:00"/>
    <m/>
    <d v="2026-12-01T00:00:00"/>
    <s v="NORTHERN STATES POWER COMPANY"/>
    <s v="Jackson"/>
    <m/>
    <m/>
    <s v="WI"/>
    <s v="DPP-2022"/>
    <s v="East (ITC)"/>
    <s v="Phase 1"/>
    <s v="NRIS"/>
    <s v="Alma Center- Merrillan (DCP) 69 KV"/>
    <n v="46.2"/>
    <n v="46.2"/>
    <x v="0"/>
    <s v="Photovoltaic"/>
    <s v="Not Started"/>
    <m/>
    <n v="0"/>
    <n v="0"/>
    <n v="0"/>
    <n v="0"/>
  </r>
  <r>
    <s v="J2869"/>
    <x v="2"/>
    <d v="2022-09-15T00:00:00"/>
    <m/>
    <m/>
    <d v="2027-06-01T00:00:00"/>
    <m/>
    <s v="Sunflower"/>
    <m/>
    <m/>
    <s v="MS"/>
    <s v="DPP-2022"/>
    <s v="South"/>
    <s v="Phase 1"/>
    <s v="NRIS"/>
    <s v="GERALDANDRUS SES SWITCHYARD-INDIANOLA 230 KV"/>
    <n v="150"/>
    <n v="150"/>
    <x v="5"/>
    <s v="Solar/Battery"/>
    <s v="Not Started"/>
    <m/>
    <n v="150"/>
    <n v="150"/>
    <n v="0"/>
    <n v="0"/>
  </r>
  <r>
    <s v="J2870"/>
    <x v="2"/>
    <d v="2022-09-15T00:00:00"/>
    <m/>
    <m/>
    <d v="2026-12-01T00:00:00"/>
    <s v="AMERICAN TRANSMISSION COMPANY"/>
    <s v="Sawyer"/>
    <m/>
    <m/>
    <s v="WI"/>
    <s v="DPP-2022"/>
    <s v="East (ATC)"/>
    <s v="Phase 1"/>
    <s v="NRIS"/>
    <s v="STONE LAKE"/>
    <n v="243.6"/>
    <n v="243.6"/>
    <x v="0"/>
    <s v="Photovoltaic"/>
    <s v="Not Started"/>
    <m/>
    <n v="243.6"/>
    <n v="243.6"/>
    <n v="0"/>
    <n v="0"/>
  </r>
  <r>
    <s v="J2871"/>
    <x v="2"/>
    <d v="2025-10-27T00:00:00"/>
    <m/>
    <m/>
    <d v="2025-03-01T00:00:00"/>
    <m/>
    <s v="Mississippi"/>
    <m/>
    <m/>
    <s v="AR"/>
    <s v="DPP-2022"/>
    <s v="South"/>
    <s v="Phase 1"/>
    <s v="ERIS"/>
    <s v="AECC Dell 161kV - Nucor-Yamato 161kV Switching Station 161.0kV"/>
    <n v="70"/>
    <n v="70"/>
    <x v="5"/>
    <s v="Solar/Battery"/>
    <s v="Not Started"/>
    <m/>
    <n v="70"/>
    <n v="0"/>
    <n v="0"/>
    <n v="0"/>
  </r>
  <r>
    <s v="J2872"/>
    <x v="1"/>
    <d v="2022-09-14T00:00:00"/>
    <d v="2025-07-30T00:00:00"/>
    <m/>
    <d v="2025-12-01T00:00:00"/>
    <s v="NORTHERN STATES POWER COMPANY"/>
    <s v="Dakota"/>
    <m/>
    <m/>
    <s v="MN"/>
    <s v="DPP-2022"/>
    <s v="West"/>
    <s v="Phase 1"/>
    <s v="NRIS"/>
    <s v="Hampton 345kV"/>
    <n v="150"/>
    <n v="150"/>
    <x v="2"/>
    <s v="Battery Storage"/>
    <s v="Not Started"/>
    <m/>
    <n v="0"/>
    <n v="0"/>
    <n v="0"/>
    <n v="0"/>
  </r>
  <r>
    <s v="J2873"/>
    <x v="2"/>
    <d v="2022-09-13T00:00:00"/>
    <m/>
    <m/>
    <d v="2027-10-01T00:00:00"/>
    <s v="COOPERATIVE ENERGY SME"/>
    <s v="Simpson"/>
    <m/>
    <m/>
    <s v="MS"/>
    <s v="DPP-2022"/>
    <s v="South"/>
    <s v="Phase 1"/>
    <s v="NRIS"/>
    <s v="Magee 161 - White Oak 161.0kV"/>
    <n v="165"/>
    <n v="165"/>
    <x v="0"/>
    <s v="Photovoltaic"/>
    <s v="Not Started"/>
    <m/>
    <n v="165"/>
    <n v="165"/>
    <n v="0"/>
    <n v="0"/>
  </r>
  <r>
    <s v="J2874"/>
    <x v="2"/>
    <d v="2022-08-31T00:00:00"/>
    <m/>
    <m/>
    <d v="2025-11-15T00:00:00"/>
    <s v="METC"/>
    <s v="Bay"/>
    <m/>
    <m/>
    <s v="MI"/>
    <s v="DPP-2022"/>
    <s v="East (ITC)"/>
    <s v="Phase 1"/>
    <s v="NRIS"/>
    <s v="HAMPTON"/>
    <n v="85"/>
    <n v="85"/>
    <x v="0"/>
    <s v="Photovoltaic"/>
    <s v="Not Started"/>
    <d v="2026-09-01T00:00:00"/>
    <n v="85"/>
    <n v="85"/>
    <n v="0"/>
    <n v="0"/>
  </r>
  <r>
    <s v="J2875"/>
    <x v="2"/>
    <d v="2022-09-14T00:00:00"/>
    <m/>
    <m/>
    <d v="2025-11-01T00:00:00"/>
    <m/>
    <s v="Presque Isle"/>
    <m/>
    <m/>
    <s v="MI"/>
    <s v="DPP-2022"/>
    <s v="East (ITC)"/>
    <s v="Phase 1"/>
    <s v="NRIS"/>
    <s v="Hagensville 138 kV Substation"/>
    <n v="150"/>
    <n v="150"/>
    <x v="0"/>
    <s v="Photovoltaic"/>
    <s v="Not Started"/>
    <m/>
    <n v="150"/>
    <n v="150"/>
    <n v="0"/>
    <n v="0"/>
  </r>
  <r>
    <s v="J2876"/>
    <x v="1"/>
    <d v="2022-09-14T00:00:00"/>
    <d v="2026-03-12T00:00:00"/>
    <m/>
    <d v="2025-11-01T00:00:00"/>
    <s v="METC"/>
    <s v="Arenac"/>
    <m/>
    <m/>
    <s v="MI"/>
    <s v="DPP-2022"/>
    <s v="East (ITC)"/>
    <s v="Phase 1"/>
    <s v="NRIS"/>
    <s v="Whittemore to Twining 138 kV"/>
    <n v="175"/>
    <n v="175"/>
    <x v="0"/>
    <s v="Photovoltaic"/>
    <s v="Not Started"/>
    <m/>
    <n v="175"/>
    <n v="175"/>
    <n v="0"/>
    <n v="0"/>
  </r>
  <r>
    <s v="J2877"/>
    <x v="2"/>
    <d v="2022-09-14T00:00:00"/>
    <m/>
    <m/>
    <d v="2025-11-01T00:00:00"/>
    <s v="METC"/>
    <s v="Midland"/>
    <m/>
    <m/>
    <s v="MI"/>
    <s v="DPP-2022"/>
    <s v="East (ITC)"/>
    <s v="Phase 1"/>
    <s v="NRIS"/>
    <s v="MURPHY - TITTABAWASSEE 345.0kV"/>
    <n v="129"/>
    <n v="129"/>
    <x v="0"/>
    <s v="Photovoltaic"/>
    <s v="Not Started"/>
    <m/>
    <n v="129"/>
    <n v="129"/>
    <n v="0"/>
    <n v="0"/>
  </r>
  <r>
    <s v="J2878"/>
    <x v="1"/>
    <d v="2022-09-14T00:00:00"/>
    <d v="2026-03-12T00:00:00"/>
    <m/>
    <d v="2025-11-01T00:00:00"/>
    <s v="ITC"/>
    <s v="Sanilac"/>
    <m/>
    <m/>
    <s v="MI"/>
    <s v="DPP-2022"/>
    <s v="East (ITC)"/>
    <s v="Phase 1"/>
    <s v="NRIS"/>
    <s v="GREENWOOD - RAPSON 345.0kV"/>
    <n v="200"/>
    <n v="200"/>
    <x v="0"/>
    <s v="Photovoltaic"/>
    <s v="Not Started"/>
    <m/>
    <n v="200"/>
    <n v="200"/>
    <n v="0"/>
    <n v="0"/>
  </r>
  <r>
    <s v="J2879"/>
    <x v="2"/>
    <d v="2022-09-14T00:00:00"/>
    <m/>
    <m/>
    <d v="2025-10-01T00:00:00"/>
    <s v="NORTHERN STATES POWER COMPANY"/>
    <s v="Washington"/>
    <m/>
    <m/>
    <s v="MN"/>
    <s v="DPP-2022"/>
    <s v="West"/>
    <s v="Phase 1"/>
    <s v="NRIS"/>
    <s v="CHEMOLITE"/>
    <n v="80"/>
    <n v="80"/>
    <x v="2"/>
    <s v="Battery Storage"/>
    <s v="Not Started"/>
    <m/>
    <n v="80"/>
    <n v="80"/>
    <n v="0"/>
    <n v="0"/>
  </r>
  <r>
    <s v="J2880"/>
    <x v="2"/>
    <d v="2022-09-14T00:00:00"/>
    <m/>
    <m/>
    <d v="2026-07-31T00:00:00"/>
    <s v="ENTERGY ARKANSAS, LLC EATO"/>
    <s v="Jefferson"/>
    <m/>
    <m/>
    <s v="AR"/>
    <s v="DPP-2022"/>
    <s v="South"/>
    <s v="Phase 1"/>
    <s v="NRIS"/>
    <s v="STUTTGART RICUSKEY - WOODWARD 230 SUB 230.0kV"/>
    <n v="150"/>
    <n v="150"/>
    <x v="5"/>
    <s v="Solar/Battery"/>
    <s v="Not Started"/>
    <m/>
    <n v="150"/>
    <n v="150"/>
    <n v="0"/>
    <n v="0"/>
  </r>
  <r>
    <s v="J2881"/>
    <x v="2"/>
    <d v="2022-09-14T00:00:00"/>
    <m/>
    <m/>
    <d v="2026-07-31T00:00:00"/>
    <m/>
    <s v="Jefferson"/>
    <m/>
    <m/>
    <s v="AR"/>
    <s v="DPP-2022"/>
    <s v="South"/>
    <s v="Phase 1"/>
    <s v="NRIS"/>
    <s v="AECC PINEBERGEN - AECC GLENDALE 115.0kV"/>
    <n v="125"/>
    <n v="125"/>
    <x v="0"/>
    <s v="Photovoltaic"/>
    <s v="Not Started"/>
    <m/>
    <n v="125"/>
    <n v="125"/>
    <n v="0"/>
    <n v="0"/>
  </r>
  <r>
    <s v="J2882"/>
    <x v="1"/>
    <d v="2022-09-14T00:00:00"/>
    <d v="2025-07-31T00:00:00"/>
    <m/>
    <d v="2027-09-01T00:00:00"/>
    <s v="CLECO POWER LLC"/>
    <s v="Beauregard"/>
    <m/>
    <m/>
    <s v="LA"/>
    <s v="DPP-2022"/>
    <s v="South"/>
    <s v="Phase 1"/>
    <s v="NRIS"/>
    <s v="Cooper-Penton Road 230kV"/>
    <n v="410"/>
    <n v="410"/>
    <x v="5"/>
    <s v="Solar/Battery"/>
    <s v="Not Started"/>
    <m/>
    <n v="0"/>
    <n v="0"/>
    <n v="0"/>
    <n v="0"/>
  </r>
  <r>
    <s v="J2883"/>
    <x v="1"/>
    <d v="2022-09-15T00:00:00"/>
    <d v="2025-10-27T00:00:00"/>
    <m/>
    <d v="2027-09-01T00:00:00"/>
    <s v="MONTANA-DAKOTA UTILITIES CO."/>
    <s v="Mercer"/>
    <m/>
    <m/>
    <s v="ND"/>
    <s v="DPP-2022"/>
    <s v="West"/>
    <s v="Phase 1"/>
    <s v="NRIS"/>
    <s v="Coyote Switchyard 345kV Substation"/>
    <n v="347"/>
    <n v="347"/>
    <x v="5"/>
    <s v="Solar/Battery"/>
    <s v="Not Started"/>
    <m/>
    <n v="0"/>
    <n v="0"/>
    <n v="0"/>
    <n v="0"/>
  </r>
  <r>
    <s v="J2884"/>
    <x v="1"/>
    <d v="2022-09-14T00:00:00"/>
    <d v="2025-07-31T00:00:00"/>
    <m/>
    <d v="2027-09-01T00:00:00"/>
    <s v="CLECO POWER LLC"/>
    <s v="Beauregard"/>
    <m/>
    <m/>
    <s v="LA"/>
    <s v="DPP-2022"/>
    <s v="South"/>
    <s v="Phase 1"/>
    <s v="NRIS"/>
    <s v="Cooper to Penton Road 230kV"/>
    <n v="276"/>
    <n v="276"/>
    <x v="5"/>
    <s v="Solar/Battery"/>
    <s v="Not Started"/>
    <m/>
    <n v="0"/>
    <n v="0"/>
    <n v="0"/>
    <n v="0"/>
  </r>
  <r>
    <s v="J2885"/>
    <x v="2"/>
    <d v="2022-09-06T00:00:00"/>
    <m/>
    <m/>
    <d v="2025-01-10T00:00:00"/>
    <s v="OTTER TAIL POWER COMPANY OTP"/>
    <s v="Red Lake"/>
    <m/>
    <m/>
    <s v="MN"/>
    <s v="DPP-2022"/>
    <s v="West"/>
    <s v="Phase 1"/>
    <s v="NRIS"/>
    <s v="Plummer Pipe"/>
    <n v="130"/>
    <n v="130"/>
    <x v="0"/>
    <s v="Photovoltaic"/>
    <s v="Not Started"/>
    <m/>
    <n v="130"/>
    <n v="130"/>
    <n v="0"/>
    <n v="0"/>
  </r>
  <r>
    <s v="J2886"/>
    <x v="2"/>
    <d v="2022-09-15T00:00:00"/>
    <m/>
    <m/>
    <d v="2029-09-17T00:00:00"/>
    <m/>
    <s v="Sangamon"/>
    <m/>
    <m/>
    <s v="IL"/>
    <s v="DPP-2022"/>
    <s v="Central"/>
    <s v="Phase 2"/>
    <s v="NRIS"/>
    <s v="4Auburn N-4Jacksnvl 138kV"/>
    <n v="115"/>
    <n v="115"/>
    <x v="5"/>
    <s v="Solar/Battery"/>
    <s v="Not Started"/>
    <m/>
    <n v="115"/>
    <n v="115"/>
    <n v="0"/>
    <n v="0"/>
  </r>
  <r>
    <s v="J2887"/>
    <x v="1"/>
    <d v="2022-09-13T00:00:00"/>
    <d v="2025-07-31T00:00:00"/>
    <m/>
    <d v="2027-10-01T00:00:00"/>
    <s v="COOPERATIVE ENERGY"/>
    <s v="Simpson"/>
    <m/>
    <m/>
    <s v="MS"/>
    <s v="DPP-2022"/>
    <s v="South"/>
    <s v="Phase 1"/>
    <s v="NRIS"/>
    <s v="Magee 161 - White Oak 161.0kV"/>
    <n v="50"/>
    <n v="50"/>
    <x v="2"/>
    <s v="Battery Storage"/>
    <s v="Not Started"/>
    <m/>
    <n v="0"/>
    <n v="0"/>
    <n v="0"/>
    <n v="0"/>
  </r>
  <r>
    <s v="J2888"/>
    <x v="1"/>
    <d v="2022-09-15T00:00:00"/>
    <d v="2025-07-31T00:00:00"/>
    <m/>
    <d v="2026-09-15T00:00:00"/>
    <s v="ENTERGY LOUISIANA, LLC"/>
    <s v="Lafayette"/>
    <m/>
    <m/>
    <s v="LA"/>
    <s v="DPP-2022"/>
    <s v="South"/>
    <s v="Phase 1"/>
    <s v="NRIS"/>
    <s v="Baxter Wilson SES SWYD 500 kV"/>
    <n v="500"/>
    <n v="500"/>
    <x v="0"/>
    <s v="Photovoltaic"/>
    <s v="Not Started"/>
    <m/>
    <n v="0"/>
    <n v="0"/>
    <n v="0"/>
    <n v="0"/>
  </r>
  <r>
    <s v="J2889"/>
    <x v="4"/>
    <d v="2022-09-14T00:00:00"/>
    <m/>
    <m/>
    <d v="2025-08-01T00:00:00"/>
    <s v="METC"/>
    <s v="Allegan"/>
    <m/>
    <m/>
    <s v="MI"/>
    <s v="DPP-2022"/>
    <s v="East (ITC)"/>
    <s v="Phase 1"/>
    <s v="NRIS"/>
    <s v="Argenta 138kV"/>
    <n v="200"/>
    <n v="200"/>
    <x v="2"/>
    <s v="Battery Storage"/>
    <s v="Not Started"/>
    <m/>
    <n v="200"/>
    <n v="200"/>
    <n v="0"/>
    <n v="0"/>
  </r>
  <r>
    <s v="J2890"/>
    <x v="1"/>
    <d v="2022-09-14T00:00:00"/>
    <d v="2025-07-31T00:00:00"/>
    <m/>
    <d v="2027-09-01T00:00:00"/>
    <s v="ENTERGY LOUISIANA, LLC"/>
    <s v="Calcasieu"/>
    <m/>
    <m/>
    <s v="LA"/>
    <s v="DPP-2022"/>
    <s v="South"/>
    <s v="Phase 1"/>
    <s v="NRIS"/>
    <s v="Lake Charles Bulk 138kV Substation"/>
    <n v="440"/>
    <n v="440"/>
    <x v="5"/>
    <s v="Solar/Battery"/>
    <s v="Not Started"/>
    <m/>
    <n v="0"/>
    <n v="0"/>
    <n v="0"/>
    <n v="0"/>
  </r>
  <r>
    <s v="J2891"/>
    <x v="2"/>
    <d v="2024-01-09T00:00:00"/>
    <m/>
    <m/>
    <d v="2026-06-30T00:00:00"/>
    <s v="AMERICAN TRANSMISSION COMPANY"/>
    <s v="Kenosha"/>
    <m/>
    <m/>
    <s v="WI"/>
    <s v="DPP-2022"/>
    <s v="East (ATC)"/>
    <s v="Phase 1"/>
    <s v="NRIS"/>
    <s v="Other_"/>
    <n v="50"/>
    <n v="50"/>
    <x v="0"/>
    <s v="Photovoltaic"/>
    <s v="Not Started"/>
    <m/>
    <n v="50"/>
    <n v="50"/>
    <n v="0"/>
    <n v="0"/>
  </r>
  <r>
    <s v="J2892"/>
    <x v="1"/>
    <d v="2022-09-15T00:00:00"/>
    <d v="2025-09-11T00:00:00"/>
    <m/>
    <d v="2026-06-30T00:00:00"/>
    <s v="ITC MIDWEST"/>
    <s v="Franklin"/>
    <m/>
    <m/>
    <s v="IA"/>
    <s v="DPP-2022"/>
    <s v="West"/>
    <s v="Phase 1"/>
    <s v="NRIS"/>
    <s v="Blackhawk (MEC) - Quinn 345 kV"/>
    <n v="200"/>
    <n v="200"/>
    <x v="1"/>
    <s v="Wind Turbine"/>
    <s v="Not Started"/>
    <m/>
    <n v="200"/>
    <n v="200"/>
    <n v="0"/>
    <n v="0"/>
  </r>
  <r>
    <s v="J2893"/>
    <x v="4"/>
    <d v="2022-09-15T00:00:00"/>
    <m/>
    <m/>
    <d v="2027-08-18T00:00:00"/>
    <s v="ENTERGY MISSISSIPPI, LLC. EMTO"/>
    <s v="Holmes"/>
    <m/>
    <m/>
    <s v="MS"/>
    <s v="DPP-2022"/>
    <s v="South"/>
    <s v="Phase 1"/>
    <s v="NRIS"/>
    <s v="DURANT - BOWLING GREEN SS 115.0kV"/>
    <n v="200"/>
    <n v="200"/>
    <x v="5"/>
    <s v="Solar/Battery"/>
    <s v="Not Started"/>
    <m/>
    <n v="200"/>
    <n v="0"/>
    <n v="0"/>
    <n v="0"/>
  </r>
  <r>
    <s v="J2894"/>
    <x v="1"/>
    <d v="2022-09-14T00:00:00"/>
    <d v="2025-10-27T00:00:00"/>
    <m/>
    <d v="2025-05-07T00:00:00"/>
    <s v="DUKE ENERGY INDIANA, LLC"/>
    <s v="Hendricks"/>
    <m/>
    <m/>
    <s v="IN"/>
    <s v="DPP-2022"/>
    <s v="Central"/>
    <s v="Phase 2"/>
    <s v="NRIS"/>
    <s v="Westland Jct - Westline 69kV Line"/>
    <n v="22.77"/>
    <n v="22.77"/>
    <x v="0"/>
    <s v="Photovoltaic"/>
    <s v="Not Started"/>
    <m/>
    <n v="0"/>
    <n v="0"/>
    <n v="0"/>
    <n v="0"/>
  </r>
  <r>
    <s v="J2895"/>
    <x v="1"/>
    <d v="2022-09-15T00:00:00"/>
    <d v="2025-08-19T00:00:00"/>
    <m/>
    <d v="2025-04-30T00:00:00"/>
    <s v="DUKE ENERGY INDIANA, LLC"/>
    <s v="Clark"/>
    <m/>
    <m/>
    <s v="IN"/>
    <s v="DPP-2022"/>
    <s v="Central"/>
    <s v="Phase 2"/>
    <s v="NRIS"/>
    <s v="Bethlehem 138kV Substation"/>
    <n v="120"/>
    <n v="120"/>
    <x v="5"/>
    <s v="Solar/Battery"/>
    <s v="Not Started"/>
    <m/>
    <n v="120"/>
    <n v="0"/>
    <n v="0"/>
    <n v="0"/>
  </r>
  <r>
    <s v="J2896"/>
    <x v="1"/>
    <d v="2022-09-14T00:00:00"/>
    <d v="2023-03-24T00:00:00"/>
    <m/>
    <d v="2025-04-30T00:00:00"/>
    <s v="OTTER TAIL POWER COMPANY OTP"/>
    <s v="Sargent"/>
    <m/>
    <m/>
    <s v="ND"/>
    <s v="DPP-2022"/>
    <s v="West"/>
    <s v="Phase 1"/>
    <s v="NRIS"/>
    <s v="Gwinner 115kV Substation"/>
    <n v="80"/>
    <n v="80"/>
    <x v="2"/>
    <s v="Battery Storage"/>
    <s v="Not Started"/>
    <m/>
    <n v="0"/>
    <n v="0"/>
    <n v="0"/>
    <n v="0"/>
  </r>
  <r>
    <s v="J2897"/>
    <x v="2"/>
    <d v="2022-09-15T00:00:00"/>
    <m/>
    <m/>
    <d v="2025-04-30T00:00:00"/>
    <s v="ENTERGY TEXAS, INC. ETTO"/>
    <s v="San Jacinto"/>
    <m/>
    <m/>
    <s v="TX"/>
    <s v="DPP-2022"/>
    <s v="South"/>
    <s v="Phase 1"/>
    <s v="ERIS"/>
    <s v="RIVTRIN - SHECO CALVIN 138.0kV"/>
    <n v="150"/>
    <n v="150"/>
    <x v="5"/>
    <s v="Solar/Battery"/>
    <s v="Not Started"/>
    <m/>
    <n v="150"/>
    <n v="0"/>
    <n v="0"/>
    <n v="0"/>
  </r>
  <r>
    <s v="J2898"/>
    <x v="1"/>
    <d v="2022-09-15T00:00:00"/>
    <d v="2025-07-31T00:00:00"/>
    <m/>
    <d v="2026-04-30T00:00:00"/>
    <s v="ENTERGY MISSISSIPPI, LLC."/>
    <s v="Amite"/>
    <m/>
    <m/>
    <s v="MS"/>
    <s v="DPP-2022"/>
    <s v="South"/>
    <s v="Phase 1"/>
    <s v="NRIS"/>
    <s v="FRANKLIN EHV - MCKNIGHT 500.0kV"/>
    <n v="200"/>
    <n v="200"/>
    <x v="5"/>
    <s v="Solar/Battery"/>
    <s v="Not Started"/>
    <m/>
    <n v="0"/>
    <n v="0"/>
    <n v="0"/>
    <n v="0"/>
  </r>
  <r>
    <s v="J2899"/>
    <x v="2"/>
    <d v="2022-09-14T00:00:00"/>
    <m/>
    <m/>
    <d v="2026-04-30T00:00:00"/>
    <m/>
    <s v="Calcasieu"/>
    <m/>
    <m/>
    <s v="LA"/>
    <s v="DPP-2022"/>
    <s v="South"/>
    <s v="Phase 1"/>
    <s v="ERIS"/>
    <s v="GOOS FERRY - CHALKLEY CO 230.0kV"/>
    <n v="250"/>
    <n v="250"/>
    <x v="5"/>
    <s v="Solar/Battery"/>
    <s v="Not Started"/>
    <m/>
    <n v="250"/>
    <n v="0"/>
    <n v="0"/>
    <n v="0"/>
  </r>
  <r>
    <s v="J2900"/>
    <x v="1"/>
    <d v="2022-09-15T00:00:00"/>
    <d v="2025-07-31T00:00:00"/>
    <m/>
    <d v="2026-04-30T00:00:00"/>
    <s v="ENTERGY MISSISSIPPI, LLC."/>
    <s v="Amite"/>
    <m/>
    <m/>
    <s v="MS"/>
    <s v="DPP-2022"/>
    <s v="South"/>
    <s v="Phase 1"/>
    <s v="NRIS"/>
    <s v="FRANKLIN EHV - MCKNIGHT 500.0kV"/>
    <n v="400"/>
    <n v="400"/>
    <x v="5"/>
    <s v="Solar/Battery"/>
    <s v="Not Started"/>
    <m/>
    <n v="0"/>
    <n v="0"/>
    <n v="0"/>
    <n v="0"/>
  </r>
  <r>
    <s v="J2901"/>
    <x v="2"/>
    <d v="2022-09-13T00:00:00"/>
    <m/>
    <m/>
    <d v="2027-10-01T00:00:00"/>
    <s v="ENTERGY ARKANSAS, LLC EATO"/>
    <s v="Columbia"/>
    <m/>
    <m/>
    <s v="AR"/>
    <s v="DPP-2022"/>
    <s v="South"/>
    <s v="Phase 1"/>
    <s v="ERIS"/>
    <s v="MACEDONIA - TAYLOR 115.0kV"/>
    <n v="140"/>
    <n v="140"/>
    <x v="0"/>
    <s v="Photovoltaic"/>
    <s v="Not Started"/>
    <m/>
    <n v="140"/>
    <n v="0"/>
    <n v="0"/>
    <n v="0"/>
  </r>
  <r>
    <s v="J2902"/>
    <x v="1"/>
    <d v="2022-09-13T00:00:00"/>
    <d v="2023-03-24T00:00:00"/>
    <m/>
    <d v="2027-10-01T00:00:00"/>
    <s v="ENTERGY MISSISSIPPI, LLC."/>
    <s v="Warren"/>
    <m/>
    <m/>
    <s v="MS"/>
    <s v="DPP-2022"/>
    <s v="South"/>
    <s v="Phase 1"/>
    <s v="NRIS"/>
    <s v="Beech Grove SS 115 kV Substation"/>
    <n v="70"/>
    <n v="70"/>
    <x v="2"/>
    <s v="Battery Storage"/>
    <s v="Not Started"/>
    <m/>
    <n v="0"/>
    <n v="0"/>
    <n v="0"/>
    <n v="0"/>
  </r>
  <r>
    <s v="J2903"/>
    <x v="1"/>
    <d v="2022-09-09T00:00:00"/>
    <d v="2025-07-31T00:00:00"/>
    <m/>
    <d v="2025-02-01T00:00:00"/>
    <s v="COOPERATIVE ENERGY"/>
    <s v="Lincoln"/>
    <m/>
    <m/>
    <s v="MS"/>
    <s v="DPP-2022"/>
    <s v="South"/>
    <s v="Phase 1"/>
    <s v="NRIS"/>
    <s v="BROOKHAVEN - BROOKHAVEN/SOUTH 115.0kV"/>
    <n v="130"/>
    <n v="130"/>
    <x v="5"/>
    <s v="Solar/Battery"/>
    <s v="Not Started"/>
    <m/>
    <n v="0"/>
    <n v="0"/>
    <n v="0"/>
    <n v="0"/>
  </r>
  <r>
    <s v="J2904"/>
    <x v="1"/>
    <d v="2022-09-09T00:00:00"/>
    <d v="2025-07-31T00:00:00"/>
    <m/>
    <d v="2025-06-01T00:00:00"/>
    <s v="ENTERGY LOUISIANA, LLC"/>
    <s v="Concordia"/>
    <m/>
    <m/>
    <s v="LA"/>
    <s v="DPP-2022"/>
    <s v="South"/>
    <s v="Phase 1"/>
    <s v="NRIS"/>
    <s v="PLANTATION"/>
    <n v="150"/>
    <n v="150"/>
    <x v="5"/>
    <s v="Solar/Battery"/>
    <s v="Not Started"/>
    <m/>
    <n v="0"/>
    <n v="0"/>
    <n v="0"/>
    <n v="0"/>
  </r>
  <r>
    <s v="J2905"/>
    <x v="1"/>
    <d v="2022-09-09T00:00:00"/>
    <d v="2025-07-31T00:00:00"/>
    <m/>
    <d v="2025-03-01T00:00:00"/>
    <s v="COOPERATIVE ENERGY"/>
    <s v="Washington"/>
    <m/>
    <m/>
    <s v="MS"/>
    <s v="DPP-2022"/>
    <s v="South"/>
    <s v="Phase 1"/>
    <s v="NRIS"/>
    <s v="HOLLANDALE - NITTA YUMA SS (CE) 115.0kV"/>
    <n v="100"/>
    <n v="100"/>
    <x v="5"/>
    <s v="Solar/Battery"/>
    <s v="Not Started"/>
    <m/>
    <n v="0"/>
    <n v="0"/>
    <n v="0"/>
    <n v="0"/>
  </r>
  <r>
    <s v="J2906"/>
    <x v="4"/>
    <d v="2022-09-15T00:00:00"/>
    <m/>
    <m/>
    <d v="2024-09-30T00:00:00"/>
    <s v="METC"/>
    <s v="Kalamazoo"/>
    <m/>
    <m/>
    <s v="MI"/>
    <s v="DPP-2022"/>
    <s v="East (ITC)"/>
    <s v="Phase 1"/>
    <s v="NRIS"/>
    <s v="Jaguar 138kV substation"/>
    <n v="200"/>
    <n v="200"/>
    <x v="2"/>
    <s v="Battery Storage"/>
    <s v="Not Started"/>
    <m/>
    <n v="200"/>
    <n v="200"/>
    <n v="0"/>
    <n v="0"/>
  </r>
  <r>
    <s v="J2907"/>
    <x v="2"/>
    <d v="2022-09-15T00:00:00"/>
    <m/>
    <m/>
    <d v="2026-05-26T00:00:00"/>
    <s v="ENTERGY ARKANSAS, LLC EATO"/>
    <s v="Grant"/>
    <m/>
    <m/>
    <s v="AR"/>
    <s v="DPP-2022"/>
    <s v="South"/>
    <s v="Phase 1"/>
    <s v="NRIS"/>
    <s v="Sheridan 500 kV"/>
    <n v="400"/>
    <n v="400"/>
    <x v="5"/>
    <s v="Solar/Battery"/>
    <s v="Not Started"/>
    <m/>
    <n v="400"/>
    <n v="400"/>
    <n v="0"/>
    <n v="0"/>
  </r>
  <r>
    <s v="J2908"/>
    <x v="2"/>
    <d v="2022-07-27T00:00:00"/>
    <m/>
    <m/>
    <d v="2023-07-30T00:00:00"/>
    <s v="AMEREN ILLINOIS"/>
    <s v="Morgan"/>
    <m/>
    <m/>
    <s v="IL"/>
    <s v="DPP-2022"/>
    <s v="Central"/>
    <s v="Phase 2"/>
    <s v="E-NRIS"/>
    <s v="Jacksonville North"/>
    <n v="30"/>
    <n v="30"/>
    <x v="0"/>
    <s v="Photovoltaic"/>
    <s v="Not Started"/>
    <m/>
    <n v="30"/>
    <n v="30"/>
    <n v="0"/>
    <n v="0"/>
  </r>
  <r>
    <s v="J2909"/>
    <x v="1"/>
    <d v="2022-09-14T00:00:00"/>
    <d v="2023-03-27T00:00:00"/>
    <m/>
    <d v="2027-06-15T00:00:00"/>
    <s v="ENTERGY ARKANSAS, LLC"/>
    <s v="Lonoke"/>
    <m/>
    <m/>
    <s v="AR"/>
    <s v="DPP-2022"/>
    <s v="South"/>
    <s v="Phase 1"/>
    <s v="ERIS"/>
    <s v="Remington AECC to Lonoke E 115kV"/>
    <n v="200"/>
    <n v="200"/>
    <x v="0"/>
    <s v="Photovoltaic"/>
    <s v="Not Started"/>
    <m/>
    <n v="0"/>
    <n v="0"/>
    <n v="0"/>
    <n v="0"/>
  </r>
  <r>
    <s v="J2910"/>
    <x v="1"/>
    <d v="2022-09-14T00:00:00"/>
    <d v="2023-03-22T00:00:00"/>
    <m/>
    <d v="2026-06-14T00:00:00"/>
    <s v="ENTERGY TEXAS, INC."/>
    <s v="Chambers"/>
    <m/>
    <m/>
    <s v="TX"/>
    <s v="DPP-2022"/>
    <s v="South"/>
    <s v="Phase 1"/>
    <s v="ERIS"/>
    <s v="Stowell 230kV"/>
    <n v="303"/>
    <n v="303"/>
    <x v="1"/>
    <s v="Wind Turbine"/>
    <s v="Not Started"/>
    <m/>
    <n v="0"/>
    <n v="0"/>
    <n v="0"/>
    <n v="0"/>
  </r>
  <r>
    <s v="J2911"/>
    <x v="1"/>
    <d v="2022-09-15T00:00:00"/>
    <d v="2025-07-31T00:00:00"/>
    <m/>
    <d v="2027-09-01T00:00:00"/>
    <s v="CLECO POWER LLC"/>
    <s v="Beauregard"/>
    <m/>
    <m/>
    <s v="LA"/>
    <s v="DPP-2022"/>
    <s v="South"/>
    <s v="Phase 1"/>
    <s v="NRIS"/>
    <s v="Penton 230KV Substation"/>
    <n v="810"/>
    <n v="810"/>
    <x v="5"/>
    <s v="Solar/Battery"/>
    <s v="Not Started"/>
    <m/>
    <n v="0"/>
    <n v="0"/>
    <n v="0"/>
    <n v="0"/>
  </r>
  <r>
    <s v="J2912"/>
    <x v="1"/>
    <d v="2022-09-15T00:00:00"/>
    <d v="2025-10-27T00:00:00"/>
    <m/>
    <d v="2027-09-01T00:00:00"/>
    <s v="MONTANA-DAKOTA UTILITIES CO."/>
    <s v="Mercer"/>
    <m/>
    <m/>
    <s v="ND"/>
    <s v="DPP-2022"/>
    <s v="West"/>
    <s v="Phase 1"/>
    <s v="NRIS"/>
    <s v="Coyote Switchyard 345kV Substation"/>
    <n v="347"/>
    <n v="347"/>
    <x v="5"/>
    <s v="Solar/Battery"/>
    <s v="Not Started"/>
    <m/>
    <n v="0"/>
    <n v="0"/>
    <n v="0"/>
    <n v="0"/>
  </r>
  <r>
    <s v="J2913"/>
    <x v="2"/>
    <d v="2022-09-15T00:00:00"/>
    <m/>
    <m/>
    <d v="2025-04-30T00:00:00"/>
    <m/>
    <s v="Sargent"/>
    <m/>
    <m/>
    <s v="ND"/>
    <s v="DPP-2022"/>
    <s v="West"/>
    <s v="Phase 1"/>
    <s v="ERIS"/>
    <s v="Forman 115kV Substation"/>
    <n v="90"/>
    <n v="90"/>
    <x v="2"/>
    <s v="Battery Storage"/>
    <s v="Not Started"/>
    <m/>
    <n v="90"/>
    <n v="0"/>
    <n v="0"/>
    <n v="0"/>
  </r>
  <r>
    <s v="J2914"/>
    <x v="2"/>
    <d v="2022-09-14T00:00:00"/>
    <m/>
    <m/>
    <d v="2026-04-30T00:00:00"/>
    <s v="ENTERGY LOUISIANA, LLC ELTO"/>
    <s v="St. Tammany"/>
    <m/>
    <m/>
    <s v="LA"/>
    <s v="DPP-2022"/>
    <s v="South"/>
    <s v="Phase 1"/>
    <s v="ERIS"/>
    <s v="MCKNIGHT - PLANT DANIEL 500.0kV"/>
    <n v="450"/>
    <n v="450"/>
    <x v="5"/>
    <s v="Solar/Battery"/>
    <s v="Not Started"/>
    <m/>
    <n v="450"/>
    <n v="0"/>
    <n v="0"/>
    <n v="0"/>
  </r>
  <r>
    <s v="J2915"/>
    <x v="1"/>
    <d v="2022-09-15T00:00:00"/>
    <d v="2025-10-27T00:00:00"/>
    <m/>
    <d v="2028-07-18T00:00:00"/>
    <s v="AMEREN MISSOURI"/>
    <s v="Clark"/>
    <m/>
    <m/>
    <s v="MO"/>
    <s v="DPP-2022"/>
    <s v="Central"/>
    <s v="Phase 2"/>
    <s v="NRIS"/>
    <s v="Other_"/>
    <n v="223"/>
    <n v="223"/>
    <x v="1"/>
    <s v="Wind Turbine"/>
    <s v="Not Started"/>
    <m/>
    <n v="0"/>
    <n v="0"/>
    <n v="0"/>
    <n v="0"/>
  </r>
  <r>
    <s v="J2916"/>
    <x v="1"/>
    <d v="2022-09-14T00:00:00"/>
    <d v="2025-07-31T00:00:00"/>
    <m/>
    <d v="2026-10-31T00:00:00"/>
    <s v="CLECO POWER LLC"/>
    <s v="Rapides"/>
    <m/>
    <m/>
    <s v="LA"/>
    <s v="DPP-2022"/>
    <s v="South"/>
    <s v="Phase 1"/>
    <s v="NRIS"/>
    <s v="East Leesville-Rodemacher 230 KV"/>
    <n v="400"/>
    <n v="400"/>
    <x v="0"/>
    <s v="Photovoltaic"/>
    <s v="Not Started"/>
    <m/>
    <n v="0"/>
    <n v="0"/>
    <n v="0"/>
    <n v="0"/>
  </r>
  <r>
    <s v="J2917"/>
    <x v="2"/>
    <d v="2022-09-14T00:00:00"/>
    <m/>
    <m/>
    <d v="2026-03-01T00:00:00"/>
    <m/>
    <s v="Ouachita"/>
    <m/>
    <m/>
    <s v="LA"/>
    <s v="DPP-2022"/>
    <s v="South"/>
    <s v="Phase 1"/>
    <s v="NRIS"/>
    <s v="PRAIRIE ROAD"/>
    <n v="80"/>
    <n v="80"/>
    <x v="0"/>
    <s v="Photovoltaic"/>
    <s v="Not Started"/>
    <m/>
    <n v="80"/>
    <n v="80"/>
    <n v="0"/>
    <n v="0"/>
  </r>
  <r>
    <s v="J2918"/>
    <x v="2"/>
    <d v="2022-09-14T00:00:00"/>
    <m/>
    <m/>
    <d v="2025-03-01T00:00:00"/>
    <m/>
    <s v="Jasper"/>
    <m/>
    <m/>
    <s v="IL"/>
    <s v="DPP-2022"/>
    <s v="Central"/>
    <s v="Phase 2"/>
    <s v="NRIS"/>
    <s v="4EFFINGHM N - 4NEWTON 138kV"/>
    <n v="97"/>
    <n v="97"/>
    <x v="0"/>
    <s v="Photovoltaic"/>
    <s v="Not Started"/>
    <m/>
    <n v="97"/>
    <n v="25"/>
    <n v="0"/>
    <n v="0"/>
  </r>
  <r>
    <s v="J2919"/>
    <x v="1"/>
    <d v="2022-09-14T00:00:00"/>
    <d v="2025-10-27T00:00:00"/>
    <m/>
    <d v="2027-06-01T00:00:00"/>
    <s v="DUKE ENERGY INDIANA, LLC"/>
    <s v="Montgomery"/>
    <m/>
    <m/>
    <s v="IN"/>
    <s v="DPP-2022"/>
    <s v="Central"/>
    <s v="Phase 2"/>
    <s v="NRIS"/>
    <s v="Kokomo Webster St. to Walton 230 kV"/>
    <n v="142.59"/>
    <n v="142.59"/>
    <x v="1"/>
    <s v="Wind Turbine"/>
    <s v="Not Started"/>
    <m/>
    <n v="0"/>
    <n v="0"/>
    <n v="0"/>
    <n v="0"/>
  </r>
  <r>
    <s v="J2920"/>
    <x v="2"/>
    <d v="2022-09-15T00:00:00"/>
    <m/>
    <m/>
    <d v="2024-12-01T00:00:00"/>
    <s v="CLECO POWER LLC CLEC"/>
    <s v="Sabine"/>
    <m/>
    <m/>
    <s v="LA"/>
    <s v="DPP-2022"/>
    <s v="South"/>
    <s v="Phase 1"/>
    <s v="ERIS"/>
    <s v="1673  Interconnection Substation"/>
    <n v="92"/>
    <n v="92"/>
    <x v="0"/>
    <s v="Photovoltaic"/>
    <s v="Not Started"/>
    <m/>
    <n v="92"/>
    <n v="0"/>
    <n v="0"/>
    <n v="0"/>
  </r>
  <r>
    <s v="J2921"/>
    <x v="2"/>
    <d v="2022-09-15T00:00:00"/>
    <m/>
    <m/>
    <d v="2026-08-31T00:00:00"/>
    <m/>
    <s v="Calhoun"/>
    <m/>
    <m/>
    <s v="MI"/>
    <s v="DPP-2022"/>
    <s v="East (ITC)"/>
    <s v="Phase 1"/>
    <s v="NRIS"/>
    <s v="Other_"/>
    <n v="250"/>
    <n v="250"/>
    <x v="0"/>
    <s v="Photovoltaic"/>
    <s v="Not Started"/>
    <m/>
    <n v="250"/>
    <n v="250"/>
    <n v="0"/>
    <n v="0"/>
  </r>
  <r>
    <s v="J2922"/>
    <x v="2"/>
    <d v="2022-09-14T00:00:00"/>
    <m/>
    <m/>
    <d v="2028-04-01T00:00:00"/>
    <s v="AMEREN ILLINOIS"/>
    <s v="Jasper"/>
    <m/>
    <m/>
    <s v="IL"/>
    <s v="DPP-2022"/>
    <s v="Central"/>
    <s v="Phase 2"/>
    <s v="ERIS"/>
    <s v="7CASEY    - 7NEWTON   345.0kV"/>
    <n v="250"/>
    <n v="250"/>
    <x v="0"/>
    <s v="Photovoltaic"/>
    <s v="Not Started"/>
    <m/>
    <n v="250"/>
    <n v="0"/>
    <n v="0"/>
    <n v="0"/>
  </r>
  <r>
    <s v="J2923"/>
    <x v="1"/>
    <d v="2022-09-15T00:00:00"/>
    <d v="2025-07-31T00:00:00"/>
    <m/>
    <d v="2028-05-30T00:00:00"/>
    <s v="ENTERGY ARKANSAS, LLC"/>
    <s v="Columbia"/>
    <m/>
    <m/>
    <s v="AR"/>
    <s v="DPP-2022"/>
    <s v="South"/>
    <s v="Phase 1"/>
    <s v="NRIS"/>
    <s v="EL DORADO EHV - SARPETA 345/115 KV SW STA 345kV"/>
    <n v="240"/>
    <n v="240"/>
    <x v="5"/>
    <s v="Solar/Battery"/>
    <s v="Not Started"/>
    <m/>
    <n v="0"/>
    <n v="0"/>
    <n v="0"/>
    <n v="0"/>
  </r>
  <r>
    <s v="J2924"/>
    <x v="2"/>
    <d v="2022-09-15T00:00:00"/>
    <m/>
    <m/>
    <d v="2027-10-31T00:00:00"/>
    <s v="ENTERGY ARKANSAS, LLC EATO"/>
    <s v="Columbia"/>
    <m/>
    <m/>
    <s v="AR"/>
    <s v="DPP-2022"/>
    <s v="South"/>
    <s v="Phase 1"/>
    <s v="NRIS"/>
    <s v="EL DORADO EHV - SAREPTA 345/115 SS 345.0kV"/>
    <n v="222"/>
    <n v="222"/>
    <x v="5"/>
    <s v="Solar/Battery"/>
    <s v="Not Started"/>
    <m/>
    <n v="222"/>
    <n v="222"/>
    <n v="0"/>
    <n v="0"/>
  </r>
  <r>
    <s v="J2925"/>
    <x v="1"/>
    <d v="2022-09-15T00:00:00"/>
    <d v="2025-10-27T00:00:00"/>
    <m/>
    <d v="2026-07-31T00:00:00"/>
    <s v="AMEREN ILLINOIS"/>
    <s v="Logan"/>
    <m/>
    <m/>
    <s v="IL"/>
    <s v="DPP-2022"/>
    <s v="Central"/>
    <s v="Phase 2"/>
    <s v="NRIS"/>
    <s v="Gillett"/>
    <n v="150"/>
    <n v="150"/>
    <x v="0"/>
    <s v="Photovoltaic"/>
    <s v="Not Started"/>
    <m/>
    <n v="0"/>
    <n v="0"/>
    <n v="0"/>
    <n v="0"/>
  </r>
  <r>
    <s v="J2926"/>
    <x v="1"/>
    <d v="2022-09-15T00:00:00"/>
    <d v="2025-10-27T00:00:00"/>
    <m/>
    <d v="2026-07-31T00:00:00"/>
    <s v="AMEREN ILLINOIS"/>
    <s v="Franklin"/>
    <m/>
    <m/>
    <s v="IL"/>
    <s v="DPP-2022"/>
    <s v="Central"/>
    <s v="Phase 2"/>
    <s v="NRIS"/>
    <s v="Ashley to West Frankfort-1536"/>
    <n v="100"/>
    <n v="100"/>
    <x v="0"/>
    <s v="Photovoltaic"/>
    <s v="Not Started"/>
    <m/>
    <n v="0"/>
    <n v="0"/>
    <n v="0"/>
    <n v="0"/>
  </r>
  <r>
    <s v="J2927"/>
    <x v="1"/>
    <d v="2022-09-15T00:00:00"/>
    <d v="2025-10-27T00:00:00"/>
    <m/>
    <d v="2026-07-31T00:00:00"/>
    <s v="AMEREN ILLINOIS"/>
    <s v="Randolph"/>
    <m/>
    <m/>
    <s v="IL"/>
    <s v="DPP-2022"/>
    <s v="Central"/>
    <s v="Phase 2"/>
    <s v="NRIS"/>
    <s v="Tibbs"/>
    <n v="100"/>
    <n v="100"/>
    <x v="0"/>
    <s v="Photovoltaic"/>
    <s v="Not Started"/>
    <m/>
    <n v="0"/>
    <n v="0"/>
    <n v="0"/>
    <n v="0"/>
  </r>
  <r>
    <s v="J2928"/>
    <x v="1"/>
    <d v="2022-09-02T00:00:00"/>
    <d v="2023-03-24T00:00:00"/>
    <m/>
    <d v="2026-09-01T00:00:00"/>
    <s v="METC"/>
    <s v="Poinsett"/>
    <m/>
    <m/>
    <s v="AR"/>
    <s v="DPP-2022"/>
    <s v="South"/>
    <s v="Phase 1"/>
    <s v="NRIS"/>
    <s v="Harrisburg 161 kV Substation"/>
    <n v="160"/>
    <n v="160"/>
    <x v="0"/>
    <s v="Photovoltaic"/>
    <s v="Not Started"/>
    <m/>
    <n v="0"/>
    <n v="0"/>
    <n v="0"/>
    <n v="0"/>
  </r>
  <r>
    <s v="J2929"/>
    <x v="1"/>
    <d v="2022-09-14T00:00:00"/>
    <d v="2023-03-24T00:00:00"/>
    <m/>
    <d v="2025-10-01T00:00:00"/>
    <s v="BIG RIVERS ELECTRIC CORPORATION"/>
    <s v="Henderson"/>
    <m/>
    <m/>
    <s v="KY"/>
    <s v="DPP-2022"/>
    <s v="Central"/>
    <s v="Phase 2"/>
    <s v="NRIS"/>
    <s v="Henderson 161kV"/>
    <n v="200"/>
    <n v="200"/>
    <x v="0"/>
    <s v="Photovoltaic"/>
    <s v="Not Started"/>
    <m/>
    <n v="0"/>
    <n v="0"/>
    <n v="0"/>
    <n v="0"/>
  </r>
  <r>
    <s v="J2930"/>
    <x v="2"/>
    <d v="2022-09-14T00:00:00"/>
    <m/>
    <m/>
    <d v="2025-10-01T00:00:00"/>
    <m/>
    <s v="Henderson"/>
    <m/>
    <m/>
    <s v="KY"/>
    <s v="DPP-2022"/>
    <s v="Central"/>
    <s v="Phase 2"/>
    <s v="NRIS"/>
    <s v="AB Brown 345 - Reid EHV (BREC Terminal) 345.0kV"/>
    <n v="200"/>
    <n v="200"/>
    <x v="1"/>
    <s v="Wind Turbine"/>
    <s v="Not Started"/>
    <m/>
    <n v="200"/>
    <n v="200"/>
    <n v="0"/>
    <n v="0"/>
  </r>
  <r>
    <s v="J2931"/>
    <x v="2"/>
    <d v="2022-09-14T00:00:00"/>
    <m/>
    <m/>
    <d v="2025-10-01T00:00:00"/>
    <m/>
    <s v="Henderson"/>
    <m/>
    <m/>
    <s v="KY"/>
    <s v="DPP-2022"/>
    <s v="Central"/>
    <s v="Phase 2"/>
    <s v="NRIS"/>
    <s v="AB Brown 345 - Reid EHV (BREC Terminal) 345.0kV"/>
    <n v="400"/>
    <n v="400"/>
    <x v="0"/>
    <s v="Photovoltaic"/>
    <s v="Not Started"/>
    <m/>
    <n v="400"/>
    <n v="225"/>
    <n v="0"/>
    <n v="0"/>
  </r>
  <r>
    <s v="J2932"/>
    <x v="1"/>
    <d v="2022-09-14T00:00:00"/>
    <d v="2023-03-24T00:00:00"/>
    <m/>
    <d v="2025-10-01T00:00:00"/>
    <s v="BIG RIVERS ELECTRIC CORPORATION"/>
    <s v="Henderson"/>
    <m/>
    <m/>
    <s v="KY"/>
    <s v="DPP-2022"/>
    <s v="Central"/>
    <s v="Phase 2"/>
    <s v="NRIS"/>
    <s v="Henderson 161kV"/>
    <n v="100"/>
    <n v="100"/>
    <x v="2"/>
    <s v="Battery Storage"/>
    <s v="Not Started"/>
    <m/>
    <n v="0"/>
    <n v="0"/>
    <n v="0"/>
    <n v="0"/>
  </r>
  <r>
    <s v="J2933"/>
    <x v="1"/>
    <d v="2022-09-14T00:00:00"/>
    <d v="2023-03-24T00:00:00"/>
    <m/>
    <d v="2025-11-01T00:00:00"/>
    <s v="METC"/>
    <s v="Bay"/>
    <m/>
    <m/>
    <s v="MI"/>
    <s v="DPP-2022"/>
    <s v="East (ITC)"/>
    <s v="Phase 1"/>
    <s v="NRIS"/>
    <s v="Gallagher-Tittabawassee 345kV Transmission Line"/>
    <n v="200"/>
    <n v="200"/>
    <x v="0"/>
    <s v="Photovoltaic"/>
    <s v="Not Started"/>
    <m/>
    <n v="0"/>
    <n v="0"/>
    <n v="0"/>
    <n v="0"/>
  </r>
  <r>
    <s v="J2934"/>
    <x v="1"/>
    <d v="2022-09-14T00:00:00"/>
    <d v="2025-08-01T00:00:00"/>
    <m/>
    <d v="2025-11-01T00:00:00"/>
    <s v="METC"/>
    <s v="Saginaw"/>
    <m/>
    <m/>
    <s v="MI"/>
    <s v="DPP-2022"/>
    <s v="East (ITC)"/>
    <s v="Phase 1"/>
    <s v="NRIS"/>
    <s v="Thetford to Murphy 345 kV"/>
    <n v="200"/>
    <n v="200"/>
    <x v="0"/>
    <s v="Photovoltaic"/>
    <s v="Not Started"/>
    <m/>
    <n v="0"/>
    <n v="0"/>
    <n v="0"/>
    <n v="0"/>
  </r>
  <r>
    <s v="J2935"/>
    <x v="1"/>
    <d v="2022-09-14T00:00:00"/>
    <d v="2025-08-01T00:00:00"/>
    <m/>
    <d v="2025-11-01T00:00:00"/>
    <s v="METC"/>
    <s v="Saginaw"/>
    <m/>
    <m/>
    <s v="MI"/>
    <s v="DPP-2022"/>
    <s v="East (ITC)"/>
    <s v="Phase 1"/>
    <s v="NRIS"/>
    <s v="Thetford to Murphy 345 kV"/>
    <n v="200"/>
    <n v="200"/>
    <x v="0"/>
    <s v="Photovoltaic"/>
    <s v="Not Started"/>
    <m/>
    <n v="0"/>
    <n v="0"/>
    <n v="0"/>
    <n v="0"/>
  </r>
  <r>
    <s v="J2936"/>
    <x v="1"/>
    <d v="2022-09-15T00:00:00"/>
    <d v="2023-03-02T00:00:00"/>
    <m/>
    <d v="2025-10-31T00:00:00"/>
    <s v="ENTERGY ARKANSAS, LLC"/>
    <s v="Jackson"/>
    <m/>
    <m/>
    <s v="AR"/>
    <s v="DPP-2022"/>
    <s v="South"/>
    <s v="Phase 1"/>
    <s v="NRIS"/>
    <s v="Independence (A)(500kV) to Powerline (B) (500 kV)"/>
    <n v="500"/>
    <n v="500"/>
    <x v="0"/>
    <s v="Photovoltaic"/>
    <s v="Not Started"/>
    <m/>
    <n v="0"/>
    <n v="0"/>
    <n v="0"/>
    <n v="0"/>
  </r>
  <r>
    <s v="J2937"/>
    <x v="2"/>
    <d v="2022-09-15T00:00:00"/>
    <m/>
    <m/>
    <d v="2025-06-30T00:00:00"/>
    <m/>
    <s v="Montgomery"/>
    <m/>
    <m/>
    <s v="IL"/>
    <s v="DPP-2022"/>
    <s v="Central"/>
    <s v="Phase 2"/>
    <s v="NRIS"/>
    <s v="4PANA - 4OAKLEY 138.0kV"/>
    <n v="186"/>
    <n v="186"/>
    <x v="0"/>
    <s v="Photovoltaic"/>
    <s v="Not Started"/>
    <m/>
    <n v="186"/>
    <n v="93"/>
    <n v="0"/>
    <n v="0"/>
  </r>
  <r>
    <s v="J2938"/>
    <x v="2"/>
    <d v="2022-09-15T00:00:00"/>
    <m/>
    <m/>
    <d v="2025-06-30T00:00:00"/>
    <s v="AMEREN ILLINOIS"/>
    <s v="Knox"/>
    <m/>
    <m/>
    <s v="IL"/>
    <s v="DPP-2022"/>
    <s v="Central"/>
    <s v="Phase 2"/>
    <s v="NRIS"/>
    <s v="4MONM BLVD W - 4CASTRO_JCT 138.0kV"/>
    <n v="200"/>
    <n v="200"/>
    <x v="1"/>
    <s v="Wind Turbine"/>
    <s v="Not Started"/>
    <m/>
    <n v="200"/>
    <n v="200"/>
    <n v="0"/>
    <n v="0"/>
  </r>
  <r>
    <s v="J2939"/>
    <x v="1"/>
    <d v="2022-09-14T00:00:00"/>
    <d v="2025-07-31T00:00:00"/>
    <m/>
    <d v="2025-11-30T00:00:00"/>
    <s v="COOPERATIVE ENERGY"/>
    <s v="Tunica"/>
    <m/>
    <m/>
    <s v="MS"/>
    <s v="DPP-2022"/>
    <s v="South"/>
    <s v="Phase 1"/>
    <s v="NRIS"/>
    <s v="Hambrick Switching Station 115kV"/>
    <n v="150"/>
    <n v="150"/>
    <x v="0"/>
    <s v="Photovoltaic"/>
    <s v="Not Started"/>
    <m/>
    <n v="0"/>
    <n v="0"/>
    <n v="0"/>
    <n v="0"/>
  </r>
  <r>
    <s v="J2940"/>
    <x v="1"/>
    <d v="2022-09-14T00:00:00"/>
    <d v="2023-03-24T00:00:00"/>
    <m/>
    <d v="2025-11-30T00:00:00"/>
    <s v="ENTERGY MISSISSIPPI, LLC."/>
    <s v="Sharkey"/>
    <m/>
    <m/>
    <s v="MS"/>
    <s v="DPP-2022"/>
    <s v="South"/>
    <s v="Phase 1"/>
    <s v="NRIS"/>
    <s v="Nitta Yuma SS (CE) - Rolling Fork 115 kV"/>
    <n v="100"/>
    <n v="100"/>
    <x v="0"/>
    <s v="Photovoltaic"/>
    <s v="Not Started"/>
    <m/>
    <n v="0"/>
    <n v="0"/>
    <n v="0"/>
    <n v="0"/>
  </r>
  <r>
    <s v="J2941"/>
    <x v="1"/>
    <d v="2022-09-14T00:00:00"/>
    <d v="2023-03-24T00:00:00"/>
    <m/>
    <d v="2025-11-30T00:00:00"/>
    <s v="ENTERGY ARKANSAS, LLC"/>
    <s v="Chicot"/>
    <m/>
    <m/>
    <s v="AR"/>
    <s v="DPP-2022"/>
    <s v="South"/>
    <s v="Phase 1"/>
    <s v="NRIS"/>
    <s v="Macon Lake SS - Lake Chicot Pump STA 115kV"/>
    <n v="100"/>
    <n v="100"/>
    <x v="0"/>
    <s v="Photovoltaic"/>
    <s v="Not Started"/>
    <m/>
    <n v="0"/>
    <n v="0"/>
    <n v="0"/>
    <n v="0"/>
  </r>
  <r>
    <s v="J2942"/>
    <x v="1"/>
    <d v="2022-09-13T00:00:00"/>
    <d v="2025-07-31T00:00:00"/>
    <m/>
    <d v="2025-10-31T00:00:00"/>
    <s v="CLECO POWER LLC"/>
    <s v="Beauregard"/>
    <m/>
    <m/>
    <s v="LA"/>
    <s v="DPP-2022"/>
    <s v="South"/>
    <s v="Phase 1"/>
    <s v="NRIS-Only"/>
    <s v="Cooper to Penton Road 230 kV"/>
    <n v="200"/>
    <n v="200"/>
    <x v="0"/>
    <s v="Photovoltaic"/>
    <s v="Not Started"/>
    <m/>
    <n v="0"/>
    <n v="0"/>
    <n v="0"/>
    <n v="0"/>
  </r>
  <r>
    <s v="J2943"/>
    <x v="1"/>
    <d v="2022-09-14T00:00:00"/>
    <d v="2023-03-25T00:00:00"/>
    <m/>
    <d v="2026-10-31T00:00:00"/>
    <s v="ENTERGY LOUISIANA, LLC"/>
    <s v="Webster"/>
    <m/>
    <m/>
    <s v="LA"/>
    <s v="DPP-2022"/>
    <s v="South"/>
    <s v="Phase 1"/>
    <s v="NRIS"/>
    <s v="Minden to Sarepta 115 kV"/>
    <n v="140"/>
    <n v="140"/>
    <x v="2"/>
    <s v="Battery Storage"/>
    <s v="Not Started"/>
    <m/>
    <n v="0"/>
    <n v="0"/>
    <n v="0"/>
    <n v="0"/>
  </r>
  <r>
    <s v="J2944"/>
    <x v="2"/>
    <d v="2022-09-15T00:00:00"/>
    <m/>
    <m/>
    <d v="2027-04-01T00:00:00"/>
    <s v="AMERICAN TRANSMISSION COMPANY"/>
    <s v="Portage"/>
    <m/>
    <m/>
    <s v="WI"/>
    <s v="DPP-2022"/>
    <s v="East (ATC)"/>
    <s v="Phase 1"/>
    <s v="NRIS"/>
    <s v="Rocky Run - Gardner Park 345.0kV"/>
    <n v="350"/>
    <n v="350"/>
    <x v="3"/>
    <s v="Piston (Engine), Internal Combustion (Diesel)"/>
    <s v="Not Started"/>
    <m/>
    <n v="350"/>
    <n v="350"/>
    <n v="0"/>
    <n v="0"/>
  </r>
  <r>
    <s v="J2945"/>
    <x v="2"/>
    <d v="2022-09-15T00:00:00"/>
    <m/>
    <m/>
    <d v="2027-04-01T00:00:00"/>
    <m/>
    <s v="Washington"/>
    <m/>
    <m/>
    <s v="IA"/>
    <s v="DPP-2022"/>
    <s v="Central"/>
    <s v="Phase 2"/>
    <s v="NRIS"/>
    <s v="SUB T  3 - HILLS  3 345.0kV"/>
    <n v="350"/>
    <n v="350"/>
    <x v="3"/>
    <s v="Steam Turbine (including Nuclear, Geothermal and Solar Steam)"/>
    <s v="Not Started"/>
    <m/>
    <n v="350"/>
    <n v="350"/>
    <n v="0"/>
    <n v="0"/>
  </r>
  <r>
    <s v="J2946"/>
    <x v="2"/>
    <d v="2022-09-15T00:00:00"/>
    <m/>
    <m/>
    <d v="2027-04-01T00:00:00"/>
    <s v="ITC MIDWEST"/>
    <s v="Dubuque"/>
    <m/>
    <m/>
    <s v="IA"/>
    <s v="DPP-2022"/>
    <s v="West"/>
    <s v="Phase 1"/>
    <s v="NRIS"/>
    <s v="Salem - Hickory Creek 345 kV line"/>
    <n v="160"/>
    <n v="160"/>
    <x v="3"/>
    <s v="Piston (Engine), Internal Combustion (Diesel)"/>
    <s v="Not Started"/>
    <m/>
    <n v="160"/>
    <n v="160"/>
    <n v="0"/>
    <n v="0"/>
  </r>
  <r>
    <s v="J2947"/>
    <x v="2"/>
    <d v="2022-09-15T00:00:00"/>
    <m/>
    <m/>
    <d v="2026-04-01T00:00:00"/>
    <s v="AMERICAN TRANSMISSION COMPANY"/>
    <s v="Rock"/>
    <m/>
    <m/>
    <s v="WI"/>
    <s v="DPP-2022"/>
    <s v="East (ATC)"/>
    <s v="Phase 1"/>
    <s v="NRIS"/>
    <s v="Rock River 138 kV Substations 1 (6 RICE) and 2 (5 RICE)"/>
    <n v="205"/>
    <n v="205"/>
    <x v="3"/>
    <s v="Piston (Engine), Internal Combustion (Diesel)"/>
    <s v="Not Started"/>
    <m/>
    <n v="205"/>
    <n v="205"/>
    <n v="0"/>
    <n v="0"/>
  </r>
  <r>
    <s v="J2948"/>
    <x v="2"/>
    <d v="2022-09-15T00:00:00"/>
    <m/>
    <m/>
    <d v="2024-09-01T00:00:00"/>
    <s v="ITC MIDWEST"/>
    <s v="Marshall"/>
    <m/>
    <m/>
    <s v="IA"/>
    <s v="DPP-2022"/>
    <s v="West"/>
    <s v="Phase 1"/>
    <s v="NRIS"/>
    <s v="Marshalltown"/>
    <n v="75"/>
    <n v="75"/>
    <x v="3"/>
    <s v="Combined Cycle"/>
    <s v="Not Started"/>
    <m/>
    <n v="75"/>
    <n v="75"/>
    <n v="0"/>
    <n v="0"/>
  </r>
  <r>
    <s v="J2949"/>
    <x v="2"/>
    <d v="2022-09-14T00:00:00"/>
    <m/>
    <m/>
    <d v="2027-06-30T00:00:00"/>
    <s v="ITC MIDWEST"/>
    <s v="Marshall"/>
    <m/>
    <m/>
    <s v="IA"/>
    <s v="DPP-2022"/>
    <s v="West"/>
    <s v="Phase 1"/>
    <s v="NRIS"/>
    <s v="Marshalltown 161 kV Substation"/>
    <n v="100"/>
    <n v="100"/>
    <x v="2"/>
    <s v="Battery Storage"/>
    <s v="Not Started"/>
    <m/>
    <n v="100"/>
    <n v="100"/>
    <n v="0"/>
    <n v="0"/>
  </r>
  <r>
    <s v="J2950"/>
    <x v="1"/>
    <d v="2022-09-15T00:00:00"/>
    <d v="2025-10-27T00:00:00"/>
    <m/>
    <d v="2018-09-15T00:00:00"/>
    <s v="MIDAMERICAN ENERGY CO."/>
    <s v="Clay"/>
    <m/>
    <m/>
    <s v="IA"/>
    <s v="DPP-2022"/>
    <s v="West"/>
    <s v="Phase 1"/>
    <s v="NRIS-Only"/>
    <s v="Clay County"/>
    <n v="299.3"/>
    <n v="299.3"/>
    <x v="1"/>
    <s v="Wind Turbine"/>
    <s v="Not Started"/>
    <m/>
    <n v="0"/>
    <n v="0"/>
    <n v="0"/>
    <n v="0"/>
  </r>
  <r>
    <s v="J2951"/>
    <x v="2"/>
    <d v="2022-09-05T00:00:00"/>
    <m/>
    <m/>
    <d v="2024-06-01T00:00:00"/>
    <s v="ITC MIDWEST"/>
    <s v="Union"/>
    <m/>
    <m/>
    <s v="IA"/>
    <s v="DPP-2022"/>
    <s v="West"/>
    <s v="Phase 1"/>
    <s v="NRIS-Only"/>
    <s v="Creston Roadhouse"/>
    <n v="50"/>
    <n v="50"/>
    <x v="0"/>
    <s v="Solar/Battery"/>
    <s v="Not Started"/>
    <m/>
    <n v="0"/>
    <n v="50"/>
    <n v="0"/>
    <n v="0"/>
  </r>
  <r>
    <s v="J2952"/>
    <x v="2"/>
    <d v="2022-09-14T00:00:00"/>
    <m/>
    <m/>
    <d v="2026-09-30T00:00:00"/>
    <s v="ENTERGY TEXAS, INC. ETTO"/>
    <s v="Chambers"/>
    <m/>
    <m/>
    <s v="TX"/>
    <s v="DPP-2022"/>
    <s v="South"/>
    <s v="Phase 1"/>
    <s v="NRIS"/>
    <s v="Crooked Bayou to Stowell 138 kV Line"/>
    <n v="100"/>
    <n v="100"/>
    <x v="0"/>
    <s v="Photovoltaic"/>
    <s v="Not Started"/>
    <m/>
    <n v="100"/>
    <n v="100"/>
    <n v="0"/>
    <n v="0"/>
  </r>
  <r>
    <s v="J2953"/>
    <x v="1"/>
    <d v="2022-09-14T00:00:00"/>
    <d v="2025-07-31T00:00:00"/>
    <m/>
    <d v="2026-09-30T00:00:00"/>
    <s v="ENTERGY TEXAS, INC."/>
    <s v="Orange"/>
    <m/>
    <m/>
    <s v="TX"/>
    <s v="DPP-2022"/>
    <s v="South"/>
    <s v="Phase 1"/>
    <s v="NRIS"/>
    <s v="CHISHOLM RD - SABINE 230 kV"/>
    <n v="400"/>
    <n v="400"/>
    <x v="5"/>
    <s v="Solar/Battery"/>
    <s v="Not Started"/>
    <m/>
    <n v="0"/>
    <n v="0"/>
    <n v="0"/>
    <n v="0"/>
  </r>
  <r>
    <s v="J2954"/>
    <x v="2"/>
    <d v="2022-09-14T00:00:00"/>
    <m/>
    <m/>
    <d v="2026-09-30T00:00:00"/>
    <s v="ENTERGY ARKANSAS, LLC EATO"/>
    <s v="Clay"/>
    <m/>
    <m/>
    <s v="AR"/>
    <s v="DPP-2022"/>
    <s v="South"/>
    <s v="Phase 1"/>
    <s v="NRIS"/>
    <s v="AECC CORNING NORTH √É¬¢?? DATTO 161 KV"/>
    <n v="100"/>
    <n v="100"/>
    <x v="0"/>
    <s v="Photovoltaic"/>
    <s v="Not Started"/>
    <m/>
    <n v="100"/>
    <n v="100"/>
    <n v="0"/>
    <n v="0"/>
  </r>
  <r>
    <s v="J2955"/>
    <x v="2"/>
    <d v="2023-11-07T00:00:00"/>
    <m/>
    <m/>
    <d v="2026-09-30T00:00:00"/>
    <s v="ENTERGY ARKANSAS, LLC EATO"/>
    <s v="Saline"/>
    <m/>
    <m/>
    <s v="AR"/>
    <s v="DPP-2022"/>
    <s v="South"/>
    <s v="Phase 1"/>
    <s v="NRIS"/>
    <s v="WRIGHTSVILLE √É¬¢?? WHITE BLUFF EHV 115 KV"/>
    <n v="150"/>
    <n v="150"/>
    <x v="0"/>
    <s v="Photovoltaic"/>
    <s v="Not Started"/>
    <m/>
    <n v="150"/>
    <n v="150"/>
    <n v="0"/>
    <n v="0"/>
  </r>
  <r>
    <s v="J2956"/>
    <x v="2"/>
    <d v="2022-09-15T00:00:00"/>
    <m/>
    <m/>
    <d v="2027-03-01T00:00:00"/>
    <m/>
    <s v="Morehouse"/>
    <m/>
    <m/>
    <s v="LA"/>
    <s v="DPP-2022"/>
    <s v="South"/>
    <s v="Phase 1"/>
    <s v="NRIS"/>
    <s v="Galion 115 kV Substation"/>
    <n v="100"/>
    <n v="100"/>
    <x v="5"/>
    <s v="Solar/Battery"/>
    <s v="Not Started"/>
    <m/>
    <n v="100"/>
    <n v="100"/>
    <n v="0"/>
    <n v="0"/>
  </r>
  <r>
    <s v="J2957"/>
    <x v="2"/>
    <d v="2022-09-15T00:00:00"/>
    <m/>
    <m/>
    <d v="2027-01-01T00:00:00"/>
    <s v="ENTERGY MISSISSIPPI, LLC. EMTO"/>
    <s v="Panola"/>
    <m/>
    <m/>
    <s v="MS"/>
    <s v="DPP-2022"/>
    <s v="South"/>
    <s v="Phase 1"/>
    <s v="NRIS"/>
    <s v="Como - Crenshaw 115 kV Line"/>
    <n v="100"/>
    <n v="100"/>
    <x v="5"/>
    <s v="Solar/Battery"/>
    <s v="Not Started"/>
    <m/>
    <n v="100"/>
    <n v="100"/>
    <n v="0"/>
    <n v="0"/>
  </r>
  <r>
    <s v="J2958"/>
    <x v="1"/>
    <d v="2022-09-15T00:00:00"/>
    <d v="2025-07-31T00:00:00"/>
    <m/>
    <d v="2027-06-01T00:00:00"/>
    <s v="ENTERGY LOUISIANA, LLC"/>
    <s v="Claiborne"/>
    <m/>
    <m/>
    <s v="LA"/>
    <s v="DPP-2022"/>
    <s v="South"/>
    <s v="Phase 1"/>
    <s v="NRIS"/>
    <s v="Haynesville South 115kV Substation"/>
    <n v="100"/>
    <n v="100"/>
    <x v="5"/>
    <s v="Solar/Battery"/>
    <s v="Not Started"/>
    <m/>
    <n v="0"/>
    <n v="0"/>
    <n v="0"/>
    <n v="0"/>
  </r>
  <r>
    <s v="J2959"/>
    <x v="1"/>
    <d v="2022-09-15T00:00:00"/>
    <d v="2025-10-27T00:00:00"/>
    <m/>
    <d v="2027-06-01T00:00:00"/>
    <s v="NORTHERN INDIANA PUBLIC SERVICE COMPANY LLC"/>
    <s v="Starke"/>
    <m/>
    <m/>
    <s v="IN"/>
    <s v="DPP-2022"/>
    <s v="Central"/>
    <s v="Phase 2"/>
    <s v="NRIS"/>
    <s v="Rollin Schahfer (17SCHAHFER  255110) 345 kV"/>
    <n v="200"/>
    <n v="200"/>
    <x v="5"/>
    <s v="Solar/Battery"/>
    <s v="Not Started"/>
    <m/>
    <n v="0"/>
    <n v="0"/>
    <n v="0"/>
    <n v="0"/>
  </r>
  <r>
    <s v="J2960"/>
    <x v="1"/>
    <d v="2022-09-15T00:00:00"/>
    <d v="2025-10-27T00:00:00"/>
    <m/>
    <d v="2027-01-01T00:00:00"/>
    <s v="SOUTHERN INDIANA GAS &amp; ELECTRIC COMPANY D/B/A CENTERPOINT ENERGY INDIANA SOUTH"/>
    <s v="Spencer"/>
    <m/>
    <m/>
    <s v="IN"/>
    <s v="DPP-2022"/>
    <s v="Central"/>
    <s v="Phase 2"/>
    <s v="NRIS"/>
    <s v="10CULY13 253500 (F.B. Culley ) - 10AEP_T  353586 (tap between Culley (10CULY13 253500) - Grandview ("/>
    <n v="150"/>
    <n v="150"/>
    <x v="5"/>
    <s v="Solar/Battery"/>
    <s v="Not Started"/>
    <m/>
    <n v="0"/>
    <n v="0"/>
    <n v="0"/>
    <n v="0"/>
  </r>
  <r>
    <s v="J2961"/>
    <x v="1"/>
    <d v="2022-09-15T00:00:00"/>
    <d v="2025-10-27T00:00:00"/>
    <m/>
    <d v="2027-06-01T00:00:00"/>
    <s v="DUKE ENERGY INDIANA, LLC"/>
    <s v="Daviess"/>
    <m/>
    <m/>
    <s v="IN"/>
    <s v="DPP-2022"/>
    <s v="Central"/>
    <s v="Phase 2"/>
    <s v="NRIS"/>
    <s v="Edwardsport Station (08EDWRDS  249722) - Whitefield (08WHTFLD  249876) 138 kV"/>
    <n v="100"/>
    <n v="100"/>
    <x v="5"/>
    <s v="Solar/Battery"/>
    <s v="Not Started"/>
    <m/>
    <n v="0"/>
    <n v="0"/>
    <n v="0"/>
    <n v="0"/>
  </r>
  <r>
    <s v="J2962"/>
    <x v="1"/>
    <d v="2022-09-15T00:00:00"/>
    <d v="2025-10-27T00:00:00"/>
    <m/>
    <d v="2026-12-01T00:00:00"/>
    <s v="Southern Illinois Power Cooperative"/>
    <s v="Hamilton"/>
    <m/>
    <m/>
    <s v="IL"/>
    <s v="DPP-2022"/>
    <s v="Central"/>
    <s v="Phase 2"/>
    <s v="NRIS"/>
    <s v="Akin - Hamilton 138 kV"/>
    <n v="150"/>
    <n v="150"/>
    <x v="5"/>
    <s v="Solar/Battery"/>
    <s v="Not Started"/>
    <m/>
    <n v="0"/>
    <n v="0"/>
    <n v="0"/>
    <n v="0"/>
  </r>
  <r>
    <s v="J2963"/>
    <x v="2"/>
    <d v="2022-09-14T00:00:00"/>
    <m/>
    <m/>
    <d v="2025-10-01T00:00:00"/>
    <m/>
    <s v="Mason"/>
    <m/>
    <m/>
    <s v="IL"/>
    <s v="DPP-2022"/>
    <s v="Central"/>
    <s v="Phase 2"/>
    <s v="NRIS"/>
    <s v="Puro"/>
    <n v="200"/>
    <n v="200"/>
    <x v="1"/>
    <s v="Wind Turbine"/>
    <s v="Not Started"/>
    <m/>
    <n v="200"/>
    <n v="200"/>
    <n v="0"/>
    <n v="0"/>
  </r>
  <r>
    <s v="J2964"/>
    <x v="1"/>
    <d v="2022-09-15T00:00:00"/>
    <d v="2025-07-31T00:00:00"/>
    <m/>
    <d v="2025-10-01T00:00:00"/>
    <s v="ENTERGY MISSISSIPPI, LLC."/>
    <s v="Tallahatchie"/>
    <m/>
    <m/>
    <s v="MS"/>
    <s v="DPP-2022"/>
    <s v="South"/>
    <s v="Phase 1"/>
    <s v="NRIS"/>
    <s v="Webb 115 kV"/>
    <n v="220"/>
    <n v="220"/>
    <x v="1"/>
    <s v="Wind Turbine"/>
    <s v="Not Started"/>
    <m/>
    <n v="0"/>
    <n v="0"/>
    <n v="0"/>
    <n v="0"/>
  </r>
  <r>
    <s v="J2965"/>
    <x v="2"/>
    <d v="2022-09-15T00:00:00"/>
    <m/>
    <m/>
    <d v="2025-10-01T00:00:00"/>
    <s v="ENTERGY LOUISIANA, LLC ELTO"/>
    <s v="Morehouse"/>
    <m/>
    <m/>
    <s v="LA"/>
    <s v="DPP-2022"/>
    <s v="South"/>
    <s v="Phase 1"/>
    <s v="NRIS"/>
    <s v="OAK GROVE 115 SUB"/>
    <n v="180"/>
    <n v="180"/>
    <x v="1"/>
    <s v="Wind Turbine"/>
    <s v="Not Started"/>
    <m/>
    <n v="180"/>
    <n v="180"/>
    <n v="0"/>
    <n v="0"/>
  </r>
  <r>
    <s v="J2966"/>
    <x v="2"/>
    <d v="2022-09-08T00:00:00"/>
    <m/>
    <m/>
    <d v="2025-10-15T00:00:00"/>
    <s v="ENTERGY MISSISSIPPI, LLC. EMTO"/>
    <s v="Quitman"/>
    <m/>
    <m/>
    <s v="MS"/>
    <s v="DPP-2022"/>
    <s v="South"/>
    <s v="Phase 1"/>
    <s v="NRIS"/>
    <s v="Batesville to Moon Lake ss 230kV Line"/>
    <n v="450"/>
    <n v="450"/>
    <x v="0"/>
    <s v="Photovoltaic"/>
    <s v="Not Started"/>
    <m/>
    <n v="450"/>
    <n v="0"/>
    <n v="0"/>
    <n v="0"/>
  </r>
  <r>
    <s v="J2967"/>
    <x v="2"/>
    <d v="2022-09-09T00:00:00"/>
    <m/>
    <m/>
    <d v="2025-10-15T00:00:00"/>
    <m/>
    <s v="Jefferson Davis"/>
    <m/>
    <m/>
    <s v="LA"/>
    <s v="DPP-2022"/>
    <s v="South"/>
    <s v="Phase 1"/>
    <s v="NRIS"/>
    <s v="Lowe Grout Rd to Jennings 138kV Line"/>
    <n v="200"/>
    <n v="200"/>
    <x v="0"/>
    <s v="Photovoltaic"/>
    <s v="Not Started"/>
    <m/>
    <n v="200"/>
    <n v="0"/>
    <n v="0"/>
    <n v="0"/>
  </r>
  <r>
    <s v="J2968"/>
    <x v="1"/>
    <d v="2022-09-12T00:00:00"/>
    <d v="2025-07-31T00:00:00"/>
    <m/>
    <d v="2023-09-01T00:00:00"/>
    <s v="ENTERGY LOUISIANA, LLC"/>
    <s v="Jefferson Davis"/>
    <m/>
    <m/>
    <s v="LA"/>
    <s v="DPP-2022"/>
    <s v="South"/>
    <s v="Phase 1"/>
    <s v="NRIS-Only"/>
    <s v="LC Bulk to Henning 138kV Line (Circuit 28)"/>
    <n v="165"/>
    <n v="165"/>
    <x v="0"/>
    <s v="Photovoltaic"/>
    <s v="Not Started"/>
    <m/>
    <n v="0"/>
    <n v="0"/>
    <n v="0"/>
    <n v="0"/>
  </r>
  <r>
    <s v="J2969"/>
    <x v="2"/>
    <d v="2022-09-12T00:00:00"/>
    <m/>
    <m/>
    <d v="2002-11-01T00:00:00"/>
    <s v="MICHIGAN PUBLIC POWER AGENCY MPPA"/>
    <s v="Kalkaska"/>
    <m/>
    <m/>
    <s v="MI"/>
    <s v="DPP-2022"/>
    <s v="East (ITC)"/>
    <s v="Phase 1"/>
    <s v="NRIS"/>
    <s v="Kalkaska Gen"/>
    <n v="13.4"/>
    <n v="13.4"/>
    <x v="3"/>
    <s v="Combustion Turbine (Simple Cycle)"/>
    <s v="Not Started"/>
    <m/>
    <n v="13.4"/>
    <n v="13.4"/>
    <n v="0"/>
    <n v="0"/>
  </r>
  <r>
    <s v="J2970"/>
    <x v="4"/>
    <d v="2022-09-15T00:00:00"/>
    <m/>
    <m/>
    <d v="2026-08-15T00:00:00"/>
    <s v="SOUTHERN INDIANA GAS &amp; ELECTRIC COMPANY D/B/A CENTERPOINT ENERGY INDIANA SOUTH"/>
    <s v="Posey"/>
    <m/>
    <m/>
    <s v="IN"/>
    <s v="DPP-2022"/>
    <s v="Central"/>
    <s v="Phase 2"/>
    <s v="NRIS"/>
    <s v="AB Brown 345 - Gibson (Duke Terminal) 345.0kV"/>
    <n v="250"/>
    <n v="250"/>
    <x v="0"/>
    <s v="Photovoltaic"/>
    <s v="Not Started"/>
    <m/>
    <n v="250"/>
    <n v="250"/>
    <n v="0"/>
    <n v="0"/>
  </r>
  <r>
    <s v="J2971"/>
    <x v="1"/>
    <d v="2022-09-15T00:00:00"/>
    <d v="2023-03-24T00:00:00"/>
    <m/>
    <d v="2026-08-15T00:00:00"/>
    <s v="COOPERATIVE ENERGY"/>
    <s v="Covington"/>
    <m/>
    <m/>
    <s v="MS"/>
    <s v="DPP-2022"/>
    <s v="South"/>
    <s v="Phase 1"/>
    <s v="NRIS"/>
    <s v="Southwest Lone Star 161 kV - Mississippi Hub 161 kV"/>
    <n v="280"/>
    <n v="280"/>
    <x v="0"/>
    <s v="Photovoltaic"/>
    <s v="Not Started"/>
    <m/>
    <n v="0"/>
    <n v="0"/>
    <n v="0"/>
    <n v="0"/>
  </r>
  <r>
    <s v="J2972"/>
    <x v="2"/>
    <d v="2022-09-15T00:00:00"/>
    <m/>
    <m/>
    <d v="2026-08-15T00:00:00"/>
    <s v="AMEREN ILLINOIS"/>
    <s v="Adams"/>
    <m/>
    <m/>
    <s v="IL"/>
    <s v="DPP-2022"/>
    <s v="Central"/>
    <s v="Phase 2"/>
    <s v="NRIS"/>
    <s v="4HULL     - 4HERLEMAN 138.0kV"/>
    <n v="140"/>
    <n v="140"/>
    <x v="0"/>
    <s v="Photovoltaic"/>
    <s v="Not Started"/>
    <m/>
    <n v="140"/>
    <n v="140"/>
    <n v="0"/>
    <n v="0"/>
  </r>
  <r>
    <s v="J2973"/>
    <x v="2"/>
    <d v="2022-09-15T00:00:00"/>
    <m/>
    <m/>
    <d v="2026-08-15T00:00:00"/>
    <s v="AMEREN TRANSMISSION COMPANY OF ILLINOIS"/>
    <s v="Christian"/>
    <m/>
    <m/>
    <s v="IL"/>
    <s v="DPP-2022"/>
    <s v="Central"/>
    <s v="Phase 2"/>
    <s v="NRIS"/>
    <s v="7FARADAY - 7PANA 345.0kV"/>
    <n v="250"/>
    <n v="250"/>
    <x v="0"/>
    <s v="Photovoltaic"/>
    <s v="Not Started"/>
    <m/>
    <n v="250"/>
    <n v="250"/>
    <n v="0"/>
    <n v="0"/>
  </r>
  <r>
    <s v="J2974"/>
    <x v="2"/>
    <d v="2022-09-15T00:00:00"/>
    <m/>
    <m/>
    <d v="2026-08-15T00:00:00"/>
    <s v="AMEREN ILLINOIS"/>
    <s v="Adams"/>
    <m/>
    <m/>
    <s v="IL"/>
    <s v="DPP-2022"/>
    <s v="Central"/>
    <s v="Phase 2"/>
    <s v="NRIS"/>
    <s v="4HULL     - 4HERLEMAN 138.0kV"/>
    <n v="50"/>
    <n v="50"/>
    <x v="2"/>
    <s v="Battery Storage"/>
    <s v="Not Started"/>
    <m/>
    <n v="50"/>
    <n v="50"/>
    <n v="0"/>
    <n v="0"/>
  </r>
  <r>
    <s v="J2975"/>
    <x v="1"/>
    <d v="2022-09-15T00:00:00"/>
    <d v="2025-07-31T00:00:00"/>
    <m/>
    <d v="2025-05-31T00:00:00"/>
    <s v="ENTERGY TEXAS, INC."/>
    <s v="Jefferson"/>
    <m/>
    <m/>
    <s v="TX"/>
    <s v="DPP-2022"/>
    <s v="South"/>
    <s v="Phase 1"/>
    <s v="NRIS"/>
    <s v="Bevil Substation 230 kV"/>
    <n v="44.1"/>
    <n v="44.1"/>
    <x v="5"/>
    <s v="Solar/Battery"/>
    <s v="Not Started"/>
    <m/>
    <n v="0"/>
    <n v="0"/>
    <n v="0"/>
    <n v="0"/>
  </r>
  <r>
    <s v="J2976"/>
    <x v="1"/>
    <d v="2022-09-15T00:00:00"/>
    <d v="2025-07-31T00:00:00"/>
    <m/>
    <d v="2025-05-31T00:00:00"/>
    <s v="EAST TEXAS ELECTRIC COOPERATIVE, INC."/>
    <s v="Jasper"/>
    <m/>
    <m/>
    <s v="TX"/>
    <s v="DPP-2022"/>
    <s v="South"/>
    <s v="Phase 1"/>
    <s v="NRIS"/>
    <s v="Mill Creek SW Station 138 kV"/>
    <n v="50"/>
    <n v="50"/>
    <x v="5"/>
    <s v="Solar/Battery"/>
    <s v="Not Started"/>
    <m/>
    <n v="0"/>
    <n v="0"/>
    <n v="0"/>
    <n v="0"/>
  </r>
  <r>
    <s v="J2977"/>
    <x v="1"/>
    <d v="2022-09-13T00:00:00"/>
    <d v="2023-03-24T00:00:00"/>
    <m/>
    <d v="2027-08-31T00:00:00"/>
    <s v="ENTERGY ARKANSAS, LLC"/>
    <s v="Bradley"/>
    <m/>
    <m/>
    <s v="AR"/>
    <s v="DPP-2022"/>
    <s v="South"/>
    <s v="Phase 1"/>
    <s v="NRIS"/>
    <s v="AECC Hermitage south- Hilo 115Kv"/>
    <n v="150"/>
    <n v="150"/>
    <x v="0"/>
    <s v="Photovoltaic"/>
    <s v="Not Started"/>
    <m/>
    <n v="0"/>
    <n v="0"/>
    <n v="0"/>
    <n v="0"/>
  </r>
  <r>
    <s v="J2978"/>
    <x v="1"/>
    <d v="2022-09-13T00:00:00"/>
    <d v="2023-03-25T00:00:00"/>
    <m/>
    <d v="2026-10-31T00:00:00"/>
    <s v="ENTERGY ARKANSAS, LLC"/>
    <s v="Crittenden"/>
    <m/>
    <m/>
    <s v="AR"/>
    <s v="DPP-2022"/>
    <s v="South"/>
    <s v="Phase 1"/>
    <s v="NRIS"/>
    <s v="West Memphis EHV to Keo 500 kV"/>
    <n v="100"/>
    <n v="100"/>
    <x v="2"/>
    <s v="Battery Storage"/>
    <s v="Not Started"/>
    <m/>
    <n v="0"/>
    <n v="0"/>
    <n v="0"/>
    <n v="0"/>
  </r>
  <r>
    <s v="J2979"/>
    <x v="1"/>
    <d v="2022-09-13T00:00:00"/>
    <d v="2025-10-27T00:00:00"/>
    <m/>
    <d v="2023-09-30T00:00:00"/>
    <s v="AMEREN ILLINOIS"/>
    <s v="Mason"/>
    <m/>
    <m/>
    <s v="IL"/>
    <s v="DPP-2022"/>
    <s v="Central"/>
    <s v="Phase 2"/>
    <s v="NRIS"/>
    <s v="Mason City West 69 kV Substation"/>
    <n v="50"/>
    <n v="50"/>
    <x v="0"/>
    <s v="Photovoltaic"/>
    <s v="Not Started"/>
    <m/>
    <n v="0"/>
    <n v="0"/>
    <n v="0"/>
    <n v="0"/>
  </r>
  <r>
    <s v="J2980"/>
    <x v="1"/>
    <d v="2022-09-14T00:00:00"/>
    <d v="2025-07-31T00:00:00"/>
    <m/>
    <d v="2023-10-02T00:00:00"/>
    <s v="COOPERATIVE ENERGY"/>
    <s v="Perry"/>
    <m/>
    <m/>
    <s v="MS"/>
    <s v="DPP-2022"/>
    <s v="South"/>
    <s v="Phase 1"/>
    <s v="NRIS"/>
    <s v="Hintonville 161/69 kV Substation"/>
    <n v="100"/>
    <n v="100"/>
    <x v="0"/>
    <s v="Photovoltaic"/>
    <s v="Not Started"/>
    <m/>
    <n v="0"/>
    <n v="0"/>
    <n v="0"/>
    <n v="0"/>
  </r>
  <r>
    <s v="J2981"/>
    <x v="1"/>
    <d v="2022-09-14T00:00:00"/>
    <d v="2025-10-27T00:00:00"/>
    <m/>
    <d v="2023-09-30T00:00:00"/>
    <s v="AMEREN MISSOURI"/>
    <s v="Audrain"/>
    <m/>
    <m/>
    <s v="MO"/>
    <s v="DPP-2022"/>
    <s v="Central"/>
    <s v="Phase 2"/>
    <s v="NRIS"/>
    <s v="Ameren Centralia 69 kV Substation"/>
    <n v="30"/>
    <n v="30"/>
    <x v="0"/>
    <s v="Photovoltaic"/>
    <s v="Not Started"/>
    <m/>
    <n v="0"/>
    <n v="0"/>
    <n v="0"/>
    <n v="0"/>
  </r>
  <r>
    <s v="J2982"/>
    <x v="2"/>
    <d v="2022-09-14T00:00:00"/>
    <m/>
    <m/>
    <d v="2023-09-30T00:00:00"/>
    <m/>
    <s v="Warren"/>
    <m/>
    <m/>
    <s v="IL"/>
    <s v="DPP-2022"/>
    <s v="Central"/>
    <s v="Phase 2"/>
    <s v="NRIS"/>
    <s v="Line 6629 Monmouth 69 kV Switching Station"/>
    <n v="35"/>
    <n v="35"/>
    <x v="0"/>
    <s v="Photovoltaic"/>
    <s v="Not Started"/>
    <m/>
    <n v="35"/>
    <n v="35"/>
    <n v="0"/>
    <n v="0"/>
  </r>
  <r>
    <s v="J2983"/>
    <x v="2"/>
    <d v="2022-09-15T00:00:00"/>
    <m/>
    <m/>
    <d v="2025-09-15T00:00:00"/>
    <s v="ENTERGY ARKANSAS, LLC EATO"/>
    <s v="Grant"/>
    <m/>
    <m/>
    <s v="AR"/>
    <s v="DPP-2022"/>
    <s v="South"/>
    <s v="Phase 1"/>
    <s v="ERIS"/>
    <s v="WOODWARD 115 SUB - AECC GRAPEVINE 115.0kV"/>
    <n v="140"/>
    <n v="140"/>
    <x v="0"/>
    <s v="Photovoltaic"/>
    <s v="Not Started"/>
    <m/>
    <n v="140"/>
    <n v="0"/>
    <n v="0"/>
    <n v="0"/>
  </r>
  <r>
    <s v="J2984"/>
    <x v="1"/>
    <d v="2022-09-15T00:00:00"/>
    <d v="2025-07-31T00:00:00"/>
    <m/>
    <d v="2025-09-15T00:00:00"/>
    <s v="ENTERGY ARKANSAS, LLC"/>
    <s v="Clay"/>
    <m/>
    <m/>
    <s v="AR"/>
    <s v="DPP-2022"/>
    <s v="South"/>
    <s v="Phase 1"/>
    <s v="NRIS"/>
    <s v="Corning North to Datto 161kV Line"/>
    <n v="150"/>
    <n v="150"/>
    <x v="0"/>
    <s v="Photovoltaic"/>
    <s v="Not Started"/>
    <m/>
    <n v="0"/>
    <n v="0"/>
    <n v="0"/>
    <n v="0"/>
  </r>
  <r>
    <s v="J2985"/>
    <x v="2"/>
    <d v="2022-09-15T00:00:00"/>
    <m/>
    <m/>
    <d v="2025-09-15T00:00:00"/>
    <m/>
    <s v="Chicot"/>
    <m/>
    <m/>
    <s v="AR"/>
    <s v="DPP-2022"/>
    <s v="South"/>
    <s v="Phase 1"/>
    <s v="ERIS"/>
    <s v="AECC CHICOT - EUDORA 115.0kV"/>
    <n v="135"/>
    <n v="135"/>
    <x v="0"/>
    <s v="Photovoltaic"/>
    <s v="Not Started"/>
    <m/>
    <n v="135"/>
    <n v="0"/>
    <n v="0"/>
    <n v="0"/>
  </r>
  <r>
    <s v="J2986"/>
    <x v="2"/>
    <d v="2022-09-15T00:00:00"/>
    <m/>
    <m/>
    <d v="2025-09-15T00:00:00"/>
    <m/>
    <s v="Arkansas"/>
    <m/>
    <m/>
    <s v="AR"/>
    <s v="DPP-2022"/>
    <s v="South"/>
    <s v="Phase 1"/>
    <s v="ERIS"/>
    <s v="AECC DELUCE - GILLETT 115.0kV"/>
    <n v="80"/>
    <n v="80"/>
    <x v="0"/>
    <s v="Photovoltaic"/>
    <s v="Not Started"/>
    <m/>
    <n v="80"/>
    <n v="0"/>
    <n v="0"/>
    <n v="0"/>
  </r>
  <r>
    <s v="J2987"/>
    <x v="2"/>
    <d v="2022-09-14T00:00:00"/>
    <m/>
    <m/>
    <d v="2025-09-15T00:00:00"/>
    <s v="HOOSIER ENERGY"/>
    <s v="Greene"/>
    <m/>
    <m/>
    <s v="IN"/>
    <s v="DPP-2022"/>
    <s v="Central"/>
    <s v="Phase 2"/>
    <s v="ERIS"/>
    <s v="Merom Primary - Worthington Primary 345.0kV"/>
    <n v="200"/>
    <n v="200"/>
    <x v="0"/>
    <s v="Photovoltaic"/>
    <s v="Not Started"/>
    <m/>
    <n v="200"/>
    <n v="0"/>
    <n v="0"/>
    <n v="0"/>
  </r>
  <r>
    <s v="J2988"/>
    <x v="2"/>
    <d v="2022-09-14T00:00:00"/>
    <m/>
    <m/>
    <d v="2025-03-15T00:00:00"/>
    <s v="MIDAMERICAN ENERGY CO. MEC"/>
    <s v="Humboldt"/>
    <m/>
    <m/>
    <s v="IA"/>
    <s v="DPP-2022"/>
    <s v="West"/>
    <s v="Phase 1"/>
    <s v="NRIS"/>
    <s v="J2256 POI - Irvington 345kV line"/>
    <n v="175"/>
    <n v="175"/>
    <x v="1"/>
    <s v="Wind Turbine"/>
    <s v="Not Started"/>
    <m/>
    <n v="175"/>
    <n v="175"/>
    <n v="0"/>
    <n v="0"/>
  </r>
  <r>
    <s v="J2989"/>
    <x v="2"/>
    <d v="2022-09-14T00:00:00"/>
    <m/>
    <m/>
    <d v="2025-06-15T00:00:00"/>
    <s v="MIDAMERICAN ENERGY CO. MEC"/>
    <s v="Hardin"/>
    <m/>
    <m/>
    <s v="IA"/>
    <s v="DPP-2022"/>
    <s v="West"/>
    <s v="Phase 1"/>
    <s v="NRIS"/>
    <s v="Blackhawk (MEC)- Quinn 345 KV"/>
    <n v="200"/>
    <n v="200"/>
    <x v="1"/>
    <s v="Wind Turbine"/>
    <s v="Not Started"/>
    <m/>
    <n v="200"/>
    <n v="200"/>
    <n v="0"/>
    <n v="0"/>
  </r>
  <r>
    <s v="J2990"/>
    <x v="2"/>
    <d v="2022-09-14T00:00:00"/>
    <m/>
    <m/>
    <d v="2025-06-15T00:00:00"/>
    <s v="MIDAMERICAN ENERGY CO. MEC"/>
    <s v="Pottawattamie"/>
    <m/>
    <m/>
    <s v="IA"/>
    <s v="DPP-2022"/>
    <s v="West"/>
    <s v="Phase 1"/>
    <s v="NRIS"/>
    <s v="Overland - J1859 POI 345kV Line Tap"/>
    <n v="200"/>
    <n v="200"/>
    <x v="1"/>
    <s v="Wind Turbine"/>
    <s v="Not Started"/>
    <m/>
    <n v="200"/>
    <n v="200"/>
    <n v="0"/>
    <n v="0"/>
  </r>
  <r>
    <s v="J2991"/>
    <x v="2"/>
    <d v="2022-09-14T00:00:00"/>
    <m/>
    <m/>
    <d v="2025-09-15T00:00:00"/>
    <s v="ITC"/>
    <s v="Wayne"/>
    <m/>
    <m/>
    <s v="MI"/>
    <s v="DPP-2022"/>
    <s v="East (ITC)"/>
    <s v="Phase 1"/>
    <s v="NRIS"/>
    <s v="Dayton 120kV Substation"/>
    <n v="200"/>
    <n v="200"/>
    <x v="2"/>
    <s v="Battery Storage"/>
    <s v="Not Started"/>
    <m/>
    <n v="200"/>
    <n v="200"/>
    <n v="0"/>
    <n v="0"/>
  </r>
  <r>
    <s v="J2992"/>
    <x v="1"/>
    <d v="2022-09-15T00:00:00"/>
    <d v="2025-07-31T00:00:00"/>
    <m/>
    <d v="2025-09-15T00:00:00"/>
    <s v="COOPERATIVE ENERGY"/>
    <s v="Perry"/>
    <m/>
    <m/>
    <s v="MS"/>
    <s v="DPP-2022"/>
    <s v="South"/>
    <s v="Phase 1"/>
    <s v="NRIS"/>
    <s v="Hintonville 161kV Substation"/>
    <n v="160"/>
    <n v="160"/>
    <x v="2"/>
    <s v="Battery Storage"/>
    <s v="Not Started"/>
    <m/>
    <n v="0"/>
    <n v="0"/>
    <n v="0"/>
    <n v="0"/>
  </r>
  <r>
    <s v="J2993"/>
    <x v="1"/>
    <d v="2022-09-15T00:00:00"/>
    <d v="2023-03-24T00:00:00"/>
    <m/>
    <d v="2025-09-15T00:00:00"/>
    <s v="ENTERGY ARKANSAS, LLC"/>
    <s v="Grant"/>
    <m/>
    <m/>
    <s v="AR"/>
    <s v="DPP-2022"/>
    <s v="South"/>
    <s v="Phase 1"/>
    <s v="NRIS"/>
    <s v="Woodward-Grapevine 115kV line"/>
    <n v="80"/>
    <n v="80"/>
    <x v="2"/>
    <s v="Battery Storage"/>
    <s v="Not Started"/>
    <m/>
    <n v="0"/>
    <n v="0"/>
    <n v="0"/>
    <n v="0"/>
  </r>
  <r>
    <s v="J2994"/>
    <x v="1"/>
    <d v="2022-09-15T00:00:00"/>
    <d v="2023-03-24T00:00:00"/>
    <m/>
    <d v="2025-09-15T00:00:00"/>
    <s v="ARKANSAS ELECTRIC COOPERATIVE CORPORATION"/>
    <s v="Arkansas"/>
    <m/>
    <m/>
    <s v="AR"/>
    <s v="DPP-2022"/>
    <s v="South"/>
    <s v="Phase 1"/>
    <s v="NRIS"/>
    <s v="Deluce 115kV"/>
    <n v="40"/>
    <n v="40"/>
    <x v="2"/>
    <s v="Battery Storage"/>
    <s v="Not Started"/>
    <m/>
    <n v="0"/>
    <n v="0"/>
    <n v="0"/>
    <n v="0"/>
  </r>
  <r>
    <s v="J2995"/>
    <x v="1"/>
    <d v="2022-09-15T00:00:00"/>
    <d v="2023-03-24T00:00:00"/>
    <m/>
    <d v="2025-09-15T00:00:00"/>
    <s v="ENTERGY ARKANSAS, LLC"/>
    <s v="Chicot"/>
    <m/>
    <m/>
    <s v="AR"/>
    <s v="DPP-2022"/>
    <s v="South"/>
    <s v="Phase 1"/>
    <s v="NRIS"/>
    <s v="CHICOT115kV Substation"/>
    <n v="80"/>
    <n v="80"/>
    <x v="2"/>
    <s v="Battery Storage"/>
    <s v="Not Started"/>
    <m/>
    <n v="0"/>
    <n v="0"/>
    <n v="0"/>
    <n v="0"/>
  </r>
  <r>
    <s v="J2996"/>
    <x v="1"/>
    <d v="2022-09-15T00:00:00"/>
    <d v="2025-07-31T00:00:00"/>
    <m/>
    <d v="2025-09-15T00:00:00"/>
    <s v="ENTERGY ARKANSAS, LLC"/>
    <s v="Clay"/>
    <m/>
    <m/>
    <s v="AR"/>
    <s v="DPP-2022"/>
    <s v="South"/>
    <s v="Phase 1"/>
    <s v="NRIS"/>
    <s v="Corning North to Datto 161kV Line"/>
    <n v="50"/>
    <n v="50"/>
    <x v="2"/>
    <s v="Battery Storage"/>
    <s v="Not Started"/>
    <m/>
    <n v="0"/>
    <n v="0"/>
    <n v="0"/>
    <n v="0"/>
  </r>
  <r>
    <s v="J2997"/>
    <x v="2"/>
    <d v="2022-09-14T00:00:00"/>
    <m/>
    <m/>
    <d v="2025-09-15T00:00:00"/>
    <s v="ITC"/>
    <s v="Livingston"/>
    <m/>
    <m/>
    <s v="MI"/>
    <s v="DPP-2022"/>
    <s v="East (ITC)"/>
    <s v="Phase 1"/>
    <s v="NRIS"/>
    <s v="COLFAX - MADRID 120.0kV"/>
    <n v="160"/>
    <n v="160"/>
    <x v="2"/>
    <s v="Battery Storage"/>
    <s v="Not Started"/>
    <m/>
    <n v="160"/>
    <n v="160"/>
    <n v="0"/>
    <n v="0"/>
  </r>
  <r>
    <s v="J2998"/>
    <x v="2"/>
    <d v="2022-09-14T00:00:00"/>
    <m/>
    <m/>
    <d v="2025-09-15T00:00:00"/>
    <s v="AMEREN ILLINOIS"/>
    <s v="St. Clair"/>
    <m/>
    <m/>
    <s v="IL"/>
    <s v="DPP-2022"/>
    <s v="Central"/>
    <s v="Phase 2"/>
    <s v="NRIS"/>
    <s v="Fayetteville Bee Hollow Road 138kV Substation"/>
    <n v="200"/>
    <n v="200"/>
    <x v="2"/>
    <s v="Battery Storage"/>
    <s v="Not Started"/>
    <m/>
    <n v="200"/>
    <n v="200"/>
    <n v="0"/>
    <n v="0"/>
  </r>
  <r>
    <s v="J2999"/>
    <x v="2"/>
    <d v="2022-09-15T00:00:00"/>
    <m/>
    <m/>
    <d v="2025-09-15T00:00:00"/>
    <m/>
    <s v="Perry"/>
    <m/>
    <m/>
    <s v="MS"/>
    <s v="DPP-2022"/>
    <s v="South"/>
    <s v="Phase 1"/>
    <s v="NRIS"/>
    <s v="Hintonville"/>
    <n v="250"/>
    <n v="250"/>
    <x v="0"/>
    <s v="Photovoltaic"/>
    <s v="Not Started"/>
    <m/>
    <n v="250"/>
    <n v="150"/>
    <n v="0"/>
    <n v="0"/>
  </r>
  <r>
    <s v="J3000"/>
    <x v="1"/>
    <d v="2022-09-14T00:00:00"/>
    <d v="2025-10-27T00:00:00"/>
    <m/>
    <d v="2025-09-15T00:00:00"/>
    <s v="HOOSIER ENERGY"/>
    <s v="Greene"/>
    <m/>
    <m/>
    <s v="IN"/>
    <s v="DPP-2022"/>
    <s v="Central"/>
    <s v="Phase 2"/>
    <s v="NRIS"/>
    <s v="Worthington - Merom 345kV Line"/>
    <n v="80"/>
    <n v="80"/>
    <x v="2"/>
    <s v="Battery Storage"/>
    <s v="Not Started"/>
    <m/>
    <n v="0"/>
    <n v="0"/>
    <n v="0"/>
    <n v="0"/>
  </r>
  <r>
    <s v="J3001"/>
    <x v="1"/>
    <d v="2022-09-15T00:00:00"/>
    <d v="2025-07-31T00:00:00"/>
    <m/>
    <d v="2025-09-15T00:00:00"/>
    <s v="ENTERGY ARKANSAS, LLC"/>
    <s v="Pulaski"/>
    <m/>
    <m/>
    <s v="AR"/>
    <s v="DPP-2022"/>
    <s v="South"/>
    <s v="Phase 1"/>
    <s v="NRIS"/>
    <s v="J2134 POI to White Bluff 115kV Line"/>
    <n v="50"/>
    <n v="50"/>
    <x v="2"/>
    <s v="Battery Storage"/>
    <s v="Not Started"/>
    <m/>
    <n v="0"/>
    <n v="0"/>
    <n v="0"/>
    <n v="0"/>
  </r>
  <r>
    <s v="J3002"/>
    <x v="2"/>
    <d v="2022-09-15T00:00:00"/>
    <m/>
    <m/>
    <d v="2025-08-30T00:00:00"/>
    <s v="MINNESOTA POWER INC."/>
    <s v="Pine"/>
    <m/>
    <m/>
    <s v="MN"/>
    <s v="DPP-2022"/>
    <s v="West"/>
    <s v="Phase 1"/>
    <s v="NRIS"/>
    <s v="Arrowhead - Bear Creek (GRE) 230kV"/>
    <n v="288"/>
    <n v="288"/>
    <x v="5"/>
    <s v="Solar/Battery"/>
    <s v="Not Started"/>
    <m/>
    <n v="288"/>
    <n v="243.75"/>
    <n v="0"/>
    <n v="0"/>
  </r>
  <r>
    <s v="J3003"/>
    <x v="2"/>
    <d v="2022-09-15T00:00:00"/>
    <m/>
    <m/>
    <d v="2025-08-30T00:00:00"/>
    <m/>
    <s v="Mason"/>
    <m/>
    <m/>
    <s v="IL"/>
    <s v="DPP-2022"/>
    <s v="Central"/>
    <s v="Phase 2"/>
    <s v="NRIS"/>
    <s v="4HAVANA2 - 4CINCINATTI 138.0kV"/>
    <n v="180"/>
    <n v="180"/>
    <x v="5"/>
    <s v="Solar/Battery"/>
    <s v="Not Started"/>
    <m/>
    <n v="180"/>
    <n v="135"/>
    <n v="0"/>
    <n v="0"/>
  </r>
  <r>
    <s v="J3004"/>
    <x v="2"/>
    <d v="2022-09-15T00:00:00"/>
    <m/>
    <m/>
    <d v="2025-08-30T00:00:00"/>
    <m/>
    <s v="Mason"/>
    <m/>
    <m/>
    <s v="IL"/>
    <s v="DPP-2022"/>
    <s v="Central"/>
    <s v="Phase 2"/>
    <s v="NRIS"/>
    <s v="Cane"/>
    <n v="142"/>
    <n v="142"/>
    <x v="5"/>
    <s v="Solar/Battery"/>
    <s v="Not Started"/>
    <m/>
    <n v="142"/>
    <n v="127.5"/>
    <n v="0"/>
    <n v="0"/>
  </r>
  <r>
    <s v="J3005"/>
    <x v="1"/>
    <d v="2022-09-15T00:00:00"/>
    <d v="2025-10-27T00:00:00"/>
    <m/>
    <d v="2025-08-30T00:00:00"/>
    <s v="AMEREN ILLINOIS"/>
    <s v="Mason"/>
    <m/>
    <m/>
    <s v="IL"/>
    <s v="DPP-2022"/>
    <s v="Central"/>
    <s v="Phase 2"/>
    <s v="NRIS"/>
    <s v="Havana-Shockey (138kV)"/>
    <n v="150"/>
    <n v="150"/>
    <x v="5"/>
    <s v="Solar/Battery"/>
    <s v="Not Started"/>
    <m/>
    <n v="0"/>
    <n v="0"/>
    <n v="0"/>
    <n v="0"/>
  </r>
  <r>
    <s v="J3006"/>
    <x v="2"/>
    <d v="2025-07-29T00:00:00"/>
    <m/>
    <m/>
    <d v="2028-03-01T00:00:00"/>
    <s v="AMERICAN TRANSMISSION COMPANY"/>
    <s v="Milwaukee"/>
    <m/>
    <m/>
    <s v="WI"/>
    <s v="DPP-2022"/>
    <s v="East (ATC)"/>
    <s v="Phase 1"/>
    <s v="NRIS"/>
    <s v="Granville345kV Substation"/>
    <n v="300"/>
    <n v="300"/>
    <x v="2"/>
    <s v="Battery Storage"/>
    <s v="Not Started"/>
    <m/>
    <n v="300"/>
    <n v="300"/>
    <n v="0"/>
    <n v="0"/>
  </r>
  <r>
    <s v="J3007"/>
    <x v="2"/>
    <d v="2022-08-25T00:00:00"/>
    <m/>
    <m/>
    <d v="2025-05-15T00:00:00"/>
    <s v="METC"/>
    <s v="Mason"/>
    <m/>
    <m/>
    <s v="MI"/>
    <s v="DPP-2022"/>
    <s v="East (ITC)"/>
    <s v="Phase 1"/>
    <s v="NRIS"/>
    <s v="PERE MARQUETTE - LINDEMAN 138.0kV"/>
    <n v="100"/>
    <n v="100"/>
    <x v="2"/>
    <s v="Battery Storage"/>
    <s v="Not Started"/>
    <m/>
    <n v="100"/>
    <n v="100"/>
    <n v="0"/>
    <n v="0"/>
  </r>
  <r>
    <s v="J3008"/>
    <x v="1"/>
    <d v="2022-08-24T00:00:00"/>
    <d v="2023-03-24T00:00:00"/>
    <m/>
    <d v="2025-05-15T00:00:00"/>
    <s v="NORTHERN INDIANA PUBLIC SERVICE COMPANY LLC"/>
    <s v="Cook"/>
    <m/>
    <m/>
    <s v="IL"/>
    <s v="DPP-2022"/>
    <s v="Central"/>
    <s v="Phase 2"/>
    <s v="NRIS"/>
    <s v="Sheffield - Burnham 345 (Tie line between CE and NIPS, NIPS owns 1.87 miles)"/>
    <n v="270"/>
    <n v="270"/>
    <x v="2"/>
    <s v="Battery Storage"/>
    <s v="Not Started"/>
    <m/>
    <n v="0"/>
    <n v="0"/>
    <n v="0"/>
    <n v="0"/>
  </r>
  <r>
    <s v="J3009"/>
    <x v="2"/>
    <d v="2022-08-25T00:00:00"/>
    <m/>
    <m/>
    <d v="2025-05-15T00:00:00"/>
    <s v="ITC"/>
    <s v="Washtenaw"/>
    <m/>
    <m/>
    <s v="MI"/>
    <s v="DPP-2022"/>
    <s v="East (ITC)"/>
    <s v="Phase 1"/>
    <s v="NRIS"/>
    <s v="VOYAGER"/>
    <n v="150"/>
    <n v="150"/>
    <x v="2"/>
    <s v="Battery Storage"/>
    <s v="Not Started"/>
    <m/>
    <n v="150"/>
    <n v="150"/>
    <n v="0"/>
    <n v="0"/>
  </r>
  <r>
    <s v="J3010"/>
    <x v="1"/>
    <d v="2022-09-14T00:00:00"/>
    <d v="2025-10-27T00:00:00"/>
    <m/>
    <d v="2027-09-27T00:00:00"/>
    <s v="DUKE ENERGY INDIANA, LLC"/>
    <s v="Clay"/>
    <m/>
    <m/>
    <s v="IN"/>
    <s v="DPP-2022"/>
    <s v="Central"/>
    <s v="Phase 2"/>
    <s v="ERIS"/>
    <s v="TAP ON THE CARBON TO BRAZIL 69KV LINE"/>
    <n v="60"/>
    <n v="60"/>
    <x v="0"/>
    <s v="Photovoltaic"/>
    <s v="Not Started"/>
    <m/>
    <n v="0"/>
    <n v="0"/>
    <n v="0"/>
    <n v="0"/>
  </r>
  <r>
    <s v="J3011"/>
    <x v="1"/>
    <d v="2022-09-14T00:00:00"/>
    <d v="2025-10-27T00:00:00"/>
    <m/>
    <d v="2025-11-01T00:00:00"/>
    <s v="AMEREN ILLINOIS"/>
    <s v="St. Clair"/>
    <m/>
    <m/>
    <s v="IL"/>
    <s v="DPP-2022"/>
    <s v="Central"/>
    <s v="Phase 2"/>
    <s v="NRIS"/>
    <s v="Prairie State Plant Switchyard 345 kV"/>
    <n v="100"/>
    <n v="100"/>
    <x v="2"/>
    <s v="Battery Storage"/>
    <s v="Not Started"/>
    <m/>
    <n v="0"/>
    <n v="0"/>
    <n v="0"/>
    <n v="0"/>
  </r>
  <r>
    <s v="J3012"/>
    <x v="4"/>
    <d v="2022-09-14T00:00:00"/>
    <m/>
    <m/>
    <d v="2026-11-01T00:00:00"/>
    <m/>
    <s v="Coles"/>
    <m/>
    <m/>
    <s v="IL"/>
    <s v="DPP-2022"/>
    <s v="Central"/>
    <s v="Phase 2"/>
    <s v="ERIS"/>
    <s v="Mattoon East"/>
    <n v="287"/>
    <n v="287"/>
    <x v="0"/>
    <s v="Photovoltaic"/>
    <s v="Not Started"/>
    <m/>
    <n v="287"/>
    <n v="0"/>
    <n v="0"/>
    <n v="0"/>
  </r>
  <r>
    <s v="J3013"/>
    <x v="1"/>
    <d v="2022-09-14T00:00:00"/>
    <d v="2025-10-27T00:00:00"/>
    <m/>
    <d v="2025-11-01T00:00:00"/>
    <s v="AMEREN ILLINOIS"/>
    <s v="Washington"/>
    <m/>
    <m/>
    <s v="IL"/>
    <s v="DPP-2022"/>
    <s v="Central"/>
    <s v="Phase 2"/>
    <s v="NRIS"/>
    <s v="Ashley"/>
    <n v="100"/>
    <n v="100"/>
    <x v="2"/>
    <s v="Solar/Battery"/>
    <s v="Not Started"/>
    <m/>
    <n v="0"/>
    <n v="0"/>
    <n v="0"/>
    <n v="0"/>
  </r>
  <r>
    <s v="J3014"/>
    <x v="4"/>
    <d v="2022-09-15T00:00:00"/>
    <m/>
    <m/>
    <d v="2026-10-31T00:00:00"/>
    <s v="CLECO POWER LLC CLEC"/>
    <s v="Rapides"/>
    <m/>
    <m/>
    <s v="LA"/>
    <s v="DPP-2022"/>
    <s v="South"/>
    <s v="Phase 1"/>
    <s v="ERIS"/>
    <s v="Cooper - Leesville 138.0kV"/>
    <n v="280"/>
    <n v="280"/>
    <x v="0"/>
    <s v="Photovoltaic"/>
    <s v="Not Started"/>
    <m/>
    <n v="280"/>
    <n v="0"/>
    <n v="0"/>
    <n v="0"/>
  </r>
  <r>
    <s v="J3015"/>
    <x v="2"/>
    <d v="2022-09-14T00:00:00"/>
    <m/>
    <m/>
    <d v="2027-06-01T00:00:00"/>
    <m/>
    <s v="Iroquois"/>
    <m/>
    <m/>
    <s v="IL"/>
    <s v="DPP-2022"/>
    <s v="Central"/>
    <s v="Phase 2"/>
    <s v="ERIS"/>
    <s v="Gilman - Watseka 138kV"/>
    <n v="400"/>
    <n v="400"/>
    <x v="5"/>
    <s v="Wind/Battery"/>
    <s v="Not Started"/>
    <m/>
    <n v="400"/>
    <n v="0"/>
    <n v="0"/>
    <n v="0"/>
  </r>
  <r>
    <s v="J3016"/>
    <x v="1"/>
    <d v="2022-09-14T00:00:00"/>
    <d v="2025-10-27T00:00:00"/>
    <m/>
    <d v="2027-06-01T00:00:00"/>
    <s v="DUKE ENERGY INDIANA, LLC"/>
    <s v="Cass"/>
    <m/>
    <m/>
    <s v="IN"/>
    <s v="DPP-2022"/>
    <s v="Central"/>
    <s v="Phase 2"/>
    <s v="NRIS"/>
    <s v="Walton"/>
    <n v="150"/>
    <n v="150"/>
    <x v="5"/>
    <s v="Solar/Battery"/>
    <s v="Not Started"/>
    <m/>
    <n v="0"/>
    <n v="0"/>
    <n v="0"/>
    <n v="0"/>
  </r>
  <r>
    <s v="J3017"/>
    <x v="1"/>
    <d v="2022-09-14T00:00:00"/>
    <d v="2025-10-27T00:00:00"/>
    <m/>
    <d v="2027-06-01T00:00:00"/>
    <s v="OTTER TAIL POWER COMPANY"/>
    <s v="Grant"/>
    <m/>
    <m/>
    <s v="SD"/>
    <s v="DPP-2022"/>
    <s v="West"/>
    <s v="Phase 1"/>
    <s v="NRIS"/>
    <s v="Big Stone South 345 kV Substation"/>
    <n v="150"/>
    <n v="150"/>
    <x v="0"/>
    <s v="Photovoltaic"/>
    <s v="Not Started"/>
    <m/>
    <n v="0"/>
    <n v="0"/>
    <n v="0"/>
    <n v="0"/>
  </r>
  <r>
    <s v="J3018"/>
    <x v="1"/>
    <d v="2022-09-14T00:00:00"/>
    <d v="2023-03-24T00:00:00"/>
    <m/>
    <d v="2026-04-01T00:00:00"/>
    <s v="MIDAMERICAN ENERGY CO. MEC"/>
    <s v="Pottawattamie"/>
    <m/>
    <m/>
    <s v="IA"/>
    <s v="DPP-2022"/>
    <s v="West"/>
    <s v="Phase 1"/>
    <s v="NRIS"/>
    <s v="Overland Trail - Fallow Avenue 345 kV"/>
    <n v="300"/>
    <n v="300"/>
    <x v="2"/>
    <s v="Battery Storage"/>
    <s v="Not Started"/>
    <m/>
    <n v="0"/>
    <n v="0"/>
    <n v="0"/>
    <n v="0"/>
  </r>
  <r>
    <s v="J3019"/>
    <x v="1"/>
    <d v="2022-09-14T00:00:00"/>
    <d v="2025-07-31T00:00:00"/>
    <m/>
    <d v="2027-06-01T00:00:00"/>
    <s v="ENTERGY LOUISIANA, LLC"/>
    <s v="East Feliciana"/>
    <m/>
    <m/>
    <s v="LA"/>
    <s v="DPP-2022"/>
    <s v="South"/>
    <s v="Phase 1"/>
    <s v="NRIS"/>
    <s v="Fancy Point to Port Hudson 230 kV"/>
    <n v="180"/>
    <n v="180"/>
    <x v="5"/>
    <s v="Solar/Battery"/>
    <s v="Not Started"/>
    <m/>
    <n v="0"/>
    <n v="0"/>
    <n v="0"/>
    <n v="0"/>
  </r>
  <r>
    <s v="J3020"/>
    <x v="1"/>
    <d v="2022-09-14T00:00:00"/>
    <d v="2025-10-27T00:00:00"/>
    <m/>
    <d v="2027-06-01T00:00:00"/>
    <s v="NORTHERN STATES POWER COMPANY"/>
    <s v="Lyon"/>
    <m/>
    <m/>
    <s v="MN"/>
    <s v="DPP-2022"/>
    <s v="West"/>
    <s v="Phase 1"/>
    <s v="NRIS"/>
    <s v="Lake Yankton to Buffalo Ridge 115kV"/>
    <n v="165"/>
    <n v="165"/>
    <x v="1"/>
    <s v="Wind Turbine"/>
    <s v="Not Started"/>
    <m/>
    <n v="0"/>
    <n v="0"/>
    <n v="0"/>
    <n v="0"/>
  </r>
  <r>
    <s v="J3021"/>
    <x v="2"/>
    <d v="2022-09-14T00:00:00"/>
    <m/>
    <m/>
    <d v="2027-06-01T00:00:00"/>
    <s v="NORTHERN STATES POWER COMPANY"/>
    <s v="Lyon"/>
    <m/>
    <m/>
    <s v="MN"/>
    <s v="DPP-2022"/>
    <s v="West"/>
    <s v="Phase 1"/>
    <s v="ERIS"/>
    <s v="Lake Yankton to Lyon County 115kV"/>
    <n v="235"/>
    <n v="235"/>
    <x v="0"/>
    <s v="Photovoltaic"/>
    <s v="Not Started"/>
    <m/>
    <n v="235"/>
    <n v="0"/>
    <n v="0"/>
    <n v="0"/>
  </r>
  <r>
    <s v="J3022"/>
    <x v="1"/>
    <d v="2022-09-14T00:00:00"/>
    <d v="2023-03-24T00:00:00"/>
    <m/>
    <d v="2026-04-01T00:00:00"/>
    <s v="MIDAMERICAN ENERGY CO. MEC"/>
    <s v="Taylor"/>
    <m/>
    <m/>
    <s v="IA"/>
    <s v="DPP-2022"/>
    <s v="West"/>
    <s v="Phase 1"/>
    <s v="NRIS"/>
    <s v="Orient to Atchison County 345 kV"/>
    <n v="400"/>
    <n v="400"/>
    <x v="2"/>
    <s v="Battery Storage"/>
    <s v="Not Started"/>
    <m/>
    <n v="0"/>
    <n v="0"/>
    <n v="0"/>
    <n v="0"/>
  </r>
  <r>
    <s v="J3023"/>
    <x v="1"/>
    <d v="2022-09-14T00:00:00"/>
    <d v="2023-03-24T00:00:00"/>
    <m/>
    <d v="2026-04-01T00:00:00"/>
    <s v="ENTERGY ARKANSAS, LLC"/>
    <s v="Hot Spring"/>
    <m/>
    <m/>
    <s v="AR"/>
    <s v="DPP-2022"/>
    <s v="South"/>
    <s v="Phase 1"/>
    <s v="NRIS"/>
    <s v="H.S. EHV 500 kV Substation"/>
    <n v="400"/>
    <n v="400"/>
    <x v="2"/>
    <s v="Battery Storage"/>
    <s v="Not Started"/>
    <m/>
    <n v="0"/>
    <n v="0"/>
    <n v="0"/>
    <n v="0"/>
  </r>
  <r>
    <s v="J3024"/>
    <x v="1"/>
    <d v="2022-09-12T00:00:00"/>
    <d v="2023-03-27T00:00:00"/>
    <m/>
    <d v="2026-03-07T00:00:00"/>
    <s v="ITC MIDWEST"/>
    <s v="Louisa"/>
    <m/>
    <m/>
    <s v="IA"/>
    <s v="DPP-2022"/>
    <s v="West"/>
    <s v="Phase 1"/>
    <s v="NRIS"/>
    <s v="Newport 161 kV Bus High Side of T91 XFRMR 161/69 kV"/>
    <n v="100"/>
    <n v="100"/>
    <x v="2"/>
    <s v="Battery Storage"/>
    <s v="Not Started"/>
    <m/>
    <n v="0"/>
    <n v="0"/>
    <n v="0"/>
    <n v="0"/>
  </r>
  <r>
    <s v="J3025"/>
    <x v="1"/>
    <d v="2022-09-14T00:00:00"/>
    <d v="2025-10-27T00:00:00"/>
    <m/>
    <d v="2027-06-01T00:00:00"/>
    <s v="OTTER TAIL POWER COMPANY"/>
    <s v="Douglas"/>
    <m/>
    <m/>
    <s v="MN"/>
    <s v="DPP-2022"/>
    <s v="West"/>
    <s v="Phase 1"/>
    <s v="NRIS"/>
    <s v="Alexandria to Hudson 115 kV"/>
    <n v="188"/>
    <n v="188"/>
    <x v="0"/>
    <s v="Photovoltaic"/>
    <s v="Not Started"/>
    <m/>
    <n v="0"/>
    <n v="0"/>
    <n v="0"/>
    <n v="0"/>
  </r>
  <r>
    <s v="J3026"/>
    <x v="1"/>
    <d v="2022-09-14T00:00:00"/>
    <d v="2025-07-31T00:00:00"/>
    <m/>
    <d v="2026-10-31T00:00:00"/>
    <s v="CLECO POWER LLC"/>
    <s v="Beauregard"/>
    <m/>
    <m/>
    <s v="LA"/>
    <s v="DPP-2022"/>
    <s v="South"/>
    <s v="Phase 1"/>
    <s v="NRIS"/>
    <s v="Deridder Mill - Roy S Nelson 138 kV"/>
    <n v="175"/>
    <n v="175"/>
    <x v="2"/>
    <s v="Battery Storage"/>
    <s v="Not Started"/>
    <m/>
    <n v="0"/>
    <n v="0"/>
    <n v="0"/>
    <n v="0"/>
  </r>
  <r>
    <s v="J3027"/>
    <x v="2"/>
    <d v="2022-09-14T00:00:00"/>
    <m/>
    <m/>
    <d v="2027-06-01T00:00:00"/>
    <m/>
    <s v="Stark"/>
    <m/>
    <m/>
    <s v="IL"/>
    <s v="DPP-2022"/>
    <s v="Central"/>
    <s v="Phase 2"/>
    <s v="NRIS"/>
    <s v="7FARGO - 7SANDBURG 345.0kV"/>
    <n v="300"/>
    <n v="300"/>
    <x v="5"/>
    <s v="Wind/Battery"/>
    <s v="Not Started"/>
    <m/>
    <n v="300"/>
    <n v="300"/>
    <n v="0"/>
    <n v="0"/>
  </r>
  <r>
    <s v="J3028"/>
    <x v="2"/>
    <d v="2022-09-14T00:00:00"/>
    <m/>
    <m/>
    <d v="2027-06-01T00:00:00"/>
    <m/>
    <s v="Perry"/>
    <m/>
    <m/>
    <s v="MS"/>
    <s v="DPP-2022"/>
    <s v="South"/>
    <s v="Phase 1"/>
    <s v="NRIS"/>
    <s v="Waynesboro 161 - Hintonville 161 161.0kV"/>
    <n v="100"/>
    <n v="100"/>
    <x v="5"/>
    <s v="Solar/Battery"/>
    <s v="Not Started"/>
    <m/>
    <n v="100"/>
    <n v="100"/>
    <n v="0"/>
    <n v="0"/>
  </r>
  <r>
    <s v="J3029"/>
    <x v="1"/>
    <d v="2022-09-15T00:00:00"/>
    <d v="2025-12-05T00:00:00"/>
    <m/>
    <d v="2026-06-30T00:00:00"/>
    <s v="ITC MIDWEST"/>
    <s v="Freeborn"/>
    <m/>
    <m/>
    <s v="MN"/>
    <s v="DPP-2022"/>
    <s v="West"/>
    <s v="Phase 1"/>
    <s v="NRIS"/>
    <s v="Freeborn"/>
    <n v="153"/>
    <n v="153"/>
    <x v="1"/>
    <s v="Wind Turbine"/>
    <s v="Not Started"/>
    <m/>
    <n v="153"/>
    <n v="153"/>
    <n v="0"/>
    <n v="0"/>
  </r>
  <r>
    <s v="J3030"/>
    <x v="2"/>
    <d v="2022-09-14T00:00:00"/>
    <m/>
    <m/>
    <d v="2027-06-01T00:00:00"/>
    <s v="ENTERGY ARKANSAS, LLC EATO"/>
    <s v="Jefferson"/>
    <m/>
    <m/>
    <s v="AR"/>
    <s v="DPP-2022"/>
    <s v="South"/>
    <s v="Phase 1"/>
    <s v="ERIS"/>
    <s v="White Bluff to Sheridan 500kV"/>
    <n v="450"/>
    <n v="450"/>
    <x v="5"/>
    <s v="Solar/Battery"/>
    <s v="Not Started"/>
    <m/>
    <n v="450"/>
    <n v="0"/>
    <n v="0"/>
    <n v="0"/>
  </r>
  <r>
    <s v="J3031"/>
    <x v="2"/>
    <d v="2022-09-14T00:00:00"/>
    <m/>
    <m/>
    <d v="2026-10-31T00:00:00"/>
    <s v="AMEREN ILLINOIS"/>
    <s v="Jefferson"/>
    <m/>
    <m/>
    <s v="IL"/>
    <s v="DPP-2022"/>
    <s v="Central"/>
    <s v="Phase 2"/>
    <s v="NRIS"/>
    <s v="4WLTNVL TP 138 kV"/>
    <n v="200"/>
    <n v="200"/>
    <x v="2"/>
    <s v="Battery Storage"/>
    <s v="Not Started"/>
    <m/>
    <n v="200"/>
    <n v="200"/>
    <n v="0"/>
    <n v="0"/>
  </r>
  <r>
    <s v="J3032"/>
    <x v="1"/>
    <d v="2022-09-14T00:00:00"/>
    <d v="2025-07-31T00:00:00"/>
    <m/>
    <d v="2026-11-01T00:00:00"/>
    <s v="ENTERGY LOUISIANA, LLC"/>
    <s v="Webster"/>
    <m/>
    <m/>
    <s v="LA"/>
    <s v="DPP-2022"/>
    <s v="South"/>
    <s v="Phase 1"/>
    <s v="NRIS"/>
    <s v="Sarepta"/>
    <n v="500"/>
    <n v="500"/>
    <x v="0"/>
    <s v="Photovoltaic"/>
    <s v="Not Started"/>
    <m/>
    <n v="0"/>
    <n v="0"/>
    <n v="0"/>
    <n v="0"/>
  </r>
  <r>
    <s v="J3033"/>
    <x v="1"/>
    <d v="2022-09-14T00:00:00"/>
    <d v="2025-10-27T00:00:00"/>
    <m/>
    <d v="2026-10-31T00:00:00"/>
    <s v="BIG RIVERS ELECTRIC CORPORATION"/>
    <s v="Webster"/>
    <m/>
    <m/>
    <s v="KY"/>
    <s v="DPP-2022"/>
    <s v="Central"/>
    <s v="Phase 2"/>
    <s v="NRIS"/>
    <s v="Reid EHV 345 kV"/>
    <n v="75"/>
    <n v="75"/>
    <x v="2"/>
    <s v="Battery Storage"/>
    <s v="Not Started"/>
    <m/>
    <n v="0"/>
    <n v="0"/>
    <n v="0"/>
    <n v="0"/>
  </r>
  <r>
    <s v="J3034"/>
    <x v="1"/>
    <d v="2022-09-15T00:00:00"/>
    <d v="2025-07-31T00:00:00"/>
    <m/>
    <d v="2026-08-04T00:00:00"/>
    <s v="ENTERGY ARKANSAS, LLC"/>
    <s v="Monroe"/>
    <m/>
    <m/>
    <s v="AR"/>
    <s v="DPP-2022"/>
    <s v="South"/>
    <s v="Phase 1"/>
    <s v="NRIS"/>
    <s v="BRINKLEY WEST - BRINKLEY EAST 115kV Line"/>
    <n v="100"/>
    <n v="100"/>
    <x v="0"/>
    <s v="Photovoltaic"/>
    <s v="Not Started"/>
    <m/>
    <n v="0"/>
    <n v="0"/>
    <n v="0"/>
    <n v="0"/>
  </r>
  <r>
    <s v="J3035"/>
    <x v="2"/>
    <d v="2022-09-15T00:00:00"/>
    <m/>
    <m/>
    <d v="2026-08-04T00:00:00"/>
    <s v="ENTERGY ARKANSAS, LLC EATO"/>
    <s v="Desha"/>
    <m/>
    <m/>
    <s v="AR"/>
    <s v="DPP-2022"/>
    <s v="South"/>
    <s v="Phase 1"/>
    <s v="NRIS"/>
    <s v="REED SS - ROHWER 115.0kV"/>
    <n v="100"/>
    <n v="100"/>
    <x v="0"/>
    <s v="Photovoltaic"/>
    <s v="Not Started"/>
    <m/>
    <n v="100"/>
    <n v="0"/>
    <n v="0"/>
    <n v="0"/>
  </r>
  <r>
    <s v="J3036"/>
    <x v="1"/>
    <d v="2022-09-15T00:00:00"/>
    <d v="2025-07-31T00:00:00"/>
    <m/>
    <d v="2026-08-01T00:00:00"/>
    <s v="ENTERGY ARKANSAS, LLC"/>
    <s v="Lonoke"/>
    <m/>
    <m/>
    <s v="AR"/>
    <s v="DPP-2022"/>
    <s v="South"/>
    <s v="Phase 1"/>
    <s v="NRIS"/>
    <s v="REMINGTON SS - LONOKE EAST 115.0kV"/>
    <n v="105"/>
    <n v="105"/>
    <x v="0"/>
    <s v="Photovoltaic"/>
    <s v="Not Started"/>
    <m/>
    <n v="0"/>
    <n v="0"/>
    <n v="0"/>
    <n v="0"/>
  </r>
  <r>
    <s v="J3037"/>
    <x v="1"/>
    <d v="2022-09-13T00:00:00"/>
    <d v="2025-07-31T00:00:00"/>
    <m/>
    <d v="2027-08-31T00:00:00"/>
    <s v="ENTERGY ARKANSAS, LLC"/>
    <s v="Union"/>
    <m/>
    <m/>
    <s v="AR"/>
    <s v="DPP-2022"/>
    <s v="South"/>
    <s v="Phase 1"/>
    <s v="NRIS"/>
    <s v="Eldorado Upland SS 115kV"/>
    <n v="150"/>
    <n v="150"/>
    <x v="0"/>
    <s v="Photovoltaic"/>
    <s v="Not Started"/>
    <m/>
    <n v="0"/>
    <n v="0"/>
    <n v="0"/>
    <n v="0"/>
  </r>
  <r>
    <s v="J3038"/>
    <x v="1"/>
    <d v="2022-09-13T00:00:00"/>
    <d v="2025-07-30T00:00:00"/>
    <m/>
    <d v="2027-08-31T00:00:00"/>
    <s v="ENTERGY ARKANSAS, LLC"/>
    <s v="Union"/>
    <m/>
    <m/>
    <s v="AR"/>
    <s v="DPP-2022"/>
    <s v="South"/>
    <s v="Phase 1"/>
    <s v="NRIS"/>
    <s v="El Dorado Upland SS 115kV"/>
    <n v="150"/>
    <n v="150"/>
    <x v="0"/>
    <s v="Photovoltaic"/>
    <s v="Not Started"/>
    <m/>
    <n v="0"/>
    <n v="0"/>
    <n v="0"/>
    <n v="0"/>
  </r>
  <r>
    <s v="J3039"/>
    <x v="2"/>
    <d v="2022-09-13T00:00:00"/>
    <m/>
    <m/>
    <d v="2029-08-31T00:00:00"/>
    <s v="SOUTHERN MINNESOTA MUNICIPAL POWER AGENCY"/>
    <s v="Olmsted"/>
    <m/>
    <m/>
    <s v="MN"/>
    <s v="DPP-2022"/>
    <s v="West"/>
    <s v="Phase 1"/>
    <s v="NRIS"/>
    <s v="Byron 161kV"/>
    <n v="200"/>
    <n v="200"/>
    <x v="0"/>
    <s v="Photovoltaic"/>
    <s v="Not Started"/>
    <m/>
    <n v="200"/>
    <n v="200"/>
    <n v="0"/>
    <n v="0"/>
  </r>
  <r>
    <s v="J3040"/>
    <x v="2"/>
    <d v="2022-09-13T00:00:00"/>
    <m/>
    <m/>
    <d v="2027-10-31T00:00:00"/>
    <s v="ENTERGY ARKANSAS, LLC EATO"/>
    <s v="Ouachita"/>
    <m/>
    <m/>
    <s v="AR"/>
    <s v="DPP-2022"/>
    <s v="South"/>
    <s v="Phase 1"/>
    <s v="NRIS"/>
    <s v="EL DORADO EHV - MCNEIL EHV 500.0kV"/>
    <n v="290"/>
    <n v="290"/>
    <x v="0"/>
    <s v="Photovoltaic"/>
    <s v="Not Started"/>
    <m/>
    <n v="290"/>
    <n v="290"/>
    <n v="0"/>
    <n v="0"/>
  </r>
  <r>
    <s v="J3041"/>
    <x v="2"/>
    <d v="2022-09-13T00:00:00"/>
    <m/>
    <m/>
    <d v="2029-08-31T00:00:00"/>
    <s v="SOUTHERN MINNESOTA MUNICIPAL POWER AGENCY"/>
    <s v="Olmsted"/>
    <m/>
    <m/>
    <s v="MN"/>
    <s v="DPP-2022"/>
    <s v="West"/>
    <s v="Phase 1"/>
    <s v="NRIS"/>
    <s v="Byron 161kV"/>
    <n v="200"/>
    <n v="200"/>
    <x v="0"/>
    <s v="Photovoltaic"/>
    <s v="Not Started"/>
    <m/>
    <n v="200"/>
    <n v="200"/>
    <n v="0"/>
    <n v="0"/>
  </r>
  <r>
    <s v="J3042"/>
    <x v="2"/>
    <d v="2022-09-15T00:00:00"/>
    <m/>
    <m/>
    <d v="2026-01-01T00:00:00"/>
    <m/>
    <s v="St. John the Baptist"/>
    <m/>
    <m/>
    <s v="LA"/>
    <s v="DPP-2022"/>
    <s v="South"/>
    <s v="Phase 1"/>
    <s v="ERIS"/>
    <s v="WATERFORD 230 SWYD - VACHERIE 230.0kV"/>
    <n v="150"/>
    <n v="150"/>
    <x v="0"/>
    <s v="Photovoltaic"/>
    <s v="Not Started"/>
    <m/>
    <n v="150"/>
    <n v="0"/>
    <n v="0"/>
    <n v="0"/>
  </r>
  <r>
    <s v="J3043"/>
    <x v="1"/>
    <d v="2022-09-14T00:00:00"/>
    <d v="2025-10-27T00:00:00"/>
    <m/>
    <d v="2025-11-01T00:00:00"/>
    <s v="AMEREN ILLINOIS"/>
    <s v="Tazewell"/>
    <m/>
    <m/>
    <s v="IL"/>
    <s v="DPP-2022"/>
    <s v="Central"/>
    <s v="Phase 2"/>
    <s v="NRIS"/>
    <s v="Edwards"/>
    <n v="200"/>
    <n v="200"/>
    <x v="2"/>
    <s v="Battery Storage"/>
    <s v="Not Started"/>
    <m/>
    <n v="0"/>
    <n v="0"/>
    <n v="0"/>
    <n v="0"/>
  </r>
  <r>
    <s v="J3044"/>
    <x v="1"/>
    <d v="2022-09-14T00:00:00"/>
    <d v="2025-10-27T00:00:00"/>
    <m/>
    <d v="2026-11-01T00:00:00"/>
    <s v="AMEREN ILLINOIS"/>
    <s v="Tazewell"/>
    <m/>
    <m/>
    <s v="IL"/>
    <s v="DPP-2022"/>
    <s v="Central"/>
    <s v="Phase 2"/>
    <s v="NRIS"/>
    <s v="Edwards"/>
    <n v="200"/>
    <n v="200"/>
    <x v="0"/>
    <s v="Photovoltaic"/>
    <s v="Not Started"/>
    <m/>
    <n v="0"/>
    <n v="0"/>
    <n v="0"/>
    <n v="0"/>
  </r>
  <r>
    <s v="J3045"/>
    <x v="2"/>
    <d v="2022-09-14T00:00:00"/>
    <m/>
    <m/>
    <d v="2026-10-01T00:00:00"/>
    <s v="ENTERGY TEXAS, INC. ETTO"/>
    <s v="Orange"/>
    <m/>
    <m/>
    <s v="TX"/>
    <s v="DPP-2022"/>
    <s v="South"/>
    <s v="Phase 1"/>
    <s v="NRIS"/>
    <s v="Chisholm RD- Hartburg 230kV"/>
    <n v="300"/>
    <n v="300"/>
    <x v="0"/>
    <s v="Photovoltaic"/>
    <s v="Not Started"/>
    <m/>
    <n v="300"/>
    <n v="0"/>
    <n v="0"/>
    <n v="0"/>
  </r>
  <r>
    <s v="J3046"/>
    <x v="1"/>
    <d v="2022-09-14T00:00:00"/>
    <d v="2023-03-25T00:00:00"/>
    <m/>
    <d v="2025-08-01T00:00:00"/>
    <s v="ENTERGY LOUISIANA, LLC"/>
    <s v="Concordia"/>
    <m/>
    <m/>
    <s v="LA"/>
    <s v="DPP-2022"/>
    <s v="South"/>
    <s v="Phase 1"/>
    <s v="NRIS"/>
    <s v="Red Gum to Metropolis 115 kV"/>
    <n v="140"/>
    <n v="140"/>
    <x v="2"/>
    <s v="Battery Storage"/>
    <s v="Not Started"/>
    <m/>
    <n v="0"/>
    <n v="0"/>
    <n v="0"/>
    <n v="0"/>
  </r>
  <r>
    <s v="J3047"/>
    <x v="2"/>
    <d v="2022-09-15T00:00:00"/>
    <m/>
    <m/>
    <d v="2027-09-01T00:00:00"/>
    <s v="MIDAMERICAN ENERGY CO. MEC"/>
    <s v="Adair"/>
    <m/>
    <m/>
    <s v="IA"/>
    <s v="DPP-2022"/>
    <s v="West"/>
    <s v="Phase 1"/>
    <s v="NRIS"/>
    <s v="ORIENT - NORTHBORO 345.0kV"/>
    <n v="263"/>
    <n v="263"/>
    <x v="3"/>
    <s v="Combustion Turbine (Simple Cycle)"/>
    <s v="Not Started"/>
    <m/>
    <n v="263"/>
    <n v="263"/>
    <n v="0"/>
    <n v="0"/>
  </r>
  <r>
    <s v="J3048"/>
    <x v="1"/>
    <d v="2022-09-15T00:00:00"/>
    <d v="2025-07-30T00:00:00"/>
    <m/>
    <d v="2027-04-01T00:00:00"/>
    <s v="ENTERGY ARKANSAS, LLC"/>
    <s v="Crawford"/>
    <m/>
    <m/>
    <s v="AR"/>
    <s v="DPP-2022"/>
    <s v="South"/>
    <s v="Phase 1"/>
    <s v="NRIS"/>
    <s v="MOSES SES to AECC HUNTER NORTH"/>
    <n v="300"/>
    <n v="300"/>
    <x v="0"/>
    <s v="Photovoltaic"/>
    <s v="Not Started"/>
    <m/>
    <n v="0"/>
    <n v="0"/>
    <n v="0"/>
    <n v="0"/>
  </r>
  <r>
    <s v="J3049"/>
    <x v="2"/>
    <d v="2022-09-15T00:00:00"/>
    <m/>
    <m/>
    <d v="2024-12-01T00:00:00"/>
    <s v="ENTERGY MISSISSIPPI, LLC. EMTO"/>
    <s v="Madison"/>
    <m/>
    <m/>
    <s v="MS"/>
    <s v="DPP-2022"/>
    <s v="South"/>
    <s v="Phase 1"/>
    <s v="ERIS"/>
    <s v="LAKEOVER EHV - MCADAMS EHV 500.0kV"/>
    <n v="188"/>
    <n v="188"/>
    <x v="0"/>
    <s v="Photovoltaic"/>
    <s v="Not Started"/>
    <m/>
    <n v="188"/>
    <n v="0"/>
    <n v="0"/>
    <n v="0"/>
  </r>
  <r>
    <s v="J3050"/>
    <x v="2"/>
    <d v="2025-07-29T00:00:00"/>
    <m/>
    <m/>
    <d v="2027-04-01T00:00:00"/>
    <s v="METC"/>
    <s v="Calhoun"/>
    <m/>
    <m/>
    <s v="MI"/>
    <s v="DPP-2022"/>
    <s v="East (ITC)"/>
    <s v="Phase 1"/>
    <s v="NRIS"/>
    <s v="MAJESTIC - ONEIDA 345.0kV"/>
    <n v="255"/>
    <n v="255"/>
    <x v="0"/>
    <s v="Photovoltaic"/>
    <s v="Not Started"/>
    <m/>
    <n v="255"/>
    <n v="255"/>
    <n v="0"/>
    <n v="0"/>
  </r>
  <r>
    <s v="J3051"/>
    <x v="2"/>
    <d v="2024-01-09T00:00:00"/>
    <m/>
    <m/>
    <d v="2026-06-30T00:00:00"/>
    <s v="GREAT RIVER ENERGY"/>
    <s v="Chisago"/>
    <m/>
    <m/>
    <s v="MN"/>
    <s v="DPP-2022"/>
    <s v="West"/>
    <s v="Phase 1"/>
    <s v="NRIS"/>
    <s v="Rush City 230 kV"/>
    <n v="150"/>
    <n v="150"/>
    <x v="0"/>
    <s v="Photovoltaic"/>
    <s v="Not Started"/>
    <m/>
    <n v="150"/>
    <n v="0"/>
    <n v="0"/>
    <n v="0"/>
  </r>
  <r>
    <s v="J3052"/>
    <x v="1"/>
    <d v="2022-09-14T00:00:00"/>
    <d v="2025-08-01T00:00:00"/>
    <m/>
    <d v="1990-03-01T00:00:00"/>
    <s v="METC"/>
    <s v="Midland"/>
    <m/>
    <m/>
    <s v="MI"/>
    <s v="DPP-2022"/>
    <s v="East (ITC)"/>
    <s v="Phase 1"/>
    <s v="NRIS"/>
    <s v="MCV"/>
    <n v="300"/>
    <n v="300"/>
    <x v="3"/>
    <s v="Steam Turbine (including Nuclear, Geothermal and Solar Steam)"/>
    <s v="Not Started"/>
    <m/>
    <n v="0"/>
    <n v="0"/>
    <n v="0"/>
    <n v="0"/>
  </r>
  <r>
    <s v="J3053"/>
    <x v="2"/>
    <d v="2022-09-15T00:00:00"/>
    <m/>
    <m/>
    <d v="2024-12-01T00:00:00"/>
    <s v="ENTERGY MISSISSIPPI, LLC. EMTO"/>
    <s v="Madison"/>
    <m/>
    <m/>
    <s v="MS"/>
    <s v="DPP-2022"/>
    <s v="South"/>
    <s v="Phase 1"/>
    <s v="ERIS"/>
    <s v="LAKEOVER EHV - MCADAMS EHV 500.0kV"/>
    <n v="169"/>
    <n v="169"/>
    <x v="0"/>
    <s v="Photovoltaic"/>
    <s v="Not Started"/>
    <m/>
    <n v="169"/>
    <n v="0"/>
    <n v="0"/>
    <n v="0"/>
  </r>
  <r>
    <s v="J3054"/>
    <x v="1"/>
    <d v="2022-09-13T00:00:00"/>
    <d v="2023-03-24T00:00:00"/>
    <m/>
    <d v="2017-10-01T00:00:00"/>
    <s v="ENTERGY LOUISIANA, LLC"/>
    <s v="Washington"/>
    <m/>
    <m/>
    <s v="LA"/>
    <s v="DPP-2022"/>
    <s v="South"/>
    <s v="Phase 1"/>
    <s v="NRIS"/>
    <s v="Bogslusa 500 kV - Franklin EHV 500 kV"/>
    <n v="200"/>
    <n v="200"/>
    <x v="0"/>
    <s v="Photovoltaic"/>
    <s v="Not Started"/>
    <m/>
    <n v="0"/>
    <n v="0"/>
    <n v="0"/>
    <n v="0"/>
  </r>
  <r>
    <s v="J3055"/>
    <x v="1"/>
    <d v="2022-09-13T00:00:00"/>
    <d v="2025-07-30T00:00:00"/>
    <m/>
    <d v="2027-10-01T00:00:00"/>
    <s v="ENTERGY LOUISIANA, LLC"/>
    <s v="Washington"/>
    <m/>
    <m/>
    <s v="LA"/>
    <s v="DPP-2022"/>
    <s v="South"/>
    <s v="Phase 1"/>
    <s v="NRIS"/>
    <s v="BOGALUSA 500 SS - FRANKLIN EHV 500.0kV"/>
    <n v="250"/>
    <n v="250"/>
    <x v="0"/>
    <s v="Photovoltaic"/>
    <s v="Not Started"/>
    <m/>
    <n v="0"/>
    <n v="0"/>
    <n v="0"/>
    <n v="0"/>
  </r>
  <r>
    <s v="J3056"/>
    <x v="1"/>
    <d v="2022-09-13T00:00:00"/>
    <d v="2025-07-30T00:00:00"/>
    <m/>
    <d v="2027-10-01T00:00:00"/>
    <s v="ENTERGY LOUISIANA, LLC"/>
    <s v="Washington"/>
    <m/>
    <m/>
    <s v="LA"/>
    <s v="DPP-2022"/>
    <s v="South"/>
    <s v="Phase 1"/>
    <s v="NRIS"/>
    <s v="BOGALUSA 500 SS - FRANKLIN EHV 500.0kV"/>
    <n v="200"/>
    <n v="200"/>
    <x v="5"/>
    <s v="Solar/Battery"/>
    <s v="Not Started"/>
    <m/>
    <n v="0"/>
    <n v="0"/>
    <n v="0"/>
    <n v="0"/>
  </r>
  <r>
    <s v="J3057"/>
    <x v="1"/>
    <d v="2022-09-15T00:00:00"/>
    <d v="2025-07-30T00:00:00"/>
    <m/>
    <d v="2025-12-06T00:00:00"/>
    <s v="ENTERGY LOUISIANA, LLC"/>
    <s v="Acadia"/>
    <m/>
    <m/>
    <s v="LA"/>
    <s v="DPP-2022"/>
    <s v="South"/>
    <s v="Phase 1"/>
    <s v="NRIS"/>
    <s v="Richard (Bus #335366) to Colonial Academy (Bus #335375) 138kV"/>
    <n v="75"/>
    <n v="75"/>
    <x v="5"/>
    <s v="Solar/Battery"/>
    <s v="Not Started"/>
    <m/>
    <n v="0"/>
    <n v="0"/>
    <n v="0"/>
    <n v="0"/>
  </r>
  <r>
    <s v="J3058"/>
    <x v="2"/>
    <d v="2025-07-28T00:00:00"/>
    <m/>
    <m/>
    <d v="2025-12-06T00:00:00"/>
    <s v="ENTERGY ARKANSAS, LLC EATO"/>
    <s v="Arkansas"/>
    <m/>
    <m/>
    <s v="AR"/>
    <s v="DPP-2022"/>
    <s v="South"/>
    <s v="Phase 1"/>
    <s v="NRIS"/>
    <s v="TARLETON"/>
    <n v="200"/>
    <n v="200"/>
    <x v="5"/>
    <s v="Solar/Battery"/>
    <s v="Not Started"/>
    <m/>
    <n v="200"/>
    <n v="100"/>
    <n v="0"/>
    <n v="0"/>
  </r>
  <r>
    <s v="J3059"/>
    <x v="4"/>
    <d v="2022-09-15T00:00:00"/>
    <m/>
    <m/>
    <d v="2026-07-20T00:00:00"/>
    <s v="ITC"/>
    <s v="Midland"/>
    <m/>
    <m/>
    <s v="MI"/>
    <s v="DPP-2022"/>
    <s v="East (ITC)"/>
    <s v="Phase 1"/>
    <s v="NRIS"/>
    <s v="Other_"/>
    <n v="175"/>
    <n v="175"/>
    <x v="0"/>
    <s v="Photovoltaic"/>
    <s v="Not Started"/>
    <m/>
    <n v="175"/>
    <n v="175"/>
    <n v="0"/>
    <n v="0"/>
  </r>
  <r>
    <s v="J3060"/>
    <x v="1"/>
    <d v="2022-09-15T00:00:00"/>
    <d v="2025-10-27T00:00:00"/>
    <m/>
    <d v="2026-07-20T00:00:00"/>
    <s v="AMEREN ILLINOIS"/>
    <s v="Perry"/>
    <m/>
    <m/>
    <s v="IL"/>
    <s v="DPP-2022"/>
    <s v="Central"/>
    <s v="Phase 2"/>
    <s v="NRIS"/>
    <s v="7CMDR-7ASTER 345 kV"/>
    <n v="200"/>
    <n v="200"/>
    <x v="0"/>
    <s v="Photovoltaic"/>
    <s v="Not Started"/>
    <m/>
    <n v="0"/>
    <n v="0"/>
    <n v="0"/>
    <n v="0"/>
  </r>
  <r>
    <s v="J3061"/>
    <x v="1"/>
    <d v="2022-09-15T00:00:00"/>
    <d v="2025-07-30T00:00:00"/>
    <m/>
    <d v="2025-12-06T00:00:00"/>
    <s v="ENTERGY ARKANSAS, LLC"/>
    <s v="Lawrence"/>
    <m/>
    <m/>
    <s v="AR"/>
    <s v="DPP-2022"/>
    <s v="South"/>
    <s v="Phase 1"/>
    <s v="NRIS"/>
    <s v="Walnut Ridge (Bus #338208) to Sedgewick (Bus #338206) 115kV"/>
    <n v="100"/>
    <n v="100"/>
    <x v="5"/>
    <s v="Solar/Battery"/>
    <s v="Not Started"/>
    <m/>
    <n v="0"/>
    <n v="0"/>
    <n v="0"/>
    <n v="0"/>
  </r>
  <r>
    <s v="J3062"/>
    <x v="1"/>
    <d v="2022-09-15T00:00:00"/>
    <d v="2025-07-30T00:00:00"/>
    <m/>
    <d v="2025-12-06T00:00:00"/>
    <s v="ENTERGY MISSISSIPPI, LLC."/>
    <s v="Hinds"/>
    <m/>
    <m/>
    <s v="MS"/>
    <s v="DPP-2022"/>
    <s v="South"/>
    <s v="Phase 1"/>
    <s v="NRIS"/>
    <s v="Edwards to Bolton 115 kV"/>
    <n v="100"/>
    <n v="100"/>
    <x v="5"/>
    <s v="Solar/Battery"/>
    <s v="Not Started"/>
    <m/>
    <n v="0"/>
    <n v="0"/>
    <n v="0"/>
    <n v="0"/>
  </r>
  <r>
    <s v="J3063"/>
    <x v="2"/>
    <d v="2022-09-15T00:00:00"/>
    <m/>
    <m/>
    <d v="2026-10-20T00:00:00"/>
    <s v="AMEREN ILLINOIS"/>
    <s v="Perry"/>
    <m/>
    <m/>
    <s v="IL"/>
    <s v="DPP-2022"/>
    <s v="Central"/>
    <s v="Phase 2"/>
    <s v="NRIS"/>
    <s v="7JORD - 7CMDR 345.0kV"/>
    <n v="143"/>
    <n v="143"/>
    <x v="2"/>
    <s v="Battery Storage"/>
    <s v="Not Started"/>
    <m/>
    <n v="143"/>
    <n v="143"/>
    <n v="0"/>
    <n v="0"/>
  </r>
  <r>
    <s v="J3064"/>
    <x v="2"/>
    <d v="2022-09-15T00:00:00"/>
    <m/>
    <m/>
    <d v="2026-10-20T00:00:00"/>
    <m/>
    <s v="Perry"/>
    <m/>
    <m/>
    <s v="IL"/>
    <s v="DPP-2022"/>
    <s v="Central"/>
    <s v="Phase 2"/>
    <s v="ERIS"/>
    <s v="7JORD - 7CMDR 345.0kV"/>
    <n v="157"/>
    <n v="157"/>
    <x v="0"/>
    <s v="Photovoltaic"/>
    <s v="Not Started"/>
    <m/>
    <n v="157"/>
    <n v="0"/>
    <n v="0"/>
    <n v="0"/>
  </r>
  <r>
    <s v="J3065"/>
    <x v="2"/>
    <d v="2022-09-15T00:00:00"/>
    <m/>
    <m/>
    <d v="2025-03-30T00:00:00"/>
    <s v="METC"/>
    <s v="Oceana"/>
    <m/>
    <m/>
    <s v="MI"/>
    <s v="DPP-2022"/>
    <s v="East (ITC)"/>
    <s v="Phase 1"/>
    <s v="NRIS"/>
    <s v="DONALDSON CREEK"/>
    <n v="20"/>
    <n v="20"/>
    <x v="0"/>
    <s v="Photovoltaic"/>
    <s v="Not Started"/>
    <m/>
    <n v="20"/>
    <n v="20"/>
    <n v="0"/>
    <n v="0"/>
  </r>
  <r>
    <s v="J3066"/>
    <x v="2"/>
    <d v="2022-09-15T00:00:00"/>
    <m/>
    <m/>
    <d v="2026-06-30T00:00:00"/>
    <s v="WOLVERINE POWER SUPPLY COOPERATIVE"/>
    <s v="Osceola"/>
    <m/>
    <m/>
    <s v="MI"/>
    <s v="DPP-2022"/>
    <s v="East (ITC)"/>
    <s v="Phase 1"/>
    <s v="NRIS"/>
    <s v="Hersey Interconnection"/>
    <n v="50"/>
    <n v="50"/>
    <x v="0"/>
    <s v="Photovoltaic"/>
    <s v="Not Started"/>
    <m/>
    <n v="50"/>
    <n v="50"/>
    <n v="0"/>
    <n v="0"/>
  </r>
  <r>
    <s v="J3067"/>
    <x v="1"/>
    <d v="2022-09-12T00:00:00"/>
    <d v="2025-07-30T00:00:00"/>
    <m/>
    <d v="2025-09-01T00:00:00"/>
    <s v="ENTERGY LOUISIANA, LLC"/>
    <s v="Morehouse"/>
    <m/>
    <m/>
    <s v="LA"/>
    <s v="DPP-2022"/>
    <s v="South"/>
    <s v="Phase 1"/>
    <s v="NRIS"/>
    <s v="BEEKMAN - NORTH BASTROP 115.0kV"/>
    <n v="200"/>
    <n v="200"/>
    <x v="0"/>
    <s v="Photovoltaic"/>
    <s v="Not Started"/>
    <m/>
    <n v="0"/>
    <n v="0"/>
    <n v="0"/>
    <n v="0"/>
  </r>
  <r>
    <s v="J3068"/>
    <x v="1"/>
    <d v="2022-09-15T00:00:00"/>
    <d v="2025-07-30T00:00:00"/>
    <m/>
    <d v="2026-04-17T00:00:00"/>
    <s v="ENTERGY LOUISIANA, LLC"/>
    <s v="St. Helena"/>
    <m/>
    <m/>
    <s v="LA"/>
    <s v="DPP-2022"/>
    <s v="South"/>
    <s v="Phase 1"/>
    <s v="NRIS"/>
    <s v="Amite (A) - Gillsburg (B) 115kV TL"/>
    <n v="110"/>
    <n v="110"/>
    <x v="5"/>
    <s v="Solar/Battery"/>
    <s v="Not Started"/>
    <m/>
    <n v="0"/>
    <n v="0"/>
    <n v="0"/>
    <n v="0"/>
  </r>
  <r>
    <s v="J3069"/>
    <x v="1"/>
    <d v="2022-09-02T00:00:00"/>
    <d v="2025-10-27T00:00:00"/>
    <m/>
    <d v="2027-12-27T00:00:00"/>
    <s v="AMEREN ILLINOIS"/>
    <s v="St. Clair"/>
    <m/>
    <m/>
    <s v="IL"/>
    <s v="DPP-2022"/>
    <s v="Central"/>
    <s v="Phase 2"/>
    <s v="NRIS"/>
    <s v="Tap on line Fayetteville 138kV (endpoint A) to HERZOG 138kV (endpoint B)"/>
    <n v="70"/>
    <n v="70"/>
    <x v="0"/>
    <s v="Photovoltaic"/>
    <s v="Not Started"/>
    <m/>
    <n v="0"/>
    <n v="0"/>
    <n v="0"/>
    <n v="0"/>
  </r>
  <r>
    <s v="J3070"/>
    <x v="2"/>
    <d v="2022-09-15T00:00:00"/>
    <m/>
    <m/>
    <d v="2025-02-27T00:00:00"/>
    <s v="MINNESOTA POWER INC."/>
    <s v="Morton"/>
    <m/>
    <m/>
    <s v="ND"/>
    <s v="DPP-2022"/>
    <s v="West"/>
    <s v="Phase 1"/>
    <s v="ERIS"/>
    <s v="Square Butte 230 kV Substation East"/>
    <n v="100"/>
    <n v="100"/>
    <x v="1"/>
    <s v="Wind Turbine"/>
    <s v="Not Started"/>
    <m/>
    <n v="100"/>
    <n v="0"/>
    <n v="0"/>
    <n v="0"/>
  </r>
  <r>
    <s v="J3071"/>
    <x v="1"/>
    <d v="2022-09-15T00:00:00"/>
    <d v="2025-07-30T00:00:00"/>
    <m/>
    <d v="2024-06-30T00:00:00"/>
    <s v="ENTERGY ARKANSAS, LLC"/>
    <s v="St. Francis"/>
    <m/>
    <m/>
    <s v="AR"/>
    <s v="DPP-2022"/>
    <s v="South"/>
    <s v="Phase 1"/>
    <s v="NRIS"/>
    <s v="Entergy Hughes - Forest City South 161 kV"/>
    <n v="140"/>
    <n v="140"/>
    <x v="5"/>
    <s v="Solar/Battery"/>
    <s v="Not Started"/>
    <m/>
    <n v="0"/>
    <n v="0"/>
    <n v="0"/>
    <n v="0"/>
  </r>
  <r>
    <s v="J3072"/>
    <x v="1"/>
    <d v="2022-09-14T00:00:00"/>
    <d v="2023-03-27T00:00:00"/>
    <m/>
    <d v="2024-12-30T00:00:00"/>
    <s v="ENTERGY MISSISSIPPI, LLC."/>
    <s v="Wilkinson"/>
    <m/>
    <m/>
    <s v="MS"/>
    <s v="DPP-2022"/>
    <s v="South"/>
    <s v="Phase 1"/>
    <s v="NRIS"/>
    <s v="Woodviille - Centreville 115 kV"/>
    <n v="120"/>
    <n v="120"/>
    <x v="5"/>
    <s v="Solar/Battery"/>
    <s v="Not Started"/>
    <m/>
    <n v="0"/>
    <n v="0"/>
    <n v="0"/>
    <n v="0"/>
  </r>
  <r>
    <s v="J3073"/>
    <x v="1"/>
    <d v="2022-09-14T00:00:00"/>
    <d v="2023-03-25T00:00:00"/>
    <m/>
    <d v="2026-10-31T00:00:00"/>
    <s v="ENTERGY ARKANSAS, LLC"/>
    <s v="Jackson"/>
    <m/>
    <m/>
    <s v="AR"/>
    <s v="DPP-2022"/>
    <s v="South"/>
    <s v="Phase 1"/>
    <s v="NRIS"/>
    <s v="INDEPENDENCE-ISES - POWERLINE ROAD 500 kV"/>
    <n v="200"/>
    <n v="200"/>
    <x v="2"/>
    <s v="Battery Storage"/>
    <s v="Not Started"/>
    <m/>
    <n v="0"/>
    <n v="0"/>
    <n v="0"/>
    <n v="0"/>
  </r>
  <r>
    <s v="J3074"/>
    <x v="2"/>
    <d v="2022-09-15T00:00:00"/>
    <m/>
    <m/>
    <d v="2025-08-31T00:00:00"/>
    <s v="AMEREN ILLINOIS"/>
    <s v="Randolph"/>
    <m/>
    <m/>
    <s v="IL"/>
    <s v="DPP-2022"/>
    <s v="Central"/>
    <s v="Phase 2"/>
    <s v="ERIS"/>
    <s v="4TIBBS - 4STEELEVLE N 138.0kV"/>
    <n v="250"/>
    <n v="250"/>
    <x v="5"/>
    <s v="Photovoltaic"/>
    <s v="Not Started"/>
    <m/>
    <n v="250"/>
    <n v="0"/>
    <n v="0"/>
    <n v="0"/>
  </r>
  <r>
    <s v="J3075"/>
    <x v="4"/>
    <d v="2022-09-15T00:00:00"/>
    <m/>
    <m/>
    <d v="2025-11-30T00:00:00"/>
    <s v="HOOSIER ENERGY"/>
    <s v="Sullivan"/>
    <m/>
    <m/>
    <s v="IN"/>
    <s v="DPP-2022"/>
    <s v="Central"/>
    <s v="Phase 2"/>
    <s v="ERIS"/>
    <s v="Merom Primary - Worthington Primary 345.0kV"/>
    <n v="560"/>
    <n v="560"/>
    <x v="5"/>
    <s v="Solar/Battery"/>
    <s v="Not Started"/>
    <m/>
    <n v="560"/>
    <n v="0"/>
    <n v="0"/>
    <n v="0"/>
  </r>
  <r>
    <s v="J3076"/>
    <x v="4"/>
    <d v="2022-09-15T00:00:00"/>
    <m/>
    <m/>
    <d v="2025-11-30T00:00:00"/>
    <s v="AMEREN ILLINOIS"/>
    <s v="Wabash"/>
    <m/>
    <m/>
    <s v="IL"/>
    <s v="DPP-2022"/>
    <s v="Central"/>
    <s v="Phase 2"/>
    <s v="ERIS"/>
    <s v="08GIBSON (PSI) - 7ALBION   345.0kV"/>
    <n v="500"/>
    <n v="500"/>
    <x v="5"/>
    <s v="Solar/Battery"/>
    <s v="Not Started"/>
    <m/>
    <n v="500"/>
    <n v="0"/>
    <n v="0"/>
    <n v="0"/>
  </r>
  <r>
    <s v="J3077"/>
    <x v="2"/>
    <d v="2022-09-15T00:00:00"/>
    <m/>
    <m/>
    <d v="2026-11-30T00:00:00"/>
    <s v="SOUTHERN INDIANA GAS &amp; ELECTRIC COMPANY D/B/A CENTERPOINT ENERGY INDIANA SOUTH"/>
    <s v="Gibson"/>
    <m/>
    <m/>
    <s v="IN"/>
    <s v="DPP-2022"/>
    <s v="Central"/>
    <s v="Phase 2"/>
    <s v="ERIS"/>
    <s v="Francisco 345/138kV"/>
    <n v="250"/>
    <n v="250"/>
    <x v="5"/>
    <s v="Solar/Battery"/>
    <s v="Not Started"/>
    <m/>
    <n v="250"/>
    <n v="0"/>
    <n v="0"/>
    <n v="0"/>
  </r>
  <r>
    <s v="J3078"/>
    <x v="2"/>
    <d v="2022-09-12T00:00:00"/>
    <m/>
    <m/>
    <d v="2029-10-01T00:00:00"/>
    <s v="AMEREN TRANSMISSION COMPANY OF ILLINOIS"/>
    <s v="Peoria"/>
    <m/>
    <m/>
    <s v="IL"/>
    <s v="DPP-2022"/>
    <s v="Central"/>
    <s v="Phase 2"/>
    <s v="NRIS"/>
    <s v="Fargo to Sandburg 345kV"/>
    <n v="250"/>
    <n v="250"/>
    <x v="1"/>
    <s v="Wind Turbine"/>
    <s v="Not Started"/>
    <m/>
    <n v="250"/>
    <n v="250"/>
    <n v="0"/>
    <n v="0"/>
  </r>
  <r>
    <s v="J3079"/>
    <x v="1"/>
    <d v="2022-09-14T00:00:00"/>
    <d v="2025-07-30T00:00:00"/>
    <m/>
    <d v="2026-10-01T00:00:00"/>
    <s v="ENTERGY TEXAS, INC."/>
    <s v="Jasper"/>
    <m/>
    <m/>
    <s v="TX"/>
    <s v="DPP-2022"/>
    <s v="South"/>
    <s v="Phase 1"/>
    <s v="NRIS"/>
    <s v="Jasper-Holly Springs 138 kV line tap"/>
    <n v="200"/>
    <n v="200"/>
    <x v="0"/>
    <s v="Photovoltaic"/>
    <s v="Not Started"/>
    <m/>
    <n v="0"/>
    <n v="0"/>
    <n v="0"/>
    <n v="0"/>
  </r>
  <r>
    <s v="J3080"/>
    <x v="4"/>
    <d v="2022-09-15T00:00:00"/>
    <m/>
    <m/>
    <d v="2025-08-29T00:00:00"/>
    <s v="AMEREN ILLINOIS"/>
    <s v="Pulaski"/>
    <m/>
    <m/>
    <s v="IL"/>
    <s v="DPP-2022"/>
    <s v="Central"/>
    <s v="Phase 2"/>
    <s v="NRIS"/>
    <s v="Ameren owned Kelso - Joppa (Massac) 345 kV Tie-Line"/>
    <n v="200"/>
    <n v="200"/>
    <x v="5"/>
    <s v="Solar/Battery"/>
    <s v="Not Started"/>
    <m/>
    <n v="200"/>
    <n v="200"/>
    <n v="0"/>
    <n v="0"/>
  </r>
  <r>
    <s v="J3081"/>
    <x v="2"/>
    <d v="2025-07-28T00:00:00"/>
    <m/>
    <m/>
    <d v="2026-09-30T00:00:00"/>
    <s v="ENTERGY ARKANSAS, LLC EATO"/>
    <s v="Hot Spring"/>
    <m/>
    <m/>
    <s v="AR"/>
    <s v="DPP-2022"/>
    <s v="South"/>
    <s v="Phase 1"/>
    <s v="NRIS"/>
    <s v="DEGRAY DAM - H.S. EHV 115.0kV"/>
    <n v="105"/>
    <n v="105"/>
    <x v="0"/>
    <s v="Photovoltaic"/>
    <s v="Not Started"/>
    <m/>
    <n v="105"/>
    <n v="105"/>
    <n v="0"/>
    <n v="0"/>
  </r>
  <r>
    <s v="J3082"/>
    <x v="2"/>
    <d v="2022-09-15T00:00:00"/>
    <m/>
    <m/>
    <d v="2026-06-30T00:00:00"/>
    <m/>
    <s v="Franklin"/>
    <m/>
    <m/>
    <s v="LA"/>
    <s v="DPP-2022"/>
    <s v="South"/>
    <s v="Phase 1"/>
    <s v="NRIS"/>
    <s v="Taping the 'Gilbert / 3GILBERT_LA (303322)' to 'Winnsboro / 3WINNSBORO! (337330)' 115kV line."/>
    <n v="135"/>
    <n v="135"/>
    <x v="5"/>
    <s v="Solar/Battery"/>
    <s v="Not Started"/>
    <m/>
    <n v="135"/>
    <n v="135"/>
    <n v="0"/>
    <n v="0"/>
  </r>
  <r>
    <s v="J3083"/>
    <x v="1"/>
    <d v="2022-09-15T00:00:00"/>
    <d v="2025-07-30T00:00:00"/>
    <m/>
    <d v="2022-07-01T00:00:00"/>
    <s v="ENTERGY LOUISIANA, LLC"/>
    <s v="Pointe Coupee"/>
    <m/>
    <m/>
    <s v="LA"/>
    <s v="DPP-2022"/>
    <s v="South"/>
    <s v="Phase 1"/>
    <s v="NRIS-Only"/>
    <s v="WATERLOO - FANCY POINT 230.0kV"/>
    <n v="100"/>
    <n v="100"/>
    <x v="0"/>
    <s v="Photovoltaic"/>
    <s v="Not Started"/>
    <m/>
    <n v="0"/>
    <n v="0"/>
    <n v="0"/>
    <n v="0"/>
  </r>
  <r>
    <s v="J3084"/>
    <x v="4"/>
    <d v="2025-08-12T00:00:00"/>
    <m/>
    <m/>
    <d v="2026-01-01T00:00:00"/>
    <s v="DUKE ENERGY INDIANA, LLC CIN"/>
    <s v="Sullivan"/>
    <m/>
    <m/>
    <s v="IN"/>
    <s v="DPP-2022"/>
    <s v="Central"/>
    <s v="Phase 2"/>
    <s v="NRIS"/>
    <s v="Merom (HED) -  Dresser 345.0kV"/>
    <n v="641.79999999999995"/>
    <n v="641.79999999999995"/>
    <x v="3"/>
    <s v="Combined Cycle"/>
    <s v="Not Started"/>
    <m/>
    <n v="641.79999999999995"/>
    <n v="641.79999999999995"/>
    <n v="0"/>
    <n v="0"/>
  </r>
  <r>
    <s v="J3085"/>
    <x v="1"/>
    <d v="2022-09-15T00:00:00"/>
    <d v="2025-10-27T00:00:00"/>
    <m/>
    <d v="2025-12-31T00:00:00"/>
    <s v="AMEREN MISSOURI"/>
    <s v="Madison"/>
    <m/>
    <m/>
    <s v="MO"/>
    <s v="DPP-2022"/>
    <s v="Central"/>
    <s v="Phase 2"/>
    <s v="NRIS"/>
    <s v="Fredericktown 138 kV Substation"/>
    <n v="75"/>
    <n v="75"/>
    <x v="0"/>
    <s v="Photovoltaic"/>
    <s v="Not Started"/>
    <m/>
    <n v="0"/>
    <n v="0"/>
    <n v="0"/>
    <n v="0"/>
  </r>
  <r>
    <s v="J3086"/>
    <x v="1"/>
    <d v="2022-09-14T00:00:00"/>
    <d v="2023-03-24T00:00:00"/>
    <m/>
    <d v="2026-11-01T00:00:00"/>
    <s v="AMEREN TRANSMISSION COMPANY OF ILLINOIS"/>
    <s v="Peoria"/>
    <m/>
    <m/>
    <s v="TX"/>
    <s v="DPP-2022"/>
    <s v="Central"/>
    <s v="Phase 2"/>
    <s v="NRIS"/>
    <s v="New 345kV switchyard, looping in the Fargo-Sandburg 345kV"/>
    <n v="252.96"/>
    <n v="252.96"/>
    <x v="2"/>
    <s v="Battery Storage"/>
    <s v="Not Started"/>
    <m/>
    <n v="0"/>
    <n v="0"/>
    <n v="0"/>
    <n v="0"/>
  </r>
  <r>
    <s v="J3087"/>
    <x v="1"/>
    <d v="2022-09-14T00:00:00"/>
    <d v="2023-03-24T00:00:00"/>
    <m/>
    <d v="2026-11-01T00:00:00"/>
    <s v="AMEREN ILLINOIS"/>
    <s v="Logan"/>
    <m/>
    <m/>
    <s v="TX"/>
    <s v="DPP-2022"/>
    <s v="Central"/>
    <s v="Phase 2"/>
    <s v="NRIS"/>
    <s v="Shockey"/>
    <n v="204.6"/>
    <n v="204.6"/>
    <x v="2"/>
    <s v="Battery Storage"/>
    <s v="Not Started"/>
    <m/>
    <n v="0"/>
    <n v="0"/>
    <n v="0"/>
    <n v="0"/>
  </r>
  <r>
    <s v="J3088"/>
    <x v="1"/>
    <d v="2022-09-13T00:00:00"/>
    <d v="2025-10-27T00:00:00"/>
    <m/>
    <d v="2027-02-01T00:00:00"/>
    <s v="MIDAMERICAN ENERGY CO."/>
    <s v="Woodbury"/>
    <m/>
    <m/>
    <s v="IA"/>
    <s v="DPP-2022"/>
    <s v="West"/>
    <s v="Phase 1"/>
    <s v="ERIS"/>
    <s v="Raun to Sioux City"/>
    <n v="300"/>
    <n v="300"/>
    <x v="5"/>
    <s v="Solar/Battery"/>
    <s v="Not Started"/>
    <m/>
    <n v="0"/>
    <n v="0"/>
    <n v="0"/>
    <n v="0"/>
  </r>
  <r>
    <s v="J3089"/>
    <x v="1"/>
    <d v="2022-09-15T00:00:00"/>
    <d v="2025-10-27T00:00:00"/>
    <m/>
    <d v="2029-04-30T00:00:00"/>
    <s v="BIG RIVERS ELECTRIC CORPORATION"/>
    <s v="Webster"/>
    <m/>
    <m/>
    <s v="KY"/>
    <s v="DPP-2022"/>
    <s v="Central"/>
    <s v="Phase 2"/>
    <s v="NRIS"/>
    <s v="Reid EHV"/>
    <n v="696"/>
    <n v="696"/>
    <x v="3"/>
    <s v="Combined Cycle"/>
    <s v="Not Started"/>
    <m/>
    <n v="0"/>
    <n v="0"/>
    <n v="0"/>
    <n v="0"/>
  </r>
  <r>
    <s v="J3090"/>
    <x v="2"/>
    <d v="2022-09-09T00:00:00"/>
    <m/>
    <m/>
    <d v="2025-10-15T00:00:00"/>
    <s v="ENTERGY ARKANSAS INC. EAI"/>
    <s v="Crittenden"/>
    <m/>
    <m/>
    <s v="AR"/>
    <s v="DPP-2022"/>
    <s v="South"/>
    <s v="Phase 1"/>
    <s v="NRIS"/>
    <s v="West Memphis EHV"/>
    <n v="200"/>
    <n v="200"/>
    <x v="0"/>
    <s v="Photovoltaic"/>
    <s v="Not Started"/>
    <m/>
    <n v="200"/>
    <n v="200"/>
    <n v="0"/>
    <n v="0"/>
  </r>
  <r>
    <s v="J3091"/>
    <x v="1"/>
    <d v="2022-09-12T00:00:00"/>
    <d v="2023-03-24T00:00:00"/>
    <m/>
    <d v="2026-01-01T00:00:00"/>
    <s v="MONTANA-DAKOTA UTILITIES CO.MDU"/>
    <s v="Logan"/>
    <m/>
    <m/>
    <s v="ND"/>
    <s v="DPP-2022"/>
    <s v="West"/>
    <s v="Phase 1"/>
    <s v="NRIS"/>
    <s v="East Bismarck Junction to Wishek Junction"/>
    <n v="145"/>
    <n v="145"/>
    <x v="1"/>
    <s v="Wind Turbine"/>
    <s v="Not Started"/>
    <m/>
    <n v="0"/>
    <n v="0"/>
    <n v="0"/>
    <n v="0"/>
  </r>
  <r>
    <s v="J3092"/>
    <x v="1"/>
    <d v="2022-09-14T00:00:00"/>
    <d v="2025-07-30T00:00:00"/>
    <m/>
    <d v="2026-05-01T00:00:00"/>
    <s v="ENTERGY MISSISSIPPI, LLC."/>
    <s v="Bolivar"/>
    <m/>
    <m/>
    <s v="MS"/>
    <s v="DPP-2022"/>
    <s v="South"/>
    <s v="Phase 1"/>
    <s v="NRIS"/>
    <s v="SHELBY SS"/>
    <n v="115"/>
    <n v="115"/>
    <x v="5"/>
    <s v="Solar/Battery"/>
    <s v="Not Started"/>
    <m/>
    <n v="0"/>
    <n v="0"/>
    <n v="0"/>
    <n v="0"/>
  </r>
  <r>
    <s v="J3093"/>
    <x v="2"/>
    <d v="2022-09-15T00:00:00"/>
    <m/>
    <m/>
    <d v="2024-12-01T00:00:00"/>
    <s v="ENTERGY MISSISSIPPI, LLC. EMTO"/>
    <s v="Madison"/>
    <m/>
    <m/>
    <s v="MS"/>
    <s v="DPP-2022"/>
    <s v="South"/>
    <s v="Phase 1"/>
    <s v="ERIS"/>
    <s v="LAKEOVER EHV - MCADAMS EHV 500.0kV"/>
    <n v="100"/>
    <n v="100"/>
    <x v="2"/>
    <s v="Battery Storage"/>
    <s v="Not Started"/>
    <m/>
    <n v="100"/>
    <n v="0"/>
    <n v="0"/>
    <n v="0"/>
  </r>
  <r>
    <s v="J3094"/>
    <x v="1"/>
    <d v="2022-09-15T00:00:00"/>
    <d v="2025-10-27T00:00:00"/>
    <m/>
    <d v="2026-09-30T00:00:00"/>
    <s v="DUKE ENERGY INDIANA, LLC"/>
    <s v="Washington"/>
    <m/>
    <m/>
    <s v="IN"/>
    <s v="DPP-2022"/>
    <s v="Central"/>
    <s v="Phase 2"/>
    <s v="NRIS"/>
    <s v="Pumpkin Center 230kV"/>
    <n v="115"/>
    <n v="115"/>
    <x v="5"/>
    <s v="Solar/Battery"/>
    <s v="Not Started"/>
    <m/>
    <n v="0"/>
    <n v="0"/>
    <n v="0"/>
    <n v="0"/>
  </r>
  <r>
    <s v="J3095"/>
    <x v="2"/>
    <d v="2022-09-13T00:00:00"/>
    <m/>
    <m/>
    <d v="2025-09-01T00:00:00"/>
    <m/>
    <s v="Ford"/>
    <m/>
    <m/>
    <s v="IL"/>
    <s v="DPP-2022"/>
    <s v="Central"/>
    <s v="Phase 2"/>
    <s v="NRIS"/>
    <s v="4PAXTON - 4J845POI 138.0kV"/>
    <n v="200"/>
    <n v="200"/>
    <x v="0"/>
    <s v="Photovoltaic"/>
    <s v="Not Started"/>
    <m/>
    <n v="200"/>
    <n v="200"/>
    <n v="0"/>
    <n v="0"/>
  </r>
  <r>
    <s v="J3096"/>
    <x v="1"/>
    <d v="2022-09-14T00:00:00"/>
    <d v="2025-10-27T00:00:00"/>
    <m/>
    <d v="2025-10-01T00:00:00"/>
    <s v="BIG RIVERS ELECTRIC CORPORATION"/>
    <s v="Henderson"/>
    <m/>
    <m/>
    <s v="KY"/>
    <s v="DPP-2022"/>
    <s v="Central"/>
    <s v="Phase 2"/>
    <s v="NRIS"/>
    <s v="Reid 161 kV to Henderson 161 kV"/>
    <n v="200"/>
    <n v="200"/>
    <x v="0"/>
    <s v="Photovoltaic"/>
    <s v="Not Started"/>
    <m/>
    <n v="0"/>
    <n v="0"/>
    <n v="0"/>
    <n v="0"/>
  </r>
  <r>
    <s v="J3097"/>
    <x v="1"/>
    <d v="2022-09-13T00:00:00"/>
    <d v="2025-07-30T00:00:00"/>
    <m/>
    <d v="2025-08-29T00:00:00"/>
    <s v="ENTERGY MISSISSIPPI, LLC."/>
    <s v="Amite"/>
    <m/>
    <m/>
    <s v="MS"/>
    <s v="DPP-2022"/>
    <s v="South"/>
    <s v="Phase 1"/>
    <s v="NRIS"/>
    <s v="Entergy Mississippi Gillsburg Tap - Gillsburg on the Amite - Gillsburg115 kV Line"/>
    <n v="150"/>
    <n v="150"/>
    <x v="5"/>
    <s v="Solar/Battery"/>
    <s v="Not Started"/>
    <m/>
    <n v="0"/>
    <n v="0"/>
    <n v="0"/>
    <n v="0"/>
  </r>
  <r>
    <s v="J3098"/>
    <x v="1"/>
    <d v="2022-09-14T00:00:00"/>
    <d v="2025-07-30T00:00:00"/>
    <m/>
    <d v="2027-04-15T00:00:00"/>
    <s v="ENTERGY LOUISIANA, LLC"/>
    <s v="Franklin"/>
    <m/>
    <m/>
    <s v="LA"/>
    <s v="DPP-2022"/>
    <s v="South"/>
    <s v="Phase 1"/>
    <s v="NRIS"/>
    <s v="RED GUM - WINNSBORO 115 kV (122.5,122.6,122.7)"/>
    <n v="75"/>
    <n v="75"/>
    <x v="0"/>
    <s v="Photovoltaic"/>
    <s v="Not Started"/>
    <m/>
    <n v="0"/>
    <n v="0"/>
    <n v="0"/>
    <n v="0"/>
  </r>
  <r>
    <s v="J3099"/>
    <x v="1"/>
    <d v="2022-09-14T00:00:00"/>
    <d v="2023-03-27T00:00:00"/>
    <m/>
    <d v="2027-06-15T00:00:00"/>
    <s v="ENTERGY ARKANSAS, LLC"/>
    <s v="Faulkner"/>
    <m/>
    <m/>
    <s v="AR"/>
    <s v="DPP-2022"/>
    <s v="South"/>
    <s v="Phase 1"/>
    <s v="ERIS"/>
    <s v="Hamlet to Gravel Ridge 161kV"/>
    <n v="100"/>
    <n v="100"/>
    <x v="0"/>
    <s v="Photovoltaic"/>
    <s v="Not Started"/>
    <m/>
    <n v="0"/>
    <n v="0"/>
    <n v="0"/>
    <n v="0"/>
  </r>
  <r>
    <s v="J310"/>
    <x v="1"/>
    <d v="2017-06-16T00:00:00"/>
    <d v="2019-02-11T00:00:00"/>
    <m/>
    <d v="2017-09-01T00:00:00"/>
    <s v="SOUTHERN MINNESOTA MUNICIPAL POWER AGENCY"/>
    <s v="Dodge County"/>
    <s v="Steele County"/>
    <m/>
    <s v="MN"/>
    <s v="DPP-2017-AUG"/>
    <s v="West"/>
    <s v="GIA"/>
    <s v="NRIS"/>
    <s v="West Owatonna-AL Corn Dist-Byron 161kV Line"/>
    <n v="200"/>
    <n v="200"/>
    <x v="1"/>
    <s v="Wind Turbine"/>
    <s v="Not Started"/>
    <m/>
    <n v="0"/>
    <n v="0"/>
    <n v="0"/>
    <n v="0"/>
  </r>
  <r>
    <s v="J3100"/>
    <x v="1"/>
    <d v="2022-09-14T00:00:00"/>
    <d v="2025-08-01T00:00:00"/>
    <m/>
    <d v="2025-09-15T00:00:00"/>
    <s v="METC"/>
    <s v="Roscommon"/>
    <m/>
    <m/>
    <s v="MI"/>
    <s v="DPP-2022"/>
    <s v="East (ITC)"/>
    <s v="Phase 1"/>
    <s v="NRIS"/>
    <s v="Higgins - Mio Dam 138 kV line"/>
    <n v="75"/>
    <n v="75"/>
    <x v="0"/>
    <s v="Photovoltaic"/>
    <s v="Not Started"/>
    <m/>
    <n v="0"/>
    <n v="0"/>
    <n v="0"/>
    <n v="0"/>
  </r>
  <r>
    <s v="J3101"/>
    <x v="1"/>
    <d v="2022-09-15T00:00:00"/>
    <d v="2023-06-13T00:00:00"/>
    <m/>
    <d v="2025-08-30T00:00:00"/>
    <s v="ENTERGY MISSISSIPPI, LLC."/>
    <s v="Sunflower"/>
    <m/>
    <m/>
    <s v="MS"/>
    <s v="DPP-2022"/>
    <s v="South"/>
    <s v="Phase 1"/>
    <s v="NRIS"/>
    <s v="Shaw-Indianola 115kV"/>
    <n v="20"/>
    <n v="20"/>
    <x v="0"/>
    <s v="Solar/Wind"/>
    <s v="Not Started"/>
    <m/>
    <n v="0"/>
    <n v="0"/>
    <n v="0"/>
    <n v="0"/>
  </r>
  <r>
    <s v="J3102"/>
    <x v="1"/>
    <d v="2022-09-15T00:00:00"/>
    <d v="2023-03-24T00:00:00"/>
    <m/>
    <d v="2025-08-30T00:00:00"/>
    <s v="AMEREN MISSOURI"/>
    <s v="Pemiscot"/>
    <m/>
    <m/>
    <s v="MO"/>
    <s v="DPP-2022"/>
    <s v="Central"/>
    <s v="Phase 2"/>
    <s v="NRIS"/>
    <s v="Dell to New Madrid 500kV line"/>
    <n v="500"/>
    <n v="500"/>
    <x v="5"/>
    <s v="Solar/Battery"/>
    <s v="Not Started"/>
    <m/>
    <n v="0"/>
    <n v="0"/>
    <n v="0"/>
    <n v="0"/>
  </r>
  <r>
    <s v="J3103"/>
    <x v="1"/>
    <d v="2022-06-22T00:00:00"/>
    <d v="2025-10-27T00:00:00"/>
    <m/>
    <d v="2026-06-01T00:00:00"/>
    <s v="DUKE ENERGY INDIANA, LLC"/>
    <s v="Fountain"/>
    <m/>
    <m/>
    <s v="IN"/>
    <s v="DPP-2022"/>
    <s v="Central"/>
    <s v="Phase 2"/>
    <s v="NRIS"/>
    <s v="Lafayette - Veedersburg West 230 kV"/>
    <n v="145"/>
    <n v="145"/>
    <x v="0"/>
    <s v="Photovoltaic"/>
    <s v="Not Started"/>
    <m/>
    <n v="0"/>
    <n v="0"/>
    <n v="0"/>
    <n v="0"/>
  </r>
  <r>
    <s v="J3104"/>
    <x v="1"/>
    <d v="2022-09-14T00:00:00"/>
    <d v="2025-07-30T00:00:00"/>
    <m/>
    <d v="2027-06-01T00:00:00"/>
    <s v="ENTERGY MISSISSIPPI, LLC."/>
    <s v="Hinds"/>
    <m/>
    <m/>
    <s v="MS"/>
    <s v="DPP-2022"/>
    <s v="South"/>
    <s v="Phase 1"/>
    <s v="NRIS"/>
    <s v="Tinnin Road 230kV Substation"/>
    <n v="85"/>
    <n v="85"/>
    <x v="0"/>
    <s v="Photovoltaic"/>
    <s v="Not Started"/>
    <m/>
    <n v="0"/>
    <n v="0"/>
    <n v="0"/>
    <n v="0"/>
  </r>
  <r>
    <s v="J3105"/>
    <x v="1"/>
    <d v="2022-09-15T00:00:00"/>
    <d v="2025-07-30T00:00:00"/>
    <m/>
    <d v="2025-08-30T00:00:00"/>
    <s v="ENTERGY LOUISIANA, LLC"/>
    <s v="Amite"/>
    <m/>
    <m/>
    <s v="MS"/>
    <s v="DPP-2022"/>
    <s v="South"/>
    <s v="Phase 1"/>
    <s v="NRIS"/>
    <s v="Franklin EHV -  McKnight 500 kV"/>
    <n v="400"/>
    <n v="400"/>
    <x v="5"/>
    <s v="Solar/Battery"/>
    <s v="Not Started"/>
    <m/>
    <n v="0"/>
    <n v="0"/>
    <n v="0"/>
    <n v="0"/>
  </r>
  <r>
    <s v="J3106"/>
    <x v="1"/>
    <d v="2022-09-15T00:00:00"/>
    <d v="2023-03-24T00:00:00"/>
    <m/>
    <d v="2025-08-30T00:00:00"/>
    <s v="AMEREN MISSOURI"/>
    <s v="Pemiscot"/>
    <m/>
    <m/>
    <s v="MO"/>
    <s v="DPP-2022"/>
    <s v="Central"/>
    <s v="Phase 2"/>
    <s v="NRIS"/>
    <s v="Dell to New Madrid 500 kV line"/>
    <n v="500"/>
    <n v="500"/>
    <x v="0"/>
    <s v="Solar/Battery"/>
    <s v="Not Started"/>
    <m/>
    <n v="0"/>
    <n v="0"/>
    <n v="0"/>
    <n v="0"/>
  </r>
  <r>
    <s v="J3107"/>
    <x v="2"/>
    <d v="2025-10-23T00:00:00"/>
    <m/>
    <m/>
    <d v="2025-08-01T00:00:00"/>
    <s v="MIDAMERICAN ENERGY CO. MEC"/>
    <s v="Johnson"/>
    <m/>
    <m/>
    <s v="IA"/>
    <s v="DPP-2022"/>
    <s v="West"/>
    <s v="Phase 1"/>
    <s v="NRIS"/>
    <s v="Enron Substation"/>
    <n v="150"/>
    <n v="150"/>
    <x v="0"/>
    <s v="Photovoltaic"/>
    <s v="Not Started"/>
    <m/>
    <n v="150"/>
    <n v="150"/>
    <n v="0"/>
    <n v="0"/>
  </r>
  <r>
    <s v="J3108"/>
    <x v="1"/>
    <d v="2022-09-15T00:00:00"/>
    <d v="2025-07-30T00:00:00"/>
    <m/>
    <d v="2026-06-30T00:00:00"/>
    <s v="COOPERATIVE ENERGY"/>
    <s v="Jasper"/>
    <m/>
    <m/>
    <s v="MS"/>
    <s v="DPP-2022"/>
    <s v="South"/>
    <s v="Phase 1"/>
    <s v="NRIS"/>
    <s v="Missionary 161kV Substation"/>
    <n v="180"/>
    <n v="180"/>
    <x v="5"/>
    <s v="Solar/Battery"/>
    <s v="Not Started"/>
    <m/>
    <n v="0"/>
    <n v="0"/>
    <n v="0"/>
    <n v="0"/>
  </r>
  <r>
    <s v="J3109"/>
    <x v="2"/>
    <d v="2022-09-15T00:00:00"/>
    <m/>
    <m/>
    <d v="2026-06-30T00:00:00"/>
    <s v="ENTERGY ARKANSAS, LLC EATO"/>
    <s v="Lonoke"/>
    <m/>
    <m/>
    <s v="AR"/>
    <s v="DPP-2022"/>
    <s v="South"/>
    <s v="Phase 1"/>
    <s v="NRIS"/>
    <s v="Taping the 'Carlisle / 3CARISLE! (338003)' to 'Screeton / 3SCREETON (338005)' 115kV line"/>
    <n v="120"/>
    <n v="120"/>
    <x v="5"/>
    <s v="Solar/Battery"/>
    <s v="Not Started"/>
    <m/>
    <n v="120"/>
    <n v="120"/>
    <n v="0"/>
    <n v="0"/>
  </r>
  <r>
    <s v="J3110"/>
    <x v="1"/>
    <d v="2022-09-15T00:00:00"/>
    <d v="2025-07-30T00:00:00"/>
    <m/>
    <d v="2026-06-30T00:00:00"/>
    <s v="ENTERGY ARKANSAS, LLC"/>
    <s v="Craighead"/>
    <m/>
    <m/>
    <s v="AR"/>
    <s v="DPP-2022"/>
    <s v="South"/>
    <s v="Phase 1"/>
    <s v="NRIS"/>
    <s v="Powerline Road / 8POWERLN_RD% (338156) 500kV Substation"/>
    <n v="400"/>
    <n v="400"/>
    <x v="5"/>
    <s v="Solar/Battery"/>
    <s v="Not Started"/>
    <m/>
    <n v="0"/>
    <n v="0"/>
    <n v="0"/>
    <n v="0"/>
  </r>
  <r>
    <s v="J3111"/>
    <x v="2"/>
    <d v="2022-09-15T00:00:00"/>
    <m/>
    <m/>
    <d v="2026-06-30T00:00:00"/>
    <s v="ENTERGY ARKANSAS, LLC EATO"/>
    <s v="Craighead"/>
    <m/>
    <m/>
    <s v="AR"/>
    <s v="DPP-2022"/>
    <s v="South"/>
    <s v="Phase 1"/>
    <s v="NRIS"/>
    <s v="AECC TRUMANN WEST - POWERLINE ROAD 161kv"/>
    <n v="100"/>
    <n v="100"/>
    <x v="5"/>
    <s v="Solar/Battery"/>
    <s v="Not Started"/>
    <m/>
    <n v="100"/>
    <n v="100"/>
    <n v="0"/>
    <n v="0"/>
  </r>
  <r>
    <s v="J3112"/>
    <x v="2"/>
    <d v="2022-09-15T00:00:00"/>
    <m/>
    <m/>
    <d v="2026-06-30T00:00:00"/>
    <s v="ENTERGY ARKANSAS, LLC EATO"/>
    <s v="Phillips"/>
    <m/>
    <m/>
    <s v="AR"/>
    <s v="DPP-2022"/>
    <s v="South"/>
    <s v="Phase 1"/>
    <s v="NRIS"/>
    <s v="Barton - West Helena 115kV"/>
    <n v="100"/>
    <n v="100"/>
    <x v="5"/>
    <s v="Solar/Battery"/>
    <s v="Not Started"/>
    <m/>
    <n v="100"/>
    <n v="100"/>
    <n v="0"/>
    <n v="0"/>
  </r>
  <r>
    <s v="J3113"/>
    <x v="1"/>
    <d v="2022-09-15T00:00:00"/>
    <d v="2022-12-06T00:00:00"/>
    <m/>
    <d v="2026-06-30T00:00:00"/>
    <s v="DUKE ENERGY INDIANA, LLC"/>
    <s v="Greene"/>
    <m/>
    <m/>
    <s v="IN"/>
    <s v="DPP-2022"/>
    <s v="Central"/>
    <s v="Phase 2"/>
    <s v="NRIS"/>
    <s v="Edwardsport IGCC - Amo 345kV"/>
    <n v="300"/>
    <n v="300"/>
    <x v="5"/>
    <s v="Solar/Battery"/>
    <s v="Not Started"/>
    <m/>
    <n v="0"/>
    <n v="0"/>
    <n v="0"/>
    <n v="0"/>
  </r>
  <r>
    <s v="J3114"/>
    <x v="2"/>
    <d v="2025-11-13T00:00:00"/>
    <m/>
    <m/>
    <d v="2026-06-30T00:00:00"/>
    <s v="HOOSIER ENERGY"/>
    <s v="Greene"/>
    <m/>
    <m/>
    <s v="IN"/>
    <s v="DPP-2022"/>
    <s v="Central"/>
    <s v="Phase 2"/>
    <s v="NRIS"/>
    <s v="Sandborn Primary - Worthington Primary 161.0kV"/>
    <n v="300"/>
    <n v="300"/>
    <x v="5"/>
    <s v="Solar/Battery"/>
    <s v="Not Started"/>
    <m/>
    <n v="300"/>
    <n v="300"/>
    <n v="0"/>
    <n v="0"/>
  </r>
  <r>
    <s v="J3115"/>
    <x v="1"/>
    <d v="2022-09-15T00:00:00"/>
    <d v="2025-07-30T00:00:00"/>
    <m/>
    <d v="2026-06-30T00:00:00"/>
    <s v="COOPERATIVE ENERGY"/>
    <s v="Sharkey"/>
    <m/>
    <m/>
    <s v="MS"/>
    <s v="DPP-2022"/>
    <s v="South"/>
    <s v="Phase 1"/>
    <s v="NRIS"/>
    <s v="Taping the 'Onward / 3ONWARD+ (336967)' to 'Rolling Fork / 3ROLING FRK! (336968)' 115kV line"/>
    <n v="216"/>
    <n v="216"/>
    <x v="5"/>
    <s v="Solar/Battery"/>
    <s v="Not Started"/>
    <m/>
    <n v="0"/>
    <n v="0"/>
    <n v="0"/>
    <n v="0"/>
  </r>
  <r>
    <s v="J3116"/>
    <x v="1"/>
    <d v="2022-09-15T00:00:00"/>
    <d v="2025-07-30T00:00:00"/>
    <m/>
    <d v="2026-06-30T00:00:00"/>
    <s v="ENTERGY ARKANSAS, LLC"/>
    <s v="Phillips"/>
    <m/>
    <m/>
    <s v="AR"/>
    <s v="DPP-2022"/>
    <s v="South"/>
    <s v="Phase 1"/>
    <s v="NRIS"/>
    <s v="Taping 'AECC Aubrey / 6AUBREY# (338885)' to 'Ritchie SES Switchyard / 6RITCHIE-2! (337991)' 230kV Li"/>
    <n v="200"/>
    <n v="200"/>
    <x v="5"/>
    <s v="Solar/Battery"/>
    <s v="Not Started"/>
    <m/>
    <n v="0"/>
    <n v="0"/>
    <n v="0"/>
    <n v="0"/>
  </r>
  <r>
    <s v="J3117"/>
    <x v="1"/>
    <d v="2022-09-15T00:00:00"/>
    <d v="2025-07-30T00:00:00"/>
    <m/>
    <d v="2026-06-30T00:00:00"/>
    <s v="ENTERGY ARKANSAS, LLC"/>
    <s v="Clay"/>
    <m/>
    <m/>
    <s v="AR"/>
    <s v="DPP-2022"/>
    <s v="South"/>
    <s v="Phase 1"/>
    <s v="NRIS"/>
    <s v="Taping the 'Texas Eastern Station 8 / ST.E.P/ S-8 (338229)' to 'McDougal / 5MCDOUGAL# (338695)' 161k"/>
    <n v="200"/>
    <n v="200"/>
    <x v="5"/>
    <s v="Solar/Battery"/>
    <s v="Not Started"/>
    <m/>
    <n v="0"/>
    <n v="0"/>
    <n v="0"/>
    <n v="0"/>
  </r>
  <r>
    <s v="J3118"/>
    <x v="2"/>
    <d v="2022-09-15T00:00:00"/>
    <m/>
    <m/>
    <d v="2026-06-30T00:00:00"/>
    <m/>
    <s v="Morehouse"/>
    <m/>
    <m/>
    <s v="LA"/>
    <s v="DPP-2022"/>
    <s v="South"/>
    <s v="Phase 1"/>
    <s v="NRIS"/>
    <s v="Taping the 'Galion / 3GALION (337444)' to 'Oak Grove / 3OAK_GROVE! (337445)' 115kV line"/>
    <n v="160"/>
    <n v="160"/>
    <x v="5"/>
    <s v="Solar/Battery"/>
    <s v="Not Started"/>
    <m/>
    <n v="160"/>
    <n v="160"/>
    <n v="0"/>
    <n v="0"/>
  </r>
  <r>
    <s v="J3119"/>
    <x v="1"/>
    <d v="2022-09-15T00:00:00"/>
    <d v="2022-12-06T00:00:00"/>
    <m/>
    <d v="2026-06-30T00:00:00"/>
    <s v="NORTHERN INDIANA PUBLIC SERVICE COMPANY LLC"/>
    <s v="Pulaski"/>
    <m/>
    <m/>
    <s v="IN"/>
    <s v="DPP-2022"/>
    <s v="Central"/>
    <s v="Phase 2"/>
    <s v="NRIS"/>
    <s v="Taping 'Reynolds / 17REYNOLDS (255205)' to 'Burr Oak / 17BURR_OAK (255101)' 22.4mi from Reynolds 345"/>
    <n v="350"/>
    <n v="350"/>
    <x v="5"/>
    <s v="Solar/Battery"/>
    <s v="Not Started"/>
    <m/>
    <n v="0"/>
    <n v="0"/>
    <n v="0"/>
    <n v="0"/>
  </r>
  <r>
    <s v="J3120"/>
    <x v="2"/>
    <d v="2022-09-15T00:00:00"/>
    <m/>
    <m/>
    <d v="2026-06-30T00:00:00"/>
    <s v="ENTERGY ARKANSAS, LLC EATO"/>
    <s v="Jackson"/>
    <m/>
    <m/>
    <s v="AR"/>
    <s v="DPP-2022"/>
    <s v="South"/>
    <s v="Phase 1"/>
    <s v="NRIS"/>
    <s v="Taping 'Newport AB / NEWPORTSOLAR (338177)' to 'Cash / 5CASH (338171)' 161kV Line."/>
    <n v="200"/>
    <n v="200"/>
    <x v="5"/>
    <s v="Solar/Battery"/>
    <s v="Not Started"/>
    <m/>
    <n v="200"/>
    <n v="200"/>
    <n v="0"/>
    <n v="0"/>
  </r>
  <r>
    <s v="J3121"/>
    <x v="1"/>
    <d v="2022-09-15T00:00:00"/>
    <d v="2023-03-24T00:00:00"/>
    <m/>
    <d v="2027-06-01T00:00:00"/>
    <s v="DUKE ENERGY INDIANA, LLC"/>
    <s v="Wayne"/>
    <m/>
    <m/>
    <s v="IN"/>
    <s v="DPP-2022"/>
    <s v="Central"/>
    <s v="Phase 2"/>
    <s v="NRIS"/>
    <s v="Centerville 69 kV Substation"/>
    <n v="50"/>
    <n v="50"/>
    <x v="5"/>
    <s v="Solar/Battery"/>
    <s v="Not Started"/>
    <m/>
    <n v="0"/>
    <n v="0"/>
    <n v="0"/>
    <n v="0"/>
  </r>
  <r>
    <s v="J3122"/>
    <x v="2"/>
    <d v="2022-09-14T00:00:00"/>
    <m/>
    <m/>
    <d v="2029-10-01T00:00:00"/>
    <s v="ENTERGY ARKANSAS, LLC EATO"/>
    <s v="Crittenden"/>
    <m/>
    <m/>
    <s v="AR"/>
    <s v="DPP-2022"/>
    <s v="South"/>
    <s v="Phase 1"/>
    <s v="NRIS"/>
    <s v="Marked Tree √¢‚Ç¨‚Äú Marion 161kV Tap at 35.3902, -90.3372"/>
    <n v="200"/>
    <n v="200"/>
    <x v="5"/>
    <s v="Wind/Battery"/>
    <s v="Not Started"/>
    <m/>
    <n v="200"/>
    <n v="0"/>
    <n v="0"/>
    <n v="0"/>
  </r>
  <r>
    <s v="J3123"/>
    <x v="1"/>
    <d v="2022-09-14T00:00:00"/>
    <d v="2023-03-24T00:00:00"/>
    <m/>
    <d v="2026-10-01T00:00:00"/>
    <s v="ENTERGY TEXAS, INC."/>
    <s v="Orange"/>
    <m/>
    <m/>
    <s v="TX"/>
    <s v="DPP-2022"/>
    <s v="South"/>
    <s v="Phase 1"/>
    <s v="NRIS"/>
    <s v="Chisholm RD- Hartburg 230kV"/>
    <n v="150"/>
    <n v="150"/>
    <x v="2"/>
    <s v="Battery Storage"/>
    <s v="Not Started"/>
    <m/>
    <n v="0"/>
    <n v="0"/>
    <n v="0"/>
    <n v="0"/>
  </r>
  <r>
    <s v="J3124"/>
    <x v="2"/>
    <d v="2022-09-14T00:00:00"/>
    <m/>
    <m/>
    <d v="2026-08-31T00:00:00"/>
    <m/>
    <s v="Saginaw"/>
    <m/>
    <m/>
    <s v="MI"/>
    <s v="DPP-2022"/>
    <s v="East (ITC)"/>
    <s v="Phase 1"/>
    <s v="NRIS"/>
    <s v="Murphy 345 kV Substation"/>
    <n v="120"/>
    <n v="120"/>
    <x v="0"/>
    <s v="Photovoltaic"/>
    <s v="Not Started"/>
    <m/>
    <n v="120"/>
    <n v="120"/>
    <n v="0"/>
    <n v="0"/>
  </r>
  <r>
    <s v="J3125"/>
    <x v="1"/>
    <d v="2022-09-14T00:00:00"/>
    <d v="2025-10-27T00:00:00"/>
    <m/>
    <d v="2027-06-01T00:00:00"/>
    <s v="NORTHERN STATES POWER COMPANY"/>
    <s v="Cottonwood"/>
    <m/>
    <m/>
    <s v="MN"/>
    <s v="DPP-2022"/>
    <s v="West"/>
    <s v="Phase 1"/>
    <s v="NRIS"/>
    <s v="Crandall 345 kV Substation"/>
    <n v="289"/>
    <n v="289"/>
    <x v="5"/>
    <s v="Wind Turbine"/>
    <s v="Not Started"/>
    <m/>
    <n v="0"/>
    <n v="0"/>
    <n v="0"/>
    <n v="0"/>
  </r>
  <r>
    <s v="J3126"/>
    <x v="1"/>
    <d v="2022-09-14T00:00:00"/>
    <d v="2025-07-30T00:00:00"/>
    <m/>
    <d v="2026-10-01T00:00:00"/>
    <s v="ENTERGY MISSISSIPPI, LLC."/>
    <s v="Washington"/>
    <m/>
    <m/>
    <s v="MS"/>
    <s v="DPP-2022"/>
    <s v="South"/>
    <s v="Phase 1"/>
    <s v="NRIS"/>
    <s v="Stringtown-Greenville/North 115kV Transmission Line"/>
    <n v="200"/>
    <n v="200"/>
    <x v="0"/>
    <s v="Photovoltaic"/>
    <s v="Not Started"/>
    <m/>
    <n v="0"/>
    <n v="0"/>
    <n v="0"/>
    <n v="0"/>
  </r>
  <r>
    <s v="J3127"/>
    <x v="1"/>
    <d v="2022-09-15T00:00:00"/>
    <d v="2023-03-24T00:00:00"/>
    <m/>
    <d v="2026-10-01T00:00:00"/>
    <s v="ENTERGY ARKANSAS, LLC"/>
    <s v="Monroe"/>
    <m/>
    <m/>
    <s v="AR"/>
    <s v="DPP-2022"/>
    <s v="South"/>
    <s v="Phase 1"/>
    <s v="NRIS"/>
    <s v="Brinkley East - Clarendon 115 kV"/>
    <n v="160"/>
    <n v="160"/>
    <x v="0"/>
    <s v="Photovoltaic"/>
    <s v="Not Started"/>
    <m/>
    <n v="0"/>
    <n v="0"/>
    <n v="0"/>
    <n v="0"/>
  </r>
  <r>
    <s v="J3128"/>
    <x v="2"/>
    <d v="2022-09-15T00:00:00"/>
    <m/>
    <m/>
    <d v="2026-10-01T00:00:00"/>
    <s v="ELECTRIC AVENUE LLC"/>
    <s v="East Feliciana"/>
    <m/>
    <m/>
    <s v="LA"/>
    <s v="DPP-2022"/>
    <s v="South"/>
    <s v="Phase 1"/>
    <s v="NRIS"/>
    <s v="Starhill Substation 138 kV"/>
    <n v="100"/>
    <n v="100"/>
    <x v="0"/>
    <s v="Photovoltaic"/>
    <s v="Not Started"/>
    <m/>
    <n v="100"/>
    <n v="100"/>
    <n v="0"/>
    <n v="0"/>
  </r>
  <r>
    <s v="J3129"/>
    <x v="1"/>
    <d v="2022-09-15T00:00:00"/>
    <d v="2023-03-24T00:00:00"/>
    <m/>
    <d v="2026-10-01T00:00:00"/>
    <s v="ENTERGY LOUISIANA, LLC"/>
    <s v="East Feliciana"/>
    <m/>
    <m/>
    <s v="LA"/>
    <s v="DPP-2022"/>
    <s v="South"/>
    <s v="Phase 1"/>
    <s v="NRIS"/>
    <s v="Starhill 138 kV Substation"/>
    <n v="50"/>
    <n v="50"/>
    <x v="2"/>
    <s v="Battery Storage"/>
    <s v="Not Started"/>
    <m/>
    <n v="0"/>
    <n v="0"/>
    <n v="0"/>
    <n v="0"/>
  </r>
  <r>
    <s v="J3130"/>
    <x v="2"/>
    <d v="2022-09-09T00:00:00"/>
    <m/>
    <m/>
    <d v="2026-06-30T00:00:00"/>
    <s v="AMEREN ILLINOIS"/>
    <s v="Marion"/>
    <m/>
    <m/>
    <s v="IL"/>
    <s v="DPP-2022"/>
    <s v="Central"/>
    <s v="Phase 2"/>
    <s v="NRIS"/>
    <s v="Kinmundy to Salem 138 kV"/>
    <n v="100"/>
    <n v="100"/>
    <x v="0"/>
    <s v="Photovoltaic"/>
    <s v="Not Started"/>
    <m/>
    <n v="100"/>
    <n v="100"/>
    <n v="0"/>
    <n v="0"/>
  </r>
  <r>
    <s v="J3131"/>
    <x v="2"/>
    <d v="2022-09-14T00:00:00"/>
    <m/>
    <m/>
    <d v="2026-06-30T00:00:00"/>
    <s v="ENTERGY ARKANSAS, LLC EATO"/>
    <s v="Columbia"/>
    <m/>
    <m/>
    <s v="AR"/>
    <s v="DPP-2022"/>
    <s v="South"/>
    <s v="Phase 1"/>
    <s v="NRIS"/>
    <s v="El Dorado EHV - Sarepta 345/115KV SW STA 345 kV"/>
    <n v="300"/>
    <n v="300"/>
    <x v="0"/>
    <s v="Photovoltaic"/>
    <s v="Not Started"/>
    <m/>
    <n v="300"/>
    <n v="0"/>
    <n v="0"/>
    <n v="0"/>
  </r>
  <r>
    <s v="J3132"/>
    <x v="1"/>
    <d v="2022-09-14T00:00:00"/>
    <d v="2025-07-30T00:00:00"/>
    <m/>
    <d v="2026-06-30T00:00:00"/>
    <s v="ENTERGY ARKANSAS, LLC"/>
    <s v="Columbia"/>
    <m/>
    <m/>
    <s v="AR"/>
    <s v="DPP-2022"/>
    <s v="South"/>
    <s v="Phase 1"/>
    <s v="NRIS"/>
    <s v="El Dorado EHV - Sarepta 345/115KV SW STA 345 kV"/>
    <n v="150"/>
    <n v="150"/>
    <x v="2"/>
    <s v="Battery Storage"/>
    <s v="Not Started"/>
    <m/>
    <n v="0"/>
    <n v="0"/>
    <n v="0"/>
    <n v="0"/>
  </r>
  <r>
    <s v="J3133"/>
    <x v="2"/>
    <d v="2022-09-14T00:00:00"/>
    <m/>
    <m/>
    <d v="2026-08-31T00:00:00"/>
    <m/>
    <s v="Saginaw"/>
    <m/>
    <m/>
    <s v="MI"/>
    <s v="DPP-2022"/>
    <s v="East (ITC)"/>
    <s v="Phase 1"/>
    <s v="NRIS"/>
    <s v="Murphy to Nelson Road 345 kV"/>
    <n v="120"/>
    <n v="120"/>
    <x v="2"/>
    <s v="Battery Storage"/>
    <s v="Not Started"/>
    <m/>
    <n v="120"/>
    <n v="120"/>
    <n v="0"/>
    <n v="0"/>
  </r>
  <r>
    <s v="J3134"/>
    <x v="2"/>
    <d v="2022-09-15T00:00:00"/>
    <m/>
    <m/>
    <d v="2025-06-30T00:00:00"/>
    <s v="WOLVERINE POWER SUPPLY COOPERATIVE"/>
    <s v="Otsego"/>
    <m/>
    <m/>
    <s v="MI"/>
    <s v="DPP-2022"/>
    <s v="East (ITC)"/>
    <s v="Phase 1"/>
    <s v="NRIS"/>
    <s v="Gaylord Interconnection"/>
    <n v="150"/>
    <n v="150"/>
    <x v="0"/>
    <s v="Photovoltaic"/>
    <s v="Not Started"/>
    <m/>
    <n v="150"/>
    <n v="0"/>
    <n v="0"/>
    <n v="0"/>
  </r>
  <r>
    <s v="J3135"/>
    <x v="1"/>
    <d v="2022-09-15T00:00:00"/>
    <d v="2025-10-27T00:00:00"/>
    <m/>
    <d v="2026-07-31T00:00:00"/>
    <s v="AMEREN ILLINOIS"/>
    <s v="Perry"/>
    <m/>
    <m/>
    <s v="IL"/>
    <s v="DPP-2022"/>
    <s v="Central"/>
    <s v="Phase 2"/>
    <s v="NRIS"/>
    <s v="Commodore-Aster-4513"/>
    <n v="200"/>
    <n v="200"/>
    <x v="0"/>
    <s v="Photovoltaic"/>
    <s v="Not Started"/>
    <m/>
    <n v="0"/>
    <n v="0"/>
    <n v="0"/>
    <n v="0"/>
  </r>
  <r>
    <s v="J3136"/>
    <x v="1"/>
    <d v="2022-09-13T00:00:00"/>
    <d v="2025-10-27T00:00:00"/>
    <m/>
    <d v="2026-11-01T00:00:00"/>
    <s v="HOOSIER ENERGY"/>
    <s v="Daviess"/>
    <m/>
    <m/>
    <s v="IN"/>
    <s v="DPP-2022"/>
    <s v="Central"/>
    <s v="Phase 2"/>
    <s v="NRIS"/>
    <s v="Hoosier's Sandborn - Grain Processing Center 161kV (GPC Primary - Sandborn Primary)"/>
    <n v="100"/>
    <n v="100"/>
    <x v="5"/>
    <s v="Solar/Battery"/>
    <s v="Not Started"/>
    <m/>
    <n v="0"/>
    <n v="0"/>
    <n v="0"/>
    <n v="0"/>
  </r>
  <r>
    <s v="J3137"/>
    <x v="2"/>
    <d v="2025-10-17T00:00:00"/>
    <m/>
    <m/>
    <d v="2026-05-01T00:00:00"/>
    <s v="MIDAMERICAN ENERGY CO. MEC"/>
    <s v="Pocahontas"/>
    <m/>
    <m/>
    <s v="IA"/>
    <s v="DPP-2022"/>
    <s v="West"/>
    <s v="Phase 1"/>
    <s v="ERIS"/>
    <s v="Sac - Pocahontas 161 kV"/>
    <n v="156.30000000000001"/>
    <n v="156.30000000000001"/>
    <x v="0"/>
    <s v="Photovoltaic"/>
    <s v="Not Started"/>
    <m/>
    <n v="156.30000000000001"/>
    <n v="0"/>
    <n v="0"/>
    <n v="0"/>
  </r>
  <r>
    <s v="J3138"/>
    <x v="1"/>
    <d v="2022-09-15T00:00:00"/>
    <d v="2025-07-30T00:00:00"/>
    <m/>
    <d v="2026-09-30T00:00:00"/>
    <s v="CLECO POWER LLC"/>
    <s v="Rapides"/>
    <m/>
    <m/>
    <s v="LA"/>
    <s v="DPP-2022"/>
    <s v="South"/>
    <s v="Phase 1"/>
    <s v="NRIS"/>
    <s v="Rapides 230kV Substation"/>
    <n v="49.3"/>
    <n v="49.3"/>
    <x v="0"/>
    <s v="Photovoltaic"/>
    <s v="Not Started"/>
    <m/>
    <n v="0"/>
    <n v="0"/>
    <n v="0"/>
    <n v="0"/>
  </r>
  <r>
    <s v="J3139"/>
    <x v="4"/>
    <d v="2022-09-13T00:00:00"/>
    <m/>
    <m/>
    <d v="2026-06-30T00:00:00"/>
    <s v="ENTERGY MISSISSIPPI, LLC. EMTO"/>
    <s v="Holmes"/>
    <m/>
    <m/>
    <s v="MS"/>
    <s v="DPP-2022"/>
    <s v="South"/>
    <s v="Phase 1"/>
    <s v="NRIS"/>
    <s v="Pickens 230 kV Substation"/>
    <n v="225"/>
    <n v="225"/>
    <x v="0"/>
    <s v="Photovoltaic"/>
    <s v="Not Started"/>
    <m/>
    <n v="225"/>
    <n v="225"/>
    <n v="0"/>
    <n v="0"/>
  </r>
  <r>
    <s v="J3140"/>
    <x v="2"/>
    <d v="2022-09-14T00:00:00"/>
    <m/>
    <m/>
    <d v="2026-08-31T00:00:00"/>
    <s v="NORTHERN INDIANA PUBLIC SERVICE COMPANY LLC NIPS"/>
    <s v="Porter"/>
    <m/>
    <m/>
    <s v="IN"/>
    <s v="DPP-2022"/>
    <s v="Central"/>
    <s v="Phase 2"/>
    <s v="NRIS"/>
    <s v="South Valparaiso 138 kV Substation"/>
    <n v="50"/>
    <n v="50"/>
    <x v="2"/>
    <s v="Battery Storage"/>
    <s v="Not Started"/>
    <m/>
    <n v="50"/>
    <n v="50"/>
    <n v="0"/>
    <n v="0"/>
  </r>
  <r>
    <s v="J3141"/>
    <x v="2"/>
    <d v="2022-09-14T00:00:00"/>
    <m/>
    <m/>
    <d v="2026-10-01T00:00:00"/>
    <s v="ENTERGY ARKANSAS, LLC EATO"/>
    <s v="Phillips"/>
    <m/>
    <m/>
    <s v="AR"/>
    <s v="DPP-2022"/>
    <s v="South"/>
    <s v="Phase 1"/>
    <s v="NRIS"/>
    <s v="Ritchie Plant Substation 230kV"/>
    <n v="100"/>
    <n v="100"/>
    <x v="0"/>
    <s v="Photovoltaic"/>
    <s v="Not Started"/>
    <m/>
    <n v="100"/>
    <n v="100"/>
    <n v="0"/>
    <n v="0"/>
  </r>
  <r>
    <s v="J3142"/>
    <x v="1"/>
    <d v="2022-09-15T00:00:00"/>
    <d v="2025-10-27T00:00:00"/>
    <m/>
    <d v="2027-07-01T00:00:00"/>
    <s v="DUKE ENERGY INDIANA, LLC"/>
    <s v="Johnson"/>
    <m/>
    <m/>
    <s v="IN"/>
    <s v="DPP-2022"/>
    <s v="Central"/>
    <s v="Phase 2"/>
    <s v="NRIS"/>
    <s v="Circuit ID# 6950 - Columbus North (08COLNRT) - Franklin Forsythe St (08FRSYTH)"/>
    <n v="50"/>
    <n v="50"/>
    <x v="0"/>
    <s v="Photovoltaic"/>
    <s v="Not Started"/>
    <m/>
    <n v="0"/>
    <n v="0"/>
    <n v="0"/>
    <n v="0"/>
  </r>
  <r>
    <s v="J3143"/>
    <x v="1"/>
    <d v="2022-09-13T00:00:00"/>
    <d v="2025-10-27T00:00:00"/>
    <m/>
    <d v="2027-07-01T00:00:00"/>
    <s v="DUKE ENERGY INDIANA, LLC"/>
    <s v="Putnam"/>
    <m/>
    <m/>
    <s v="IN"/>
    <s v="DPP-2022"/>
    <s v="Central"/>
    <s v="Phase 2"/>
    <s v="NRIS"/>
    <s v="Jackson Township (08JCKSN_TWNS) - Heritage Lake (08HERITL)"/>
    <n v="50"/>
    <n v="50"/>
    <x v="0"/>
    <s v="Photovoltaic"/>
    <s v="Not Started"/>
    <m/>
    <n v="0"/>
    <n v="0"/>
    <n v="0"/>
    <n v="0"/>
  </r>
  <r>
    <s v="J3144"/>
    <x v="2"/>
    <d v="2022-09-14T00:00:00"/>
    <m/>
    <m/>
    <d v="2027-07-01T00:00:00"/>
    <s v="DUKE ENERGY INDIANA, LLC CIN"/>
    <s v="Putnam"/>
    <m/>
    <m/>
    <s v="IN"/>
    <s v="DPP-2022"/>
    <s v="Central"/>
    <s v="Phase 2"/>
    <s v="NRIS"/>
    <s v="Edwardsport IGCC - Amo 345.0kV"/>
    <n v="150"/>
    <n v="150"/>
    <x v="0"/>
    <s v="Photovoltaic"/>
    <s v="Not Started"/>
    <m/>
    <n v="150"/>
    <n v="150"/>
    <n v="0"/>
    <n v="0"/>
  </r>
  <r>
    <s v="J3145"/>
    <x v="2"/>
    <d v="2022-09-14T00:00:00"/>
    <m/>
    <m/>
    <d v="2027-07-01T00:00:00"/>
    <s v="DUKE ENERGY INDIANA, LLC CIN"/>
    <s v="Putnam"/>
    <m/>
    <m/>
    <s v="IN"/>
    <s v="DPP-2022"/>
    <s v="Central"/>
    <s v="Phase 2"/>
    <s v="NRIS"/>
    <s v="Edwardsport IGCC - Amo 345.0kV"/>
    <n v="150"/>
    <n v="150"/>
    <x v="0"/>
    <s v="Photovoltaic"/>
    <s v="Not Started"/>
    <m/>
    <n v="150"/>
    <n v="150"/>
    <n v="0"/>
    <n v="0"/>
  </r>
  <r>
    <s v="J3146"/>
    <x v="1"/>
    <d v="2022-09-14T00:00:00"/>
    <d v="2025-10-27T00:00:00"/>
    <m/>
    <d v="2027-07-01T00:00:00"/>
    <s v="DUKE ENERGY INDIANA, LLC"/>
    <s v="Putnam"/>
    <m/>
    <m/>
    <s v="IN"/>
    <s v="DPP-2022"/>
    <s v="Central"/>
    <s v="Phase 2"/>
    <s v="NRIS"/>
    <s v="Amo - Wheatland Line"/>
    <n v="200"/>
    <n v="200"/>
    <x v="0"/>
    <s v="Photovoltaic"/>
    <s v="Not Started"/>
    <m/>
    <n v="0"/>
    <n v="0"/>
    <n v="0"/>
    <n v="0"/>
  </r>
  <r>
    <s v="J3147"/>
    <x v="1"/>
    <d v="2022-09-14T00:00:00"/>
    <d v="2025-10-27T00:00:00"/>
    <m/>
    <d v="2027-07-01T00:00:00"/>
    <s v="DUKE ENERGY INDIANA, LLC"/>
    <s v="Johnson"/>
    <m/>
    <m/>
    <s v="IN"/>
    <s v="DPP-2022"/>
    <s v="Central"/>
    <s v="Phase 2"/>
    <s v="NRIS"/>
    <s v="Trafalgar Switchyard (08TRFLGJ)"/>
    <n v="50"/>
    <n v="50"/>
    <x v="0"/>
    <s v="Photovoltaic"/>
    <s v="Not Started"/>
    <m/>
    <n v="0"/>
    <n v="0"/>
    <n v="0"/>
    <n v="0"/>
  </r>
  <r>
    <s v="J3148"/>
    <x v="1"/>
    <d v="2022-09-14T00:00:00"/>
    <d v="2025-10-27T00:00:00"/>
    <m/>
    <d v="2027-07-01T00:00:00"/>
    <s v="MIDAMERICAN ENERGY CO."/>
    <s v="Greene"/>
    <m/>
    <m/>
    <s v="IA"/>
    <s v="DPP-2022"/>
    <s v="West"/>
    <s v="Phase 1"/>
    <s v="NRIS"/>
    <s v="Drager to Grand Junction"/>
    <n v="131"/>
    <n v="131"/>
    <x v="0"/>
    <s v="Photovoltaic"/>
    <s v="Not Started"/>
    <m/>
    <n v="0"/>
    <n v="0"/>
    <n v="0"/>
    <n v="0"/>
  </r>
  <r>
    <s v="J3149"/>
    <x v="1"/>
    <d v="2022-09-14T00:00:00"/>
    <d v="2025-10-27T00:00:00"/>
    <m/>
    <d v="2027-07-01T00:00:00"/>
    <s v="MIDAMERICAN ENERGY CO."/>
    <s v="Mills"/>
    <m/>
    <m/>
    <s v="IA"/>
    <s v="DPP-2022"/>
    <s v="West"/>
    <s v="Phase 1"/>
    <s v="NRIS"/>
    <s v="Hastings to Bunge"/>
    <n v="80"/>
    <n v="80"/>
    <x v="0"/>
    <s v="Photovoltaic"/>
    <s v="Not Started"/>
    <m/>
    <n v="0"/>
    <n v="0"/>
    <n v="0"/>
    <n v="0"/>
  </r>
  <r>
    <s v="J3150"/>
    <x v="1"/>
    <d v="2022-09-14T00:00:00"/>
    <d v="2025-07-30T00:00:00"/>
    <m/>
    <d v="2027-07-01T00:00:00"/>
    <s v="ENTERGY MISSISSIPPI, LLC."/>
    <s v="Panola"/>
    <m/>
    <m/>
    <s v="MS"/>
    <s v="DPP-2022"/>
    <s v="Central"/>
    <s v="Phase 2"/>
    <s v="NRIS"/>
    <s v="Crenshaw to Como"/>
    <n v="100"/>
    <n v="100"/>
    <x v="0"/>
    <s v="Photovoltaic"/>
    <s v="Not Started"/>
    <m/>
    <n v="0"/>
    <n v="0"/>
    <n v="0"/>
    <n v="0"/>
  </r>
  <r>
    <s v="J3151"/>
    <x v="2"/>
    <d v="2022-09-15T00:00:00"/>
    <m/>
    <m/>
    <d v="2025-09-01T00:00:00"/>
    <s v="AMERICAN TRANSMISSION COMPANY"/>
    <s v="Sheboygan"/>
    <m/>
    <m/>
    <s v="WI"/>
    <s v="DPP-2022"/>
    <s v="East (ATC)"/>
    <s v="Phase 1"/>
    <s v="NRIS"/>
    <s v="Sheboygan Falls"/>
    <n v="150"/>
    <n v="150"/>
    <x v="3"/>
    <s v="Combustion Turbine (Simple Cycle)"/>
    <s v="Not Started"/>
    <m/>
    <n v="150"/>
    <n v="150"/>
    <n v="0"/>
    <n v="0"/>
  </r>
  <r>
    <s v="J3152"/>
    <x v="2"/>
    <d v="2022-09-15T00:00:00"/>
    <m/>
    <m/>
    <d v="2027-04-01T00:00:00"/>
    <s v="AMERICAN TRANSMISSION COMPANY"/>
    <s v="Green"/>
    <m/>
    <m/>
    <s v="WI"/>
    <s v="DPP-2022"/>
    <s v="East (ATC)"/>
    <s v="Phase 1"/>
    <s v="NRIS"/>
    <s v="North Monroe"/>
    <n v="160"/>
    <n v="160"/>
    <x v="3"/>
    <s v="Piston (Engine), Internal Combustion (Diesel)"/>
    <s v="Not Started"/>
    <m/>
    <n v="160"/>
    <n v="160"/>
    <n v="0"/>
    <n v="0"/>
  </r>
  <r>
    <s v="J3153"/>
    <x v="2"/>
    <d v="2022-09-15T00:00:00"/>
    <m/>
    <m/>
    <d v="2027-04-01T00:00:00"/>
    <s v="ITC MIDWEST"/>
    <s v="Clinton"/>
    <m/>
    <m/>
    <s v="IA"/>
    <s v="DPP-2022"/>
    <s v="West"/>
    <s v="Phase 1"/>
    <s v="NRIS"/>
    <s v="Beaver Channel 161 kV Substation"/>
    <n v="160"/>
    <n v="160"/>
    <x v="3"/>
    <s v="Piston (Engine), Internal Combustion (Diesel)"/>
    <s v="Not Started"/>
    <m/>
    <n v="160"/>
    <n v="160"/>
    <n v="0"/>
    <n v="0"/>
  </r>
  <r>
    <s v="J3154"/>
    <x v="2"/>
    <d v="2022-09-15T00:00:00"/>
    <m/>
    <m/>
    <d v="2027-04-01T00:00:00"/>
    <s v="ITC MIDWEST"/>
    <s v="Franklin"/>
    <m/>
    <m/>
    <s v="IA"/>
    <s v="DPP-2022"/>
    <s v="West"/>
    <s v="Phase 1"/>
    <s v="NRIS"/>
    <s v="Blackhawk (MEC) - Quinn 345 (shared POI with J2892)"/>
    <n v="160"/>
    <n v="160"/>
    <x v="3"/>
    <s v="Piston (Engine), Internal Combustion (Diesel)"/>
    <s v="Not Started"/>
    <m/>
    <n v="160"/>
    <n v="160"/>
    <n v="0"/>
    <n v="0"/>
  </r>
  <r>
    <s v="J3155"/>
    <x v="2"/>
    <d v="2022-09-15T00:00:00"/>
    <m/>
    <m/>
    <d v="2025-09-01T00:00:00"/>
    <s v="AMERICAN TRANSMISSION COMPANY"/>
    <s v="Winnebago"/>
    <m/>
    <m/>
    <s v="WI"/>
    <s v="DPP-2022"/>
    <s v="East (ATC)"/>
    <s v="Phase 1"/>
    <s v="NRIS"/>
    <s v="Neevin"/>
    <n v="150"/>
    <n v="150"/>
    <x v="3"/>
    <s v="Combustion Turbine (Simple Cycle)"/>
    <s v="Not Started"/>
    <m/>
    <n v="150"/>
    <n v="150"/>
    <n v="0"/>
    <n v="0"/>
  </r>
  <r>
    <s v="J3156"/>
    <x v="2"/>
    <d v="2022-09-15T00:00:00"/>
    <m/>
    <m/>
    <d v="2026-08-01T00:00:00"/>
    <s v="AMERICAN TRANSMISSION COMPANY"/>
    <s v="Rock"/>
    <m/>
    <m/>
    <s v="WI"/>
    <s v="DPP-2022"/>
    <s v="East (ATC)"/>
    <s v="Phase 1"/>
    <s v="NRIS"/>
    <s v="Townline Road"/>
    <n v="100"/>
    <n v="100"/>
    <x v="3"/>
    <s v="Combined Cycle"/>
    <s v="Not Started"/>
    <m/>
    <n v="100"/>
    <n v="100"/>
    <n v="0"/>
    <n v="0"/>
  </r>
  <r>
    <s v="J3157"/>
    <x v="2"/>
    <d v="2022-09-15T00:00:00"/>
    <m/>
    <m/>
    <d v="2024-12-31T00:00:00"/>
    <s v="ITC MIDWEST"/>
    <s v="Winnebago"/>
    <m/>
    <m/>
    <s v="IA"/>
    <s v="DPP-2022"/>
    <s v="West"/>
    <s v="Phase 1"/>
    <s v="NRIS-Only"/>
    <s v="Bison"/>
    <n v="100"/>
    <n v="100"/>
    <x v="1"/>
    <s v="Wind Turbine"/>
    <s v="Not Started"/>
    <m/>
    <n v="0"/>
    <n v="100"/>
    <n v="0"/>
    <n v="0"/>
  </r>
  <r>
    <s v="J3158"/>
    <x v="2"/>
    <d v="2022-09-14T00:00:00"/>
    <m/>
    <m/>
    <d v="2027-06-30T00:00:00"/>
    <s v="ITC MIDWEST"/>
    <s v="Cerro Gordo"/>
    <m/>
    <m/>
    <s v="IA"/>
    <s v="DPP-2022"/>
    <s v="West"/>
    <s v="Phase 1"/>
    <s v="NRIS"/>
    <s v="Colby 345 kV Substation"/>
    <n v="100"/>
    <n v="100"/>
    <x v="2"/>
    <s v="Battery Storage"/>
    <s v="Not Started"/>
    <m/>
    <n v="100"/>
    <n v="100"/>
    <n v="0"/>
    <n v="0"/>
  </r>
  <r>
    <s v="J3159"/>
    <x v="2"/>
    <d v="2022-09-14T00:00:00"/>
    <m/>
    <m/>
    <d v="2027-06-30T00:00:00"/>
    <s v="ITC MIDWEST"/>
    <s v="Dubuque"/>
    <m/>
    <m/>
    <s v="IA"/>
    <s v="DPP-2022"/>
    <s v="West"/>
    <s v="Phase 1"/>
    <s v="NRIS"/>
    <s v="Gardner 69 kV substation"/>
    <n v="100"/>
    <n v="100"/>
    <x v="2"/>
    <s v="Battery Storage"/>
    <s v="Not Started"/>
    <m/>
    <n v="100"/>
    <n v="100"/>
    <n v="0"/>
    <n v="0"/>
  </r>
  <r>
    <s v="J3160"/>
    <x v="2"/>
    <d v="2022-09-14T00:00:00"/>
    <m/>
    <m/>
    <d v="2027-06-30T00:00:00"/>
    <s v="AMERICAN TRANSMISSION COMPANY"/>
    <s v="Fond du Lac"/>
    <m/>
    <m/>
    <s v="WI"/>
    <s v="DPP-2022"/>
    <s v="East (ATC)"/>
    <s v="Phase 1"/>
    <s v="NRIS"/>
    <s v="South Fond du Lac 345 kV"/>
    <n v="100"/>
    <n v="100"/>
    <x v="2"/>
    <s v="Battery Storage"/>
    <s v="Not Started"/>
    <m/>
    <n v="100"/>
    <n v="100"/>
    <n v="0"/>
    <n v="0"/>
  </r>
  <r>
    <s v="J3161"/>
    <x v="1"/>
    <d v="2022-09-14T00:00:00"/>
    <d v="2025-07-30T00:00:00"/>
    <m/>
    <d v="2027-06-30T00:00:00"/>
    <s v="AMERICAN TRANSMISSION COMPANY"/>
    <s v="Sheboygan"/>
    <m/>
    <m/>
    <s v="WI"/>
    <s v="DPP-2022"/>
    <s v="East (ATC)"/>
    <s v="Phase 1"/>
    <s v="NRIS"/>
    <s v="Huebner 138 kV"/>
    <n v="100"/>
    <n v="100"/>
    <x v="2"/>
    <s v="Battery Storage"/>
    <s v="Not Started"/>
    <m/>
    <n v="0"/>
    <n v="0"/>
    <n v="0"/>
    <n v="0"/>
  </r>
  <r>
    <s v="J3162"/>
    <x v="2"/>
    <d v="2022-09-14T00:00:00"/>
    <m/>
    <m/>
    <d v="2027-06-30T00:00:00"/>
    <s v="AMERICAN TRANSMISSION COMPANY"/>
    <s v="Rock"/>
    <m/>
    <m/>
    <s v="WI"/>
    <s v="DPP-2022"/>
    <s v="East (ATC)"/>
    <s v="Phase 1"/>
    <s v="NRIS"/>
    <s v="Beloit Gateway"/>
    <n v="100"/>
    <n v="100"/>
    <x v="2"/>
    <s v="Battery Storage"/>
    <s v="Not Started"/>
    <m/>
    <n v="100"/>
    <n v="100"/>
    <n v="0"/>
    <n v="0"/>
  </r>
  <r>
    <s v="J3163"/>
    <x v="2"/>
    <d v="2022-07-26T00:00:00"/>
    <m/>
    <m/>
    <d v="2028-03-30T00:00:00"/>
    <s v="NORTHERN STATES POWER COMPANY"/>
    <s v="Cass"/>
    <m/>
    <m/>
    <s v="ND"/>
    <s v="DPP-2022"/>
    <s v="West"/>
    <s v="Phase 1"/>
    <s v="NRIS"/>
    <s v="BISON"/>
    <n v="481"/>
    <n v="481"/>
    <x v="5"/>
    <s v="Piston (Engine), Internal Combustion (Diesel)"/>
    <s v="Not Started"/>
    <m/>
    <n v="481"/>
    <n v="481"/>
    <n v="0"/>
    <n v="0"/>
  </r>
  <r>
    <s v="J3164"/>
    <x v="1"/>
    <d v="2022-09-14T00:00:00"/>
    <d v="2025-07-30T00:00:00"/>
    <m/>
    <d v="2026-06-30T00:00:00"/>
    <s v="ARKANSAS ELECTRIC COOPERATIVE CORPORATION"/>
    <s v="Ouachita"/>
    <m/>
    <m/>
    <s v="AR"/>
    <s v="DPP-2022"/>
    <s v="South"/>
    <s v="Phase 1"/>
    <s v="NRIS"/>
    <s v="McClellan 138 kV Substation"/>
    <n v="100"/>
    <n v="100"/>
    <x v="2"/>
    <s v="Battery Storage"/>
    <s v="Not Started"/>
    <m/>
    <n v="0"/>
    <n v="0"/>
    <n v="0"/>
    <n v="0"/>
  </r>
  <r>
    <s v="J3165"/>
    <x v="4"/>
    <d v="2022-09-14T00:00:00"/>
    <m/>
    <m/>
    <d v="2025-08-31T00:00:00"/>
    <s v="BIG RIVERS ELECTRIC CORPORATION BREC"/>
    <s v="Breckinridge"/>
    <m/>
    <m/>
    <s v="KY"/>
    <s v="DPP-2022"/>
    <s v="Central"/>
    <s v="Phase 2"/>
    <s v="NRIS"/>
    <s v="New Hardinsburg"/>
    <n v="100"/>
    <n v="100"/>
    <x v="0"/>
    <s v="Photovoltaic"/>
    <s v="Not Started"/>
    <m/>
    <n v="100"/>
    <n v="100"/>
    <n v="0"/>
    <n v="0"/>
  </r>
  <r>
    <s v="J3166"/>
    <x v="2"/>
    <d v="2022-09-14T00:00:00"/>
    <m/>
    <m/>
    <d v="2026-06-30T00:00:00"/>
    <s v="DUKE ENERGY INDIANA, LLC CIN"/>
    <s v="Knox"/>
    <m/>
    <m/>
    <s v="IN"/>
    <s v="DPP-2022"/>
    <s v="Central"/>
    <s v="Phase 2"/>
    <s v="NRIS"/>
    <s v="Edwardsport Station IGCC"/>
    <n v="100"/>
    <n v="100"/>
    <x v="2"/>
    <s v="Battery Storage"/>
    <s v="Not Started"/>
    <m/>
    <n v="100"/>
    <n v="100"/>
    <n v="0"/>
    <n v="0"/>
  </r>
  <r>
    <s v="J3167"/>
    <x v="2"/>
    <d v="2022-09-15T00:00:00"/>
    <m/>
    <m/>
    <d v="2026-06-30T00:00:00"/>
    <s v="AMEREN TRANSMISSION COMPANY OF ILLINOIS"/>
    <s v="Fulton"/>
    <m/>
    <m/>
    <s v="IL"/>
    <s v="DPP-2022"/>
    <s v="Central"/>
    <s v="Phase 2"/>
    <s v="NRIS"/>
    <s v="Ipava 138 kV Substation"/>
    <n v="180"/>
    <n v="180"/>
    <x v="0"/>
    <s v="Photovoltaic"/>
    <s v="Not Started"/>
    <m/>
    <n v="180"/>
    <n v="180"/>
    <n v="0"/>
    <n v="0"/>
  </r>
  <r>
    <s v="J3168"/>
    <x v="2"/>
    <d v="2022-09-14T00:00:00"/>
    <m/>
    <m/>
    <d v="2026-06-30T00:00:00"/>
    <s v="NORTHERN INDIANA PUBLIC SERVICE COMPANY LLC NIPS"/>
    <s v="White"/>
    <m/>
    <m/>
    <s v="IN"/>
    <s v="DPP-2022"/>
    <s v="Central"/>
    <s v="Phase 2"/>
    <s v="NRIS"/>
    <s v="REYNOLDS"/>
    <n v="120"/>
    <n v="120"/>
    <x v="0"/>
    <s v="Photovoltaic"/>
    <s v="Not Started"/>
    <m/>
    <n v="120"/>
    <n v="120"/>
    <n v="0"/>
    <n v="0"/>
  </r>
  <r>
    <s v="J3169"/>
    <x v="2"/>
    <d v="2022-09-14T00:00:00"/>
    <m/>
    <m/>
    <d v="2026-06-30T00:00:00"/>
    <s v="ENTERGY TEXAS, INC. ETTO"/>
    <s v="Hardin"/>
    <m/>
    <m/>
    <s v="TX"/>
    <s v="DPP-2022"/>
    <s v="South"/>
    <s v="Phase 1"/>
    <s v="NRIS"/>
    <s v="Cypress 138 kV Substation"/>
    <n v="200"/>
    <n v="200"/>
    <x v="2"/>
    <s v="Battery Storage"/>
    <s v="Not Started"/>
    <m/>
    <n v="200"/>
    <n v="200"/>
    <n v="0"/>
    <n v="0"/>
  </r>
  <r>
    <s v="J3170"/>
    <x v="2"/>
    <d v="2022-09-13T00:00:00"/>
    <m/>
    <m/>
    <d v="2026-06-30T00:00:00"/>
    <s v="CLECO POWER LLC CLEC"/>
    <s v="Avoyelles"/>
    <m/>
    <m/>
    <s v="LA"/>
    <s v="DPP-2022"/>
    <s v="South"/>
    <s v="Phase 1"/>
    <s v="NRIS"/>
    <s v="Eola-Marksville 138 kV"/>
    <n v="200"/>
    <n v="200"/>
    <x v="0"/>
    <s v="Photovoltaic"/>
    <s v="Not Started"/>
    <m/>
    <n v="200"/>
    <n v="0"/>
    <n v="0"/>
    <n v="0"/>
  </r>
  <r>
    <s v="J3171"/>
    <x v="1"/>
    <d v="2022-09-14T00:00:00"/>
    <d v="2025-07-30T00:00:00"/>
    <m/>
    <d v="2026-06-30T00:00:00"/>
    <s v="ENTERGY ARKANSAS, LLC"/>
    <s v="Drew"/>
    <m/>
    <m/>
    <s v="AR"/>
    <s v="DPP-2022"/>
    <s v="South"/>
    <s v="Phase 1"/>
    <s v="NRIS"/>
    <s v="Monticello East-Reed SS 115 kV"/>
    <n v="300"/>
    <n v="300"/>
    <x v="0"/>
    <s v="Photovoltaic"/>
    <s v="Not Started"/>
    <m/>
    <n v="0"/>
    <n v="0"/>
    <n v="0"/>
    <n v="0"/>
  </r>
  <r>
    <s v="J3172"/>
    <x v="2"/>
    <d v="2022-09-14T00:00:00"/>
    <m/>
    <m/>
    <d v="2026-06-30T00:00:00"/>
    <s v="GREAT RIVER ENERGY"/>
    <s v="Dakota"/>
    <m/>
    <m/>
    <s v="MN"/>
    <s v="DPP-2022"/>
    <s v="West"/>
    <s v="Phase 1"/>
    <s v="NRIS"/>
    <s v="GRE-NININGR7 115 kV"/>
    <n v="100"/>
    <n v="100"/>
    <x v="2"/>
    <s v="Battery Storage"/>
    <s v="Not Started"/>
    <m/>
    <n v="100"/>
    <n v="100"/>
    <n v="0"/>
    <n v="0"/>
  </r>
  <r>
    <s v="J3173"/>
    <x v="1"/>
    <d v="2022-09-14T00:00:00"/>
    <d v="2025-07-30T00:00:00"/>
    <m/>
    <d v="2026-06-30T00:00:00"/>
    <s v="ENTERGY ARKANSAS, LLC"/>
    <s v="Jackson"/>
    <m/>
    <m/>
    <s v="AR"/>
    <s v="DPP-2022"/>
    <s v="South"/>
    <s v="Phase 1"/>
    <s v="NRIS"/>
    <s v="Swifton to Hoxie 161 kV"/>
    <n v="220"/>
    <n v="220"/>
    <x v="0"/>
    <s v="Photovoltaic"/>
    <s v="Not Started"/>
    <m/>
    <n v="0"/>
    <n v="0"/>
    <n v="0"/>
    <n v="0"/>
  </r>
  <r>
    <s v="J3174"/>
    <x v="1"/>
    <d v="2022-09-09T00:00:00"/>
    <d v="2025-10-27T00:00:00"/>
    <m/>
    <d v="2026-06-30T00:00:00"/>
    <s v="PRAIRIE POWER, INC."/>
    <s v="Scott"/>
    <m/>
    <m/>
    <s v="IL"/>
    <s v="DPP-2022"/>
    <s v="Central"/>
    <s v="Phase 2"/>
    <s v="NRIS"/>
    <s v="Jacksonville Industrial Pk-Winchester Switching Station 138 kV"/>
    <n v="180"/>
    <n v="180"/>
    <x v="0"/>
    <s v="Photovoltaic"/>
    <s v="Not Started"/>
    <m/>
    <n v="0"/>
    <n v="0"/>
    <n v="0"/>
    <n v="0"/>
  </r>
  <r>
    <s v="J3175"/>
    <x v="2"/>
    <d v="2022-09-14T00:00:00"/>
    <m/>
    <m/>
    <d v="2026-10-01T00:00:00"/>
    <s v="ENTERGY MISSISSIPPI, LLC. EMTO"/>
    <s v="Tunica"/>
    <m/>
    <m/>
    <s v="MS"/>
    <s v="DPP-2022"/>
    <s v="South"/>
    <s v="Phase 1"/>
    <s v="NRIS"/>
    <s v="Robinsonville 230kV"/>
    <n v="160"/>
    <n v="160"/>
    <x v="0"/>
    <s v="Photovoltaic"/>
    <s v="Not Started"/>
    <m/>
    <n v="160"/>
    <n v="160"/>
    <n v="0"/>
    <n v="0"/>
  </r>
  <r>
    <s v="J3176"/>
    <x v="1"/>
    <d v="2022-11-05T00:00:00"/>
    <d v="2023-03-24T00:00:00"/>
    <m/>
    <d v="2026-10-01T00:00:00"/>
    <s v="ENTERGY LOUISIANA, LLC"/>
    <s v="Plaquemines"/>
    <m/>
    <m/>
    <s v="LA"/>
    <s v="DPP-2022"/>
    <s v="South"/>
    <s v="Phase 1"/>
    <s v="NRIS"/>
    <s v="Derrick"/>
    <n v="50"/>
    <n v="50"/>
    <x v="2"/>
    <s v="Battery Storage"/>
    <s v="Not Started"/>
    <m/>
    <n v="0"/>
    <n v="0"/>
    <n v="0"/>
    <n v="0"/>
  </r>
  <r>
    <s v="J3177"/>
    <x v="1"/>
    <d v="2022-09-14T00:00:00"/>
    <d v="2023-03-24T00:00:00"/>
    <m/>
    <d v="2026-10-01T00:00:00"/>
    <s v="ENTERGY MISSISSIPPI, LLC."/>
    <s v="Tunica"/>
    <m/>
    <m/>
    <s v="MS"/>
    <s v="DPP-2022"/>
    <s v="South"/>
    <s v="Phase 1"/>
    <s v="NRIS"/>
    <s v="Robinsonville 230kV Substation"/>
    <n v="80"/>
    <n v="80"/>
    <x v="2"/>
    <s v="Battery Storage"/>
    <s v="Not Started"/>
    <m/>
    <n v="0"/>
    <n v="0"/>
    <n v="0"/>
    <n v="0"/>
  </r>
  <r>
    <s v="J3178"/>
    <x v="1"/>
    <d v="2022-09-15T00:00:00"/>
    <d v="2023-03-24T00:00:00"/>
    <m/>
    <d v="2026-10-01T00:00:00"/>
    <s v="CLECO POWER LLC"/>
    <s v="De Soto"/>
    <m/>
    <m/>
    <s v="LA"/>
    <s v="DPP-2022"/>
    <s v="South"/>
    <s v="Phase 1"/>
    <s v="NRIS"/>
    <s v="Dolet Hills"/>
    <n v="50"/>
    <n v="50"/>
    <x v="2"/>
    <s v="Battery Storage"/>
    <s v="Not Started"/>
    <m/>
    <n v="0"/>
    <n v="0"/>
    <n v="0"/>
    <n v="0"/>
  </r>
  <r>
    <s v="J3179"/>
    <x v="1"/>
    <d v="2022-11-05T00:00:00"/>
    <d v="2023-03-24T00:00:00"/>
    <m/>
    <d v="2026-10-01T00:00:00"/>
    <s v="ENTERGY LOUISIANA, LLC"/>
    <s v="Plaquemines"/>
    <m/>
    <m/>
    <s v="LA"/>
    <s v="DPP-2022"/>
    <s v="South"/>
    <s v="Phase 1"/>
    <s v="NRIS"/>
    <s v="Derrick"/>
    <n v="100"/>
    <n v="100"/>
    <x v="0"/>
    <s v="Photovoltaic"/>
    <s v="Not Started"/>
    <m/>
    <n v="0"/>
    <n v="0"/>
    <n v="0"/>
    <n v="0"/>
  </r>
  <r>
    <s v="J3180"/>
    <x v="1"/>
    <d v="2022-09-15T00:00:00"/>
    <d v="2025-07-30T00:00:00"/>
    <m/>
    <d v="2026-10-01T00:00:00"/>
    <s v="CLECO POWER LLC"/>
    <s v="De Soto"/>
    <m/>
    <m/>
    <s v="LA"/>
    <s v="DPP-2022"/>
    <s v="South"/>
    <s v="Phase 1"/>
    <s v="NRIS"/>
    <s v="Dolet Hills"/>
    <n v="110"/>
    <n v="110"/>
    <x v="0"/>
    <s v="Photovoltaic"/>
    <s v="Not Started"/>
    <m/>
    <n v="0"/>
    <n v="0"/>
    <n v="0"/>
    <n v="0"/>
  </r>
  <r>
    <s v="J3181"/>
    <x v="4"/>
    <d v="2022-09-15T00:00:00"/>
    <m/>
    <m/>
    <d v="2027-01-01T00:00:00"/>
    <m/>
    <s v="Logan"/>
    <m/>
    <m/>
    <s v="IL"/>
    <s v="DPP-2022"/>
    <s v="Central"/>
    <s v="Phase 2"/>
    <s v="NRIS"/>
    <s v="4FOGARTY - 4LIMIT 138.0kV"/>
    <n v="100"/>
    <n v="100"/>
    <x v="5"/>
    <s v="Solar/Battery"/>
    <s v="Not Started"/>
    <m/>
    <n v="100"/>
    <n v="100"/>
    <n v="0"/>
    <n v="0"/>
  </r>
  <r>
    <s v="J3182"/>
    <x v="1"/>
    <d v="2022-09-11T00:00:00"/>
    <d v="2023-02-16T00:00:00"/>
    <m/>
    <d v="2027-06-01T00:00:00"/>
    <s v="MONTANA-DAKOTA UTILITIES CO.MDU"/>
    <s v="Oliver"/>
    <m/>
    <m/>
    <s v="ND"/>
    <s v="DPP-2022"/>
    <s v="West"/>
    <s v="Phase 1"/>
    <s v="NRIS"/>
    <s v="Coyote"/>
    <n v="200"/>
    <n v="200"/>
    <x v="5"/>
    <s v="Solar/Battery"/>
    <s v="Not Started"/>
    <m/>
    <n v="0"/>
    <n v="0"/>
    <n v="0"/>
    <n v="0"/>
  </r>
  <r>
    <s v="J3183"/>
    <x v="1"/>
    <d v="2022-09-15T00:00:00"/>
    <d v="2025-10-27T00:00:00"/>
    <m/>
    <d v="2027-06-01T00:00:00"/>
    <s v="OTTER TAIL POWER COMPANY"/>
    <s v="Grant"/>
    <m/>
    <m/>
    <s v="SD"/>
    <s v="DPP-2022"/>
    <s v="West"/>
    <s v="Phase 1"/>
    <s v="NRIS"/>
    <s v="Big Stone South 230KV Substation"/>
    <n v="125"/>
    <n v="125"/>
    <x v="5"/>
    <s v="Solar/Battery"/>
    <s v="Not Started"/>
    <m/>
    <n v="0"/>
    <n v="0"/>
    <n v="0"/>
    <n v="0"/>
  </r>
  <r>
    <s v="J3184"/>
    <x v="4"/>
    <d v="2022-09-15T00:00:00"/>
    <m/>
    <m/>
    <d v="2027-06-01T00:00:00"/>
    <s v="AMEREN ILLINOIS"/>
    <s v="St. Clair"/>
    <m/>
    <m/>
    <s v="IL"/>
    <s v="DPP-2022"/>
    <s v="Central"/>
    <s v="Phase 2"/>
    <s v="NRIS"/>
    <s v="Turkey Hill 138 kV"/>
    <n v="145"/>
    <n v="145"/>
    <x v="5"/>
    <s v="Solar/Battery"/>
    <s v="Not Started"/>
    <m/>
    <n v="145"/>
    <n v="145"/>
    <n v="0"/>
    <n v="0"/>
  </r>
  <r>
    <s v="J3185"/>
    <x v="4"/>
    <d v="2022-09-15T00:00:00"/>
    <m/>
    <m/>
    <d v="2027-02-01T00:00:00"/>
    <m/>
    <s v="Effingham"/>
    <m/>
    <m/>
    <s v="IL"/>
    <s v="DPP-2022"/>
    <s v="Central"/>
    <s v="Phase 2"/>
    <s v="NRIS"/>
    <s v="Effingham - Newton 138KV (4EFFINGHM 347025 -4NEWTON 347831)"/>
    <n v="150"/>
    <n v="150"/>
    <x v="5"/>
    <s v="Solar/Battery"/>
    <s v="Not Started"/>
    <m/>
    <n v="150"/>
    <n v="150"/>
    <n v="0"/>
    <n v="0"/>
  </r>
  <r>
    <s v="J3186"/>
    <x v="2"/>
    <d v="2022-09-15T00:00:00"/>
    <m/>
    <m/>
    <d v="2027-01-01T00:00:00"/>
    <m/>
    <s v="Bolivar"/>
    <m/>
    <m/>
    <s v="MS"/>
    <s v="DPP-2022"/>
    <s v="South"/>
    <s v="Phase 1"/>
    <s v="NRIS"/>
    <s v="Rosedale - Delta 115 kV"/>
    <n v="100"/>
    <n v="100"/>
    <x v="5"/>
    <s v="Solar/Battery"/>
    <s v="Not Started"/>
    <m/>
    <n v="100"/>
    <n v="100"/>
    <n v="0"/>
    <n v="0"/>
  </r>
  <r>
    <s v="J3187"/>
    <x v="1"/>
    <d v="2022-08-31T00:00:00"/>
    <d v="2025-10-27T00:00:00"/>
    <m/>
    <d v="2024-12-31T00:00:00"/>
    <s v="AMEREN ILLINOIS"/>
    <s v="Mason"/>
    <m/>
    <m/>
    <s v="IL"/>
    <s v="DPP-2022"/>
    <s v="Central"/>
    <s v="Phase 2"/>
    <s v="NRIS"/>
    <s v="Havana 138 kV Sub"/>
    <n v="37"/>
    <n v="37"/>
    <x v="2"/>
    <s v="Battery Storage"/>
    <s v="Not Started"/>
    <m/>
    <n v="0"/>
    <n v="0"/>
    <n v="0"/>
    <n v="0"/>
  </r>
  <r>
    <s v="J3188"/>
    <x v="2"/>
    <d v="2022-09-14T00:00:00"/>
    <m/>
    <m/>
    <d v="2023-09-30T00:00:00"/>
    <m/>
    <s v="Marshall"/>
    <m/>
    <m/>
    <s v="IL"/>
    <s v="DPP-2022"/>
    <s v="Central"/>
    <s v="Phase 2"/>
    <s v="NRIS"/>
    <s v="Hallock 138 kV"/>
    <n v="35"/>
    <n v="35"/>
    <x v="0"/>
    <s v="Photovoltaic"/>
    <s v="Not Started"/>
    <m/>
    <n v="35"/>
    <n v="35"/>
    <n v="0"/>
    <n v="0"/>
  </r>
  <r>
    <s v="J3189"/>
    <x v="1"/>
    <d v="2022-09-14T00:00:00"/>
    <d v="2025-10-27T00:00:00"/>
    <m/>
    <d v="2023-09-30T00:00:00"/>
    <s v="AMEREN ILLINOIS"/>
    <s v="Perry"/>
    <m/>
    <m/>
    <s v="IL"/>
    <s v="DPP-2022"/>
    <s v="Central"/>
    <s v="Phase 2"/>
    <s v="NRIS"/>
    <s v="St. Johns 138 kV Substation"/>
    <n v="50"/>
    <n v="50"/>
    <x v="0"/>
    <s v="Photovoltaic"/>
    <s v="Not Started"/>
    <m/>
    <n v="0"/>
    <n v="0"/>
    <n v="0"/>
    <n v="0"/>
  </r>
  <r>
    <s v="J3190"/>
    <x v="1"/>
    <d v="2022-09-14T00:00:00"/>
    <d v="2025-10-27T00:00:00"/>
    <m/>
    <d v="2023-09-30T00:00:00"/>
    <s v="AMEREN MISSOURI"/>
    <s v="Audrain"/>
    <m/>
    <m/>
    <s v="MO"/>
    <s v="DPP-2022"/>
    <s v="Central"/>
    <s v="Phase 2"/>
    <s v="NRIS"/>
    <s v="Pike 161 kV Substation"/>
    <n v="50"/>
    <n v="50"/>
    <x v="0"/>
    <s v="Photovoltaic"/>
    <s v="Not Started"/>
    <m/>
    <n v="0"/>
    <n v="0"/>
    <n v="0"/>
    <n v="0"/>
  </r>
  <r>
    <s v="J3191"/>
    <x v="1"/>
    <d v="2022-09-15T00:00:00"/>
    <d v="2025-07-30T00:00:00"/>
    <m/>
    <d v="2025-10-31T00:00:00"/>
    <s v="ENTERGY ARKANSAS, LLC"/>
    <s v="Jackson"/>
    <m/>
    <m/>
    <s v="AR"/>
    <s v="DPP-2022"/>
    <s v="South"/>
    <s v="Phase 1"/>
    <s v="NRIS"/>
    <s v="AECC BALCH-FISHER 161kV"/>
    <n v="100"/>
    <n v="100"/>
    <x v="0"/>
    <s v="Photovoltaic"/>
    <s v="Not Started"/>
    <m/>
    <n v="0"/>
    <n v="0"/>
    <n v="0"/>
    <n v="0"/>
  </r>
  <r>
    <s v="J3192"/>
    <x v="4"/>
    <d v="2022-09-15T00:00:00"/>
    <m/>
    <m/>
    <d v="2025-10-31T00:00:00"/>
    <s v="ENTERGY ARKANSAS, LLC EATO"/>
    <s v="Jackson"/>
    <m/>
    <m/>
    <s v="AR"/>
    <s v="DPP-2022"/>
    <s v="South"/>
    <s v="Phase 1"/>
    <s v="NRIS"/>
    <s v="Mallory 161 kV Substation"/>
    <n v="500"/>
    <n v="500"/>
    <x v="0"/>
    <s v="Photovoltaic"/>
    <s v="Not Started"/>
    <m/>
    <n v="500"/>
    <n v="500"/>
    <n v="0"/>
    <n v="0"/>
  </r>
  <r>
    <s v="J3193"/>
    <x v="1"/>
    <d v="2022-09-15T00:00:00"/>
    <d v="2025-07-30T00:00:00"/>
    <m/>
    <d v="2025-10-31T00:00:00"/>
    <s v="ENTERGY ARKANSAS, LLC"/>
    <s v="Hot Spring"/>
    <m/>
    <m/>
    <s v="AR"/>
    <s v="DPP-2022"/>
    <s v="South"/>
    <s v="Phase 1"/>
    <s v="NRIS"/>
    <s v="POYEN-GIFFORD 115 kV"/>
    <n v="100"/>
    <n v="100"/>
    <x v="0"/>
    <s v="Photovoltaic"/>
    <s v="Not Started"/>
    <m/>
    <n v="0"/>
    <n v="0"/>
    <n v="0"/>
    <n v="0"/>
  </r>
  <r>
    <s v="J3194"/>
    <x v="1"/>
    <d v="2022-09-15T00:00:00"/>
    <d v="2023-02-27T00:00:00"/>
    <m/>
    <d v="2025-10-31T00:00:00"/>
    <s v="ENTERGY TEXAS, INC."/>
    <s v="Hardin"/>
    <m/>
    <m/>
    <s v="TX"/>
    <s v="DPP-2022"/>
    <s v="South"/>
    <s v="Phase 1"/>
    <s v="NRIS"/>
    <s v="RYE CO-CYPRESS 138 kV"/>
    <n v="198"/>
    <n v="198"/>
    <x v="0"/>
    <s v="Photovoltaic"/>
    <s v="Not Started"/>
    <m/>
    <n v="0"/>
    <n v="0"/>
    <n v="0"/>
    <n v="0"/>
  </r>
  <r>
    <s v="J3195"/>
    <x v="1"/>
    <d v="2022-09-15T00:00:00"/>
    <d v="2023-02-27T00:00:00"/>
    <m/>
    <d v="2025-10-31T00:00:00"/>
    <s v="ENTERGY ARKANSAS, LLC"/>
    <s v="Pulaski"/>
    <m/>
    <m/>
    <s v="AR"/>
    <s v="DPP-2022"/>
    <s v="South"/>
    <s v="Phase 1"/>
    <s v="NRIS"/>
    <s v="White Bluff EHV - Wrightsville 115 kV"/>
    <n v="200"/>
    <n v="200"/>
    <x v="0"/>
    <s v="Photovoltaic"/>
    <s v="Not Started"/>
    <m/>
    <n v="0"/>
    <n v="0"/>
    <n v="0"/>
    <n v="0"/>
  </r>
  <r>
    <s v="J3196"/>
    <x v="1"/>
    <d v="2022-09-15T00:00:00"/>
    <d v="2023-02-27T00:00:00"/>
    <m/>
    <d v="2025-10-31T00:00:00"/>
    <s v="NORTHERN INDIANA PUBLIC SERVICE COMPANY LLC"/>
    <s v="Starke"/>
    <m/>
    <m/>
    <s v="IN"/>
    <s v="DPP-2022"/>
    <s v="Central"/>
    <s v="Phase 2"/>
    <s v="NRIS"/>
    <s v="Burr Oak to East Winamac 138 kV"/>
    <n v="100"/>
    <n v="100"/>
    <x v="0"/>
    <s v="Photovoltaic"/>
    <s v="Not Started"/>
    <m/>
    <n v="0"/>
    <n v="0"/>
    <n v="0"/>
    <n v="0"/>
  </r>
  <r>
    <s v="J3197"/>
    <x v="1"/>
    <d v="2022-09-15T00:00:00"/>
    <d v="2023-03-24T00:00:00"/>
    <m/>
    <d v="2026-12-22T00:00:00"/>
    <s v="CLECO POWER LLC"/>
    <s v="Rapides"/>
    <m/>
    <m/>
    <s v="LA"/>
    <s v="DPP-2022"/>
    <s v="South"/>
    <s v="Phase 1"/>
    <s v="NRIS"/>
    <s v="EAST LEESVILLE -RODEMACHER 230"/>
    <n v="250"/>
    <n v="250"/>
    <x v="0"/>
    <s v="Photovoltaic"/>
    <s v="Not Started"/>
    <m/>
    <n v="0"/>
    <n v="0"/>
    <n v="0"/>
    <n v="0"/>
  </r>
  <r>
    <s v="J3198"/>
    <x v="2"/>
    <d v="2022-09-15T00:00:00"/>
    <m/>
    <m/>
    <d v="2027-07-29T00:00:00"/>
    <s v="DAIRYLAND POWER COOPERATIVE DPC"/>
    <s v="Barron"/>
    <m/>
    <m/>
    <s v="WI"/>
    <s v="DPP-2022"/>
    <s v="West"/>
    <s v="Phase 1"/>
    <s v="NRIS"/>
    <s v="Barron"/>
    <n v="80"/>
    <n v="80"/>
    <x v="5"/>
    <s v="Solar/Battery"/>
    <s v="Not Started"/>
    <m/>
    <n v="80"/>
    <n v="80"/>
    <n v="0"/>
    <n v="0"/>
  </r>
  <r>
    <s v="J3199"/>
    <x v="2"/>
    <d v="2022-09-15T00:00:00"/>
    <m/>
    <m/>
    <d v="2026-12-22T00:00:00"/>
    <s v="AMEREN TRANSMISSION COMPANY OF ILLINOIS"/>
    <s v="Adair"/>
    <m/>
    <m/>
    <s v="MO"/>
    <s v="DPP-2022"/>
    <s v="Central"/>
    <s v="Phase 2"/>
    <s v="NRIS"/>
    <s v="Zachary 345kV"/>
    <n v="300"/>
    <n v="300"/>
    <x v="5"/>
    <s v="Solar/Battery"/>
    <s v="Not Started"/>
    <m/>
    <n v="300"/>
    <n v="300"/>
    <n v="0"/>
    <n v="0"/>
  </r>
  <r>
    <s v="J3200"/>
    <x v="1"/>
    <d v="2022-09-12T00:00:00"/>
    <d v="2025-10-27T00:00:00"/>
    <m/>
    <d v="2025-03-01T00:00:00"/>
    <s v="AMEREN ILLINOIS"/>
    <s v="St. Clair"/>
    <m/>
    <m/>
    <s v="IL"/>
    <s v="DPP-2022"/>
    <s v="Central"/>
    <s v="Phase 2"/>
    <s v="NRIS"/>
    <s v="Turkey Hill 345kV"/>
    <n v="250"/>
    <n v="250"/>
    <x v="2"/>
    <s v="Battery Storage"/>
    <s v="Not Started"/>
    <m/>
    <n v="0"/>
    <n v="0"/>
    <n v="0"/>
    <n v="0"/>
  </r>
  <r>
    <s v="J3201"/>
    <x v="1"/>
    <d v="2022-09-14T00:00:00"/>
    <d v="2025-07-30T00:00:00"/>
    <m/>
    <d v="2026-10-31T00:00:00"/>
    <s v="COOPERATIVE ENERGY"/>
    <s v="Walthall"/>
    <m/>
    <m/>
    <s v="MS"/>
    <s v="DPP-2022"/>
    <s v="South"/>
    <s v="Phase 1"/>
    <s v="NRIS"/>
    <s v="Tylertown-Bogalusa 115 kV"/>
    <n v="148"/>
    <n v="148"/>
    <x v="0"/>
    <s v="Photovoltaic"/>
    <s v="Not Started"/>
    <m/>
    <n v="0"/>
    <n v="0"/>
    <n v="0"/>
    <n v="0"/>
  </r>
  <r>
    <s v="J3202"/>
    <x v="1"/>
    <d v="2022-09-15T00:00:00"/>
    <d v="2025-10-27T00:00:00"/>
    <m/>
    <d v="2026-10-31T00:00:00"/>
    <s v="AMEREN MISSOURI"/>
    <s v="Iron"/>
    <m/>
    <m/>
    <s v="MO"/>
    <s v="DPP-2022"/>
    <s v="Central"/>
    <s v="Phase 2"/>
    <s v="NRIS"/>
    <s v="5CLARK    - 5PILTMA   161.0kV"/>
    <n v="120"/>
    <n v="120"/>
    <x v="0"/>
    <s v="Photovoltaic"/>
    <s v="Not Started"/>
    <m/>
    <n v="0"/>
    <n v="0"/>
    <n v="0"/>
    <n v="0"/>
  </r>
  <r>
    <s v="J3203"/>
    <x v="1"/>
    <d v="2022-09-15T00:00:00"/>
    <d v="2023-03-24T00:00:00"/>
    <m/>
    <d v="2026-07-20T00:00:00"/>
    <s v="METC"/>
    <s v="Clinton"/>
    <m/>
    <m/>
    <s v="MI"/>
    <s v="DPP-2022"/>
    <s v="East (ITC)"/>
    <s v="Phase 1"/>
    <s v="NRIS"/>
    <s v="Bingham - Lookng GL J 138kV"/>
    <n v="150"/>
    <n v="150"/>
    <x v="0"/>
    <s v="Photovoltaic"/>
    <s v="Not Started"/>
    <m/>
    <n v="0"/>
    <n v="0"/>
    <n v="0"/>
    <n v="0"/>
  </r>
  <r>
    <s v="J3204"/>
    <x v="2"/>
    <d v="2022-09-14T00:00:00"/>
    <m/>
    <m/>
    <d v="2025-09-15T00:00:00"/>
    <s v="AMERICAN TRANSMISSION COMPANY"/>
    <s v="Clark"/>
    <m/>
    <m/>
    <s v="WI"/>
    <s v="DPP-2022"/>
    <s v="East (ATC)"/>
    <s v="Phase 1"/>
    <s v="NRIS"/>
    <s v="Stone Lake - Gardner Park 345.0kV"/>
    <n v="190"/>
    <n v="190"/>
    <x v="1"/>
    <s v="Wind Turbine"/>
    <s v="Not Started"/>
    <m/>
    <n v="190"/>
    <n v="190"/>
    <n v="0"/>
    <n v="0"/>
  </r>
  <r>
    <s v="J3205"/>
    <x v="1"/>
    <d v="2022-09-14T00:00:00"/>
    <d v="2025-07-30T00:00:00"/>
    <m/>
    <d v="2027-06-01T00:00:00"/>
    <s v="ENTERGY MISSISSIPPI, LLC."/>
    <s v="Franklin"/>
    <m/>
    <m/>
    <s v="MS"/>
    <s v="DPP-2022"/>
    <s v="South"/>
    <s v="Phase 1"/>
    <s v="NRIS"/>
    <s v="Arlington to Smithdale 115 kV"/>
    <n v="80"/>
    <n v="80"/>
    <x v="0"/>
    <s v="Photovoltaic"/>
    <s v="Not Started"/>
    <m/>
    <n v="0"/>
    <n v="0"/>
    <n v="0"/>
    <n v="0"/>
  </r>
  <r>
    <s v="J3206"/>
    <x v="1"/>
    <d v="2022-09-14T00:00:00"/>
    <d v="2025-10-27T00:00:00"/>
    <m/>
    <d v="2027-06-01T00:00:00"/>
    <s v="ITC MIDWEST"/>
    <s v="Cerro Gordo"/>
    <m/>
    <m/>
    <s v="IA"/>
    <s v="DPP-2022"/>
    <s v="West"/>
    <s v="Phase 1"/>
    <s v="NRIS"/>
    <s v="Killdeer 345 kV Substation"/>
    <n v="194"/>
    <n v="194"/>
    <x v="1"/>
    <s v="Wind Turbine"/>
    <s v="Not Started"/>
    <m/>
    <n v="0"/>
    <n v="0"/>
    <n v="0"/>
    <n v="0"/>
  </r>
  <r>
    <s v="J3207"/>
    <x v="2"/>
    <d v="2022-03-10T00:00:00"/>
    <m/>
    <m/>
    <d v="2024-05-06T00:00:00"/>
    <s v="NORTHERN INDIANA PUBLIC SERVICE COMPANY LLC NIPS"/>
    <s v="Starke"/>
    <m/>
    <m/>
    <s v="IN"/>
    <s v="DPP-2022"/>
    <s v="Central"/>
    <s v="Phase 2"/>
    <s v="NRIS"/>
    <s v="J3578"/>
    <n v="100"/>
    <n v="100"/>
    <x v="0"/>
    <s v="Photovoltaic"/>
    <s v="Not Started"/>
    <m/>
    <n v="100"/>
    <n v="100"/>
    <n v="0"/>
    <n v="0"/>
  </r>
  <r>
    <s v="J3208"/>
    <x v="2"/>
    <d v="2022-09-08T00:00:00"/>
    <m/>
    <m/>
    <d v="2023-09-22T00:00:00"/>
    <s v="HOOSIER ENERGY"/>
    <s v="Dubois"/>
    <m/>
    <m/>
    <s v="IN"/>
    <s v="DPP-2022"/>
    <s v="Central"/>
    <s v="Phase 2"/>
    <s v="NRIS"/>
    <s v="Patoka Valley"/>
    <n v="10"/>
    <n v="10"/>
    <x v="0"/>
    <s v="Photovoltaic"/>
    <s v="Not Started"/>
    <m/>
    <n v="10"/>
    <n v="10"/>
    <n v="0"/>
    <n v="0"/>
  </r>
  <r>
    <s v="J3209"/>
    <x v="2"/>
    <d v="2022-09-15T00:00:00"/>
    <m/>
    <m/>
    <d v="2026-03-01T00:00:00"/>
    <s v="CLECO POWER LLC CLEC"/>
    <s v="Rapides"/>
    <m/>
    <m/>
    <s v="LA"/>
    <s v="DPP-2022"/>
    <s v="South"/>
    <s v="Phase 1"/>
    <s v="ERIS"/>
    <s v="Hineston"/>
    <n v="350"/>
    <n v="350"/>
    <x v="0"/>
    <s v="Photovoltaic"/>
    <s v="Not Started"/>
    <m/>
    <n v="350"/>
    <n v="0"/>
    <n v="0"/>
    <n v="0"/>
  </r>
  <r>
    <s v="J3210"/>
    <x v="1"/>
    <d v="2022-09-13T00:00:00"/>
    <d v="2025-07-30T00:00:00"/>
    <m/>
    <d v="2025-09-01T00:00:00"/>
    <s v="CLECO POWER LLC"/>
    <s v="St. Tammany"/>
    <m/>
    <m/>
    <s v="LA"/>
    <s v="DPP-2022"/>
    <s v="South"/>
    <s v="Phase 1"/>
    <s v="NRIS"/>
    <s v="J2245 Substation"/>
    <n v="100"/>
    <n v="100"/>
    <x v="0"/>
    <s v="Solar/Battery"/>
    <s v="Not Started"/>
    <m/>
    <n v="0"/>
    <n v="0"/>
    <n v="0"/>
    <n v="0"/>
  </r>
  <r>
    <s v="J3211"/>
    <x v="1"/>
    <d v="2022-09-14T00:00:00"/>
    <d v="2025-07-30T00:00:00"/>
    <m/>
    <d v="2025-09-01T00:00:00"/>
    <s v="ENTERGY LOUISIANA, LLC"/>
    <s v="Washington"/>
    <m/>
    <m/>
    <s v="LA"/>
    <s v="DPP-2022"/>
    <s v="South"/>
    <s v="Phase 1"/>
    <s v="NRIS"/>
    <s v="J1564 Substation"/>
    <n v="100"/>
    <n v="100"/>
    <x v="0"/>
    <s v="Solar/Battery"/>
    <s v="Not Started"/>
    <m/>
    <n v="0"/>
    <n v="0"/>
    <n v="0"/>
    <n v="0"/>
  </r>
  <r>
    <s v="J3212"/>
    <x v="1"/>
    <d v="2022-09-15T00:00:00"/>
    <d v="2025-10-27T00:00:00"/>
    <m/>
    <d v="2026-09-01T00:00:00"/>
    <s v="MIDAMERICAN ENERGY CO."/>
    <s v="Mills"/>
    <m/>
    <m/>
    <s v="IA"/>
    <s v="DPP-2022"/>
    <s v="West"/>
    <s v="Phase 1"/>
    <s v="NRIS"/>
    <s v="GLENWOOD"/>
    <n v="50"/>
    <n v="50"/>
    <x v="0"/>
    <s v="Photovoltaic"/>
    <s v="Not Started"/>
    <m/>
    <n v="0"/>
    <n v="0"/>
    <n v="0"/>
    <n v="0"/>
  </r>
  <r>
    <s v="J3213"/>
    <x v="2"/>
    <d v="2022-09-01T00:00:00"/>
    <m/>
    <m/>
    <d v="2026-12-31T00:00:00"/>
    <s v="NORTHERN STATES POWER COMPANY"/>
    <s v="Hennepin"/>
    <m/>
    <m/>
    <s v="MN"/>
    <s v="DPP-2022"/>
    <s v="West"/>
    <s v="Phase 1"/>
    <s v="NRIS"/>
    <s v="Riverside 115kV Substation"/>
    <n v="55"/>
    <n v="55"/>
    <x v="3"/>
    <s v="Combined-Cycle ‚Äì Steam Plant"/>
    <s v="Not Started"/>
    <m/>
    <n v="55"/>
    <n v="55"/>
    <n v="0"/>
    <n v="0"/>
  </r>
  <r>
    <s v="J3214"/>
    <x v="1"/>
    <d v="2022-09-14T00:00:00"/>
    <d v="2025-10-27T00:00:00"/>
    <m/>
    <d v="2024-12-31T00:00:00"/>
    <s v="ITC MIDWEST"/>
    <s v="Lee"/>
    <m/>
    <m/>
    <s v="IA"/>
    <s v="DPP-2022"/>
    <s v="West"/>
    <s v="Phase 1"/>
    <s v="NRIS"/>
    <s v="Wever"/>
    <n v="185"/>
    <n v="185"/>
    <x v="5"/>
    <s v="Solar/Battery"/>
    <s v="Not Started"/>
    <m/>
    <n v="0"/>
    <n v="0"/>
    <n v="0"/>
    <n v="0"/>
  </r>
  <r>
    <s v="J3215"/>
    <x v="1"/>
    <d v="2022-09-15T00:00:00"/>
    <d v="2023-03-24T00:00:00"/>
    <m/>
    <d v="2025-07-01T00:00:00"/>
    <s v="NORTHERN INDIANA PUBLIC SERVICE COMPANY LLC"/>
    <s v="LaPorte"/>
    <m/>
    <m/>
    <s v="IN"/>
    <s v="DPP-2022"/>
    <s v="Central"/>
    <s v="Phase 2"/>
    <s v="NRIS"/>
    <s v="Stillwell to Babcock 345kV Transmission Line"/>
    <n v="500"/>
    <n v="594"/>
    <x v="3"/>
    <s v="Combustion Turbine (Simple Cycle)"/>
    <s v="Not Started"/>
    <m/>
    <n v="0"/>
    <n v="0"/>
    <n v="0"/>
    <n v="0"/>
  </r>
  <r>
    <s v="J3216"/>
    <x v="2"/>
    <d v="2022-09-15T00:00:00"/>
    <m/>
    <m/>
    <d v="2027-04-01T00:00:00"/>
    <s v="AMEREN ILLINOIS"/>
    <s v="Peoria"/>
    <m/>
    <m/>
    <s v="IL"/>
    <s v="DPP-2022"/>
    <s v="Central"/>
    <s v="Phase 2"/>
    <s v="NRIS"/>
    <s v="Bloomington Brokaw"/>
    <n v="300"/>
    <n v="300"/>
    <x v="2"/>
    <s v="Battery Storage"/>
    <s v="Not Started"/>
    <m/>
    <n v="300"/>
    <n v="300"/>
    <n v="0"/>
    <n v="0"/>
  </r>
  <r>
    <s v="J3217"/>
    <x v="1"/>
    <d v="2022-09-14T00:00:00"/>
    <d v="2023-03-24T00:00:00"/>
    <m/>
    <d v="2026-01-01T00:00:00"/>
    <s v="NORTHERN STATES POWER COMPANY"/>
    <s v="Cottonwood"/>
    <m/>
    <m/>
    <s v="MN"/>
    <s v="DPP-2022"/>
    <s v="West"/>
    <s v="Phase 1"/>
    <s v="NRIS"/>
    <s v="Crandall 345kV Substation"/>
    <n v="60"/>
    <n v="60"/>
    <x v="0"/>
    <s v="Photovoltaic"/>
    <s v="Not Started"/>
    <m/>
    <n v="0"/>
    <n v="0"/>
    <n v="0"/>
    <n v="0"/>
  </r>
  <r>
    <s v="J3218"/>
    <x v="1"/>
    <d v="2022-09-12T00:00:00"/>
    <d v="2025-07-30T00:00:00"/>
    <m/>
    <d v="2025-06-30T00:00:00"/>
    <s v="ENTERGY ARKANSAS, LLC"/>
    <s v="Nevada"/>
    <m/>
    <m/>
    <s v="AR"/>
    <s v="DPP-2022"/>
    <s v="South"/>
    <s v="Phase 1"/>
    <s v="NRIS"/>
    <s v="Prescott (#337507) to Emmett (#337505)"/>
    <n v="50"/>
    <n v="50"/>
    <x v="0"/>
    <s v="Photovoltaic"/>
    <s v="Not Started"/>
    <m/>
    <n v="0"/>
    <n v="0"/>
    <n v="0"/>
    <n v="0"/>
  </r>
  <r>
    <s v="J3219"/>
    <x v="2"/>
    <d v="2022-09-14T00:00:00"/>
    <m/>
    <m/>
    <d v="2023-04-01T00:00:00"/>
    <s v="NORTHERN STATES POWER COMPANY"/>
    <s v="Dakota"/>
    <m/>
    <m/>
    <s v="MN"/>
    <s v="DPP-2022"/>
    <s v="West"/>
    <s v="Phase 1"/>
    <s v="NRIS-Only"/>
    <s v="CANNON FALLS TRANSM."/>
    <n v="3"/>
    <n v="3"/>
    <x v="6"/>
    <s v="Hydroelectric"/>
    <s v="Not Started"/>
    <m/>
    <n v="0"/>
    <n v="3"/>
    <n v="0"/>
    <n v="0"/>
  </r>
  <r>
    <s v="J3220"/>
    <x v="1"/>
    <d v="2024-08-05T00:00:00"/>
    <d v="2025-08-01T00:00:00"/>
    <m/>
    <d v="2026-10-31T00:00:00"/>
    <s v="METC"/>
    <s v="Ionia"/>
    <m/>
    <m/>
    <s v="MI"/>
    <s v="DPP-2022"/>
    <s v="East (ITC)"/>
    <s v="Phase 1"/>
    <s v="NRIS"/>
    <s v="Peddler"/>
    <n v="200"/>
    <n v="200"/>
    <x v="2"/>
    <s v="Battery Storage"/>
    <s v="Not Started"/>
    <m/>
    <n v="0"/>
    <n v="0"/>
    <n v="0"/>
    <n v="0"/>
  </r>
  <r>
    <s v="J3221"/>
    <x v="1"/>
    <d v="2022-09-15T00:00:00"/>
    <d v="2025-07-30T00:00:00"/>
    <m/>
    <d v="2024-11-30T00:00:00"/>
    <s v="ENTERGY LOUISIANA, LLC"/>
    <s v="Webster"/>
    <m/>
    <m/>
    <s v="LA"/>
    <s v="DPP-2022"/>
    <s v="South"/>
    <s v="Phase 1"/>
    <s v="ERIS"/>
    <s v="LA_ORD_115"/>
    <n v="49"/>
    <n v="49"/>
    <x v="0"/>
    <s v="Photovoltaic"/>
    <s v="Not Started"/>
    <m/>
    <n v="0"/>
    <n v="0"/>
    <n v="0"/>
    <n v="0"/>
  </r>
  <r>
    <s v="J3222"/>
    <x v="1"/>
    <d v="2022-09-14T00:00:00"/>
    <d v="2025-10-27T00:00:00"/>
    <m/>
    <d v="2025-09-15T00:00:00"/>
    <s v="AMEREN TRANSMISSION COMPANY OF ILLINOIS"/>
    <s v="Moultrie"/>
    <m/>
    <m/>
    <s v="IL"/>
    <s v="DPP-2022"/>
    <s v="Central"/>
    <s v="Phase 2"/>
    <s v="NRIS"/>
    <s v="Arland to Faraday 345 kV Line Tap"/>
    <n v="109"/>
    <n v="109"/>
    <x v="1"/>
    <s v="Wind Turbine"/>
    <s v="Not Started"/>
    <m/>
    <n v="0"/>
    <n v="0"/>
    <n v="0"/>
    <n v="0"/>
  </r>
  <r>
    <s v="J3223"/>
    <x v="2"/>
    <d v="2022-09-15T00:00:00"/>
    <m/>
    <m/>
    <d v="2027-03-01T00:00:00"/>
    <s v="AMEREN ILLINOIS"/>
    <s v="Edwards"/>
    <m/>
    <m/>
    <s v="IL"/>
    <s v="DPP-2022"/>
    <s v="Central"/>
    <s v="Phase 2"/>
    <s v="NRIS"/>
    <s v="Olney (4JASPER 347868) - Albion (4ALBION N 346510) 138 kV"/>
    <n v="88"/>
    <n v="88"/>
    <x v="5"/>
    <s v="Solar/Battery"/>
    <s v="Not Started"/>
    <m/>
    <n v="88"/>
    <n v="88"/>
    <n v="0"/>
    <n v="0"/>
  </r>
  <r>
    <s v="J3224"/>
    <x v="2"/>
    <d v="2022-09-15T00:00:00"/>
    <m/>
    <m/>
    <d v="2026-08-01T00:00:00"/>
    <m/>
    <s v="Marion"/>
    <m/>
    <m/>
    <s v="IL"/>
    <s v="DPP-2022"/>
    <s v="Central"/>
    <s v="Phase 2"/>
    <s v="NRIS"/>
    <s v="4KINMUNDY-4TANNER 138kv"/>
    <n v="150"/>
    <n v="150"/>
    <x v="5"/>
    <s v="Solar/Battery"/>
    <s v="Not Started"/>
    <m/>
    <n v="150"/>
    <n v="150"/>
    <n v="0"/>
    <n v="0"/>
  </r>
  <r>
    <s v="J3225"/>
    <x v="1"/>
    <d v="2022-09-15T00:00:00"/>
    <d v="2022-12-05T00:00:00"/>
    <m/>
    <d v="2026-08-31T00:00:00"/>
    <s v="NORTHERN INDIANA PUBLIC SERVICE COMPANY LLC"/>
    <s v="LaPorte"/>
    <m/>
    <m/>
    <s v="IN"/>
    <s v="DPP-2022"/>
    <s v="Central"/>
    <s v="Phase 2"/>
    <s v="NRIS"/>
    <s v="BABCOCK-STILLWELL 345 kV"/>
    <n v="150"/>
    <n v="150"/>
    <x v="5"/>
    <s v="Solar/Battery"/>
    <s v="Not Started"/>
    <m/>
    <n v="0"/>
    <n v="0"/>
    <n v="0"/>
    <n v="0"/>
  </r>
  <r>
    <s v="J3226"/>
    <x v="1"/>
    <d v="2022-09-15T00:00:00"/>
    <d v="2025-10-27T00:00:00"/>
    <m/>
    <d v="2026-08-31T00:00:00"/>
    <s v="NORTHERN INDIANA PUBLIC SERVICE COMPANY LLC"/>
    <s v="Marshall"/>
    <m/>
    <m/>
    <s v="IN"/>
    <s v="DPP-2022"/>
    <s v="Central"/>
    <s v="Phase 2"/>
    <s v="NRIS"/>
    <s v="BURR OAK - PLYMOUTH 138.0kV"/>
    <n v="130"/>
    <n v="130"/>
    <x v="5"/>
    <s v="Solar/Battery"/>
    <s v="Not Started"/>
    <m/>
    <n v="0"/>
    <n v="0"/>
    <n v="0"/>
    <n v="0"/>
  </r>
  <r>
    <s v="J3227"/>
    <x v="1"/>
    <d v="2022-09-14T00:00:00"/>
    <d v="2025-08-01T00:00:00"/>
    <m/>
    <d v="2025-12-31T00:00:00"/>
    <s v="METC"/>
    <s v="Ogemaw"/>
    <m/>
    <m/>
    <s v="MI"/>
    <s v="DPP-2022"/>
    <s v="Central"/>
    <s v="Phase 2"/>
    <s v="NRIS"/>
    <s v="Gallagher to Livingston 345 kV Segment on the Livingston √¢‚Ç¨‚Äú Tittabawassee 345 kV Line"/>
    <n v="80"/>
    <n v="80"/>
    <x v="0"/>
    <s v="Photovoltaic"/>
    <s v="Not Started"/>
    <m/>
    <n v="0"/>
    <n v="0"/>
    <n v="0"/>
    <n v="0"/>
  </r>
  <r>
    <s v="J3228"/>
    <x v="1"/>
    <d v="2022-09-14T00:00:00"/>
    <d v="2025-08-01T00:00:00"/>
    <m/>
    <d v="2025-09-15T00:00:00"/>
    <s v="METC"/>
    <s v="Midland"/>
    <m/>
    <m/>
    <s v="MI"/>
    <s v="DPP-2022"/>
    <s v="East (ITC)"/>
    <s v="Phase 1"/>
    <s v="NRIS"/>
    <s v="Redstone-Tittabawassee 138 kV Line"/>
    <n v="26"/>
    <n v="26"/>
    <x v="0"/>
    <s v="Photovoltaic"/>
    <s v="Not Started"/>
    <m/>
    <n v="0"/>
    <n v="0"/>
    <n v="0"/>
    <n v="0"/>
  </r>
  <r>
    <s v="J3229"/>
    <x v="2"/>
    <d v="2022-09-14T00:00:00"/>
    <m/>
    <m/>
    <d v="2026-04-24T00:00:00"/>
    <s v="AMEREN MISSOURI"/>
    <s v="Maries"/>
    <m/>
    <m/>
    <s v="MO"/>
    <s v="DPP-2022"/>
    <s v="Central"/>
    <s v="Phase 2"/>
    <s v="NRIS"/>
    <s v="4DILLON - 4LKSIDE TP2 138.0kV"/>
    <n v="140"/>
    <n v="140"/>
    <x v="5"/>
    <s v="Solar/Battery"/>
    <s v="Not Started"/>
    <m/>
    <n v="140"/>
    <n v="140"/>
    <n v="0"/>
    <n v="0"/>
  </r>
  <r>
    <s v="J3230"/>
    <x v="2"/>
    <d v="2022-09-14T00:00:00"/>
    <m/>
    <m/>
    <d v="2029-10-01T00:00:00"/>
    <s v="ENTERGY ARKANSAS, LLC EATO"/>
    <s v="Crittenden"/>
    <m/>
    <m/>
    <s v="AR"/>
    <s v="DPP-2022"/>
    <s v="South"/>
    <s v="Phase 1"/>
    <s v="NRIS"/>
    <s v="PARKIN - GILMORE 161.0kV"/>
    <n v="200"/>
    <n v="200"/>
    <x v="5"/>
    <s v="Wind/Battery"/>
    <s v="Not Started"/>
    <m/>
    <n v="200"/>
    <n v="0"/>
    <n v="0"/>
    <n v="0"/>
  </r>
  <r>
    <s v="J3231"/>
    <x v="2"/>
    <d v="2022-09-14T00:00:00"/>
    <m/>
    <m/>
    <d v="2024-11-29T00:00:00"/>
    <s v="ENTERGY MISSISSIPPI, LLC. EMTO"/>
    <s v="Amite"/>
    <m/>
    <m/>
    <s v="MS"/>
    <s v="DPP-2022"/>
    <s v="South"/>
    <s v="Phase 1"/>
    <s v="NRIS"/>
    <s v="GLOSTER - LIBERTY 115.0kV"/>
    <n v="100"/>
    <n v="100"/>
    <x v="5"/>
    <s v="Solar/Battery"/>
    <s v="Not Started"/>
    <m/>
    <n v="100"/>
    <n v="100"/>
    <n v="0"/>
    <n v="0"/>
  </r>
  <r>
    <s v="J3232"/>
    <x v="2"/>
    <d v="2024-04-11T00:00:00"/>
    <m/>
    <m/>
    <d v="2028-08-31T00:00:00"/>
    <s v="DUKE ENERGY INDIANA, LLC CIN"/>
    <s v="Vermillion"/>
    <m/>
    <m/>
    <s v="IN"/>
    <s v="DPP-2023"/>
    <s v="Central"/>
    <s v="Study Not Started"/>
    <s v="NRIS"/>
    <s v="CAYUGA STATION"/>
    <n v="500"/>
    <n v="500"/>
    <x v="3"/>
    <s v="Combined Cycle"/>
    <m/>
    <m/>
    <n v="475.5"/>
    <n v="500"/>
    <n v="0"/>
    <n v="0"/>
  </r>
  <r>
    <s v="J3233"/>
    <x v="2"/>
    <d v="2024-03-28T00:00:00"/>
    <m/>
    <m/>
    <d v="2028-01-15T00:00:00"/>
    <s v="OTTER TAIL POWER COMPANY OTP"/>
    <s v="Yellow Medicine"/>
    <m/>
    <m/>
    <s v="MN"/>
    <s v="DPP-2023"/>
    <s v="West"/>
    <s v="Study Not Started"/>
    <s v="NRIS"/>
    <s v="Canby 115 kV Substation"/>
    <n v="140"/>
    <n v="140"/>
    <x v="0"/>
    <s v="Photovoltaic"/>
    <m/>
    <m/>
    <n v="140"/>
    <n v="140"/>
    <n v="0"/>
    <n v="0"/>
  </r>
  <r>
    <s v="J3234"/>
    <x v="1"/>
    <d v="2024-03-28T00:00:00"/>
    <d v="2025-09-30T00:00:00"/>
    <m/>
    <d v="2028-01-15T00:00:00"/>
    <s v="GREAT RIVER ENERGY"/>
    <s v="Carver"/>
    <m/>
    <m/>
    <s v="MN"/>
    <s v="DPP-2023"/>
    <s v="West"/>
    <s v="Study Not Started"/>
    <s v="NRIS"/>
    <s v="ST BONIFACIUS"/>
    <n v="130"/>
    <n v="130"/>
    <x v="2"/>
    <s v="Battery Storage"/>
    <m/>
    <m/>
    <n v="0"/>
    <n v="0"/>
    <n v="0"/>
    <n v="0"/>
  </r>
  <r>
    <s v="J3235"/>
    <x v="2"/>
    <d v="2024-03-28T00:00:00"/>
    <m/>
    <m/>
    <d v="2028-01-15T00:00:00"/>
    <s v="GREAT RIVER ENERGY"/>
    <s v="Benton"/>
    <m/>
    <m/>
    <s v="MN"/>
    <s v="DPP-2023"/>
    <s v="West"/>
    <s v="Study Not Started"/>
    <s v="NRIS"/>
    <s v="Cherry Park Substation"/>
    <n v="250"/>
    <n v="250"/>
    <x v="2"/>
    <s v="Battery Storage"/>
    <m/>
    <m/>
    <n v="250"/>
    <n v="250"/>
    <n v="0"/>
    <n v="0"/>
  </r>
  <r>
    <s v="J3236"/>
    <x v="2"/>
    <d v="2024-03-28T00:00:00"/>
    <m/>
    <m/>
    <d v="2028-01-15T00:00:00"/>
    <s v="NORTHERN STATES POWER COMPANY"/>
    <s v="Chisago"/>
    <m/>
    <m/>
    <s v="MN"/>
    <s v="DPP-2023"/>
    <s v="West"/>
    <s v="Study Not Started"/>
    <s v="NRIS"/>
    <s v="Chisago County 115kV Substation"/>
    <n v="200"/>
    <n v="200"/>
    <x v="2"/>
    <s v="Battery Storage"/>
    <m/>
    <m/>
    <n v="200"/>
    <n v="200"/>
    <n v="0"/>
    <n v="0"/>
  </r>
  <r>
    <s v="J3237"/>
    <x v="1"/>
    <d v="2024-04-09T00:00:00"/>
    <d v="2025-07-30T00:00:00"/>
    <m/>
    <d v="2028-06-09T00:00:00"/>
    <s v="MINNESOTA POWER INC."/>
    <s v="Itasca"/>
    <m/>
    <m/>
    <s v="MN"/>
    <s v="DPP-2023"/>
    <s v="West"/>
    <s v="Study Not Started"/>
    <s v="NRIS"/>
    <s v="National Tac Plant 115kV (Customer-owned)"/>
    <n v="86"/>
    <n v="86"/>
    <x v="1"/>
    <s v="Wind Turbine"/>
    <m/>
    <m/>
    <n v="0"/>
    <n v="0"/>
    <n v="0"/>
    <n v="0"/>
  </r>
  <r>
    <s v="J3238"/>
    <x v="1"/>
    <d v="2024-04-10T00:00:00"/>
    <d v="2025-09-30T00:00:00"/>
    <m/>
    <d v="2028-06-30T00:00:00"/>
    <s v="CLECO POWER LLC"/>
    <s v="Evangeline"/>
    <m/>
    <m/>
    <s v="LA"/>
    <s v="DPP-2023"/>
    <s v="South"/>
    <s v="Study Not Started"/>
    <s v="NRIS"/>
    <s v="Cocodrie - Ville Platte 230.0kV"/>
    <n v="155"/>
    <n v="155"/>
    <x v="0"/>
    <s v="Photovoltaic"/>
    <m/>
    <m/>
    <n v="0"/>
    <n v="0"/>
    <n v="0"/>
    <n v="0"/>
  </r>
  <r>
    <s v="J3239"/>
    <x v="1"/>
    <d v="2024-04-18T00:00:00"/>
    <d v="2025-09-30T00:00:00"/>
    <m/>
    <d v="2028-05-01T00:00:00"/>
    <s v="AMEREN TRANSMISSION COMPANY OF ILLINOIS"/>
    <s v="Christian"/>
    <m/>
    <m/>
    <s v="IL"/>
    <s v="DPP-2023"/>
    <s v="Central"/>
    <s v="Study Not Started"/>
    <s v="NRIS"/>
    <s v="Pana 138kV"/>
    <n v="175"/>
    <n v="175"/>
    <x v="1"/>
    <s v="Wind Turbine"/>
    <m/>
    <m/>
    <n v="0"/>
    <n v="0"/>
    <n v="0"/>
    <n v="0"/>
  </r>
  <r>
    <s v="J3240"/>
    <x v="1"/>
    <d v="2024-04-14T00:00:00"/>
    <d v="2025-09-30T00:00:00"/>
    <m/>
    <d v="2028-09-15T00:00:00"/>
    <s v="AMEREN ILLINOIS"/>
    <s v="Fulton"/>
    <m/>
    <m/>
    <s v="IL"/>
    <s v="DPP-2023"/>
    <s v="Central"/>
    <s v="Study Not Started"/>
    <s v="NRIS"/>
    <s v="Other_"/>
    <n v="150"/>
    <n v="150"/>
    <x v="0"/>
    <s v="Photovoltaic"/>
    <m/>
    <m/>
    <n v="0"/>
    <n v="0"/>
    <n v="0"/>
    <n v="0"/>
  </r>
  <r>
    <s v="J3241"/>
    <x v="1"/>
    <d v="2024-04-15T00:00:00"/>
    <d v="2025-09-25T00:00:00"/>
    <m/>
    <d v="2028-06-01T00:00:00"/>
    <s v="COOPERATIVE ENERGY"/>
    <s v="Lincoln"/>
    <m/>
    <m/>
    <s v="MS"/>
    <s v="DPP-2023"/>
    <s v="South"/>
    <s v="Study Not Started"/>
    <s v="NRIS"/>
    <s v="ARLINGTON GOAB"/>
    <n v="200"/>
    <n v="200"/>
    <x v="0"/>
    <s v="Photovoltaic"/>
    <m/>
    <m/>
    <n v="0"/>
    <n v="0"/>
    <n v="0"/>
    <n v="0"/>
  </r>
  <r>
    <s v="J3242"/>
    <x v="1"/>
    <d v="2024-04-17T00:00:00"/>
    <d v="2025-05-05T00:00:00"/>
    <m/>
    <d v="2028-06-30T00:00:00"/>
    <s v="AMEREN ILLINOIS"/>
    <s v="Tazewell"/>
    <m/>
    <m/>
    <s v="IL"/>
    <s v="DPP-2023"/>
    <s v="Central"/>
    <s v="Study Not Started"/>
    <s v="NRIS"/>
    <s v="Flint 138 kv"/>
    <n v="150"/>
    <n v="150"/>
    <x v="2"/>
    <s v="Battery Storage"/>
    <m/>
    <m/>
    <n v="0"/>
    <n v="0"/>
    <n v="0"/>
    <n v="0"/>
  </r>
  <r>
    <s v="J3243"/>
    <x v="1"/>
    <d v="2024-03-27T00:00:00"/>
    <d v="2025-12-23T00:00:00"/>
    <m/>
    <d v="2028-06-30T00:00:00"/>
    <s v="DUKE ENERGY INDIANA, LLC"/>
    <s v="Parke"/>
    <m/>
    <m/>
    <s v="IN"/>
    <s v="DPP-2023"/>
    <s v="Central"/>
    <s v="Study Not Started"/>
    <s v="NRIS"/>
    <s v="Other_"/>
    <n v="150"/>
    <n v="150"/>
    <x v="2"/>
    <s v="Battery Storage"/>
    <m/>
    <m/>
    <n v="0"/>
    <n v="0"/>
    <n v="0"/>
    <n v="0"/>
  </r>
  <r>
    <s v="J3244"/>
    <x v="1"/>
    <d v="2024-03-27T00:00:00"/>
    <d v="2025-09-05T00:00:00"/>
    <m/>
    <d v="2028-06-30T00:00:00"/>
    <s v="DUKE ENERGY INDIANA, LLC"/>
    <s v="Parke"/>
    <m/>
    <m/>
    <s v="IN"/>
    <s v="DPP-2023"/>
    <s v="Central"/>
    <s v="Study Not Started"/>
    <s v="NRIS"/>
    <s v="Parke County REMC"/>
    <n v="100"/>
    <n v="100"/>
    <x v="0"/>
    <s v="Photovoltaic"/>
    <m/>
    <m/>
    <n v="0"/>
    <n v="0"/>
    <n v="0"/>
    <n v="0"/>
  </r>
  <r>
    <s v="J3245"/>
    <x v="1"/>
    <d v="2024-03-26T00:00:00"/>
    <d v="2025-09-05T00:00:00"/>
    <m/>
    <d v="2028-06-30T00:00:00"/>
    <s v="BIG RIVERS ELECTRIC CORPORATION"/>
    <s v="Breckinridge"/>
    <m/>
    <m/>
    <s v="KY"/>
    <s v="DPP-2023"/>
    <s v="Central"/>
    <s v="Study Not Started"/>
    <s v="NRIS"/>
    <s v="Meade County - New Hardinsburg 161.0kV"/>
    <n v="150"/>
    <n v="150"/>
    <x v="0"/>
    <s v="Photovoltaic"/>
    <m/>
    <m/>
    <n v="0"/>
    <n v="0"/>
    <n v="0"/>
    <n v="0"/>
  </r>
  <r>
    <s v="J3246"/>
    <x v="1"/>
    <d v="2024-04-05T00:00:00"/>
    <d v="2025-09-30T00:00:00"/>
    <m/>
    <d v="2028-01-15T00:00:00"/>
    <s v="PRAIRIE POWER, INC."/>
    <s v="Sangamon"/>
    <m/>
    <m/>
    <s v="IL"/>
    <s v="DPP-2023"/>
    <s v="Central"/>
    <s v="Study Not Started"/>
    <s v="NRIS"/>
    <s v="Fancy Creek 138kV Substation"/>
    <n v="120"/>
    <n v="120"/>
    <x v="0"/>
    <s v="Photovoltaic"/>
    <m/>
    <m/>
    <n v="0"/>
    <n v="0"/>
    <n v="0"/>
    <n v="0"/>
  </r>
  <r>
    <s v="J3247"/>
    <x v="1"/>
    <d v="2024-04-14T00:00:00"/>
    <d v="2025-07-30T00:00:00"/>
    <m/>
    <d v="2028-09-15T00:00:00"/>
    <s v="DUKE ENERGY INDIANA, LLC"/>
    <s v="Vigo"/>
    <m/>
    <m/>
    <s v="IN"/>
    <s v="DPP-2023"/>
    <s v="Central"/>
    <s v="Study Not Started"/>
    <s v="NRIS"/>
    <s v="SPELTERVILLE"/>
    <n v="200"/>
    <n v="200"/>
    <x v="2"/>
    <s v="Battery Storage"/>
    <m/>
    <m/>
    <n v="0"/>
    <n v="0"/>
    <n v="0"/>
    <n v="0"/>
  </r>
  <r>
    <s v="J3248"/>
    <x v="1"/>
    <d v="2024-04-13T00:00:00"/>
    <d v="2025-09-30T00:00:00"/>
    <m/>
    <d v="2028-09-01T00:00:00"/>
    <s v="SOUTHERN INDIANA GAS &amp; ELECTRIC COMPANY D/B/A CENTERPOINT ENERGY INDIANA SOUTH"/>
    <s v="Posey"/>
    <m/>
    <m/>
    <s v="IN"/>
    <s v="DPP-2023"/>
    <s v="Central"/>
    <s v="Study Not Started"/>
    <s v="NRIS"/>
    <s v="AB Brown - Farm Bureau 138.0kV"/>
    <n v="250"/>
    <n v="250"/>
    <x v="2"/>
    <s v="Battery Storage"/>
    <m/>
    <m/>
    <n v="0"/>
    <n v="0"/>
    <n v="0"/>
    <n v="0"/>
  </r>
  <r>
    <s v="J3249"/>
    <x v="2"/>
    <d v="2024-04-13T00:00:00"/>
    <m/>
    <m/>
    <d v="2028-09-01T00:00:00"/>
    <s v="SOUTHERN INDIANA GAS &amp; ELECTRIC COMPANY D/B/A CENTERPOINT ENERGY INDIANA SOUTH"/>
    <s v="Vanderburgh"/>
    <m/>
    <m/>
    <s v="IN"/>
    <s v="DPP-2023"/>
    <s v="Central"/>
    <s v="Study Not Started"/>
    <s v="NRIS"/>
    <s v="Elliott - Francisco 138.0kV"/>
    <n v="200"/>
    <n v="200"/>
    <x v="2"/>
    <s v="Battery Storage"/>
    <m/>
    <m/>
    <n v="200"/>
    <n v="200"/>
    <n v="0"/>
    <n v="0"/>
  </r>
  <r>
    <s v="J3250"/>
    <x v="1"/>
    <d v="2024-04-14T00:00:00"/>
    <d v="2025-09-02T00:00:00"/>
    <m/>
    <d v="2028-09-15T00:00:00"/>
    <s v="MIDAMERICAN ENERGY CO."/>
    <s v="Cerro Gordo"/>
    <m/>
    <m/>
    <s v="IA"/>
    <s v="DPP-2023"/>
    <s v="West"/>
    <s v="Study Not Started"/>
    <s v="NRIS"/>
    <s v="FLOYD - EMERY (ITCM) 161.0kV"/>
    <n v="150"/>
    <n v="150"/>
    <x v="1"/>
    <s v="Wind Turbine"/>
    <m/>
    <m/>
    <n v="0"/>
    <n v="0"/>
    <n v="0"/>
    <n v="0"/>
  </r>
  <r>
    <s v="J3251"/>
    <x v="2"/>
    <d v="2024-04-15T00:00:00"/>
    <m/>
    <m/>
    <d v="2028-06-01T00:00:00"/>
    <s v="METC"/>
    <s v="Genesee"/>
    <m/>
    <m/>
    <s v="MI"/>
    <s v="DPP-2023"/>
    <s v="East (ITC)"/>
    <s v="Study Not Started"/>
    <s v="NRIS"/>
    <s v="THETFORD"/>
    <n v="200"/>
    <n v="200"/>
    <x v="2"/>
    <s v="Battery Storage"/>
    <m/>
    <m/>
    <n v="200"/>
    <n v="200"/>
    <n v="0"/>
    <n v="0"/>
  </r>
  <r>
    <s v="J3252"/>
    <x v="1"/>
    <d v="2024-04-15T00:00:00"/>
    <d v="2025-05-23T00:00:00"/>
    <m/>
    <d v="2028-06-01T00:00:00"/>
    <s v="ITC"/>
    <s v="St. Clair"/>
    <m/>
    <m/>
    <s v="MI"/>
    <s v="DPP-2023"/>
    <s v="East (ITC)"/>
    <s v="Study Not Started"/>
    <s v="NRIS"/>
    <s v="FITZ"/>
    <n v="200"/>
    <n v="200"/>
    <x v="2"/>
    <s v="Battery Storage"/>
    <m/>
    <m/>
    <n v="0"/>
    <n v="0"/>
    <n v="0"/>
    <n v="0"/>
  </r>
  <r>
    <s v="J3253"/>
    <x v="1"/>
    <d v="2024-03-26T00:00:00"/>
    <d v="2025-09-30T00:00:00"/>
    <m/>
    <d v="2028-06-30T00:00:00"/>
    <s v="ARKANSAS ELECTRIC COOPERATIVE CORPORATION"/>
    <s v="Woodruff"/>
    <m/>
    <m/>
    <s v="AR"/>
    <s v="DPP-2023"/>
    <s v="South"/>
    <s v="Study Not Started"/>
    <s v="NRIS"/>
    <s v="Bailey"/>
    <n v="150"/>
    <n v="150"/>
    <x v="0"/>
    <s v="Photovoltaic"/>
    <m/>
    <m/>
    <n v="0"/>
    <n v="0"/>
    <n v="0"/>
    <n v="0"/>
  </r>
  <r>
    <s v="J3254"/>
    <x v="2"/>
    <d v="2024-04-15T00:00:00"/>
    <m/>
    <m/>
    <d v="2026-12-30T00:00:00"/>
    <s v="AMEREN TRANSMISSION COMPANY OF ILLINOIS"/>
    <s v="Pulaski"/>
    <m/>
    <m/>
    <s v="IL"/>
    <s v="DPP-2023"/>
    <s v="Central"/>
    <s v="Study Not Started"/>
    <s v="NRIS"/>
    <s v="5CAPE GIR3 - 5JOPPA SR 161.0kV"/>
    <n v="175"/>
    <n v="175"/>
    <x v="5"/>
    <s v="Solar/Battery"/>
    <m/>
    <m/>
    <n v="175"/>
    <n v="175"/>
    <n v="0"/>
    <n v="0"/>
  </r>
  <r>
    <s v="J3255"/>
    <x v="1"/>
    <d v="2024-04-13T00:00:00"/>
    <d v="2025-12-23T00:00:00"/>
    <m/>
    <d v="2028-09-15T00:00:00"/>
    <s v="ENTERGY MISSISSIPPI, LLC."/>
    <s v="Holmes"/>
    <m/>
    <m/>
    <s v="MS"/>
    <s v="DPP-2023"/>
    <s v="South"/>
    <s v="Study Not Started"/>
    <s v="NRIS"/>
    <s v="INDIANOLA 230/115 SUB - MCADAMS EHV 230.0kV"/>
    <n v="350"/>
    <n v="350"/>
    <x v="0"/>
    <s v="Photovoltaic"/>
    <m/>
    <m/>
    <n v="0"/>
    <n v="0"/>
    <n v="0"/>
    <n v="0"/>
  </r>
  <r>
    <s v="J3256"/>
    <x v="2"/>
    <d v="2024-04-13T00:00:00"/>
    <m/>
    <m/>
    <d v="2028-09-01T00:00:00"/>
    <s v="AMEREN ILLINOIS"/>
    <s v="Clark"/>
    <m/>
    <m/>
    <s v="IL"/>
    <s v="DPP-2023"/>
    <s v="Central"/>
    <s v="Study Not Started"/>
    <s v="NRIS"/>
    <s v="4GALLATIN - 4KANSAS   138.0kV"/>
    <n v="200"/>
    <n v="200"/>
    <x v="0"/>
    <s v="Photovoltaic"/>
    <m/>
    <m/>
    <n v="200"/>
    <n v="200"/>
    <n v="0"/>
    <n v="0"/>
  </r>
  <r>
    <s v="J3257"/>
    <x v="1"/>
    <d v="2024-04-18T00:00:00"/>
    <d v="2025-09-30T00:00:00"/>
    <m/>
    <d v="2026-10-01T00:00:00"/>
    <s v="NORTHERN INDIANA PUBLIC SERVICE COMPANY LLC"/>
    <s v="Pulaski"/>
    <m/>
    <m/>
    <s v="IN"/>
    <s v="DPP-2023"/>
    <s v="Central"/>
    <s v="Study Not Started"/>
    <s v="NRIS"/>
    <s v="EAST WINAMAC - MONTICELLO 138.0kV"/>
    <n v="190"/>
    <n v="190"/>
    <x v="0"/>
    <s v="Photovoltaic"/>
    <m/>
    <m/>
    <n v="0"/>
    <n v="0"/>
    <n v="0"/>
    <n v="0"/>
  </r>
  <r>
    <s v="J3258"/>
    <x v="1"/>
    <d v="2024-04-17T00:00:00"/>
    <d v="2025-12-22T00:00:00"/>
    <m/>
    <d v="2028-09-06T00:00:00"/>
    <s v="METC"/>
    <s v="Ottawa"/>
    <m/>
    <m/>
    <s v="MI"/>
    <s v="DPP-2023"/>
    <s v="East (ITC)"/>
    <s v="Study Not Started"/>
    <s v="NRIS"/>
    <s v="TYLER"/>
    <n v="200"/>
    <n v="200"/>
    <x v="2"/>
    <s v="Battery Storage"/>
    <m/>
    <m/>
    <n v="0"/>
    <n v="0"/>
    <n v="0"/>
    <n v="0"/>
  </r>
  <r>
    <s v="J3259"/>
    <x v="1"/>
    <d v="2024-04-17T00:00:00"/>
    <d v="2025-09-30T00:00:00"/>
    <m/>
    <d v="2028-09-06T00:00:00"/>
    <s v="GREAT RIVER ENERGY"/>
    <s v="Renville"/>
    <m/>
    <m/>
    <s v="MN"/>
    <s v="DPP-2023"/>
    <s v="West"/>
    <s v="Study Not Started"/>
    <s v="NRIS"/>
    <s v="Cedar Mountain"/>
    <n v="250"/>
    <n v="250"/>
    <x v="2"/>
    <s v="Battery Storage"/>
    <m/>
    <m/>
    <n v="0"/>
    <n v="0"/>
    <n v="0"/>
    <n v="0"/>
  </r>
  <r>
    <s v="J3260"/>
    <x v="1"/>
    <d v="2024-03-28T00:00:00"/>
    <d v="2025-09-30T00:00:00"/>
    <m/>
    <d v="2028-01-15T00:00:00"/>
    <s v="AMEREN ILLINOIS"/>
    <s v="LaSalle"/>
    <m/>
    <m/>
    <s v="IL"/>
    <s v="DPP-2023"/>
    <s v="Central"/>
    <s v="Study Not Started"/>
    <s v="NRIS"/>
    <s v="4NLASALLE RB - 4WED_FOXR 138.0kV"/>
    <n v="97"/>
    <n v="97"/>
    <x v="0"/>
    <s v="Photovoltaic"/>
    <m/>
    <m/>
    <n v="0"/>
    <n v="0"/>
    <n v="0"/>
    <n v="0"/>
  </r>
  <r>
    <s v="J3261"/>
    <x v="1"/>
    <d v="2024-03-26T00:00:00"/>
    <d v="2025-09-30T00:00:00"/>
    <m/>
    <d v="2028-06-30T00:00:00"/>
    <s v="ENTERGY MISSISSIPPI, LLC."/>
    <s v="Tunica"/>
    <m/>
    <m/>
    <s v="MS"/>
    <s v="DPP-2023"/>
    <s v="South"/>
    <s v="Study Not Started"/>
    <s v="NRIS"/>
    <s v="Tunica 230 kV (337160)"/>
    <n v="200"/>
    <n v="200"/>
    <x v="0"/>
    <s v="Photovoltaic"/>
    <m/>
    <m/>
    <n v="0"/>
    <n v="0"/>
    <n v="0"/>
    <n v="0"/>
  </r>
  <r>
    <s v="J3262"/>
    <x v="1"/>
    <d v="2024-04-12T00:00:00"/>
    <d v="2025-12-23T00:00:00"/>
    <m/>
    <d v="2028-03-01T00:00:00"/>
    <s v="ENTERGY TEXAS, INC."/>
    <s v="Jefferson"/>
    <m/>
    <m/>
    <s v="TX"/>
    <s v="DPP-2023"/>
    <s v="South"/>
    <s v="Study Not Started"/>
    <s v="NRIS"/>
    <s v="Stowell"/>
    <n v="300"/>
    <n v="300"/>
    <x v="1"/>
    <s v="Wind Turbine"/>
    <m/>
    <m/>
    <n v="0"/>
    <n v="0"/>
    <n v="0"/>
    <n v="0"/>
  </r>
  <r>
    <s v="J3263"/>
    <x v="1"/>
    <d v="2024-04-15T00:00:00"/>
    <d v="2025-09-25T00:00:00"/>
    <m/>
    <d v="2028-06-01T00:00:00"/>
    <s v="ARKANSAS ELECTRIC COOPERATIVE CORPORATION"/>
    <s v="Desha"/>
    <m/>
    <m/>
    <s v="AK"/>
    <s v="DPP-2023"/>
    <s v="South"/>
    <s v="Study Not Started"/>
    <s v="NRIS"/>
    <s v="DUMAS - REED SS 115.0kV"/>
    <n v="150"/>
    <n v="150"/>
    <x v="0"/>
    <s v="Photovoltaic"/>
    <m/>
    <m/>
    <n v="0"/>
    <n v="0"/>
    <n v="0"/>
    <n v="0"/>
  </r>
  <r>
    <s v="J3264"/>
    <x v="1"/>
    <d v="2024-04-12T00:00:00"/>
    <d v="2025-12-23T00:00:00"/>
    <m/>
    <d v="2028-09-01T00:00:00"/>
    <s v="METC"/>
    <s v="Otsego"/>
    <m/>
    <m/>
    <s v="MI"/>
    <s v="DPP-2023"/>
    <s v="East (ITC)"/>
    <s v="Study Not Started"/>
    <s v="NRIS"/>
    <s v="LIVINGSTON CO"/>
    <n v="300"/>
    <n v="300"/>
    <x v="2"/>
    <s v="Battery Storage"/>
    <m/>
    <m/>
    <n v="0"/>
    <n v="0"/>
    <n v="0"/>
    <n v="0"/>
  </r>
  <r>
    <s v="J3265"/>
    <x v="1"/>
    <d v="2024-04-11T00:00:00"/>
    <d v="2025-12-23T00:00:00"/>
    <m/>
    <d v="2028-08-17T00:00:00"/>
    <s v="NORTHERN STATES POWER COMPANY"/>
    <s v="Brookings"/>
    <m/>
    <m/>
    <s v="SD"/>
    <s v="DPP-2023"/>
    <s v="West"/>
    <s v="Study Not Started"/>
    <s v="NRIS"/>
    <s v="BROOKINGS COUNTY"/>
    <n v="175"/>
    <n v="175"/>
    <x v="2"/>
    <s v="Battery Storage"/>
    <m/>
    <m/>
    <n v="0"/>
    <n v="0"/>
    <n v="0"/>
    <n v="0"/>
  </r>
  <r>
    <s v="J3266"/>
    <x v="1"/>
    <d v="2024-04-11T00:00:00"/>
    <d v="2025-12-23T00:00:00"/>
    <m/>
    <d v="2028-08-17T00:00:00"/>
    <s v="OTTER TAIL POWER COMPANY"/>
    <s v="Sargent"/>
    <m/>
    <m/>
    <s v="ND"/>
    <s v="DPP-2023"/>
    <s v="West"/>
    <s v="Study Not Started"/>
    <s v="NRIS"/>
    <s v="Forman 230 kV Substation"/>
    <n v="175"/>
    <n v="175"/>
    <x v="2"/>
    <s v="Battery Storage"/>
    <m/>
    <m/>
    <n v="0"/>
    <n v="0"/>
    <n v="0"/>
    <n v="0"/>
  </r>
  <r>
    <s v="J3267"/>
    <x v="1"/>
    <d v="2024-04-15T00:00:00"/>
    <d v="2025-05-23T00:00:00"/>
    <m/>
    <d v="2028-06-01T00:00:00"/>
    <s v="METC"/>
    <s v="Genesee"/>
    <m/>
    <m/>
    <s v="MI"/>
    <s v="DPP-2023"/>
    <s v="East (ITC)"/>
    <s v="Study Not Started"/>
    <s v="NRIS"/>
    <s v="THETFORD"/>
    <n v="50"/>
    <n v="50"/>
    <x v="0"/>
    <s v="Photovoltaic"/>
    <m/>
    <m/>
    <n v="0"/>
    <n v="0"/>
    <n v="0"/>
    <n v="0"/>
  </r>
  <r>
    <s v="J3268"/>
    <x v="2"/>
    <d v="2024-04-18T00:00:00"/>
    <m/>
    <m/>
    <d v="2027-09-10T00:00:00"/>
    <s v="METC"/>
    <s v="Gratiot"/>
    <m/>
    <m/>
    <s v="MI"/>
    <s v="DPP-2023"/>
    <s v="East (ITC)"/>
    <s v="Study Not Started"/>
    <s v="NRIS"/>
    <s v="REGAL"/>
    <n v="100"/>
    <n v="100"/>
    <x v="2"/>
    <s v="Battery Storage"/>
    <m/>
    <m/>
    <n v="100"/>
    <n v="100"/>
    <n v="0"/>
    <n v="0"/>
  </r>
  <r>
    <s v="J3269"/>
    <x v="1"/>
    <d v="2024-04-17T00:00:00"/>
    <d v="2025-09-29T00:00:00"/>
    <m/>
    <d v="2027-11-02T00:00:00"/>
    <s v="AMEREN ILLINOIS"/>
    <s v="Hamilton"/>
    <m/>
    <m/>
    <s v="IL"/>
    <s v="DPP-2023"/>
    <s v="Central"/>
    <s v="Study Not Started"/>
    <s v="NRIS"/>
    <s v="7W_FRFT_E - 7NORRIS   345.0kV"/>
    <n v="300"/>
    <n v="300"/>
    <x v="0"/>
    <s v="Photovoltaic"/>
    <m/>
    <m/>
    <n v="0"/>
    <n v="0"/>
    <n v="0"/>
    <n v="0"/>
  </r>
  <r>
    <s v="J3270"/>
    <x v="1"/>
    <d v="2024-04-17T00:00:00"/>
    <d v="2025-12-23T00:00:00"/>
    <m/>
    <d v="2028-09-04T00:00:00"/>
    <s v="ENTERGY ARKANSAS, LLC"/>
    <s v="Phillips"/>
    <m/>
    <m/>
    <s v="AR"/>
    <s v="DPP-2023"/>
    <s v="South"/>
    <s v="Study Not Started"/>
    <s v="NRIS"/>
    <s v="AECC AUBREY - RITCHIE SWYD 230.0kV"/>
    <n v="250"/>
    <n v="250"/>
    <x v="0"/>
    <s v="Photovoltaic"/>
    <m/>
    <m/>
    <n v="0"/>
    <n v="0"/>
    <n v="0"/>
    <n v="0"/>
  </r>
  <r>
    <s v="J3271"/>
    <x v="1"/>
    <d v="2024-04-17T00:00:00"/>
    <d v="2025-09-03T00:00:00"/>
    <m/>
    <d v="2028-09-04T00:00:00"/>
    <s v="ARKANSAS ELECTRIC COOPERATIVE CORPORATION"/>
    <s v="Mississippi"/>
    <m/>
    <m/>
    <s v="AR"/>
    <s v="DPP-2023"/>
    <s v="South"/>
    <s v="Study Not Started"/>
    <s v="NRIS"/>
    <s v="AECC Dell 161kV - Nucor-Yamato 161kV Switching Station 161.0kV"/>
    <n v="230"/>
    <n v="230"/>
    <x v="0"/>
    <s v="Photovoltaic"/>
    <m/>
    <m/>
    <n v="0"/>
    <n v="0"/>
    <n v="0"/>
    <n v="0"/>
  </r>
  <r>
    <s v="J3272"/>
    <x v="1"/>
    <d v="2024-04-10T00:00:00"/>
    <d v="2025-08-18T00:00:00"/>
    <m/>
    <d v="2028-04-09T00:00:00"/>
    <s v="ENTERGY LOUISIANA, LLC"/>
    <s v="Concordia"/>
    <m/>
    <m/>
    <s v="LA"/>
    <s v="DPP-2023"/>
    <s v="South"/>
    <s v="Study Not Started"/>
    <s v="NRIS"/>
    <s v="VIDALIA"/>
    <n v="85"/>
    <n v="85"/>
    <x v="0"/>
    <s v="Photovoltaic"/>
    <m/>
    <m/>
    <n v="0"/>
    <n v="0"/>
    <n v="0"/>
    <n v="0"/>
  </r>
  <r>
    <s v="J3273"/>
    <x v="1"/>
    <d v="2024-04-16T00:00:00"/>
    <d v="2025-12-23T00:00:00"/>
    <m/>
    <d v="2027-03-01T00:00:00"/>
    <s v="ENTERGY LOUISIANA, LLC"/>
    <s v="Madison"/>
    <m/>
    <m/>
    <s v="LA"/>
    <s v="DPP-2023"/>
    <s v="South"/>
    <s v="Study Not Started"/>
    <s v="NRIS"/>
    <s v="BAXTER WILSON SES SWYD - PERRYVILLE 500 SWYD 500.0kV"/>
    <n v="473.8"/>
    <n v="473.8"/>
    <x v="1"/>
    <s v="Wind Turbine"/>
    <m/>
    <m/>
    <n v="0"/>
    <n v="0"/>
    <n v="0"/>
    <n v="0"/>
  </r>
  <r>
    <s v="J3274"/>
    <x v="2"/>
    <d v="2024-04-15T00:00:00"/>
    <m/>
    <m/>
    <d v="2028-11-01T00:00:00"/>
    <s v="METC"/>
    <s v="Ogemaw"/>
    <m/>
    <m/>
    <s v="MI"/>
    <s v="DPP-2023"/>
    <s v="East (ITC)"/>
    <s v="Study Not Started"/>
    <s v="NRIS"/>
    <s v="GALLAGHER - TWINING 138.0kV"/>
    <n v="290"/>
    <n v="290"/>
    <x v="0"/>
    <s v="Photovoltaic"/>
    <m/>
    <m/>
    <n v="290"/>
    <n v="290"/>
    <n v="0"/>
    <n v="0"/>
  </r>
  <r>
    <s v="J3275"/>
    <x v="2"/>
    <d v="2024-04-17T00:00:00"/>
    <m/>
    <m/>
    <d v="2028-09-04T00:00:00"/>
    <s v="GREAT RIVER ENERGY"/>
    <s v="Benton"/>
    <m/>
    <m/>
    <s v="MN"/>
    <s v="DPP-2023"/>
    <s v="West"/>
    <s v="Study Not Started"/>
    <s v="NRIS"/>
    <s v="Mud Lake - Benton County (GRE) 230kV"/>
    <n v="249"/>
    <n v="249"/>
    <x v="1"/>
    <s v="Wind Turbine"/>
    <m/>
    <m/>
    <n v="249"/>
    <n v="249"/>
    <n v="0"/>
    <n v="0"/>
  </r>
  <r>
    <s v="J3276"/>
    <x v="1"/>
    <d v="2024-04-12T00:00:00"/>
    <d v="2025-08-27T00:00:00"/>
    <m/>
    <d v="2028-09-30T00:00:00"/>
    <s v="AMEREN ILLINOIS"/>
    <s v="Pulaski"/>
    <m/>
    <m/>
    <s v="IL"/>
    <s v="DPP-2023"/>
    <s v="Central"/>
    <s v="Study Not Started"/>
    <s v="NRIS"/>
    <s v="Mound City"/>
    <n v="200"/>
    <n v="200"/>
    <x v="0"/>
    <s v="Photovoltaic"/>
    <m/>
    <m/>
    <n v="0"/>
    <n v="0"/>
    <n v="0"/>
    <n v="0"/>
  </r>
  <r>
    <s v="J3277"/>
    <x v="1"/>
    <d v="2024-04-17T00:00:00"/>
    <d v="2025-09-30T00:00:00"/>
    <m/>
    <d v="2028-08-17T00:00:00"/>
    <s v="METC"/>
    <s v="Bay"/>
    <m/>
    <m/>
    <s v="MI"/>
    <s v="DPP-2023"/>
    <s v="East (ITC)"/>
    <s v="Study Not Started"/>
    <s v="NRIS"/>
    <s v="Other_"/>
    <n v="175"/>
    <n v="175"/>
    <x v="2"/>
    <s v="Battery Storage"/>
    <m/>
    <m/>
    <n v="0"/>
    <n v="0"/>
    <n v="0"/>
    <n v="0"/>
  </r>
  <r>
    <s v="J3278"/>
    <x v="1"/>
    <d v="2024-04-16T00:00:00"/>
    <d v="2025-12-23T00:00:00"/>
    <m/>
    <d v="2028-08-01T00:00:00"/>
    <s v="GREAT RIVER ENERGY"/>
    <s v="Swift"/>
    <m/>
    <m/>
    <s v="MN"/>
    <s v="DPP-2023"/>
    <s v="West"/>
    <s v="Study Not Started"/>
    <s v="NRIS"/>
    <s v="SWENODA TAP - DUBLIN TAP - SS360 - 360WSM1 115.0kV"/>
    <n v="90"/>
    <n v="90"/>
    <x v="0"/>
    <s v="Photovoltaic"/>
    <m/>
    <m/>
    <n v="0"/>
    <n v="0"/>
    <n v="0"/>
    <n v="0"/>
  </r>
  <r>
    <s v="J3279"/>
    <x v="1"/>
    <d v="2024-04-17T00:00:00"/>
    <d v="2025-09-30T00:00:00"/>
    <m/>
    <d v="2028-09-04T00:00:00"/>
    <s v="MONTANA-DAKOTA UTILITIES CO."/>
    <s v="Day"/>
    <m/>
    <m/>
    <s v="SD"/>
    <s v="DPP-2023"/>
    <s v="West"/>
    <s v="Study Not Started"/>
    <s v="NRIS"/>
    <s v="Ellendale 345 - Twin Brooks 345.0kV"/>
    <n v="300"/>
    <n v="300"/>
    <x v="1"/>
    <s v="Wind Turbine"/>
    <m/>
    <m/>
    <n v="0"/>
    <n v="0"/>
    <n v="0"/>
    <n v="0"/>
  </r>
  <r>
    <s v="J3280"/>
    <x v="2"/>
    <d v="2024-04-17T00:00:00"/>
    <m/>
    <m/>
    <d v="2028-09-01T00:00:00"/>
    <s v="MONTANA-DAKOTA UTILITIES CO.MDU"/>
    <s v="Dickey"/>
    <m/>
    <m/>
    <s v="ND"/>
    <s v="DPP-2023"/>
    <s v="West"/>
    <s v="Study Not Started"/>
    <s v="NRIS"/>
    <s v="Ellendale"/>
    <n v="300"/>
    <n v="300"/>
    <x v="1"/>
    <s v="Wind Turbine"/>
    <m/>
    <m/>
    <n v="300"/>
    <n v="300"/>
    <n v="0"/>
    <n v="0"/>
  </r>
  <r>
    <s v="J3281"/>
    <x v="1"/>
    <d v="2024-04-16T00:00:00"/>
    <d v="2025-12-23T00:00:00"/>
    <m/>
    <d v="2027-06-30T00:00:00"/>
    <s v="AMERICAN TRANSMISSION COMPANY"/>
    <s v="Marquette"/>
    <m/>
    <m/>
    <s v="MI"/>
    <s v="DPP-2023"/>
    <s v="East (ATC)"/>
    <s v="Study Not Started"/>
    <s v="NRIS"/>
    <s v="Presque Isle - North Lake 138.0kV"/>
    <n v="170"/>
    <n v="170"/>
    <x v="1"/>
    <s v="Wind Turbine"/>
    <m/>
    <m/>
    <n v="0"/>
    <n v="0"/>
    <n v="0"/>
    <n v="0"/>
  </r>
  <r>
    <s v="J3282"/>
    <x v="4"/>
    <d v="2024-04-15T00:00:00"/>
    <m/>
    <m/>
    <d v="2028-11-01T00:00:00"/>
    <s v="METC"/>
    <s v="Mason"/>
    <m/>
    <m/>
    <s v="MI"/>
    <s v="DPP-2023"/>
    <s v="East (ITC)"/>
    <s v="Study Not Started"/>
    <s v="NRIS"/>
    <s v="KEYSTONE - LUDINGTON 345.0kV"/>
    <n v="100"/>
    <n v="100"/>
    <x v="0"/>
    <s v="Photovoltaic"/>
    <m/>
    <m/>
    <n v="100"/>
    <n v="100"/>
    <n v="0"/>
    <n v="0"/>
  </r>
  <r>
    <s v="J3283"/>
    <x v="4"/>
    <d v="2024-04-15T00:00:00"/>
    <m/>
    <m/>
    <d v="2028-11-01T00:00:00"/>
    <s v="METC"/>
    <s v="Grand Traverse"/>
    <m/>
    <m/>
    <s v="MI"/>
    <s v="DPP-2023"/>
    <s v="East (ITC)"/>
    <s v="Study Not Started"/>
    <s v="NRIS"/>
    <s v="KEYSTONE - WEXFORD 138.0kV"/>
    <n v="100"/>
    <n v="100"/>
    <x v="0"/>
    <s v="Photovoltaic"/>
    <m/>
    <m/>
    <n v="100"/>
    <n v="100"/>
    <n v="0"/>
    <n v="0"/>
  </r>
  <r>
    <s v="J3284"/>
    <x v="1"/>
    <d v="2024-04-16T00:00:00"/>
    <d v="2025-05-05T00:00:00"/>
    <m/>
    <d v="2028-06-30T00:00:00"/>
    <s v="AMEREN ILLINOIS"/>
    <s v="Woodford"/>
    <m/>
    <m/>
    <s v="IL"/>
    <s v="DPP-2023"/>
    <s v="Central"/>
    <s v="Study Not Started"/>
    <s v="NRIS"/>
    <s v="Spring Bay"/>
    <n v="100"/>
    <n v="100"/>
    <x v="2"/>
    <s v="Battery Storage"/>
    <m/>
    <m/>
    <n v="0"/>
    <n v="0"/>
    <n v="0"/>
    <n v="0"/>
  </r>
  <r>
    <s v="J3285"/>
    <x v="1"/>
    <d v="2024-04-15T00:00:00"/>
    <d v="2024-08-30T00:00:00"/>
    <m/>
    <d v="2028-09-30T00:00:00"/>
    <s v="DUKE ENERGY INDIANA, LLC"/>
    <s v="Vigo"/>
    <m/>
    <m/>
    <s v="IN"/>
    <s v="DPP-2023"/>
    <s v="Central"/>
    <s v="Study Not Started"/>
    <s v="NRIS"/>
    <s v="TH Pfizer Jct. - Worthington (HED)"/>
    <n v="150"/>
    <n v="150"/>
    <x v="0"/>
    <s v="Photovoltaic"/>
    <m/>
    <m/>
    <n v="0"/>
    <n v="0"/>
    <n v="0"/>
    <n v="0"/>
  </r>
  <r>
    <s v="J3286"/>
    <x v="4"/>
    <d v="2024-04-15T00:00:00"/>
    <m/>
    <m/>
    <d v="2028-11-01T00:00:00"/>
    <s v="ITC"/>
    <s v="Sanilac"/>
    <m/>
    <m/>
    <s v="MI"/>
    <s v="DPP-2023"/>
    <s v="East (ITC)"/>
    <s v="Study Not Started"/>
    <s v="NRIS"/>
    <s v="KILGORE - MICAH 120.0kV"/>
    <n v="200"/>
    <n v="200"/>
    <x v="0"/>
    <s v="Photovoltaic"/>
    <m/>
    <m/>
    <n v="200"/>
    <n v="200"/>
    <n v="0"/>
    <n v="0"/>
  </r>
  <r>
    <s v="J3287"/>
    <x v="4"/>
    <d v="2024-04-15T00:00:00"/>
    <m/>
    <m/>
    <d v="2028-11-01T00:00:00"/>
    <s v="WOLVERINE POWER SUPPLY COOPERATIVE"/>
    <s v="Osceola"/>
    <m/>
    <m/>
    <s v="MI"/>
    <s v="DPP-2023"/>
    <s v="East (ITC)"/>
    <s v="Study Not Started"/>
    <s v="NRIS"/>
    <s v="Hersey Interconnection"/>
    <n v="110"/>
    <n v="110"/>
    <x v="0"/>
    <s v="Photovoltaic"/>
    <m/>
    <m/>
    <n v="110"/>
    <n v="110"/>
    <n v="0"/>
    <n v="0"/>
  </r>
  <r>
    <s v="J3288"/>
    <x v="1"/>
    <d v="2024-04-18T00:00:00"/>
    <d v="2025-09-15T00:00:00"/>
    <m/>
    <d v="2028-01-01T00:00:00"/>
    <s v="DUKE ENERGY INDIANA, LLC"/>
    <s v="Carroll"/>
    <m/>
    <m/>
    <s v="IN"/>
    <s v="DPP-2023"/>
    <s v="Central"/>
    <s v="Study Not Started"/>
    <s v="NRIS"/>
    <s v="Kokomo Webster St.  - Walton 230.0kV"/>
    <n v="125"/>
    <n v="125"/>
    <x v="5"/>
    <s v="Photovoltaic"/>
    <m/>
    <m/>
    <n v="0"/>
    <n v="0"/>
    <n v="0"/>
    <n v="0"/>
  </r>
  <r>
    <s v="J3289"/>
    <x v="2"/>
    <d v="2024-04-17T00:00:00"/>
    <m/>
    <m/>
    <d v="2026-06-01T00:00:00"/>
    <s v="GREAT RIVER ENERGY"/>
    <s v="Sherburne"/>
    <m/>
    <m/>
    <s v="MN"/>
    <s v="DPP-2023"/>
    <s v="West"/>
    <s v="Study Not Started"/>
    <s v="NRIS"/>
    <s v="ELK RIVER 14"/>
    <n v="60"/>
    <n v="60"/>
    <x v="5"/>
    <s v="Combustion Turbine (Simple Cycle)"/>
    <m/>
    <m/>
    <n v="35"/>
    <n v="60"/>
    <n v="0"/>
    <n v="0"/>
  </r>
  <r>
    <s v="J3290"/>
    <x v="1"/>
    <d v="2024-04-17T00:00:00"/>
    <d v="2025-12-23T00:00:00"/>
    <m/>
    <d v="2028-09-15T00:00:00"/>
    <s v="NORTHERN INDIANA PUBLIC SERVICE COMPANY LLC"/>
    <s v="White"/>
    <m/>
    <m/>
    <s v="IN"/>
    <s v="DPP-2023"/>
    <s v="Central"/>
    <s v="Study Not Started"/>
    <s v="NRIS"/>
    <s v="MAGNETATION"/>
    <n v="100"/>
    <n v="100"/>
    <x v="2"/>
    <s v="Battery Storage"/>
    <m/>
    <m/>
    <n v="0"/>
    <n v="0"/>
    <n v="0"/>
    <n v="0"/>
  </r>
  <r>
    <s v="J3291"/>
    <x v="2"/>
    <d v="2024-04-17T00:00:00"/>
    <m/>
    <m/>
    <d v="2028-09-15T00:00:00"/>
    <s v="NORTHERN INDIANA PUBLIC SERVICE COMPANY LLC NIPS"/>
    <s v="LaGrange"/>
    <m/>
    <m/>
    <s v="IN"/>
    <s v="DPP-2023"/>
    <s v="Central"/>
    <s v="Study Not Started"/>
    <s v="NRIS"/>
    <s v="HIPLE"/>
    <n v="200"/>
    <n v="200"/>
    <x v="2"/>
    <s v="Battery Storage"/>
    <m/>
    <m/>
    <n v="200"/>
    <n v="200"/>
    <n v="0"/>
    <n v="0"/>
  </r>
  <r>
    <s v="J3292"/>
    <x v="2"/>
    <d v="2024-04-17T00:00:00"/>
    <m/>
    <m/>
    <d v="2028-03-01T00:00:00"/>
    <s v="ENTERGY ARKANSAS, LLC EATO"/>
    <s v="Phillips"/>
    <m/>
    <m/>
    <s v="AR"/>
    <s v="DPP-2023"/>
    <s v="South"/>
    <s v="Study Not Started"/>
    <s v="ERIS"/>
    <s v="RITCHIE SWYD - TARLETON 230.0kV"/>
    <n v="193"/>
    <n v="193"/>
    <x v="1"/>
    <s v="Wind Turbine"/>
    <m/>
    <m/>
    <n v="193"/>
    <n v="0"/>
    <n v="0"/>
    <n v="0"/>
  </r>
  <r>
    <s v="J3293"/>
    <x v="1"/>
    <d v="2024-04-17T00:00:00"/>
    <d v="2025-12-23T00:00:00"/>
    <m/>
    <d v="2027-01-31T00:00:00"/>
    <s v="DUKE ENERGY INDIANA, LLC"/>
    <s v="Knox"/>
    <m/>
    <m/>
    <s v="IN"/>
    <s v="DPP-2023"/>
    <s v="Central"/>
    <s v="Study Not Started"/>
    <s v="NRIS"/>
    <s v="Edwardsport IGCC - Amo 345.0kV"/>
    <n v="250"/>
    <n v="250"/>
    <x v="0"/>
    <s v="Photovoltaic"/>
    <m/>
    <m/>
    <n v="0"/>
    <n v="0"/>
    <n v="0"/>
    <n v="0"/>
  </r>
  <r>
    <s v="J3294"/>
    <x v="1"/>
    <d v="2024-04-17T00:00:00"/>
    <d v="2025-09-16T00:00:00"/>
    <m/>
    <d v="2027-01-31T00:00:00"/>
    <s v="HOOSIER ENERGY"/>
    <s v="Daviess"/>
    <m/>
    <m/>
    <s v="IN"/>
    <s v="DPP-2023"/>
    <s v="Central"/>
    <s v="Study Not Started"/>
    <s v="NRIS"/>
    <s v="GPC Primary - Sandborn Primary 161.0kV"/>
    <n v="200"/>
    <n v="200"/>
    <x v="0"/>
    <s v="Photovoltaic"/>
    <m/>
    <m/>
    <n v="0"/>
    <n v="0"/>
    <n v="0"/>
    <n v="0"/>
  </r>
  <r>
    <s v="J3295"/>
    <x v="1"/>
    <d v="2024-04-17T00:00:00"/>
    <d v="2025-12-23T00:00:00"/>
    <m/>
    <d v="2027-01-31T00:00:00"/>
    <s v="CLECO POWER LLC"/>
    <s v="Beauregard"/>
    <m/>
    <m/>
    <s v="LA"/>
    <s v="DPP-2023"/>
    <s v="South"/>
    <s v="Study Not Started"/>
    <s v="NRIS"/>
    <s v="Cole - Penton Road 230.0kV"/>
    <n v="250"/>
    <n v="250"/>
    <x v="0"/>
    <s v="Photovoltaic"/>
    <m/>
    <m/>
    <n v="0"/>
    <n v="0"/>
    <n v="0"/>
    <n v="0"/>
  </r>
  <r>
    <s v="J3296"/>
    <x v="2"/>
    <d v="2024-04-17T00:00:00"/>
    <m/>
    <m/>
    <d v="2027-01-31T00:00:00"/>
    <s v="Southern Illinois Power Cooperative"/>
    <s v="Hamilton"/>
    <m/>
    <m/>
    <s v="IL"/>
    <s v="DPP-2023"/>
    <s v="Central"/>
    <s v="Study Not Started"/>
    <s v="NRIS"/>
    <s v="Hamilton"/>
    <n v="200"/>
    <n v="200"/>
    <x v="2"/>
    <s v="Battery Storage"/>
    <m/>
    <m/>
    <n v="202.19"/>
    <n v="202.19"/>
    <n v="0"/>
    <n v="0"/>
  </r>
  <r>
    <s v="J3297"/>
    <x v="1"/>
    <d v="2024-04-17T00:00:00"/>
    <d v="2025-12-23T00:00:00"/>
    <m/>
    <d v="2027-01-31T00:00:00"/>
    <s v="ENTERGY MISSISSIPPI, LLC."/>
    <s v="St. Clair"/>
    <m/>
    <m/>
    <s v="IL"/>
    <s v="DPP-2023"/>
    <s v="Central"/>
    <s v="Study Not Started"/>
    <s v="NRIS"/>
    <s v="Herzog"/>
    <n v="150"/>
    <n v="150"/>
    <x v="2"/>
    <s v="Battery Storage"/>
    <m/>
    <m/>
    <n v="0"/>
    <n v="0"/>
    <n v="0"/>
    <n v="0"/>
  </r>
  <r>
    <s v="J3298"/>
    <x v="2"/>
    <d v="2024-04-17T00:00:00"/>
    <m/>
    <m/>
    <d v="2027-01-31T00:00:00"/>
    <s v="AMERICAN TRANSMISSION COMPANY"/>
    <s v="Tazewell"/>
    <m/>
    <m/>
    <s v="IL"/>
    <s v="DPP-2023"/>
    <s v="Central"/>
    <s v="Study Not Started"/>
    <s v="NRIS"/>
    <s v="Towerline"/>
    <n v="200"/>
    <n v="200"/>
    <x v="2"/>
    <s v="Battery Storage"/>
    <m/>
    <m/>
    <n v="200"/>
    <n v="200"/>
    <n v="0"/>
    <n v="0"/>
  </r>
  <r>
    <s v="J3299"/>
    <x v="1"/>
    <d v="2024-04-17T00:00:00"/>
    <d v="2025-07-30T00:00:00"/>
    <m/>
    <d v="2027-01-31T00:00:00"/>
    <s v="ENTERGY TEXAS, INC."/>
    <s v="Jefferson"/>
    <m/>
    <m/>
    <s v="TX"/>
    <s v="DPP-2023"/>
    <s v="South"/>
    <s v="Study Not Started"/>
    <s v="NRIS"/>
    <s v="BEVIL"/>
    <n v="150"/>
    <n v="150"/>
    <x v="2"/>
    <s v="Battery Storage"/>
    <m/>
    <m/>
    <n v="0"/>
    <n v="0"/>
    <n v="0"/>
    <n v="0"/>
  </r>
  <r>
    <s v="J3300"/>
    <x v="1"/>
    <d v="2024-04-17T00:00:00"/>
    <d v="2025-12-23T00:00:00"/>
    <m/>
    <d v="2027-01-31T00:00:00"/>
    <s v="ENTERGY ARKANSAS, LLC"/>
    <s v="Craighead"/>
    <m/>
    <m/>
    <s v="AR"/>
    <s v="DPP-2023"/>
    <s v="South"/>
    <s v="Study Not Started"/>
    <s v="NRIS"/>
    <s v="CASH - NEWPORT AB 161.0kV"/>
    <n v="200"/>
    <n v="200"/>
    <x v="0"/>
    <s v="Photovoltaic"/>
    <m/>
    <m/>
    <n v="0"/>
    <n v="0"/>
    <n v="0"/>
    <n v="0"/>
  </r>
  <r>
    <s v="J3301"/>
    <x v="1"/>
    <d v="2024-04-17T00:00:00"/>
    <d v="2025-12-23T00:00:00"/>
    <m/>
    <d v="2027-01-31T00:00:00"/>
    <s v="ENTERGY ARKANSAS, LLC"/>
    <s v="Prairie"/>
    <m/>
    <m/>
    <s v="AR"/>
    <s v="DPP-2023"/>
    <s v="South"/>
    <s v="Study Not Started"/>
    <s v="NRIS"/>
    <s v="DES ARC - COTTON PLANT 115.0kV"/>
    <n v="180"/>
    <n v="180"/>
    <x v="0"/>
    <s v="Photovoltaic"/>
    <m/>
    <m/>
    <n v="0"/>
    <n v="0"/>
    <n v="0"/>
    <n v="0"/>
  </r>
  <r>
    <s v="J3302"/>
    <x v="1"/>
    <d v="2024-04-17T00:00:00"/>
    <d v="2025-12-23T00:00:00"/>
    <m/>
    <d v="2027-01-31T00:00:00"/>
    <s v="ENTERGY ARKANSAS, LLC"/>
    <s v="Jefferson"/>
    <m/>
    <m/>
    <s v="AR"/>
    <s v="DPP-2023"/>
    <s v="South"/>
    <s v="Study Not Started"/>
    <s v="NRIS"/>
    <s v="P.B. SOUTH - VARNER 115.0kV"/>
    <n v="105"/>
    <n v="105"/>
    <x v="0"/>
    <s v="Photovoltaic"/>
    <m/>
    <m/>
    <n v="0"/>
    <n v="0"/>
    <n v="0"/>
    <n v="0"/>
  </r>
  <r>
    <s v="J3303"/>
    <x v="1"/>
    <d v="2024-04-17T00:00:00"/>
    <d v="2025-12-23T00:00:00"/>
    <m/>
    <d v="2027-01-31T00:00:00"/>
    <s v="ENTERGY ARKANSAS, LLC"/>
    <s v="Prairie"/>
    <m/>
    <m/>
    <s v="AR"/>
    <s v="DPP-2023"/>
    <s v="South"/>
    <s v="Study Not Started"/>
    <s v="NRIS"/>
    <s v="WEST MEMPHIS EHV - KEO EHV 500.0kV"/>
    <n v="400"/>
    <n v="400"/>
    <x v="0"/>
    <s v="Photovoltaic"/>
    <m/>
    <m/>
    <n v="0"/>
    <n v="0"/>
    <n v="0"/>
    <n v="0"/>
  </r>
  <r>
    <s v="J3304"/>
    <x v="1"/>
    <d v="2024-04-17T00:00:00"/>
    <d v="2025-12-23T00:00:00"/>
    <m/>
    <d v="2027-01-31T00:00:00"/>
    <s v="ENTERGY ARKANSAS, LLC"/>
    <s v="Clark"/>
    <m/>
    <m/>
    <s v="AR"/>
    <s v="DPP-2023"/>
    <s v="South"/>
    <s v="Study Not Started"/>
    <s v="NRIS"/>
    <s v="ETTA - MCNEIL EHV 500.0kV"/>
    <n v="350"/>
    <n v="350"/>
    <x v="0"/>
    <s v="Photovoltaic"/>
    <m/>
    <m/>
    <n v="0"/>
    <n v="0"/>
    <n v="0"/>
    <n v="0"/>
  </r>
  <r>
    <s v="J3305"/>
    <x v="1"/>
    <d v="2024-04-17T00:00:00"/>
    <d v="2025-01-17T00:00:00"/>
    <m/>
    <d v="2027-01-31T00:00:00"/>
    <s v="MIDAMERICAN ENERGY CO."/>
    <s v="Adams"/>
    <m/>
    <m/>
    <s v="IA"/>
    <s v="DPP-2023"/>
    <s v="West"/>
    <s v="Study Not Started"/>
    <s v="NRIS"/>
    <s v="Other_"/>
    <n v="150"/>
    <n v="150"/>
    <x v="0"/>
    <s v="Photovoltaic"/>
    <m/>
    <m/>
    <n v="0"/>
    <n v="0"/>
    <n v="0"/>
    <n v="0"/>
  </r>
  <r>
    <s v="J3306"/>
    <x v="2"/>
    <d v="2024-04-16T00:00:00"/>
    <m/>
    <m/>
    <d v="2028-09-30T00:00:00"/>
    <m/>
    <s v="Perry"/>
    <m/>
    <m/>
    <s v="IL"/>
    <s v="DPP-2023"/>
    <s v="Central"/>
    <s v="Study Not Started"/>
    <s v="ERIS"/>
    <s v="J3064"/>
    <n v="150"/>
    <n v="150"/>
    <x v="0"/>
    <s v="Photovoltaic"/>
    <m/>
    <m/>
    <n v="150"/>
    <n v="0"/>
    <n v="0"/>
    <n v="0"/>
  </r>
  <r>
    <s v="J3307"/>
    <x v="1"/>
    <d v="2024-04-17T00:00:00"/>
    <d v="2025-08-05T00:00:00"/>
    <m/>
    <d v="2027-11-02T00:00:00"/>
    <s v="AMEREN MISSOURI"/>
    <s v="Callaway"/>
    <m/>
    <m/>
    <s v="MO"/>
    <s v="DPP-2023"/>
    <s v="Central"/>
    <s v="Study Not Started"/>
    <s v="NRIS"/>
    <s v="Callaway"/>
    <n v="300"/>
    <n v="300"/>
    <x v="0"/>
    <s v="Photovoltaic"/>
    <m/>
    <m/>
    <n v="0"/>
    <n v="0"/>
    <n v="0"/>
    <n v="0"/>
  </r>
  <r>
    <s v="J3308"/>
    <x v="1"/>
    <d v="2024-04-17T00:00:00"/>
    <d v="2025-12-23T00:00:00"/>
    <m/>
    <d v="2027-01-31T00:00:00"/>
    <s v="ENTERGY ARKANSAS, LLC"/>
    <s v="Woodruff"/>
    <m/>
    <m/>
    <s v="AR"/>
    <s v="DPP-2023"/>
    <s v="South"/>
    <s v="Study Not Started"/>
    <s v="NRIS"/>
    <s v="MOSES SWYD - AECC HUNTER NORTH 161.0kV"/>
    <n v="180"/>
    <n v="180"/>
    <x v="0"/>
    <s v="Photovoltaic"/>
    <m/>
    <m/>
    <n v="0"/>
    <n v="0"/>
    <n v="0"/>
    <n v="0"/>
  </r>
  <r>
    <s v="J3309"/>
    <x v="1"/>
    <d v="2024-04-15T00:00:00"/>
    <d v="2025-05-23T00:00:00"/>
    <m/>
    <d v="2028-06-01T00:00:00"/>
    <s v="ENTERGY MISSISSIPPI, LLC."/>
    <s v="Copiah"/>
    <m/>
    <m/>
    <s v="MS"/>
    <s v="DPP-2023"/>
    <s v="South"/>
    <s v="Study Not Started"/>
    <s v="NRIS"/>
    <s v="FRANKLIN EHV - RAY BRASWELL EHV 500.0kV"/>
    <n v="200"/>
    <n v="200"/>
    <x v="5"/>
    <s v="Solar/Battery"/>
    <m/>
    <m/>
    <n v="0"/>
    <n v="0"/>
    <n v="0"/>
    <n v="0"/>
  </r>
  <r>
    <s v="J3310"/>
    <x v="1"/>
    <d v="2024-04-15T00:00:00"/>
    <d v="2025-05-23T00:00:00"/>
    <m/>
    <d v="2028-06-01T00:00:00"/>
    <s v="ENTERGY MISSISSIPPI, LLC."/>
    <s v="Lincoln"/>
    <m/>
    <m/>
    <s v="MS"/>
    <s v="DPP-2023"/>
    <s v="South"/>
    <s v="Study Not Started"/>
    <s v="NRIS"/>
    <s v="BROOKHAVEN"/>
    <n v="150"/>
    <n v="150"/>
    <x v="5"/>
    <s v="Solar/Battery"/>
    <m/>
    <m/>
    <n v="0"/>
    <n v="0"/>
    <n v="0"/>
    <n v="0"/>
  </r>
  <r>
    <s v="J3311"/>
    <x v="1"/>
    <d v="2024-04-18T00:00:00"/>
    <d v="2025-12-23T00:00:00"/>
    <m/>
    <d v="2027-09-10T00:00:00"/>
    <s v="ENTERGY LOUISIANA, LLC"/>
    <s v="St. Landry"/>
    <m/>
    <m/>
    <s v="LA"/>
    <s v="DPP-2023"/>
    <s v="South"/>
    <s v="Study Not Started"/>
    <s v="NRIS"/>
    <s v="WELLS"/>
    <n v="400"/>
    <n v="400"/>
    <x v="2"/>
    <s v="Battery Storage"/>
    <m/>
    <m/>
    <n v="0"/>
    <n v="0"/>
    <n v="0"/>
    <n v="0"/>
  </r>
  <r>
    <s v="J3312"/>
    <x v="1"/>
    <d v="2024-04-15T00:00:00"/>
    <d v="2025-09-04T00:00:00"/>
    <m/>
    <d v="2028-06-30T00:00:00"/>
    <s v="NORTHERN STATES POWER COMPANY"/>
    <s v="Washington"/>
    <m/>
    <m/>
    <s v="MN"/>
    <s v="DPP-2023"/>
    <s v="West"/>
    <s v="Study Not Started"/>
    <s v="NRIS"/>
    <s v="RAPTOR"/>
    <n v="100"/>
    <n v="100"/>
    <x v="2"/>
    <s v="Battery Storage"/>
    <m/>
    <m/>
    <n v="0"/>
    <n v="0"/>
    <n v="0"/>
    <n v="0"/>
  </r>
  <r>
    <s v="J3313"/>
    <x v="2"/>
    <d v="2024-04-16T00:00:00"/>
    <m/>
    <m/>
    <d v="2028-09-01T00:00:00"/>
    <s v="METC"/>
    <s v="Lenawee"/>
    <m/>
    <m/>
    <s v="MI"/>
    <s v="DPP-2023"/>
    <s v="East (ITC)"/>
    <s v="Study Not Started"/>
    <s v="NRIS"/>
    <s v="MOROCCO  - ALLEN JUNCTION 345.0kV"/>
    <n v="263"/>
    <n v="263"/>
    <x v="1"/>
    <s v="Wind Turbine"/>
    <m/>
    <m/>
    <n v="263"/>
    <n v="263"/>
    <n v="0"/>
    <n v="0"/>
  </r>
  <r>
    <s v="J3314"/>
    <x v="1"/>
    <d v="2024-04-17T00:00:00"/>
    <d v="2025-05-23T00:00:00"/>
    <m/>
    <d v="2028-06-01T00:00:00"/>
    <s v="DAIRYLAND POWER COOPERATIVE"/>
    <s v="Clayton"/>
    <m/>
    <m/>
    <s v="IA"/>
    <s v="DPP-2023"/>
    <s v="West"/>
    <s v="Study Not Started"/>
    <s v="NRIS"/>
    <s v="Postville"/>
    <n v="200"/>
    <n v="200"/>
    <x v="5"/>
    <s v="Solar/Battery"/>
    <m/>
    <m/>
    <n v="0"/>
    <n v="0"/>
    <n v="0"/>
    <n v="0"/>
  </r>
  <r>
    <s v="J3315"/>
    <x v="1"/>
    <d v="2024-04-18T00:00:00"/>
    <d v="2025-07-09T00:00:00"/>
    <m/>
    <d v="2026-10-01T00:00:00"/>
    <s v="ENTERGY MISSISSIPPI, LLC."/>
    <s v="Pike"/>
    <m/>
    <m/>
    <s v="MS"/>
    <s v="DPP-2023"/>
    <s v="South"/>
    <s v="Study Not Started"/>
    <s v="NRIS"/>
    <s v="COLONIAL PIPELINE - FERNWOOD 115.0kV"/>
    <n v="150"/>
    <n v="150"/>
    <x v="0"/>
    <s v="Photovoltaic"/>
    <m/>
    <m/>
    <n v="0"/>
    <n v="0"/>
    <n v="0"/>
    <n v="0"/>
  </r>
  <r>
    <s v="J3316"/>
    <x v="2"/>
    <d v="2024-05-06T00:00:00"/>
    <m/>
    <m/>
    <d v="2028-09-01T00:00:00"/>
    <s v="AMEREN ILLINOIS"/>
    <s v="Washington"/>
    <m/>
    <m/>
    <s v="IL"/>
    <s v="DPP-2023"/>
    <s v="Central"/>
    <s v="Study Not Started"/>
    <s v="NRIS"/>
    <s v="Okawville 138 kV"/>
    <n v="150"/>
    <n v="150"/>
    <x v="2"/>
    <s v="Battery Storage"/>
    <m/>
    <m/>
    <n v="150"/>
    <n v="150"/>
    <n v="0"/>
    <n v="0"/>
  </r>
  <r>
    <s v="J3317"/>
    <x v="1"/>
    <d v="2024-04-18T00:00:00"/>
    <d v="2025-12-23T00:00:00"/>
    <m/>
    <d v="2028-06-01T00:00:00"/>
    <s v="DUKE ENERGY INDIANA, LLC"/>
    <s v="Vigo"/>
    <m/>
    <m/>
    <s v="IN"/>
    <s v="DPP-2023"/>
    <s v="Central"/>
    <s v="Study Not Started"/>
    <s v="NRIS"/>
    <s v="Other_"/>
    <n v="150"/>
    <n v="150"/>
    <x v="5"/>
    <s v="Solar/Battery"/>
    <m/>
    <m/>
    <n v="0"/>
    <n v="0"/>
    <n v="0"/>
    <n v="0"/>
  </r>
  <r>
    <s v="J3318"/>
    <x v="1"/>
    <d v="2024-04-15T00:00:00"/>
    <d v="2025-09-25T00:00:00"/>
    <m/>
    <d v="2028-06-01T00:00:00"/>
    <s v="HOOSIER ENERGY"/>
    <s v="Sullivan"/>
    <m/>
    <m/>
    <s v="IN"/>
    <s v="DPP-2023"/>
    <s v="Central"/>
    <s v="Study Not Started"/>
    <s v="NRIS"/>
    <s v="Merom 345 kV Substation"/>
    <n v="300"/>
    <n v="300"/>
    <x v="5"/>
    <s v="Solar/Battery"/>
    <m/>
    <m/>
    <n v="0"/>
    <n v="0"/>
    <n v="0"/>
    <n v="0"/>
  </r>
  <r>
    <s v="J3319"/>
    <x v="1"/>
    <d v="2024-04-15T00:00:00"/>
    <d v="2025-05-23T00:00:00"/>
    <m/>
    <d v="2028-06-01T00:00:00"/>
    <s v="ENTERGY LOUISIANA, LLC"/>
    <s v="Webster"/>
    <m/>
    <m/>
    <s v="LA"/>
    <s v="DPP-2023"/>
    <s v="South"/>
    <s v="Study Not Started"/>
    <s v="NRIS"/>
    <s v="SAREPTA 345/115 SS"/>
    <n v="150"/>
    <n v="150"/>
    <x v="5"/>
    <s v="Solar/Battery"/>
    <m/>
    <m/>
    <n v="0"/>
    <n v="0"/>
    <n v="0"/>
    <n v="0"/>
  </r>
  <r>
    <s v="J3320"/>
    <x v="1"/>
    <d v="2024-04-18T00:00:00"/>
    <d v="2025-05-05T00:00:00"/>
    <m/>
    <d v="2028-06-30T00:00:00"/>
    <s v="METC"/>
    <s v="Ottawa"/>
    <m/>
    <m/>
    <s v="MI"/>
    <s v="DPP-2023"/>
    <s v="East (ITC)"/>
    <s v="Study Not Started"/>
    <s v="NRIS"/>
    <s v="ROOSEVELT"/>
    <n v="200"/>
    <n v="200"/>
    <x v="2"/>
    <s v="Battery Storage"/>
    <m/>
    <m/>
    <n v="0"/>
    <n v="0"/>
    <n v="0"/>
    <n v="0"/>
  </r>
  <r>
    <s v="J3321"/>
    <x v="1"/>
    <d v="2024-04-12T00:00:00"/>
    <d v="2025-12-23T00:00:00"/>
    <m/>
    <d v="2028-09-30T00:00:00"/>
    <s v="AMEREN ILLINOIS"/>
    <s v="Wayne"/>
    <m/>
    <m/>
    <s v="IL"/>
    <s v="DPP-2023"/>
    <s v="Central"/>
    <s v="Study Not Started"/>
    <s v="ERIS"/>
    <s v="Other_"/>
    <n v="200"/>
    <n v="200"/>
    <x v="0"/>
    <s v="Photovoltaic"/>
    <m/>
    <m/>
    <n v="0"/>
    <n v="0"/>
    <n v="0"/>
    <n v="0"/>
  </r>
  <r>
    <s v="J3322"/>
    <x v="1"/>
    <d v="2024-04-12T00:00:00"/>
    <d v="2025-06-03T00:00:00"/>
    <m/>
    <d v="2028-09-30T00:00:00"/>
    <s v="ENTERGY LOUISIANA, LLC"/>
    <s v="Jefferson Davis"/>
    <m/>
    <m/>
    <s v="LA"/>
    <s v="DPP-2023"/>
    <s v="South"/>
    <s v="Study Not Started"/>
    <s v="NRIS"/>
    <s v="NELSON 500 SWYD - RICHARD 500.0kV"/>
    <n v="325"/>
    <n v="325"/>
    <x v="0"/>
    <s v="Photovoltaic"/>
    <m/>
    <m/>
    <n v="0"/>
    <n v="0"/>
    <n v="0"/>
    <n v="0"/>
  </r>
  <r>
    <s v="J3323"/>
    <x v="1"/>
    <d v="2024-04-12T00:00:00"/>
    <d v="2025-08-18T00:00:00"/>
    <m/>
    <d v="2028-09-30T00:00:00"/>
    <s v="MIDAMERICAN ENERGY CO."/>
    <s v="Knox"/>
    <m/>
    <m/>
    <s v="IL"/>
    <s v="DPP-2023"/>
    <s v="West"/>
    <s v="Study Not Started"/>
    <s v="NRIS"/>
    <s v="Other_"/>
    <n v="200"/>
    <n v="200"/>
    <x v="0"/>
    <s v="Photovoltaic"/>
    <m/>
    <m/>
    <n v="0"/>
    <n v="0"/>
    <n v="0"/>
    <n v="0"/>
  </r>
  <r>
    <s v="J3324"/>
    <x v="2"/>
    <d v="2024-04-18T00:00:00"/>
    <m/>
    <m/>
    <d v="2029-09-01T00:00:00"/>
    <s v="MIDAMERICAN ENERGY CO. MEC"/>
    <s v="Palo Alto"/>
    <m/>
    <m/>
    <s v="IA"/>
    <s v="DPP-2023"/>
    <s v="West"/>
    <s v="Study Not Started"/>
    <s v="NRIS"/>
    <s v="PALO ALTO - KOSSUTH COUNTY 345.0kV"/>
    <n v="200"/>
    <n v="200"/>
    <x v="1"/>
    <s v="Wind Turbine"/>
    <m/>
    <m/>
    <n v="200"/>
    <n v="200"/>
    <n v="0"/>
    <n v="0"/>
  </r>
  <r>
    <s v="J3325"/>
    <x v="1"/>
    <d v="2024-04-17T00:00:00"/>
    <d v="2025-09-30T00:00:00"/>
    <m/>
    <d v="2028-05-01T00:00:00"/>
    <s v="MIDAMERICAN ENERGY CO."/>
    <s v="Cherokee"/>
    <m/>
    <m/>
    <s v="IA"/>
    <s v="DPP-2023"/>
    <s v="West"/>
    <s v="Study Not Started"/>
    <s v="NRIS"/>
    <s v="LITTLE SIOUX - LEMARS TAP 161.0kV"/>
    <n v="140"/>
    <n v="140"/>
    <x v="1"/>
    <s v="Wind Turbine"/>
    <m/>
    <m/>
    <n v="0"/>
    <n v="0"/>
    <n v="0"/>
    <n v="0"/>
  </r>
  <r>
    <s v="J3326"/>
    <x v="2"/>
    <d v="2024-04-18T00:00:00"/>
    <m/>
    <m/>
    <d v="2028-05-01T00:00:00"/>
    <s v="MISSOURI RIVER ENERGY SERVICES - TRANSMISSION"/>
    <s v="Lyon"/>
    <m/>
    <m/>
    <s v="MN"/>
    <s v="DPP-2023"/>
    <s v="West"/>
    <s v="Study Not Started"/>
    <s v="NRIS"/>
    <s v="Other_"/>
    <n v="250"/>
    <n v="250"/>
    <x v="1"/>
    <s v="Wind Turbine"/>
    <m/>
    <m/>
    <n v="250"/>
    <n v="250"/>
    <n v="0"/>
    <n v="0"/>
  </r>
  <r>
    <s v="J3327"/>
    <x v="1"/>
    <d v="2024-04-16T00:00:00"/>
    <d v="2025-09-30T00:00:00"/>
    <m/>
    <d v="2027-05-01T00:00:00"/>
    <s v="SOUTHERN INDIANA GAS &amp; ELECTRIC COMPANY D/B/A CENTERPOINT ENERGY INDIANA SOUTH"/>
    <s v="Pike"/>
    <m/>
    <m/>
    <s v="IN"/>
    <s v="DPP-2023"/>
    <s v="Central"/>
    <s v="Study Not Started"/>
    <s v="NRIS"/>
    <s v="Cato 138/69kV (facilities above 100kV)"/>
    <n v="130"/>
    <n v="130"/>
    <x v="2"/>
    <s v="Battery Storage"/>
    <m/>
    <m/>
    <n v="0"/>
    <n v="0"/>
    <n v="0"/>
    <n v="0"/>
  </r>
  <r>
    <s v="J3328"/>
    <x v="1"/>
    <d v="2024-04-18T00:00:00"/>
    <d v="2025-09-30T00:00:00"/>
    <m/>
    <d v="2028-05-01T00:00:00"/>
    <s v="AMEREN ILLINOIS"/>
    <s v="Vermilion"/>
    <m/>
    <m/>
    <s v="IL"/>
    <s v="DPP-2023"/>
    <s v="Central"/>
    <s v="Study Not Started"/>
    <s v="NRIS"/>
    <s v="Hoopeston West"/>
    <n v="150"/>
    <n v="150"/>
    <x v="1"/>
    <s v="Wind Turbine"/>
    <m/>
    <m/>
    <n v="0"/>
    <n v="0"/>
    <n v="0"/>
    <n v="0"/>
  </r>
  <r>
    <s v="J3329"/>
    <x v="1"/>
    <d v="2024-04-17T00:00:00"/>
    <d v="2025-09-30T00:00:00"/>
    <m/>
    <d v="2028-05-01T00:00:00"/>
    <s v="DUKE ENERGY INDIANA, LLC"/>
    <s v="Sullivan"/>
    <m/>
    <m/>
    <s v="IN"/>
    <s v="DPP-2023"/>
    <s v="Central"/>
    <s v="Study Not Started"/>
    <s v="NRIS"/>
    <s v="Merom (HED) -  Dresser 345.0kV"/>
    <n v="145"/>
    <n v="145"/>
    <x v="2"/>
    <s v="Battery Storage"/>
    <m/>
    <m/>
    <n v="0"/>
    <n v="0"/>
    <n v="0"/>
    <n v="0"/>
  </r>
  <r>
    <s v="J3330"/>
    <x v="1"/>
    <d v="2024-04-17T00:00:00"/>
    <d v="2025-09-11T00:00:00"/>
    <m/>
    <d v="2028-05-01T00:00:00"/>
    <s v="AMERICAN TRANSMISSION COMPANY"/>
    <s v="Kenosha"/>
    <m/>
    <m/>
    <s v="WI"/>
    <s v="DPP-2023"/>
    <s v="East (ATC)"/>
    <s v="Study Not Started"/>
    <s v="NRIS"/>
    <s v="Pleasant Prairie - Arcadian 345.0kV"/>
    <n v="705"/>
    <n v="705"/>
    <x v="3"/>
    <s v="Combustion Turbine (Simple Cycle)"/>
    <m/>
    <m/>
    <n v="0"/>
    <n v="0"/>
    <n v="0"/>
    <n v="0"/>
  </r>
  <r>
    <s v="J3331"/>
    <x v="2"/>
    <d v="2024-04-17T00:00:00"/>
    <m/>
    <m/>
    <d v="2028-05-01T00:00:00"/>
    <s v="INDIANAPOLIS POWER &amp; LIGHT COMPANY"/>
    <s v="Sullivan"/>
    <m/>
    <m/>
    <s v="IN"/>
    <s v="DPP-2023"/>
    <s v="Central"/>
    <s v="Study Not Started"/>
    <s v="NRIS"/>
    <s v="Petersburg - Sullivan (AEP/PJM) 345.0kV"/>
    <n v="470"/>
    <n v="470"/>
    <x v="3"/>
    <s v="Combustion Turbine (Simple Cycle)"/>
    <m/>
    <m/>
    <n v="470"/>
    <n v="470"/>
    <n v="0"/>
    <n v="0"/>
  </r>
  <r>
    <s v="J3332"/>
    <x v="1"/>
    <d v="2024-04-17T00:00:00"/>
    <d v="2025-09-30T00:00:00"/>
    <m/>
    <d v="2028-05-01T00:00:00"/>
    <s v="AMERICAN TRANSMISSION COMPANY"/>
    <s v="Calumet"/>
    <m/>
    <m/>
    <s v="WI"/>
    <s v="DPP-2023"/>
    <s v="East (ATC)"/>
    <s v="Study Not Started"/>
    <s v="NRIS"/>
    <s v="Forest Junction - Cypress 345.0kV"/>
    <n v="150"/>
    <n v="150"/>
    <x v="1"/>
    <s v="Wind Turbine"/>
    <m/>
    <m/>
    <n v="0"/>
    <n v="0"/>
    <n v="0"/>
    <n v="0"/>
  </r>
  <r>
    <s v="J3333"/>
    <x v="1"/>
    <d v="2024-04-17T00:00:00"/>
    <d v="2025-09-30T00:00:00"/>
    <m/>
    <d v="2028-05-01T00:00:00"/>
    <s v="ITC"/>
    <s v="Washtenaw"/>
    <m/>
    <m/>
    <s v="MI"/>
    <s v="DPP-2023"/>
    <s v="East (ITC)"/>
    <s v="Study Not Started"/>
    <s v="NRIS"/>
    <s v="MAJESTIC - MILAN 345.0kV"/>
    <n v="150"/>
    <n v="150"/>
    <x v="0"/>
    <s v="Photovoltaic"/>
    <m/>
    <m/>
    <n v="0"/>
    <n v="0"/>
    <n v="0"/>
    <n v="0"/>
  </r>
  <r>
    <s v="J3334"/>
    <x v="1"/>
    <d v="2024-04-05T00:00:00"/>
    <d v="2025-09-24T00:00:00"/>
    <m/>
    <d v="2028-06-01T00:00:00"/>
    <s v="DUKE ENERGY INDIANA, LLC"/>
    <s v="LaPorte"/>
    <m/>
    <m/>
    <s v="IN"/>
    <s v="DPP-2023"/>
    <s v="Central"/>
    <s v="Study Not Started"/>
    <s v="NRIS"/>
    <s v="MAPLE"/>
    <n v="100"/>
    <n v="100"/>
    <x v="2"/>
    <s v="Battery Storage"/>
    <m/>
    <m/>
    <n v="0"/>
    <n v="0"/>
    <n v="0"/>
    <n v="0"/>
  </r>
  <r>
    <s v="J3335"/>
    <x v="1"/>
    <d v="2024-04-18T00:00:00"/>
    <d v="2025-09-30T00:00:00"/>
    <m/>
    <d v="2028-10-01T00:00:00"/>
    <s v="AMEREN ILLINOIS"/>
    <s v="McLean"/>
    <m/>
    <m/>
    <s v="IL"/>
    <s v="DPP-2023"/>
    <s v="Central"/>
    <s v="Study Not Started"/>
    <s v="NRIS"/>
    <s v="Other_"/>
    <n v="222"/>
    <n v="222"/>
    <x v="1"/>
    <s v="Wind Turbine"/>
    <m/>
    <m/>
    <n v="0"/>
    <n v="0"/>
    <n v="0"/>
    <n v="0"/>
  </r>
  <r>
    <s v="J3336"/>
    <x v="2"/>
    <d v="2024-04-05T00:00:00"/>
    <m/>
    <m/>
    <d v="2027-04-01T00:00:00"/>
    <s v="ITC"/>
    <s v="Tuscola"/>
    <m/>
    <m/>
    <s v="MI"/>
    <s v="DPP-2023"/>
    <s v="East (ITC)"/>
    <s v="Study Not Started"/>
    <s v="NRIS"/>
    <s v="RINGLE"/>
    <n v="41.8"/>
    <n v="41.8"/>
    <x v="1"/>
    <s v="Wind Turbine"/>
    <m/>
    <m/>
    <n v="41.8"/>
    <n v="41.8"/>
    <n v="0"/>
    <n v="0"/>
  </r>
  <r>
    <s v="J3337"/>
    <x v="1"/>
    <d v="2024-04-16T00:00:00"/>
    <d v="2025-12-23T00:00:00"/>
    <m/>
    <d v="2028-03-01T00:00:00"/>
    <s v="AMEREN MISSOURI"/>
    <s v="Stoddard"/>
    <m/>
    <m/>
    <s v="MO"/>
    <s v="DPP-2023"/>
    <s v="Central"/>
    <s v="Study Not Started"/>
    <s v="ERIS"/>
    <s v="5VANDUSER"/>
    <n v="230"/>
    <n v="230"/>
    <x v="0"/>
    <s v="Photovoltaic"/>
    <m/>
    <m/>
    <n v="0"/>
    <n v="0"/>
    <n v="0"/>
    <n v="0"/>
  </r>
  <r>
    <s v="J3338"/>
    <x v="2"/>
    <d v="2024-04-18T00:00:00"/>
    <m/>
    <m/>
    <d v="2028-10-28T00:00:00"/>
    <s v="AMEREN ILLINOIS"/>
    <s v="Hamilton"/>
    <m/>
    <m/>
    <s v="IL"/>
    <s v="DPP-2023"/>
    <s v="Central"/>
    <s v="Study Not Started"/>
    <s v="NRIS"/>
    <s v="7W_FRFT_E - 7NORRIS   345.0kV"/>
    <n v="199.99"/>
    <n v="199.99"/>
    <x v="1"/>
    <s v="Wind Turbine"/>
    <m/>
    <m/>
    <n v="200"/>
    <n v="200"/>
    <n v="0"/>
    <n v="0"/>
  </r>
  <r>
    <s v="J3339"/>
    <x v="1"/>
    <d v="2024-04-16T00:00:00"/>
    <d v="2025-12-23T00:00:00"/>
    <m/>
    <d v="2028-09-15T00:00:00"/>
    <s v="DUKE ENERGY INDIANA, LLC"/>
    <s v="Hendricks"/>
    <m/>
    <m/>
    <s v="IN"/>
    <s v="DPP-2023"/>
    <s v="Central"/>
    <s v="Study Not Started"/>
    <s v="NRIS"/>
    <s v="AMO"/>
    <n v="100"/>
    <n v="100"/>
    <x v="2"/>
    <s v="Battery Storage"/>
    <m/>
    <m/>
    <n v="0"/>
    <n v="0"/>
    <n v="0"/>
    <n v="0"/>
  </r>
  <r>
    <s v="J3340"/>
    <x v="2"/>
    <d v="2024-03-18T00:00:00"/>
    <m/>
    <m/>
    <d v="2028-09-01T00:00:00"/>
    <s v="AMEREN ILLINOIS"/>
    <s v="Vermilion"/>
    <m/>
    <m/>
    <s v="IL"/>
    <s v="DPP-2023"/>
    <s v="Central"/>
    <s v="Study Not Started"/>
    <s v="NRIS"/>
    <s v="Rossville 138kV on the Hoopeston to Vermilion 138kV Line"/>
    <n v="175"/>
    <n v="175"/>
    <x v="0"/>
    <s v="Photovoltaic"/>
    <m/>
    <m/>
    <n v="175"/>
    <n v="175"/>
    <n v="0"/>
    <n v="0"/>
  </r>
  <r>
    <s v="J3341"/>
    <x v="2"/>
    <d v="2024-04-18T00:00:00"/>
    <m/>
    <m/>
    <d v="2028-08-31T00:00:00"/>
    <s v="AMEREN ILLINOIS"/>
    <s v="Vermilion"/>
    <m/>
    <m/>
    <s v="IL"/>
    <s v="DPP-2023"/>
    <s v="Central"/>
    <s v="Study Not Started"/>
    <s v="NRIS"/>
    <s v="J2192 POI"/>
    <n v="100"/>
    <n v="100"/>
    <x v="1"/>
    <s v="Wind Turbine"/>
    <m/>
    <m/>
    <n v="100"/>
    <n v="100"/>
    <n v="0"/>
    <n v="0"/>
  </r>
  <r>
    <s v="J3342"/>
    <x v="2"/>
    <d v="2024-04-18T00:00:00"/>
    <m/>
    <m/>
    <d v="2028-08-31T00:00:00"/>
    <s v="AMEREN ILLINOIS"/>
    <s v="Vermilion"/>
    <m/>
    <m/>
    <s v="IL"/>
    <s v="DPP-2023"/>
    <s v="Central"/>
    <s v="Study Not Started"/>
    <s v="NRIS"/>
    <s v="J2192 POI"/>
    <n v="180"/>
    <n v="180"/>
    <x v="0"/>
    <s v="Photovoltaic"/>
    <m/>
    <m/>
    <n v="110"/>
    <n v="110"/>
    <n v="0"/>
    <n v="0"/>
  </r>
  <r>
    <s v="J3343"/>
    <x v="1"/>
    <d v="2024-03-27T00:00:00"/>
    <d v="2025-09-29T00:00:00"/>
    <m/>
    <d v="2028-09-01T00:00:00"/>
    <s v="AMEREN ILLINOIS"/>
    <s v="Knox"/>
    <m/>
    <m/>
    <s v="IL"/>
    <s v="DPP-2023"/>
    <s v="Central"/>
    <s v="Study Not Started"/>
    <s v="NRIS"/>
    <s v="4MONM BLVD W - 4CASTRO_JCT 138.0kV"/>
    <n v="100"/>
    <n v="100"/>
    <x v="0"/>
    <s v="Photovoltaic"/>
    <m/>
    <m/>
    <n v="0"/>
    <n v="0"/>
    <n v="0"/>
    <n v="0"/>
  </r>
  <r>
    <s v="J3344"/>
    <x v="2"/>
    <d v="2024-04-13T00:00:00"/>
    <m/>
    <m/>
    <d v="2028-09-01T00:00:00"/>
    <s v="AMEREN TRANSMISSION COMPANY OF ILLINOIS"/>
    <s v="Knox"/>
    <m/>
    <m/>
    <s v="IL"/>
    <s v="DPP-2023"/>
    <s v="Central"/>
    <s v="Study Not Started"/>
    <s v="NRIS"/>
    <s v="7FARGO - 7SANDBURG 345.0kV"/>
    <n v="100"/>
    <n v="100"/>
    <x v="2"/>
    <s v="Battery Storage"/>
    <m/>
    <m/>
    <n v="100"/>
    <n v="100"/>
    <n v="0"/>
    <n v="0"/>
  </r>
  <r>
    <s v="J3345"/>
    <x v="1"/>
    <d v="2024-04-17T00:00:00"/>
    <d v="2025-09-29T00:00:00"/>
    <m/>
    <d v="2028-09-15T00:00:00"/>
    <s v="AMEREN TRANSMISSION COMPANY OF ILLINOIS"/>
    <s v="Moultrie"/>
    <m/>
    <m/>
    <s v="IL"/>
    <s v="DPP-2023"/>
    <s v="Central"/>
    <s v="Study Not Started"/>
    <s v="NRIS"/>
    <s v="Faraday"/>
    <n v="200"/>
    <n v="200"/>
    <x v="0"/>
    <s v="Photovoltaic"/>
    <m/>
    <m/>
    <n v="0"/>
    <n v="0"/>
    <n v="0"/>
    <n v="0"/>
  </r>
  <r>
    <s v="J3346"/>
    <x v="1"/>
    <d v="2024-04-16T00:00:00"/>
    <d v="2025-09-30T00:00:00"/>
    <m/>
    <d v="2028-05-01T00:00:00"/>
    <s v="GREAT RIVER ENERGY"/>
    <s v="Lyon"/>
    <m/>
    <m/>
    <s v="MN"/>
    <s v="DPP-2023"/>
    <s v="West"/>
    <s v="Study Not Started"/>
    <s v="NRIS"/>
    <s v="Other_"/>
    <n v="250"/>
    <n v="250"/>
    <x v="1"/>
    <s v="Wind Turbine"/>
    <m/>
    <m/>
    <n v="0"/>
    <n v="0"/>
    <n v="0"/>
    <n v="0"/>
  </r>
  <r>
    <s v="J3347"/>
    <x v="1"/>
    <d v="2024-04-16T00:00:00"/>
    <d v="2025-09-29T00:00:00"/>
    <m/>
    <d v="2028-09-15T00:00:00"/>
    <s v="DUKE ENERGY INDIANA, LLC"/>
    <s v="Hancock"/>
    <m/>
    <m/>
    <s v="IN"/>
    <s v="DPP-2023"/>
    <s v="Central"/>
    <s v="Study Not Started"/>
    <s v="NRIS"/>
    <s v="Greenfield Hastings Park - Greensboro 138.0kV"/>
    <n v="140"/>
    <n v="140"/>
    <x v="0"/>
    <s v="Photovoltaic"/>
    <m/>
    <m/>
    <n v="0"/>
    <n v="0"/>
    <n v="0"/>
    <n v="0"/>
  </r>
  <r>
    <s v="J3348"/>
    <x v="1"/>
    <d v="2024-04-17T00:00:00"/>
    <d v="2025-09-29T00:00:00"/>
    <m/>
    <d v="2028-09-15T00:00:00"/>
    <s v="NORTHERN INDIANA PUBLIC SERVICE COMPANY LLC"/>
    <s v="Marshall"/>
    <m/>
    <m/>
    <s v="IN"/>
    <s v="DPP-2023"/>
    <s v="Central"/>
    <s v="Study Not Started"/>
    <s v="NRIS"/>
    <s v="PLYMOUTH - KOSCIUSKO &amp; LEESBURG &amp; KOSCIUSKO CO REMC - NORTHWEST 138.0kV"/>
    <n v="110"/>
    <n v="110"/>
    <x v="0"/>
    <s v="Photovoltaic"/>
    <m/>
    <m/>
    <n v="0"/>
    <n v="0"/>
    <n v="0"/>
    <n v="0"/>
  </r>
  <r>
    <s v="J3349"/>
    <x v="1"/>
    <d v="2024-04-17T00:00:00"/>
    <d v="2025-12-23T00:00:00"/>
    <m/>
    <d v="2028-09-15T00:00:00"/>
    <s v="AMEREN TRANSMISSION COMPANY OF ILLINOIS"/>
    <s v="Fulton"/>
    <m/>
    <m/>
    <s v="IL"/>
    <s v="DPP-2023"/>
    <s v="Central"/>
    <s v="Study Not Started"/>
    <s v="NRIS"/>
    <s v="Ipava"/>
    <n v="400"/>
    <n v="400"/>
    <x v="0"/>
    <s v="Photovoltaic"/>
    <m/>
    <m/>
    <n v="0"/>
    <n v="0"/>
    <n v="0"/>
    <n v="0"/>
  </r>
  <r>
    <s v="J3350"/>
    <x v="1"/>
    <d v="2024-04-18T00:00:00"/>
    <d v="2025-09-30T00:00:00"/>
    <m/>
    <d v="2028-08-31T00:00:00"/>
    <s v="AMEREN MISSOURI"/>
    <s v="Randolph"/>
    <m/>
    <m/>
    <s v="MO"/>
    <s v="DPP-2023"/>
    <s v="Central"/>
    <s v="Study Not Started"/>
    <s v="NRIS"/>
    <s v="5MOBERLY  - 5OVERTON  161.0kV"/>
    <n v="200"/>
    <n v="200"/>
    <x v="0"/>
    <s v="Photovoltaic"/>
    <m/>
    <m/>
    <n v="0"/>
    <n v="0"/>
    <n v="0"/>
    <n v="0"/>
  </r>
  <r>
    <s v="J3351"/>
    <x v="1"/>
    <d v="2024-04-04T00:00:00"/>
    <d v="2025-03-13T00:00:00"/>
    <m/>
    <d v="2028-06-30T00:00:00"/>
    <s v="AMEREN ILLINOIS"/>
    <s v="Putnam"/>
    <m/>
    <m/>
    <s v="IL"/>
    <s v="DPP-2023"/>
    <s v="Central"/>
    <s v="Study Not Started"/>
    <s v="NRIS"/>
    <s v="Hickok"/>
    <n v="100"/>
    <n v="100"/>
    <x v="2"/>
    <s v="Battery Storage"/>
    <m/>
    <m/>
    <n v="0"/>
    <n v="0"/>
    <n v="0"/>
    <n v="0"/>
  </r>
  <r>
    <s v="J3352"/>
    <x v="2"/>
    <d v="2024-04-16T00:00:00"/>
    <m/>
    <m/>
    <d v="2027-12-17T00:00:00"/>
    <s v="AMEREN MISSOURI"/>
    <s v="Cape Girardeau"/>
    <m/>
    <m/>
    <s v="MO"/>
    <s v="DPP-2023"/>
    <s v="Central"/>
    <s v="Study Not Started"/>
    <s v="NRIS"/>
    <s v="LUTESVILLE"/>
    <n v="250"/>
    <n v="250"/>
    <x v="2"/>
    <s v="Battery Storage"/>
    <m/>
    <m/>
    <n v="250"/>
    <n v="250"/>
    <n v="0"/>
    <n v="0"/>
  </r>
  <r>
    <s v="J3353"/>
    <x v="2"/>
    <d v="2024-04-18T00:00:00"/>
    <m/>
    <m/>
    <d v="2028-08-01T00:00:00"/>
    <s v="AMEREN TRANSMISSION COMPANY OF ILLINOIS"/>
    <s v="Champaign"/>
    <m/>
    <m/>
    <s v="IL"/>
    <s v="DPP-2023"/>
    <s v="Central"/>
    <s v="Study Not Started"/>
    <s v="ERIS"/>
    <s v="Rising"/>
    <n v="191.3"/>
    <n v="191.3"/>
    <x v="0"/>
    <s v="Photovoltaic"/>
    <m/>
    <m/>
    <n v="191.3"/>
    <n v="0"/>
    <n v="0"/>
    <n v="0"/>
  </r>
  <r>
    <s v="J3354"/>
    <x v="1"/>
    <d v="2024-03-27T00:00:00"/>
    <d v="2025-09-05T00:00:00"/>
    <m/>
    <d v="2028-06-30T00:00:00"/>
    <s v="DUKE ENERGY INDIANA, LLC"/>
    <s v="Clinton"/>
    <m/>
    <m/>
    <s v="IN"/>
    <s v="DPP-2023"/>
    <s v="Central"/>
    <s v="Study Not Started"/>
    <s v="NRIS"/>
    <s v="Hanover"/>
    <n v="250"/>
    <n v="250"/>
    <x v="2"/>
    <s v="Battery Storage"/>
    <m/>
    <m/>
    <n v="0"/>
    <n v="0"/>
    <n v="0"/>
    <n v="0"/>
  </r>
  <r>
    <s v="J3355"/>
    <x v="1"/>
    <d v="2024-04-10T00:00:00"/>
    <d v="2025-12-23T00:00:00"/>
    <m/>
    <d v="2027-09-15T00:00:00"/>
    <s v="AMEREN ILLINOIS"/>
    <s v="Fulton"/>
    <m/>
    <m/>
    <s v="IL"/>
    <s v="DPP-2023"/>
    <s v="Central"/>
    <s v="Study Not Started"/>
    <s v="ERIS"/>
    <s v="4IPAVA 3 - 4HAVANA2 138.0kV"/>
    <n v="100.6"/>
    <n v="100.6"/>
    <x v="1"/>
    <s v="Wind Turbine"/>
    <m/>
    <m/>
    <n v="0"/>
    <n v="0"/>
    <n v="0"/>
    <n v="0"/>
  </r>
  <r>
    <s v="J3356"/>
    <x v="1"/>
    <d v="2024-04-16T00:00:00"/>
    <d v="2025-09-26T00:00:00"/>
    <m/>
    <d v="2026-10-01T00:00:00"/>
    <s v="HOOSIER ENERGY"/>
    <s v="Pike"/>
    <m/>
    <m/>
    <s v="IN"/>
    <s v="DPP-2023"/>
    <s v="Central"/>
    <s v="Study Not Started"/>
    <s v="NRIS"/>
    <s v="RATTS - ALGIERS 69.0kV"/>
    <n v="65"/>
    <n v="65"/>
    <x v="5"/>
    <s v="Solar/Battery"/>
    <m/>
    <m/>
    <n v="0"/>
    <n v="0"/>
    <n v="0"/>
    <n v="0"/>
  </r>
  <r>
    <s v="J3357"/>
    <x v="2"/>
    <d v="2024-04-15T00:00:00"/>
    <m/>
    <m/>
    <d v="2028-12-31T00:00:00"/>
    <s v="NORTHERN INDIANA PUBLIC SERVICE COMPANY LLC NIPS"/>
    <s v="Kosciusko"/>
    <m/>
    <m/>
    <s v="IN"/>
    <s v="DPP-2023"/>
    <s v="Central"/>
    <s v="Study Not Started"/>
    <s v="NRIS"/>
    <s v="LEESBURG"/>
    <n v="200"/>
    <n v="200"/>
    <x v="2"/>
    <s v="Battery Storage"/>
    <m/>
    <m/>
    <n v="200"/>
    <n v="200"/>
    <n v="0"/>
    <n v="0"/>
  </r>
  <r>
    <s v="J3358"/>
    <x v="1"/>
    <d v="2024-04-15T00:00:00"/>
    <d v="2025-12-23T00:00:00"/>
    <m/>
    <d v="2028-12-31T00:00:00"/>
    <s v="AMEREN ILLINOIS"/>
    <s v="De Witt"/>
    <m/>
    <m/>
    <s v="IL"/>
    <s v="DPP-2023"/>
    <s v="Central"/>
    <s v="Study Not Started"/>
    <s v="NRIS"/>
    <s v="Tabor"/>
    <n v="100"/>
    <n v="100"/>
    <x v="2"/>
    <s v="Battery Storage"/>
    <m/>
    <m/>
    <n v="0"/>
    <n v="0"/>
    <n v="0"/>
    <n v="0"/>
  </r>
  <r>
    <s v="J3359"/>
    <x v="1"/>
    <d v="2024-04-15T00:00:00"/>
    <d v="2025-09-30T00:00:00"/>
    <m/>
    <d v="2030-12-31T00:00:00"/>
    <s v="AMEREN ILLINOIS"/>
    <s v="Tazewell"/>
    <m/>
    <m/>
    <s v="IL"/>
    <s v="DPP-2023"/>
    <s v="Central"/>
    <s v="Study Not Started"/>
    <s v="NRIS"/>
    <s v="Eastern Substation 138 kV"/>
    <n v="80"/>
    <n v="80"/>
    <x v="2"/>
    <s v="Battery Storage"/>
    <m/>
    <m/>
    <n v="0"/>
    <n v="0"/>
    <n v="0"/>
    <n v="0"/>
  </r>
  <r>
    <s v="J3360"/>
    <x v="1"/>
    <d v="2024-04-18T00:00:00"/>
    <d v="2025-12-23T00:00:00"/>
    <m/>
    <d v="2027-01-01T00:00:00"/>
    <s v="AMEREN TRANSMISSION COMPANY OF ILLINOIS"/>
    <s v="Morgan"/>
    <m/>
    <m/>
    <s v="IL"/>
    <s v="DPP-2023"/>
    <s v="Central"/>
    <s v="Study Not Started"/>
    <s v="NRIS"/>
    <s v="Meredosia"/>
    <n v="250"/>
    <n v="250"/>
    <x v="2"/>
    <s v="Battery Storage"/>
    <m/>
    <m/>
    <n v="0"/>
    <n v="0"/>
    <n v="0"/>
    <n v="0"/>
  </r>
  <r>
    <s v="J3361"/>
    <x v="2"/>
    <d v="2024-04-12T00:00:00"/>
    <m/>
    <m/>
    <d v="2027-12-03T00:00:00"/>
    <s v="ITC"/>
    <s v="Bay"/>
    <m/>
    <m/>
    <s v="MI"/>
    <s v="DPP-2023"/>
    <s v="East (ITC)"/>
    <s v="Study Not Started"/>
    <s v="NRIS"/>
    <s v="Other_"/>
    <n v="254"/>
    <n v="254"/>
    <x v="1"/>
    <s v="Wind Turbine"/>
    <m/>
    <m/>
    <n v="254"/>
    <n v="254"/>
    <n v="0"/>
    <n v="0"/>
  </r>
  <r>
    <s v="J3362"/>
    <x v="1"/>
    <d v="2024-04-15T00:00:00"/>
    <d v="2025-12-23T00:00:00"/>
    <m/>
    <d v="2028-09-01T00:00:00"/>
    <s v="ITC"/>
    <s v="Oakland"/>
    <m/>
    <m/>
    <s v="MI"/>
    <s v="DPP-2023"/>
    <s v="East (ITC)"/>
    <s v="Study Not Started"/>
    <s v="NRIS"/>
    <s v="BLACKFOOT - MADRID 345.0kV"/>
    <n v="300"/>
    <n v="300"/>
    <x v="2"/>
    <s v="Battery Storage"/>
    <m/>
    <m/>
    <n v="0"/>
    <n v="0"/>
    <n v="0"/>
    <n v="0"/>
  </r>
  <r>
    <s v="J3363"/>
    <x v="1"/>
    <d v="2024-04-18T00:00:00"/>
    <d v="2025-12-23T00:00:00"/>
    <m/>
    <d v="2028-09-15T00:00:00"/>
    <s v="ENTERGY LOUISIANA, LLC"/>
    <s v="Tensas"/>
    <m/>
    <m/>
    <s v="LA"/>
    <s v="DPP-2023"/>
    <s v="South"/>
    <s v="Study Not Started"/>
    <s v="NRIS"/>
    <s v="RED GUM"/>
    <n v="150"/>
    <n v="150"/>
    <x v="1"/>
    <s v="Wind Turbine"/>
    <m/>
    <m/>
    <n v="0"/>
    <n v="0"/>
    <n v="0"/>
    <n v="0"/>
  </r>
  <r>
    <s v="J3364"/>
    <x v="1"/>
    <d v="2024-04-18T00:00:00"/>
    <d v="2025-09-30T00:00:00"/>
    <m/>
    <d v="2027-09-01T00:00:00"/>
    <s v="ENTERGY LOUISIANA, LLC"/>
    <s v="St. Martin"/>
    <m/>
    <m/>
    <s v="LA"/>
    <s v="DPP-2023"/>
    <s v="South"/>
    <s v="Study Not Started"/>
    <s v="NRIS"/>
    <s v="ST MARTINVILLE (L-625A) TAP - CADE SS 69.0kV"/>
    <n v="50"/>
    <n v="50"/>
    <x v="0"/>
    <s v="Photovoltaic"/>
    <m/>
    <m/>
    <n v="0"/>
    <n v="0"/>
    <n v="0"/>
    <n v="0"/>
  </r>
  <r>
    <s v="J3365"/>
    <x v="1"/>
    <d v="2024-03-27T00:00:00"/>
    <d v="2025-09-05T00:00:00"/>
    <m/>
    <d v="2028-06-30T00:00:00"/>
    <s v="ENTERGY LOUISIANA, LLC"/>
    <s v="Tangipahoa"/>
    <m/>
    <m/>
    <s v="LA"/>
    <s v="DPP-2023"/>
    <s v="South"/>
    <s v="Study Not Started"/>
    <s v="NRIS"/>
    <s v="AMITE - KENTWOOD 115.0kV"/>
    <n v="100"/>
    <n v="100"/>
    <x v="0"/>
    <s v="Photovoltaic"/>
    <m/>
    <m/>
    <n v="0"/>
    <n v="0"/>
    <n v="0"/>
    <n v="0"/>
  </r>
  <r>
    <s v="J3366"/>
    <x v="1"/>
    <d v="2024-04-16T00:00:00"/>
    <d v="2025-08-18T00:00:00"/>
    <m/>
    <d v="2028-03-31T00:00:00"/>
    <s v="ENTERGY MISSISSIPPI, LLC."/>
    <s v="Sunflower"/>
    <m/>
    <m/>
    <s v="MS"/>
    <s v="DPP-2023"/>
    <s v="South"/>
    <s v="Study Not Started"/>
    <s v="NRIS"/>
    <s v="INDIANOLA 230/115 SUB - TILLATOBA 230.0kV"/>
    <n v="150"/>
    <n v="150"/>
    <x v="1"/>
    <s v="Wind Turbine"/>
    <m/>
    <m/>
    <n v="0"/>
    <n v="0"/>
    <n v="0"/>
    <n v="0"/>
  </r>
  <r>
    <s v="J3367"/>
    <x v="1"/>
    <d v="2024-04-17T00:00:00"/>
    <d v="2025-01-10T00:00:00"/>
    <m/>
    <d v="2028-05-01T00:00:00"/>
    <s v="CLECO POWER LLC"/>
    <s v="Avoyelles"/>
    <m/>
    <m/>
    <s v="LA"/>
    <s v="DPP-2023"/>
    <s v="South"/>
    <s v="Study Not Started"/>
    <s v="NRIS"/>
    <s v="Marksville - Yellow Bayou 138.0kV"/>
    <n v="88"/>
    <n v="88"/>
    <x v="0"/>
    <s v="Photovoltaic"/>
    <m/>
    <m/>
    <n v="0"/>
    <n v="0"/>
    <n v="0"/>
    <n v="0"/>
  </r>
  <r>
    <s v="J3368"/>
    <x v="2"/>
    <d v="2024-04-18T00:00:00"/>
    <m/>
    <m/>
    <d v="2028-10-30T00:00:00"/>
    <s v="CLECO POWER LLC CLEC"/>
    <s v="St. Landry"/>
    <m/>
    <m/>
    <s v="LA"/>
    <s v="DPP-2023"/>
    <s v="South"/>
    <s v="Study Not Started"/>
    <s v="NRIS"/>
    <s v="Ville Platte - West Fork 230.0kV"/>
    <n v="199.9"/>
    <n v="199.9"/>
    <x v="1"/>
    <s v="Wind Turbine"/>
    <m/>
    <m/>
    <n v="199.9"/>
    <n v="199.9"/>
    <n v="0"/>
    <n v="0"/>
  </r>
  <r>
    <s v="J3369"/>
    <x v="1"/>
    <d v="2024-03-28T00:00:00"/>
    <d v="2025-12-23T00:00:00"/>
    <m/>
    <d v="2028-01-15T00:00:00"/>
    <s v="NORTHERN STATES POWER COMPANY"/>
    <s v="Scott"/>
    <m/>
    <m/>
    <s v="MN"/>
    <s v="DPP-2023"/>
    <s v="West"/>
    <s v="Study Not Started"/>
    <s v="NRIS"/>
    <s v="BLUE LAKE"/>
    <n v="200"/>
    <n v="200"/>
    <x v="2"/>
    <s v="Battery Storage"/>
    <m/>
    <m/>
    <n v="0"/>
    <n v="0"/>
    <n v="0"/>
    <n v="0"/>
  </r>
  <r>
    <s v="J3370"/>
    <x v="1"/>
    <d v="2024-04-18T00:00:00"/>
    <d v="2025-08-28T00:00:00"/>
    <m/>
    <d v="2028-09-01T00:00:00"/>
    <s v="OTTER TAIL POWER COMPANY"/>
    <s v="Kittson"/>
    <m/>
    <m/>
    <s v="MN"/>
    <s v="DPP-2023"/>
    <s v="West"/>
    <s v="Study Not Started"/>
    <s v="NRIS"/>
    <s v="Other_"/>
    <n v="150"/>
    <n v="150"/>
    <x v="1"/>
    <s v="Wind Turbine"/>
    <m/>
    <m/>
    <n v="0"/>
    <n v="0"/>
    <n v="0"/>
    <n v="0"/>
  </r>
  <r>
    <s v="J3371"/>
    <x v="1"/>
    <d v="2024-04-18T00:00:00"/>
    <d v="2025-12-23T00:00:00"/>
    <m/>
    <d v="2026-10-01T00:00:00"/>
    <s v="AMEREN ILLINOIS"/>
    <s v="Vermilion"/>
    <m/>
    <m/>
    <s v="IL"/>
    <s v="DPP-2023"/>
    <s v="Central"/>
    <s v="Study Not Started"/>
    <s v="NRIS"/>
    <s v="Other_"/>
    <n v="200"/>
    <n v="200"/>
    <x v="0"/>
    <s v="Photovoltaic"/>
    <m/>
    <m/>
    <n v="0"/>
    <n v="0"/>
    <n v="0"/>
    <n v="0"/>
  </r>
  <r>
    <s v="J3372"/>
    <x v="1"/>
    <d v="2024-04-17T00:00:00"/>
    <d v="2025-12-23T00:00:00"/>
    <m/>
    <d v="2028-09-15T00:00:00"/>
    <s v="AMEREN ILLINOIS"/>
    <s v="Macoupin"/>
    <m/>
    <m/>
    <s v="IL"/>
    <s v="DPP-2023"/>
    <s v="Central"/>
    <s v="Study Not Started"/>
    <s v="NRIS"/>
    <s v="Rezzy"/>
    <n v="100"/>
    <n v="100"/>
    <x v="2"/>
    <s v="Battery Storage"/>
    <m/>
    <m/>
    <n v="0"/>
    <n v="0"/>
    <n v="0"/>
    <n v="0"/>
  </r>
  <r>
    <s v="J3373"/>
    <x v="1"/>
    <d v="2024-04-16T00:00:00"/>
    <d v="2025-09-24T00:00:00"/>
    <m/>
    <d v="2028-03-31T00:00:00"/>
    <s v="ENTERGY ARKANSAS, LLC"/>
    <s v="Poinsett"/>
    <m/>
    <m/>
    <s v="AR"/>
    <s v="DPP-2023"/>
    <s v="South"/>
    <s v="Study Not Started"/>
    <s v="ERIS"/>
    <s v="HARRISBURG SS - HARRISBURG 161.0kV"/>
    <n v="200"/>
    <n v="200"/>
    <x v="0"/>
    <s v="Photovoltaic"/>
    <m/>
    <m/>
    <n v="0"/>
    <n v="0"/>
    <n v="0"/>
    <n v="0"/>
  </r>
  <r>
    <s v="J3374"/>
    <x v="1"/>
    <d v="2024-04-18T00:00:00"/>
    <d v="2025-09-24T00:00:00"/>
    <m/>
    <d v="2028-10-30T00:00:00"/>
    <s v="ENTERGY ARKANSAS, LLC"/>
    <s v="Phillips"/>
    <m/>
    <m/>
    <s v="AR"/>
    <s v="DPP-2023"/>
    <s v="South"/>
    <s v="Study Not Started"/>
    <s v="ERIS"/>
    <s v="RITCHIE SWYD - TARLETON 230.0kV"/>
    <n v="65"/>
    <n v="65"/>
    <x v="1"/>
    <s v="Wind Turbine"/>
    <m/>
    <m/>
    <n v="0"/>
    <n v="0"/>
    <n v="0"/>
    <n v="0"/>
  </r>
  <r>
    <s v="J3375"/>
    <x v="1"/>
    <d v="2024-04-17T00:00:00"/>
    <d v="2025-09-24T00:00:00"/>
    <m/>
    <d v="2028-03-31T00:00:00"/>
    <s v="ENTERGY MISSISSIPPI, LLC."/>
    <s v="Washington"/>
    <m/>
    <m/>
    <s v="MS"/>
    <s v="DPP-2023"/>
    <s v="South"/>
    <s v="Study Not Started"/>
    <s v="ERIS"/>
    <s v="Gerald Andrus 230 kV Substation"/>
    <n v="200"/>
    <n v="200"/>
    <x v="0"/>
    <s v="Photovoltaic"/>
    <m/>
    <m/>
    <n v="0"/>
    <n v="0"/>
    <n v="0"/>
    <n v="0"/>
  </r>
  <r>
    <s v="J3376"/>
    <x v="1"/>
    <d v="2024-04-17T00:00:00"/>
    <d v="2025-09-24T00:00:00"/>
    <m/>
    <d v="2028-03-31T00:00:00"/>
    <s v="ARKANSAS ELECTRIC COOPERATIVE CORPORATION"/>
    <s v="Mississippi"/>
    <m/>
    <m/>
    <s v="AR"/>
    <s v="DPP-2023"/>
    <s v="South"/>
    <s v="Study Not Started"/>
    <s v="ERIS"/>
    <s v="Blytheville North"/>
    <n v="130"/>
    <n v="130"/>
    <x v="0"/>
    <s v="Photovoltaic"/>
    <m/>
    <m/>
    <n v="0"/>
    <n v="0"/>
    <n v="0"/>
    <n v="0"/>
  </r>
  <r>
    <s v="J3377"/>
    <x v="1"/>
    <d v="2024-04-18T00:00:00"/>
    <d v="2025-12-23T00:00:00"/>
    <m/>
    <d v="2028-03-31T00:00:00"/>
    <s v="ENTERGY LOUISIANA, LLC"/>
    <s v="Madison"/>
    <m/>
    <m/>
    <s v="LA"/>
    <s v="DPP-2023"/>
    <s v="South"/>
    <s v="Study Not Started"/>
    <s v="ERIS"/>
    <s v="DELHI - TALLULAH 115.0kV"/>
    <n v="150"/>
    <n v="150"/>
    <x v="0"/>
    <s v="Photovoltaic"/>
    <m/>
    <m/>
    <n v="0"/>
    <n v="0"/>
    <n v="0"/>
    <n v="0"/>
  </r>
  <r>
    <s v="J3378"/>
    <x v="1"/>
    <d v="2024-04-18T00:00:00"/>
    <d v="2025-12-23T00:00:00"/>
    <m/>
    <d v="2028-03-31T00:00:00"/>
    <s v="ENTERGY LOUISIANA, LLC"/>
    <s v="Jackson"/>
    <m/>
    <m/>
    <s v="LA"/>
    <s v="DPP-2023"/>
    <s v="South"/>
    <s v="Study Not Started"/>
    <s v="ERIS"/>
    <s v="DANVILLE [LA]"/>
    <n v="140"/>
    <n v="140"/>
    <x v="0"/>
    <s v="Photovoltaic"/>
    <m/>
    <m/>
    <n v="0"/>
    <n v="0"/>
    <n v="0"/>
    <n v="0"/>
  </r>
  <r>
    <s v="J3379"/>
    <x v="2"/>
    <d v="2024-04-18T00:00:00"/>
    <m/>
    <m/>
    <d v="2028-02-18T00:00:00"/>
    <s v="AMEREN ILLINOIS"/>
    <s v="Johnson"/>
    <m/>
    <m/>
    <s v="IL"/>
    <s v="DPP-2023"/>
    <s v="Central"/>
    <s v="Study Not Started"/>
    <s v="ERIS"/>
    <s v="7JORD - 7MASS 345.0kV"/>
    <n v="100"/>
    <n v="100"/>
    <x v="0"/>
    <s v="Photovoltaic"/>
    <m/>
    <m/>
    <n v="100"/>
    <n v="0"/>
    <n v="0"/>
    <n v="0"/>
  </r>
  <r>
    <s v="J3380"/>
    <x v="1"/>
    <d v="2024-04-18T00:00:00"/>
    <d v="2025-09-26T00:00:00"/>
    <m/>
    <d v="2028-09-30T00:00:00"/>
    <s v="ENTERGY ARKANSAS, LLC"/>
    <s v="Cleveland"/>
    <m/>
    <m/>
    <s v="AR"/>
    <s v="DPP-2023"/>
    <s v="South"/>
    <s v="Study Not Started"/>
    <s v="NRIS"/>
    <s v="AECC PINEBERGEN - AECC GLENDALE 115.0kV"/>
    <n v="155"/>
    <n v="155"/>
    <x v="0"/>
    <s v="Photovoltaic"/>
    <m/>
    <m/>
    <n v="0"/>
    <n v="0"/>
    <n v="0"/>
    <n v="0"/>
  </r>
  <r>
    <s v="J3381"/>
    <x v="1"/>
    <d v="2024-04-18T00:00:00"/>
    <d v="2026-01-07T00:00:00"/>
    <m/>
    <d v="2028-01-01T00:00:00"/>
    <s v="ENTERGY ARKANSAS, LLC"/>
    <s v="St. Francis"/>
    <m/>
    <m/>
    <s v="AR"/>
    <s v="DPP-2023"/>
    <s v="South"/>
    <s v="Study Not Started"/>
    <s v="NRIS"/>
    <s v="FORREST CITY SOUTH - HUGHES 161.0kV"/>
    <n v="150.91999999999999"/>
    <n v="150.91999999999999"/>
    <x v="0"/>
    <s v="Solar/Battery"/>
    <m/>
    <m/>
    <n v="150.91999999999999"/>
    <n v="150.91999999999999"/>
    <n v="0"/>
    <n v="0"/>
  </r>
  <r>
    <s v="J3382"/>
    <x v="2"/>
    <d v="2024-04-18T00:00:00"/>
    <m/>
    <m/>
    <d v="2028-09-30T00:00:00"/>
    <s v="AMEREN ILLINOIS"/>
    <s v="Piatt"/>
    <m/>
    <m/>
    <s v="IL"/>
    <s v="DPP-2023"/>
    <s v="Central"/>
    <s v="Study Not Started"/>
    <s v="NRIS"/>
    <s v="4WEEDMAN  - 4MAHOMET 1 138.0kV"/>
    <n v="171"/>
    <n v="171"/>
    <x v="0"/>
    <s v="Photovoltaic"/>
    <m/>
    <m/>
    <n v="171"/>
    <n v="171"/>
    <n v="0"/>
    <n v="0"/>
  </r>
  <r>
    <s v="J3383"/>
    <x v="1"/>
    <d v="2024-04-18T00:00:00"/>
    <d v="2025-12-19T00:00:00"/>
    <m/>
    <d v="2028-09-01T00:00:00"/>
    <s v="DUKE ENERGY INDIANA, LLC"/>
    <s v="Boone"/>
    <m/>
    <m/>
    <s v="IN"/>
    <s v="DPP-2025"/>
    <s v="Central"/>
    <s v="Phase 1"/>
    <s v="NRIS"/>
    <s v="Nucor  -  Whitestown 345.0kV"/>
    <n v="300"/>
    <n v="300"/>
    <x v="0"/>
    <s v="Photovoltaic"/>
    <m/>
    <m/>
    <n v="0"/>
    <n v="0"/>
    <n v="0"/>
    <n v="0"/>
  </r>
  <r>
    <s v="J3384"/>
    <x v="2"/>
    <d v="2024-04-17T00:00:00"/>
    <m/>
    <m/>
    <d v="2028-10-31T00:00:00"/>
    <s v="OTTER TAIL POWER COMPANY OTP"/>
    <s v="Big Stone"/>
    <m/>
    <m/>
    <s v="MN"/>
    <s v="DPP-2023"/>
    <s v="West"/>
    <s v="Study Not Started"/>
    <s v="NRIS"/>
    <s v="Big Stone South - Alexandria 345kV"/>
    <n v="300"/>
    <n v="300"/>
    <x v="1"/>
    <s v="Wind Turbine"/>
    <m/>
    <m/>
    <n v="300"/>
    <n v="300"/>
    <n v="0"/>
    <n v="0"/>
  </r>
  <r>
    <s v="J3385"/>
    <x v="1"/>
    <d v="2024-04-17T00:00:00"/>
    <d v="2025-07-31T00:00:00"/>
    <m/>
    <d v="2027-10-01T00:00:00"/>
    <s v="PRAIRIE POWER, INC."/>
    <s v="Pike"/>
    <m/>
    <m/>
    <s v="IL"/>
    <s v="DPP-2023"/>
    <s v="Central"/>
    <s v="Study Not Started"/>
    <s v="NRIS"/>
    <s v="Pittsfield Trans. - Liberty 138.0kV"/>
    <n v="50"/>
    <n v="50"/>
    <x v="0"/>
    <s v="Photovoltaic"/>
    <m/>
    <m/>
    <n v="0"/>
    <n v="0"/>
    <n v="0"/>
    <n v="0"/>
  </r>
  <r>
    <s v="J3386"/>
    <x v="1"/>
    <d v="2024-04-18T00:00:00"/>
    <d v="2025-09-26T00:00:00"/>
    <m/>
    <d v="2028-09-30T00:00:00"/>
    <s v="ENTERGY ARKANSAS, LLC"/>
    <s v="Calhoun"/>
    <m/>
    <m/>
    <s v="AR"/>
    <s v="DPP-2023"/>
    <s v="South"/>
    <s v="Study Not Started"/>
    <s v="NRIS"/>
    <s v="SHERIDAN EHV - EL DORADO EHV 500.0kV"/>
    <n v="500"/>
    <n v="500"/>
    <x v="0"/>
    <s v="Photovoltaic"/>
    <m/>
    <m/>
    <n v="0"/>
    <n v="0"/>
    <n v="0"/>
    <n v="0"/>
  </r>
  <r>
    <s v="J3387"/>
    <x v="2"/>
    <d v="2024-04-18T00:00:00"/>
    <m/>
    <m/>
    <d v="2026-10-01T00:00:00"/>
    <s v="DUKE ENERGY INDIANA, LLC CIN"/>
    <s v="Henry"/>
    <m/>
    <m/>
    <s v="IN"/>
    <s v="DPP-2023"/>
    <s v="Central"/>
    <s v="Study Not Started"/>
    <s v="NRIS"/>
    <s v="Connersville  - New Castle 138.0kV"/>
    <n v="150"/>
    <n v="150"/>
    <x v="2"/>
    <s v="Battery Storage"/>
    <m/>
    <m/>
    <n v="150"/>
    <n v="150"/>
    <n v="0"/>
    <n v="0"/>
  </r>
  <r>
    <s v="J3388"/>
    <x v="1"/>
    <d v="2024-04-18T00:00:00"/>
    <d v="2025-09-26T00:00:00"/>
    <m/>
    <d v="2028-09-30T00:00:00"/>
    <s v="ENTERGY ARKANSAS, LLC"/>
    <s v="Calhoun"/>
    <m/>
    <m/>
    <s v="AR"/>
    <s v="DPP-2023"/>
    <s v="South"/>
    <s v="Study Not Started"/>
    <s v="NRIS"/>
    <s v="SHERIDAN EHV - EL DORADO EHV 500.0kV"/>
    <n v="400"/>
    <n v="400"/>
    <x v="0"/>
    <s v="Photovoltaic"/>
    <m/>
    <m/>
    <n v="0"/>
    <n v="0"/>
    <n v="0"/>
    <n v="0"/>
  </r>
  <r>
    <s v="J3389"/>
    <x v="1"/>
    <d v="2024-03-27T00:00:00"/>
    <d v="2025-09-29T00:00:00"/>
    <m/>
    <d v="2028-09-01T00:00:00"/>
    <s v="AMEREN ILLINOIS"/>
    <s v="Clay"/>
    <m/>
    <m/>
    <s v="IL"/>
    <s v="DPP-2023"/>
    <s v="Central"/>
    <s v="Study Not Started"/>
    <s v="NRIS"/>
    <s v="4KINMUNDY S - 4TANNER 138.0kV"/>
    <n v="150"/>
    <n v="150"/>
    <x v="0"/>
    <s v="Photovoltaic"/>
    <m/>
    <m/>
    <n v="0"/>
    <n v="0"/>
    <n v="0"/>
    <n v="0"/>
  </r>
  <r>
    <s v="J3390"/>
    <x v="1"/>
    <d v="2024-04-17T00:00:00"/>
    <d v="2025-07-31T00:00:00"/>
    <m/>
    <d v="2027-10-01T00:00:00"/>
    <s v="DUKE ENERGY INDIANA, LLC"/>
    <s v="Miami"/>
    <m/>
    <m/>
    <s v="IN"/>
    <s v="DPP-2023"/>
    <s v="Central"/>
    <s v="Study Not Started"/>
    <s v="NRIS"/>
    <s v="Kokomo East - Converse 69.0kV"/>
    <n v="37"/>
    <n v="37"/>
    <x v="0"/>
    <s v="Photovoltaic"/>
    <m/>
    <m/>
    <n v="0"/>
    <n v="0"/>
    <n v="0"/>
    <n v="0"/>
  </r>
  <r>
    <s v="J3391"/>
    <x v="2"/>
    <d v="2024-04-10T00:00:00"/>
    <m/>
    <m/>
    <d v="2027-09-15T00:00:00"/>
    <s v="AMEREN ILLINOIS"/>
    <s v="Coles"/>
    <m/>
    <m/>
    <s v="IL"/>
    <s v="DPP-2023"/>
    <s v="Central"/>
    <s v="Study Not Started"/>
    <s v="ERIS"/>
    <s v="7CASEY    - 7KANSAS   345.0kV"/>
    <n v="200.3"/>
    <n v="200.3"/>
    <x v="1"/>
    <s v="Wind Turbine"/>
    <m/>
    <m/>
    <n v="200.3"/>
    <n v="0"/>
    <n v="0"/>
    <n v="0"/>
  </r>
  <r>
    <s v="J3392"/>
    <x v="1"/>
    <d v="2024-04-17T00:00:00"/>
    <d v="2025-07-31T00:00:00"/>
    <m/>
    <d v="2027-10-01T00:00:00"/>
    <s v="PRAIRIE POWER, INC."/>
    <s v="Scott"/>
    <m/>
    <m/>
    <s v="IL"/>
    <s v="DPP-2023"/>
    <s v="Central"/>
    <s v="Study Not Started"/>
    <s v="ERIS"/>
    <s v="Murrayville Jct. W - Roodhouse 69.0kV"/>
    <n v="25"/>
    <n v="25"/>
    <x v="0"/>
    <s v="Photovoltaic"/>
    <m/>
    <m/>
    <n v="0"/>
    <n v="0"/>
    <n v="0"/>
    <n v="0"/>
  </r>
  <r>
    <s v="J3393"/>
    <x v="1"/>
    <d v="2024-04-11T00:00:00"/>
    <d v="2025-09-29T00:00:00"/>
    <m/>
    <d v="2027-06-30T00:00:00"/>
    <s v="HENDERSON UTILITY COMM DBA HENDERSON MUNICIPAL POWER AND LIGHT"/>
    <s v="Henderson"/>
    <m/>
    <m/>
    <s v="KY"/>
    <s v="DPP-2023"/>
    <s v="Central"/>
    <s v="Study Not Started"/>
    <s v="NRIS"/>
    <s v="HMPL Sub No.4"/>
    <n v="150"/>
    <n v="150"/>
    <x v="0"/>
    <s v="Photovoltaic"/>
    <m/>
    <m/>
    <n v="0"/>
    <n v="0"/>
    <n v="0"/>
    <n v="0"/>
  </r>
  <r>
    <s v="J3394"/>
    <x v="2"/>
    <d v="2024-04-16T00:00:00"/>
    <m/>
    <m/>
    <d v="2027-03-01T00:00:00"/>
    <s v="CLECO POWER LLC CLEC"/>
    <s v="St. Landry"/>
    <m/>
    <m/>
    <s v="LA"/>
    <s v="DPP-2023"/>
    <s v="South"/>
    <s v="Study Not Started"/>
    <s v="NRIS"/>
    <s v="Ville Platte - West Fork 230.0kV"/>
    <n v="155.6"/>
    <n v="155.6"/>
    <x v="1"/>
    <s v="Wind Turbine"/>
    <m/>
    <m/>
    <n v="155.6"/>
    <n v="155.6"/>
    <n v="0"/>
    <n v="0"/>
  </r>
  <r>
    <s v="J3395"/>
    <x v="1"/>
    <d v="2024-04-17T00:00:00"/>
    <d v="2025-07-31T00:00:00"/>
    <m/>
    <d v="2027-10-01T00:00:00"/>
    <s v="PRAIRIE POWER, INC."/>
    <s v="Sangamon"/>
    <m/>
    <m/>
    <s v="IL"/>
    <s v="DPP-2023"/>
    <s v="Central"/>
    <s v="Study Not Started"/>
    <s v="NRIS"/>
    <s v="Andrew Bkr - Fancy Creek 69.0kV"/>
    <n v="30"/>
    <n v="30"/>
    <x v="0"/>
    <s v="Photovoltaic"/>
    <m/>
    <m/>
    <n v="0"/>
    <n v="0"/>
    <n v="0"/>
    <n v="0"/>
  </r>
  <r>
    <s v="J3396"/>
    <x v="1"/>
    <d v="2024-04-17T00:00:00"/>
    <d v="2025-07-31T00:00:00"/>
    <m/>
    <d v="2027-10-01T00:00:00"/>
    <s v="PRAIRIE POWER, INC."/>
    <s v="Scott"/>
    <m/>
    <m/>
    <s v="IL"/>
    <s v="DPP-2023"/>
    <s v="Central"/>
    <s v="Study Not Started"/>
    <s v="ERIS"/>
    <s v="Winchester - Hillview Tap 69.0kV"/>
    <n v="30"/>
    <n v="30"/>
    <x v="0"/>
    <s v="Photovoltaic"/>
    <m/>
    <m/>
    <n v="0"/>
    <n v="0"/>
    <n v="0"/>
    <n v="0"/>
  </r>
  <r>
    <s v="J3397"/>
    <x v="1"/>
    <d v="2024-03-18T00:00:00"/>
    <d v="2025-12-23T00:00:00"/>
    <m/>
    <d v="2026-08-15T00:00:00"/>
    <s v="ITC MIDWEST"/>
    <s v="Rock"/>
    <m/>
    <m/>
    <s v="MN"/>
    <s v="DPP-2023"/>
    <s v="West"/>
    <s v="Study Not Started"/>
    <s v="NRIS-Only"/>
    <s v="Magnolia"/>
    <n v="80"/>
    <n v="80"/>
    <x v="0"/>
    <s v="Photovoltaic"/>
    <m/>
    <m/>
    <n v="0"/>
    <n v="0"/>
    <n v="0"/>
    <n v="0"/>
  </r>
  <r>
    <s v="J3398"/>
    <x v="1"/>
    <d v="2024-04-17T00:00:00"/>
    <d v="2025-07-31T00:00:00"/>
    <m/>
    <d v="2027-10-01T00:00:00"/>
    <s v="PRAIRIE POWER, INC."/>
    <s v="Greene"/>
    <m/>
    <m/>
    <s v="IL"/>
    <s v="DPP-2023"/>
    <s v="Central"/>
    <s v="Study Not Started"/>
    <s v="ERIS"/>
    <s v="Walkerville - Eldred 69.0kV"/>
    <n v="30"/>
    <n v="30"/>
    <x v="0"/>
    <s v="Photovoltaic"/>
    <m/>
    <m/>
    <n v="0"/>
    <n v="0"/>
    <n v="0"/>
    <n v="0"/>
  </r>
  <r>
    <s v="J3399"/>
    <x v="2"/>
    <d v="2024-04-09T00:00:00"/>
    <m/>
    <m/>
    <d v="2028-08-01T00:00:00"/>
    <s v="NORTHERN STATES POWER COMPANY"/>
    <s v="Goodhue"/>
    <m/>
    <m/>
    <s v="MN"/>
    <s v="DPP-2023"/>
    <s v="West"/>
    <s v="Study Not Started"/>
    <s v="NRIS"/>
    <s v="Hampton - Prairie Island 345.0kV"/>
    <n v="300"/>
    <n v="300"/>
    <x v="0"/>
    <s v="Photovoltaic"/>
    <m/>
    <m/>
    <n v="300"/>
    <n v="300"/>
    <n v="0"/>
    <n v="0"/>
  </r>
  <r>
    <s v="J3400"/>
    <x v="2"/>
    <d v="2024-03-20T00:00:00"/>
    <m/>
    <m/>
    <d v="2028-04-19T00:00:00"/>
    <s v="OTTER TAIL POWER COMPANY OTP"/>
    <s v="Deuel"/>
    <m/>
    <m/>
    <s v="SD"/>
    <s v="DPP-2023"/>
    <s v="West"/>
    <s v="Study Not Started"/>
    <s v="NRIS"/>
    <s v="Astoria 345kV substation"/>
    <n v="142.19999999999999"/>
    <n v="142.19999999999999"/>
    <x v="5"/>
    <s v="Piston (Engine), Internal Combustion (Diesel)"/>
    <m/>
    <m/>
    <n v="142.19999999999999"/>
    <n v="142.19999999999999"/>
    <n v="0"/>
    <n v="0"/>
  </r>
  <r>
    <s v="J3401"/>
    <x v="2"/>
    <d v="2024-04-18T00:00:00"/>
    <m/>
    <m/>
    <d v="2028-09-02T00:00:00"/>
    <s v="ENTERGY ARKANSAS, LLC EATO"/>
    <s v="Mississippi"/>
    <m/>
    <m/>
    <s v="AR"/>
    <s v="DPP-2023"/>
    <s v="South"/>
    <s v="Study Not Started"/>
    <s v="NRIS"/>
    <s v="DELL EHV - SAN SOUCI 500.0kV"/>
    <n v="500"/>
    <n v="500"/>
    <x v="0"/>
    <s v="Photovoltaic"/>
    <m/>
    <m/>
    <n v="500"/>
    <n v="490"/>
    <n v="0"/>
    <n v="0"/>
  </r>
  <r>
    <s v="J3402"/>
    <x v="2"/>
    <d v="2024-04-18T00:00:00"/>
    <m/>
    <m/>
    <d v="2028-05-31T00:00:00"/>
    <s v="AMERICAN TRANSMISSION COMPANY"/>
    <s v="Juneau"/>
    <m/>
    <m/>
    <s v="WI"/>
    <s v="DPP-2023"/>
    <s v="East (ATC)"/>
    <s v="Study Not Started"/>
    <s v="NRIS"/>
    <s v="New J1502 TO Switching Station (Emerson)"/>
    <n v="200"/>
    <n v="200"/>
    <x v="2"/>
    <s v="Battery Storage"/>
    <m/>
    <m/>
    <n v="200"/>
    <n v="200"/>
    <n v="0"/>
    <n v="0"/>
  </r>
  <r>
    <s v="J3403"/>
    <x v="1"/>
    <d v="2024-04-18T00:00:00"/>
    <d v="2025-09-30T00:00:00"/>
    <m/>
    <d v="2028-08-15T00:00:00"/>
    <s v="AMEREN TRANSMISSION COMPANY OF ILLINOIS"/>
    <s v="Macon"/>
    <m/>
    <m/>
    <s v="MO"/>
    <s v="DPP-2023"/>
    <s v="Central"/>
    <s v="Study Not Started"/>
    <s v="NRIS"/>
    <s v="Other_"/>
    <n v="200"/>
    <n v="200"/>
    <x v="0"/>
    <s v="Photovoltaic"/>
    <m/>
    <m/>
    <n v="0"/>
    <n v="0"/>
    <n v="0"/>
    <n v="0"/>
  </r>
  <r>
    <s v="J3404"/>
    <x v="1"/>
    <d v="2024-04-18T00:00:00"/>
    <d v="2025-09-30T00:00:00"/>
    <m/>
    <d v="2028-08-15T00:00:00"/>
    <s v="AMEREN TRANSMISSION COMPANY OF ILLINOIS"/>
    <s v="Macon"/>
    <m/>
    <m/>
    <s v="MO"/>
    <s v="DPP-2023"/>
    <s v="Central"/>
    <s v="Study Not Started"/>
    <s v="NRIS"/>
    <s v="Other_"/>
    <n v="300"/>
    <n v="300"/>
    <x v="0"/>
    <s v="Photovoltaic"/>
    <m/>
    <m/>
    <n v="0"/>
    <n v="0"/>
    <n v="0"/>
    <n v="0"/>
  </r>
  <r>
    <s v="J3405"/>
    <x v="1"/>
    <d v="2024-04-10T00:00:00"/>
    <d v="2025-09-26T00:00:00"/>
    <m/>
    <d v="2028-06-09T00:00:00"/>
    <s v="MINNESOTA POWER INC."/>
    <s v="St. Louis"/>
    <m/>
    <m/>
    <s v="MN"/>
    <s v="DPP-2023"/>
    <s v="West"/>
    <s v="Study Not Started"/>
    <s v="NRIS"/>
    <s v="Shannon - Minntac 230kV"/>
    <n v="144"/>
    <n v="144"/>
    <x v="1"/>
    <s v="Wind Turbine"/>
    <m/>
    <m/>
    <n v="0"/>
    <n v="0"/>
    <n v="0"/>
    <n v="0"/>
  </r>
  <r>
    <s v="J3406"/>
    <x v="1"/>
    <d v="2024-04-17T00:00:00"/>
    <d v="2025-07-30T00:00:00"/>
    <m/>
    <d v="2028-04-09T00:00:00"/>
    <s v="ENTERGY LOUISIANA, LLC"/>
    <s v="Calcasieu"/>
    <m/>
    <m/>
    <s v="LA"/>
    <s v="DPP-2023"/>
    <s v="South"/>
    <s v="Study Not Started"/>
    <s v="NRIS"/>
    <s v="Nelson - Carlyss (J2154 POI)"/>
    <n v="100"/>
    <n v="100"/>
    <x v="0"/>
    <s v="Photovoltaic"/>
    <m/>
    <m/>
    <n v="0"/>
    <n v="0"/>
    <n v="0"/>
    <n v="0"/>
  </r>
  <r>
    <s v="J3407"/>
    <x v="1"/>
    <d v="2024-04-11T00:00:00"/>
    <d v="2026-01-05T00:00:00"/>
    <m/>
    <d v="2028-10-31T00:00:00"/>
    <s v="METC"/>
    <s v="Manistee"/>
    <m/>
    <m/>
    <s v="MI"/>
    <s v="DPP-2023"/>
    <s v="East (ITC)"/>
    <s v="Study Not Started"/>
    <s v="NRIS"/>
    <s v="LINDEMAN - TIPPY 138.0kV"/>
    <n v="300"/>
    <n v="300"/>
    <x v="3"/>
    <s v="Combustion Turbine (Simple Cycle)"/>
    <m/>
    <m/>
    <n v="300"/>
    <n v="300"/>
    <n v="0"/>
    <n v="0"/>
  </r>
  <r>
    <s v="J3408"/>
    <x v="1"/>
    <d v="2024-04-18T00:00:00"/>
    <d v="2025-05-23T00:00:00"/>
    <m/>
    <d v="2028-03-01T00:00:00"/>
    <s v="CLECO POWER LLC"/>
    <s v="Sabine"/>
    <m/>
    <m/>
    <s v="LA"/>
    <s v="DPP-2023"/>
    <s v="South"/>
    <s v="Study Not Started"/>
    <s v="NRIS"/>
    <s v="HARTBURG - AEP LAYFIELD 500.0kV"/>
    <n v="450"/>
    <n v="450"/>
    <x v="0"/>
    <s v="Photovoltaic"/>
    <m/>
    <m/>
    <n v="0"/>
    <n v="0"/>
    <n v="0"/>
    <n v="0"/>
  </r>
  <r>
    <s v="J3409"/>
    <x v="1"/>
    <d v="2024-04-12T00:00:00"/>
    <d v="2025-09-29T00:00:00"/>
    <m/>
    <d v="2028-03-01T00:00:00"/>
    <s v="ENTERGY TEXAS, INC."/>
    <s v="Newton"/>
    <m/>
    <m/>
    <s v="TX"/>
    <s v="DPP-2023"/>
    <s v="South"/>
    <s v="Study Not Started"/>
    <s v="ERIS"/>
    <s v="HARTBURG - CYPRESS 500.0kV"/>
    <n v="400"/>
    <n v="400"/>
    <x v="0"/>
    <s v="Photovoltaic"/>
    <m/>
    <m/>
    <n v="0"/>
    <n v="0"/>
    <n v="0"/>
    <n v="0"/>
  </r>
  <r>
    <s v="J3410"/>
    <x v="1"/>
    <d v="2024-04-12T00:00:00"/>
    <d v="2025-08-15T00:00:00"/>
    <m/>
    <d v="2028-03-01T00:00:00"/>
    <s v="AMEREN ILLINOIS"/>
    <s v="Washington"/>
    <m/>
    <m/>
    <s v="IL"/>
    <s v="DPP-2023"/>
    <s v="Central"/>
    <s v="Study Not Started"/>
    <s v="NRIS"/>
    <s v="7PR STATE - 7MTVERNW 345.0kV"/>
    <n v="120"/>
    <n v="120"/>
    <x v="0"/>
    <s v="Photovoltaic"/>
    <m/>
    <m/>
    <n v="0"/>
    <n v="0"/>
    <n v="0"/>
    <n v="0"/>
  </r>
  <r>
    <s v="J3411"/>
    <x v="1"/>
    <d v="2024-04-12T00:00:00"/>
    <d v="2025-12-23T00:00:00"/>
    <m/>
    <d v="2028-03-01T00:00:00"/>
    <s v="AMEREN MISSOURI"/>
    <s v="Randolph"/>
    <m/>
    <m/>
    <s v="MO"/>
    <s v="DPP-2023"/>
    <s v="Central"/>
    <s v="Study Not Started"/>
    <s v="ERIS"/>
    <s v="5ADAIR    - 5THMHIL (AECI)  161.0kV"/>
    <n v="120"/>
    <n v="120"/>
    <x v="0"/>
    <s v="Photovoltaic"/>
    <m/>
    <m/>
    <n v="0"/>
    <n v="0"/>
    <n v="0"/>
    <n v="0"/>
  </r>
  <r>
    <s v="J3412"/>
    <x v="2"/>
    <d v="2024-03-18T00:00:00"/>
    <m/>
    <m/>
    <d v="2028-09-01T00:00:00"/>
    <s v="AMEREN ILLINOIS"/>
    <s v="Ford"/>
    <m/>
    <m/>
    <s v="IL"/>
    <s v="DPP-2023"/>
    <s v="Central"/>
    <s v="Study Not Started"/>
    <s v="NRIS"/>
    <s v="Other_"/>
    <n v="300"/>
    <n v="300"/>
    <x v="0"/>
    <s v="Photovoltaic"/>
    <m/>
    <m/>
    <n v="300"/>
    <n v="300"/>
    <n v="0"/>
    <n v="0"/>
  </r>
  <r>
    <s v="J3413"/>
    <x v="1"/>
    <d v="2024-03-29T00:00:00"/>
    <d v="2025-12-23T00:00:00"/>
    <m/>
    <d v="2028-07-18T00:00:00"/>
    <s v="ENTERGY ARKANSAS, LLC"/>
    <s v="Pulaski"/>
    <m/>
    <m/>
    <s v="AR"/>
    <s v="DPP-2023"/>
    <s v="South"/>
    <s v="Study Not Started"/>
    <s v="NRIS"/>
    <s v="L.R. 145TH ST - L.R. PORT 115.0kV"/>
    <n v="150"/>
    <n v="150"/>
    <x v="5"/>
    <s v="Solar/Battery"/>
    <m/>
    <m/>
    <n v="0"/>
    <n v="0"/>
    <n v="0"/>
    <n v="0"/>
  </r>
  <r>
    <s v="J3414"/>
    <x v="1"/>
    <d v="2024-04-16T00:00:00"/>
    <d v="2025-09-24T00:00:00"/>
    <m/>
    <d v="2028-09-30T00:00:00"/>
    <s v="SOUTHERN INDIANA GAS &amp; ELECTRIC COMPANY D/B/A CENTERPOINT ENERGY INDIANA SOUTH"/>
    <s v="Posey"/>
    <m/>
    <m/>
    <s v="IN"/>
    <s v="DPP-2023"/>
    <s v="Central"/>
    <s v="Study Not Started"/>
    <s v="NRIS"/>
    <s v="AB Brown 345 - Gibson (Duke Terminal) 345.0kV"/>
    <n v="200"/>
    <n v="200"/>
    <x v="0"/>
    <s v="Photovoltaic"/>
    <m/>
    <m/>
    <n v="0"/>
    <n v="0"/>
    <n v="0"/>
    <n v="0"/>
  </r>
  <r>
    <s v="J3415"/>
    <x v="1"/>
    <d v="2024-03-18T00:00:00"/>
    <d v="2025-07-24T00:00:00"/>
    <m/>
    <d v="2028-08-01T00:00:00"/>
    <s v="MONTANA-DAKOTA UTILITIES CO."/>
    <s v="Mercer"/>
    <m/>
    <m/>
    <s v="ND"/>
    <s v="DPP-2023"/>
    <s v="West"/>
    <s v="Study Not Started"/>
    <s v="NRIS"/>
    <s v="Coyote Switchyard"/>
    <n v="250"/>
    <n v="250"/>
    <x v="0"/>
    <s v="Photovoltaic"/>
    <m/>
    <m/>
    <n v="0"/>
    <n v="0"/>
    <n v="0"/>
    <n v="0"/>
  </r>
  <r>
    <s v="J3416"/>
    <x v="1"/>
    <d v="2024-03-21T00:00:00"/>
    <d v="2025-12-23T00:00:00"/>
    <m/>
    <d v="2027-09-01T00:00:00"/>
    <s v="METC"/>
    <s v="Otsego"/>
    <m/>
    <m/>
    <s v="MI"/>
    <s v="DPP-2023"/>
    <s v="East (ITC)"/>
    <s v="Study Not Started"/>
    <s v="NRIS"/>
    <s v="VAN TYLE"/>
    <n v="200"/>
    <n v="200"/>
    <x v="2"/>
    <s v="Battery Storage"/>
    <m/>
    <m/>
    <n v="0"/>
    <n v="0"/>
    <n v="0"/>
    <n v="0"/>
  </r>
  <r>
    <s v="J3417"/>
    <x v="2"/>
    <d v="2024-04-17T00:00:00"/>
    <m/>
    <m/>
    <d v="2028-09-06T00:00:00"/>
    <s v="AMEREN ILLINOIS"/>
    <s v="Macon"/>
    <m/>
    <m/>
    <s v="IL"/>
    <s v="DPP-2023"/>
    <s v="Central"/>
    <s v="Study Not Started"/>
    <s v="NRIS"/>
    <s v="Oreana"/>
    <n v="300"/>
    <n v="300"/>
    <x v="2"/>
    <s v="Battery Storage"/>
    <m/>
    <m/>
    <n v="300"/>
    <n v="300"/>
    <n v="0"/>
    <n v="0"/>
  </r>
  <r>
    <s v="J3418"/>
    <x v="2"/>
    <d v="2024-04-17T00:00:00"/>
    <m/>
    <m/>
    <d v="2028-09-15T00:00:00"/>
    <s v="AMEREN TRANSMISSION COMPANY OF ILLINOIS"/>
    <s v="Sangamon"/>
    <m/>
    <m/>
    <s v="IL"/>
    <s v="DPP-2023"/>
    <s v="Central"/>
    <s v="Study Not Started"/>
    <s v="NRIS"/>
    <s v="7AUSTIN - 7TURNER 345.0kV"/>
    <n v="220"/>
    <n v="220"/>
    <x v="0"/>
    <s v="Photovoltaic"/>
    <m/>
    <m/>
    <n v="220"/>
    <n v="0"/>
    <n v="0"/>
    <n v="0"/>
  </r>
  <r>
    <s v="J3419"/>
    <x v="2"/>
    <d v="2024-03-18T00:00:00"/>
    <m/>
    <m/>
    <d v="2028-09-01T00:00:00"/>
    <s v="ITC"/>
    <s v="Huron"/>
    <m/>
    <m/>
    <s v="MI"/>
    <s v="DPP-2023"/>
    <s v="East (ITC)"/>
    <s v="Study Not Started"/>
    <s v="NRIS"/>
    <s v="SEASIDE"/>
    <n v="150"/>
    <n v="150"/>
    <x v="0"/>
    <s v="Photovoltaic"/>
    <m/>
    <m/>
    <n v="150"/>
    <n v="150"/>
    <n v="0"/>
    <n v="0"/>
  </r>
  <r>
    <s v="J3420"/>
    <x v="2"/>
    <d v="2024-03-18T00:00:00"/>
    <m/>
    <m/>
    <d v="2028-08-01T00:00:00"/>
    <s v="OTTER TAIL POWER COMPANY OTP"/>
    <s v="McPherson"/>
    <m/>
    <m/>
    <s v="SD"/>
    <s v="DPP-2023"/>
    <s v="West"/>
    <s v="Study Not Started"/>
    <s v="NRIS"/>
    <s v="Ellendale 345 - Twin Brooks 345.0kV"/>
    <n v="200"/>
    <n v="200"/>
    <x v="1"/>
    <s v="Wind Turbine"/>
    <m/>
    <m/>
    <n v="200"/>
    <n v="200"/>
    <n v="0"/>
    <n v="0"/>
  </r>
  <r>
    <s v="J3421"/>
    <x v="2"/>
    <d v="2024-04-15T00:00:00"/>
    <m/>
    <m/>
    <d v="2028-06-30T00:00:00"/>
    <s v="ITC"/>
    <s v="Huron"/>
    <m/>
    <m/>
    <s v="MI"/>
    <s v="DPP-2023"/>
    <s v="East (ITC)"/>
    <s v="Study Not Started"/>
    <s v="NRIS"/>
    <s v="SEASIDE"/>
    <n v="100"/>
    <n v="100"/>
    <x v="2"/>
    <s v="Battery Storage"/>
    <m/>
    <m/>
    <n v="100"/>
    <n v="100"/>
    <n v="0"/>
    <n v="0"/>
  </r>
  <r>
    <s v="J3422"/>
    <x v="1"/>
    <d v="2024-03-26T00:00:00"/>
    <d v="2025-09-30T00:00:00"/>
    <m/>
    <d v="2028-06-30T00:00:00"/>
    <s v="ENTERGY ARKANSAS, LLC"/>
    <s v="Lawrence"/>
    <m/>
    <m/>
    <s v="AR"/>
    <s v="DPP-2023"/>
    <s v="South"/>
    <s v="Study Not Started"/>
    <s v="NRIS"/>
    <s v="SWIFTON - AECC HOXIE SOUTH 161.0kV"/>
    <n v="145"/>
    <n v="145"/>
    <x v="0"/>
    <s v="Photovoltaic"/>
    <m/>
    <m/>
    <n v="0"/>
    <n v="0"/>
    <n v="0"/>
    <n v="0"/>
  </r>
  <r>
    <s v="J3423"/>
    <x v="1"/>
    <d v="2024-05-16T00:00:00"/>
    <d v="2025-09-30T00:00:00"/>
    <m/>
    <d v="2028-09-04T00:00:00"/>
    <s v="ENTERGY ARKANSAS, LLC"/>
    <s v="Jackson"/>
    <m/>
    <m/>
    <s v="AR"/>
    <s v="DPP-2023"/>
    <s v="South"/>
    <s v="Study Not Started"/>
    <s v="NRIS"/>
    <s v="PECAN ST - AECC BALCH 161.0kV"/>
    <n v="200"/>
    <n v="200"/>
    <x v="0"/>
    <s v="Photovoltaic"/>
    <m/>
    <m/>
    <n v="0"/>
    <n v="0"/>
    <n v="0"/>
    <n v="0"/>
  </r>
  <r>
    <s v="J3424"/>
    <x v="1"/>
    <d v="2024-04-16T00:00:00"/>
    <d v="2025-12-23T00:00:00"/>
    <m/>
    <d v="2028-09-30T00:00:00"/>
    <s v="SOUTHERN INDIANA GAS &amp; ELECTRIC COMPANY D/B/A CENTERPOINT ENERGY INDIANA SOUTH"/>
    <s v="Posey"/>
    <m/>
    <m/>
    <s v="IN"/>
    <s v="DPP-2023"/>
    <s v="Central"/>
    <s v="Study Not Started"/>
    <s v="NRIS"/>
    <s v="AB Brown 345 - Gibson (Duke Terminal) 345.0kV"/>
    <n v="300"/>
    <n v="300"/>
    <x v="2"/>
    <s v="Battery Storage"/>
    <m/>
    <m/>
    <n v="0"/>
    <n v="0"/>
    <n v="0"/>
    <n v="0"/>
  </r>
  <r>
    <s v="J3425"/>
    <x v="1"/>
    <d v="2024-04-10T00:00:00"/>
    <d v="2025-09-29T00:00:00"/>
    <m/>
    <d v="2027-06-01T00:00:00"/>
    <s v="EAST TEXAS ELECTRIC COOPERATIVE, INC."/>
    <s v="Jasper"/>
    <m/>
    <m/>
    <s v="TX"/>
    <s v="DPP-2023"/>
    <s v="South"/>
    <s v="Study Not Started"/>
    <s v="ERIS"/>
    <s v="Peachtree Substation"/>
    <n v="59.2"/>
    <n v="59.2"/>
    <x v="0"/>
    <s v="Photovoltaic"/>
    <m/>
    <m/>
    <n v="0"/>
    <n v="0"/>
    <n v="0"/>
    <n v="0"/>
  </r>
  <r>
    <s v="J3426"/>
    <x v="1"/>
    <d v="2024-03-19T00:00:00"/>
    <d v="2025-07-01T00:00:00"/>
    <m/>
    <d v="2028-09-01T00:00:00"/>
    <s v="ENTERGY ARKANSAS, LLC"/>
    <s v="Chicot"/>
    <m/>
    <m/>
    <s v="AR"/>
    <s v="DPP-2023"/>
    <s v="South"/>
    <s v="Study Not Started"/>
    <s v="NRIS"/>
    <s v="MACON LAKE SS"/>
    <n v="500"/>
    <n v="500"/>
    <x v="0"/>
    <s v="Photovoltaic"/>
    <m/>
    <m/>
    <n v="0"/>
    <n v="0"/>
    <n v="0"/>
    <n v="0"/>
  </r>
  <r>
    <s v="J3427"/>
    <x v="1"/>
    <d v="2024-03-26T00:00:00"/>
    <d v="2025-12-23T00:00:00"/>
    <m/>
    <d v="2028-06-30T00:00:00"/>
    <s v="ENTERGY ARKANSAS, LLC"/>
    <s v="Mississippi"/>
    <m/>
    <m/>
    <s v="AR"/>
    <s v="DPP-2023"/>
    <s v="South"/>
    <s v="Study Not Started"/>
    <s v="NRIS"/>
    <s v="DELL EHV - NEW MADRID (AECI) 500.0kV"/>
    <n v="500"/>
    <n v="500"/>
    <x v="0"/>
    <s v="Photovoltaic"/>
    <m/>
    <m/>
    <n v="0"/>
    <n v="0"/>
    <n v="0"/>
    <n v="0"/>
  </r>
  <r>
    <s v="J3428"/>
    <x v="2"/>
    <d v="2024-03-18T00:00:00"/>
    <m/>
    <m/>
    <d v="2028-08-01T00:00:00"/>
    <s v="OTTER TAIL POWER COMPANY OTP"/>
    <s v="McPherson"/>
    <m/>
    <m/>
    <s v="SD"/>
    <s v="DPP-2023"/>
    <s v="West"/>
    <s v="Study Not Started"/>
    <s v="NRIS"/>
    <s v="Ellendale 345 - Twin Brooks 345.0kV"/>
    <n v="200"/>
    <n v="200"/>
    <x v="1"/>
    <s v="Wind Turbine"/>
    <m/>
    <m/>
    <n v="200"/>
    <n v="200"/>
    <n v="0"/>
    <n v="0"/>
  </r>
  <r>
    <s v="J3429"/>
    <x v="1"/>
    <d v="2024-04-18T00:00:00"/>
    <d v="2025-12-23T00:00:00"/>
    <m/>
    <d v="2028-05-31T00:00:00"/>
    <s v="ENTERGY ARKANSAS, LLC"/>
    <s v="Pemiscot"/>
    <m/>
    <m/>
    <s v="MO"/>
    <s v="DPP-2023"/>
    <s v="South"/>
    <s v="Study Not Started"/>
    <s v="NRIS"/>
    <s v="JIM HILL - HAYTI SOUTH 161.0kV"/>
    <n v="160"/>
    <n v="160"/>
    <x v="0"/>
    <s v="Photovoltaic"/>
    <m/>
    <m/>
    <n v="0"/>
    <n v="0"/>
    <n v="0"/>
    <n v="0"/>
  </r>
  <r>
    <s v="J3430"/>
    <x v="1"/>
    <d v="2024-04-16T00:00:00"/>
    <d v="2025-12-23T00:00:00"/>
    <m/>
    <d v="2028-09-30T00:00:00"/>
    <s v="AMEREN ILLINOIS"/>
    <s v="Lawrence"/>
    <m/>
    <m/>
    <s v="IL"/>
    <s v="DPP-2023"/>
    <s v="Central"/>
    <s v="Study Not Started"/>
    <s v="NRIS"/>
    <s v="4LAWRNCVL - 4JASPER 138.0kV"/>
    <n v="150"/>
    <n v="150"/>
    <x v="0"/>
    <s v="Photovoltaic"/>
    <m/>
    <m/>
    <n v="0"/>
    <n v="0"/>
    <n v="0"/>
    <n v="0"/>
  </r>
  <r>
    <s v="J3431"/>
    <x v="1"/>
    <d v="2024-03-19T00:00:00"/>
    <d v="2025-08-25T00:00:00"/>
    <m/>
    <d v="2028-09-01T00:00:00"/>
    <s v="ENTERGY MISSISSIPPI, LLC."/>
    <s v="Holmes"/>
    <m/>
    <m/>
    <s v="MS"/>
    <s v="DPP-2023"/>
    <s v="South"/>
    <s v="Study Not Started"/>
    <s v="NRIS"/>
    <s v="INDIANOLA 230/115 SUB - MCADAMS EHV 230.0kV"/>
    <n v="300"/>
    <n v="300"/>
    <x v="0"/>
    <s v="Photovoltaic"/>
    <m/>
    <m/>
    <n v="0"/>
    <n v="0"/>
    <n v="0"/>
    <n v="0"/>
  </r>
  <r>
    <s v="J3432"/>
    <x v="1"/>
    <d v="2024-04-16T00:00:00"/>
    <d v="2025-12-23T00:00:00"/>
    <m/>
    <d v="2028-09-30T00:00:00"/>
    <s v="AMEREN ILLINOIS"/>
    <s v="Lawrence"/>
    <m/>
    <m/>
    <s v="IL"/>
    <s v="DPP-2023"/>
    <s v="Central"/>
    <s v="Study Not Started"/>
    <s v="NRIS"/>
    <s v="4LAWRNCVL - 4JASPER 138.0kV"/>
    <n v="150"/>
    <n v="150"/>
    <x v="2"/>
    <s v="Battery Storage"/>
    <m/>
    <m/>
    <n v="0"/>
    <n v="0"/>
    <n v="0"/>
    <n v="0"/>
  </r>
  <r>
    <s v="J3433"/>
    <x v="1"/>
    <d v="2024-04-16T00:00:00"/>
    <d v="2025-09-24T00:00:00"/>
    <m/>
    <d v="2028-09-30T00:00:00"/>
    <s v="DAIRYLAND POWER COOPERATIVE"/>
    <s v="Barron"/>
    <m/>
    <m/>
    <s v="WI"/>
    <s v="DPP-2023"/>
    <s v="West"/>
    <s v="Study Not Started"/>
    <s v="NRIS"/>
    <s v="BARRON  - WASHCO  161.0kV"/>
    <n v="115"/>
    <n v="115"/>
    <x v="0"/>
    <s v="Photovoltaic"/>
    <m/>
    <m/>
    <n v="0"/>
    <n v="0"/>
    <n v="0"/>
    <n v="0"/>
  </r>
  <r>
    <s v="J3434"/>
    <x v="2"/>
    <d v="2024-03-18T00:00:00"/>
    <m/>
    <m/>
    <d v="2028-09-01T00:00:00"/>
    <s v="MISSOURI RIVER ENERGY SERVICES - TRANSMISSION"/>
    <s v="Kandiyohi"/>
    <m/>
    <m/>
    <s v="MN"/>
    <s v="DPP-2023"/>
    <s v="West"/>
    <s v="Study Not Started"/>
    <s v="NRIS"/>
    <s v="Willmar"/>
    <n v="200"/>
    <n v="200"/>
    <x v="0"/>
    <s v="Photovoltaic"/>
    <m/>
    <m/>
    <n v="200"/>
    <n v="200"/>
    <n v="0"/>
    <n v="0"/>
  </r>
  <r>
    <s v="J3435"/>
    <x v="1"/>
    <d v="2024-04-18T00:00:00"/>
    <d v="2025-09-29T00:00:00"/>
    <m/>
    <d v="2028-04-01T00:00:00"/>
    <s v="ENTERGY ARKANSAS, LLC"/>
    <s v="Arkansas"/>
    <m/>
    <m/>
    <s v="AR"/>
    <s v="DPP-2023"/>
    <s v="South"/>
    <s v="Study Not Started"/>
    <s v="NRIS"/>
    <s v="STUTTGART RICUSKEY - WOODWARD 230 SUB 230.0kV"/>
    <n v="210"/>
    <n v="210"/>
    <x v="0"/>
    <s v="Photovoltaic"/>
    <m/>
    <m/>
    <n v="0"/>
    <n v="0"/>
    <n v="0"/>
    <n v="0"/>
  </r>
  <r>
    <s v="J3436"/>
    <x v="2"/>
    <d v="2024-04-17T00:00:00"/>
    <m/>
    <m/>
    <d v="2028-09-30T00:00:00"/>
    <s v="AMEREN TRANSMISSION COMPANY OF ILLINOIS"/>
    <s v="Daviess"/>
    <m/>
    <m/>
    <s v="MO"/>
    <s v="DPP-2023"/>
    <s v="Central"/>
    <s v="Study Not Started"/>
    <s v="NRIS"/>
    <s v="Other_"/>
    <n v="200"/>
    <n v="200"/>
    <x v="0"/>
    <s v="Photovoltaic"/>
    <m/>
    <m/>
    <n v="200"/>
    <n v="200"/>
    <n v="0"/>
    <n v="0"/>
  </r>
  <r>
    <s v="J3437"/>
    <x v="1"/>
    <d v="2024-05-06T00:00:00"/>
    <d v="2025-12-23T00:00:00"/>
    <m/>
    <d v="2027-09-30T00:00:00"/>
    <s v="METC"/>
    <s v="Ogemaw"/>
    <m/>
    <m/>
    <s v="MI"/>
    <s v="DPP-2023"/>
    <s v="East (ITC)"/>
    <s v="Study Not Started"/>
    <s v="NRIS"/>
    <s v="LIVINGSTON - TITTABAWASSEE 345.0kV"/>
    <n v="160"/>
    <n v="160"/>
    <x v="5"/>
    <s v="Solar/Wind/Battery"/>
    <m/>
    <m/>
    <n v="0"/>
    <n v="0"/>
    <n v="0"/>
    <n v="0"/>
  </r>
  <r>
    <s v="J3438"/>
    <x v="4"/>
    <d v="2024-03-26T00:00:00"/>
    <m/>
    <m/>
    <d v="2028-06-30T00:00:00"/>
    <s v="METC"/>
    <s v="Saginaw"/>
    <m/>
    <m/>
    <s v="MI"/>
    <s v="DPP-2023"/>
    <s v="East (ITC)"/>
    <s v="Study Not Started"/>
    <s v="NRIS"/>
    <s v="MURPHY"/>
    <n v="250"/>
    <n v="250"/>
    <x v="2"/>
    <s v="Battery Storage"/>
    <m/>
    <m/>
    <n v="250"/>
    <n v="250"/>
    <n v="0"/>
    <n v="0"/>
  </r>
  <r>
    <s v="J3439"/>
    <x v="2"/>
    <d v="2024-04-11T00:00:00"/>
    <m/>
    <m/>
    <d v="2026-10-31T00:00:00"/>
    <s v="GREAT RIVER ENERGY"/>
    <s v="Sherburne"/>
    <m/>
    <m/>
    <s v="MN"/>
    <s v="DPP-2023"/>
    <s v="West"/>
    <s v="Study Not Started"/>
    <s v="NRIS"/>
    <s v="RICE LAKE SWITCH ELSM11 - ZIMMERMAN TAP - SS2858 - ELS1 69.0kV"/>
    <n v="72"/>
    <n v="72"/>
    <x v="0"/>
    <s v="Photovoltaic"/>
    <m/>
    <m/>
    <n v="72"/>
    <n v="72"/>
    <n v="0"/>
    <n v="0"/>
  </r>
  <r>
    <s v="J3440"/>
    <x v="2"/>
    <d v="2024-04-17T00:00:00"/>
    <m/>
    <m/>
    <d v="2028-09-30T00:00:00"/>
    <s v="AMEREN TRANSMISSION COMPANY OF ILLINOIS"/>
    <s v="Daviess"/>
    <m/>
    <m/>
    <s v="MO"/>
    <s v="DPP-2023"/>
    <s v="Central"/>
    <s v="Study Not Started"/>
    <s v="NRIS"/>
    <s v="Other_"/>
    <n v="200"/>
    <n v="200"/>
    <x v="2"/>
    <s v="Battery Storage"/>
    <m/>
    <m/>
    <n v="200"/>
    <n v="200"/>
    <n v="0"/>
    <n v="0"/>
  </r>
  <r>
    <s v="J3441"/>
    <x v="1"/>
    <d v="2024-03-27T00:00:00"/>
    <d v="2025-09-30T00:00:00"/>
    <m/>
    <d v="2028-06-30T00:00:00"/>
    <s v="ENTERGY TEXAS, INC."/>
    <s v="Houston"/>
    <m/>
    <m/>
    <s v="TX"/>
    <s v="DPP-2023"/>
    <s v="South"/>
    <s v="Study Not Started"/>
    <s v="NRIS"/>
    <s v="ROCKY CREEK - CROCKETT (SWEPCO) 345.0kV"/>
    <n v="500"/>
    <n v="500"/>
    <x v="0"/>
    <s v="Photovoltaic"/>
    <m/>
    <m/>
    <n v="0"/>
    <n v="0"/>
    <n v="0"/>
    <n v="0"/>
  </r>
  <r>
    <s v="J3442"/>
    <x v="2"/>
    <d v="2024-04-16T00:00:00"/>
    <m/>
    <m/>
    <d v="2028-09-30T00:00:00"/>
    <s v="AMEREN MISSOURI"/>
    <s v="Scott"/>
    <m/>
    <m/>
    <s v="MO"/>
    <s v="DPP-2023"/>
    <s v="Central"/>
    <s v="Study Not Started"/>
    <s v="NRIS"/>
    <s v="5STODDARD - 5MORLEY (AECI) 161.0kV"/>
    <n v="156"/>
    <n v="156"/>
    <x v="0"/>
    <s v="Photovoltaic"/>
    <m/>
    <m/>
    <n v="156"/>
    <n v="156"/>
    <n v="0"/>
    <n v="0"/>
  </r>
  <r>
    <s v="J3443"/>
    <x v="2"/>
    <d v="2024-04-12T00:00:00"/>
    <m/>
    <m/>
    <d v="2028-06-01T00:00:00"/>
    <s v="OTTER TAIL POWER COMPANY OTP"/>
    <s v="Big Stone"/>
    <m/>
    <m/>
    <s v="MN"/>
    <s v="DPP-2023"/>
    <s v="West"/>
    <s v="Study Not Started"/>
    <s v="NRIS"/>
    <s v="Big Stone South - Alexandira 345kV"/>
    <n v="250"/>
    <n v="250"/>
    <x v="5"/>
    <s v="Wind/Battery"/>
    <m/>
    <m/>
    <n v="250"/>
    <n v="250"/>
    <n v="0"/>
    <n v="0"/>
  </r>
  <r>
    <s v="J3444"/>
    <x v="1"/>
    <d v="2024-03-26T00:00:00"/>
    <d v="2025-09-30T00:00:00"/>
    <m/>
    <d v="2028-06-30T00:00:00"/>
    <s v="ENTERGY ARKANSAS, LLC"/>
    <s v="Jefferson"/>
    <m/>
    <m/>
    <s v="AR"/>
    <s v="DPP-2023"/>
    <s v="South"/>
    <s v="Study Not Started"/>
    <s v="NRIS"/>
    <s v="AECC PINEBERGEN"/>
    <n v="125"/>
    <n v="125"/>
    <x v="0"/>
    <s v="Photovoltaic"/>
    <m/>
    <m/>
    <n v="0"/>
    <n v="0"/>
    <n v="0"/>
    <n v="0"/>
  </r>
  <r>
    <s v="J3445"/>
    <x v="1"/>
    <d v="2024-04-11T00:00:00"/>
    <d v="2025-09-24T00:00:00"/>
    <m/>
    <d v="2028-08-01T00:00:00"/>
    <s v="GridUnity"/>
    <s v="Olmsted"/>
    <m/>
    <m/>
    <s v="MN"/>
    <s v="DPP-2023"/>
    <s v="West"/>
    <s v="Study Not Started"/>
    <s v="NRIS"/>
    <s v="Westside"/>
    <n v="45"/>
    <n v="49"/>
    <x v="3"/>
    <s v="Combustion Turbine (Simple Cycle)"/>
    <m/>
    <m/>
    <n v="0"/>
    <n v="0"/>
    <n v="0"/>
    <n v="0"/>
  </r>
  <r>
    <s v="J3446"/>
    <x v="1"/>
    <d v="2024-04-04T00:00:00"/>
    <d v="2025-09-12T00:00:00"/>
    <m/>
    <d v="2028-06-30T00:00:00"/>
    <s v="METC"/>
    <s v="Kent"/>
    <m/>
    <m/>
    <s v="MI"/>
    <s v="DPP-2023"/>
    <s v="East (ITC)"/>
    <s v="Study Not Started"/>
    <s v="NRIS"/>
    <s v="Gaines substation 138kV"/>
    <n v="200"/>
    <n v="200"/>
    <x v="2"/>
    <s v="Battery Storage"/>
    <m/>
    <m/>
    <n v="0"/>
    <n v="0"/>
    <n v="0"/>
    <n v="0"/>
  </r>
  <r>
    <s v="J3447"/>
    <x v="1"/>
    <d v="2024-03-26T00:00:00"/>
    <d v="2025-09-30T00:00:00"/>
    <m/>
    <d v="2028-06-30T00:00:00"/>
    <s v="COOPERATIVE ENERGY"/>
    <s v="Perry"/>
    <m/>
    <m/>
    <s v="MS"/>
    <s v="DPP-2023"/>
    <s v="South"/>
    <s v="Study Not Started"/>
    <s v="NRIS"/>
    <s v="Purvis Bulk 161 - Hintonville 161 161.0kV"/>
    <n v="125"/>
    <n v="125"/>
    <x v="0"/>
    <s v="Photovoltaic"/>
    <m/>
    <m/>
    <n v="0"/>
    <n v="0"/>
    <n v="0"/>
    <n v="0"/>
  </r>
  <r>
    <s v="J3448"/>
    <x v="2"/>
    <d v="2024-04-18T00:00:00"/>
    <m/>
    <m/>
    <d v="2028-08-31T00:00:00"/>
    <s v="DAIRYLAND POWER COOPERATIVE DPC"/>
    <s v="Grant"/>
    <m/>
    <m/>
    <s v="WI"/>
    <s v="DPP-2023"/>
    <s v="West"/>
    <s v="Study Not Started"/>
    <s v="NRIS"/>
    <s v="NELSON DEWEY (ATC) - GRAN GRAE (ATC) 161.0kV"/>
    <n v="180"/>
    <n v="180"/>
    <x v="1"/>
    <s v="Wind Turbine"/>
    <m/>
    <m/>
    <n v="180"/>
    <n v="140"/>
    <n v="0"/>
    <n v="0"/>
  </r>
  <r>
    <s v="J3449"/>
    <x v="4"/>
    <d v="2024-03-26T00:00:00"/>
    <m/>
    <m/>
    <d v="2028-06-30T00:00:00"/>
    <s v="ENTERGY ARKANSAS, LLC EATO"/>
    <s v="Pope"/>
    <m/>
    <m/>
    <s v="AR"/>
    <s v="DPP-2023"/>
    <s v="South"/>
    <s v="Study Not Started"/>
    <s v="NRIS"/>
    <s v="MORRILTON EAST - ATKINS 161.0kV"/>
    <n v="200"/>
    <n v="200"/>
    <x v="0"/>
    <s v="Photovoltaic"/>
    <m/>
    <m/>
    <n v="200"/>
    <n v="0"/>
    <n v="0"/>
    <n v="0"/>
  </r>
  <r>
    <s v="J3450"/>
    <x v="1"/>
    <d v="2024-04-18T00:00:00"/>
    <d v="2025-09-23T00:00:00"/>
    <m/>
    <d v="2028-08-15T00:00:00"/>
    <s v="ENTERGY MISSISSIPPI, LLC."/>
    <s v="Panola"/>
    <m/>
    <m/>
    <s v="MS"/>
    <s v="DPP-2023"/>
    <s v="South"/>
    <s v="Study Not Started"/>
    <s v="NRIS"/>
    <s v="BATESVILLE [MS] - MOON LAKE SS 230.0kV"/>
    <n v="200"/>
    <n v="200"/>
    <x v="0"/>
    <s v="Photovoltaic"/>
    <m/>
    <m/>
    <n v="0"/>
    <n v="0"/>
    <n v="0"/>
    <n v="0"/>
  </r>
  <r>
    <s v="J3451"/>
    <x v="2"/>
    <d v="2024-04-05T00:00:00"/>
    <m/>
    <m/>
    <d v="2027-04-01T00:00:00"/>
    <s v="METC"/>
    <s v="Alcona"/>
    <m/>
    <m/>
    <s v="MI"/>
    <s v="DPP-2023"/>
    <s v="East (ITC)"/>
    <s v="Study Not Started"/>
    <s v="NRIS"/>
    <s v="IOSCO - SPRUCE ROAD 138.0kV"/>
    <n v="120"/>
    <n v="120"/>
    <x v="0"/>
    <s v="Photovoltaic"/>
    <m/>
    <m/>
    <n v="120"/>
    <n v="120"/>
    <n v="0"/>
    <n v="0"/>
  </r>
  <r>
    <s v="J3452"/>
    <x v="1"/>
    <d v="2024-04-13T00:00:00"/>
    <d v="2025-12-23T00:00:00"/>
    <m/>
    <d v="2028-09-01T00:00:00"/>
    <s v="ENTERGY LOUISIANA, LLC"/>
    <s v="Morehouse"/>
    <m/>
    <m/>
    <s v="LA"/>
    <s v="DPP-2023"/>
    <s v="South"/>
    <s v="Study Not Started"/>
    <s v="NRIS"/>
    <s v="BAXTER WILSON SES SWYD - PERRYVILLE 500 SWYD 500.0kV"/>
    <n v="50"/>
    <n v="50"/>
    <x v="2"/>
    <s v="Battery Storage"/>
    <m/>
    <m/>
    <n v="0"/>
    <n v="0"/>
    <n v="0"/>
    <n v="0"/>
  </r>
  <r>
    <s v="J3453"/>
    <x v="1"/>
    <d v="2024-04-13T00:00:00"/>
    <d v="2025-09-29T00:00:00"/>
    <m/>
    <d v="2028-09-01T00:00:00"/>
    <s v="ENTERGY MISSISSIPPI, LLC."/>
    <s v="Holmes"/>
    <m/>
    <m/>
    <s v="MS"/>
    <s v="DPP-2023"/>
    <s v="South"/>
    <s v="Study Not Started"/>
    <s v="NRIS"/>
    <s v="INDIANOLA 230/115 SUB - MCADAMS EHV 230.0kV"/>
    <n v="100"/>
    <n v="100"/>
    <x v="2"/>
    <s v="Battery Storage"/>
    <m/>
    <m/>
    <n v="0"/>
    <n v="0"/>
    <n v="0"/>
    <n v="0"/>
  </r>
  <r>
    <s v="J3454"/>
    <x v="2"/>
    <d v="2024-04-13T00:00:00"/>
    <m/>
    <m/>
    <d v="2028-09-01T00:00:00"/>
    <s v="ENTERGY MISSISSIPPI, LLC. EMTO"/>
    <s v="Morehouse"/>
    <m/>
    <m/>
    <s v="LA"/>
    <s v="DPP-2023"/>
    <s v="South"/>
    <s v="Study Not Started"/>
    <s v="NRIS"/>
    <s v="BAXTER WILSON SES SWYD - PERRYVILLE 500 SWYD 500.0kV"/>
    <n v="300"/>
    <n v="300"/>
    <x v="0"/>
    <s v="Photovoltaic"/>
    <m/>
    <m/>
    <n v="300"/>
    <n v="0"/>
    <n v="0"/>
    <n v="0"/>
  </r>
  <r>
    <s v="J3455"/>
    <x v="1"/>
    <d v="2024-03-27T00:00:00"/>
    <d v="2025-09-30T00:00:00"/>
    <m/>
    <d v="2028-06-30T00:00:00"/>
    <s v="EAST TEXAS ELECTRIC COOPERATIVE, INC."/>
    <s v="Trinity"/>
    <m/>
    <m/>
    <s v="TX"/>
    <s v="DPP-2023"/>
    <s v="South"/>
    <s v="Study Not Started"/>
    <s v="NRIS"/>
    <s v="ONALASKA"/>
    <n v="250"/>
    <n v="250"/>
    <x v="0"/>
    <s v="Photovoltaic"/>
    <m/>
    <m/>
    <n v="0"/>
    <n v="0"/>
    <n v="0"/>
    <n v="0"/>
  </r>
  <r>
    <s v="J3456"/>
    <x v="2"/>
    <d v="2024-04-18T00:00:00"/>
    <m/>
    <m/>
    <d v="2028-05-31T00:00:00"/>
    <s v="AMEREN ILLINOIS"/>
    <s v="Tazewell"/>
    <m/>
    <m/>
    <s v="IL"/>
    <s v="DPP-2023"/>
    <s v="Central"/>
    <s v="Study Not Started"/>
    <s v="NRIS"/>
    <s v="San Jose Rail Switching Station"/>
    <n v="100"/>
    <n v="100"/>
    <x v="1"/>
    <s v="Wind Turbine"/>
    <m/>
    <m/>
    <n v="100"/>
    <n v="100"/>
    <n v="0"/>
    <n v="0"/>
  </r>
  <r>
    <s v="J3457"/>
    <x v="2"/>
    <d v="2024-04-12T00:00:00"/>
    <m/>
    <m/>
    <d v="2027-02-28T00:00:00"/>
    <s v="ENTERGY ARKANSAS, LLC EATO"/>
    <s v="Arkansas"/>
    <m/>
    <m/>
    <s v="AR"/>
    <s v="DPP-2023"/>
    <s v="South"/>
    <s v="Study Not Started"/>
    <s v="ERIS"/>
    <s v="STUTTGART RICUSKEY - WOODWARD 230 SUB 230.0kV"/>
    <n v="215"/>
    <n v="215"/>
    <x v="0"/>
    <s v="Photovoltaic"/>
    <m/>
    <m/>
    <n v="215"/>
    <n v="0"/>
    <n v="0"/>
    <n v="0"/>
  </r>
  <r>
    <s v="J3458"/>
    <x v="1"/>
    <d v="2024-04-18T00:00:00"/>
    <d v="2025-09-25T00:00:00"/>
    <m/>
    <d v="2028-01-01T00:00:00"/>
    <s v="ENTERGY ARKANSAS, LLC"/>
    <s v="Cross"/>
    <m/>
    <m/>
    <s v="AR"/>
    <s v="DPP-2023"/>
    <s v="South"/>
    <s v="Study Not Started"/>
    <s v="NRIS"/>
    <s v="TWIST - PARKIN 161.0kV"/>
    <n v="170"/>
    <n v="170"/>
    <x v="0"/>
    <s v="Solar/Battery"/>
    <m/>
    <m/>
    <n v="0"/>
    <n v="0"/>
    <n v="0"/>
    <n v="0"/>
  </r>
  <r>
    <s v="J3459"/>
    <x v="1"/>
    <d v="2024-04-17T00:00:00"/>
    <d v="2025-09-29T00:00:00"/>
    <m/>
    <d v="2028-09-15T00:00:00"/>
    <s v="ENTERGY ARKANSAS, LLC"/>
    <s v="Craighead"/>
    <m/>
    <m/>
    <s v="AR"/>
    <s v="DPP-2023"/>
    <s v="South"/>
    <s v="Study Not Started"/>
    <s v="NRIS"/>
    <s v="CASH - NEWPORT AB 161.0kV"/>
    <n v="200"/>
    <n v="200"/>
    <x v="0"/>
    <s v="Photovoltaic"/>
    <m/>
    <m/>
    <n v="0"/>
    <n v="0"/>
    <n v="0"/>
    <n v="0"/>
  </r>
  <r>
    <s v="J3460"/>
    <x v="1"/>
    <d v="2024-04-16T00:00:00"/>
    <d v="2025-12-23T00:00:00"/>
    <m/>
    <d v="2028-09-15T00:00:00"/>
    <s v="ITC"/>
    <s v="St. Clair"/>
    <m/>
    <m/>
    <s v="MI"/>
    <s v="DPP-2023"/>
    <s v="East (ITC)"/>
    <s v="Study Not Started"/>
    <s v="NRIS"/>
    <s v="FITZ"/>
    <n v="290"/>
    <n v="290"/>
    <x v="2"/>
    <s v="Battery Storage"/>
    <m/>
    <m/>
    <n v="0"/>
    <n v="0"/>
    <n v="0"/>
    <n v="0"/>
  </r>
  <r>
    <s v="J3461"/>
    <x v="2"/>
    <d v="2024-04-17T00:00:00"/>
    <m/>
    <m/>
    <d v="2028-05-01T00:00:00"/>
    <s v="MIDAMERICAN ENERGY CO. MEC"/>
    <s v="Muscatine"/>
    <m/>
    <m/>
    <s v="IA"/>
    <s v="DPP-2023"/>
    <s v="West"/>
    <s v="Study Not Started"/>
    <s v="NRIS"/>
    <s v="SUB 56 - SUB 89 161.0kV"/>
    <n v="156"/>
    <n v="156"/>
    <x v="0"/>
    <s v="Photovoltaic"/>
    <m/>
    <m/>
    <n v="156"/>
    <n v="156"/>
    <n v="0"/>
    <n v="0"/>
  </r>
  <r>
    <s v="J3462"/>
    <x v="1"/>
    <d v="2024-04-17T00:00:00"/>
    <d v="2025-06-04T00:00:00"/>
    <m/>
    <d v="2028-05-01T00:00:00"/>
    <s v="ITC MIDWEST"/>
    <s v="Tama"/>
    <m/>
    <m/>
    <s v="IA"/>
    <s v="DPP-2023"/>
    <s v="West"/>
    <s v="Study Not Started"/>
    <s v="NRIS"/>
    <s v="Dysart - Traer 161kV"/>
    <n v="187"/>
    <n v="187"/>
    <x v="0"/>
    <s v="Photovoltaic"/>
    <m/>
    <m/>
    <n v="0"/>
    <n v="0"/>
    <n v="0"/>
    <n v="0"/>
  </r>
  <r>
    <s v="J3463"/>
    <x v="1"/>
    <d v="2024-04-18T00:00:00"/>
    <d v="2025-06-09T00:00:00"/>
    <m/>
    <d v="2026-10-01T00:00:00"/>
    <s v="ENTERGY MISSISSIPPI, LLC."/>
    <s v="Jefferson"/>
    <m/>
    <m/>
    <s v="MS"/>
    <s v="DPP-2023"/>
    <s v="South"/>
    <s v="Study Not Started"/>
    <s v="NRIS"/>
    <s v="LORMAN SS (CE) - FAYETTE 115.0kV"/>
    <n v="100"/>
    <n v="100"/>
    <x v="0"/>
    <s v="Photovoltaic"/>
    <m/>
    <m/>
    <n v="0"/>
    <n v="0"/>
    <n v="0"/>
    <n v="0"/>
  </r>
  <r>
    <s v="J3464"/>
    <x v="2"/>
    <d v="2024-04-16T00:00:00"/>
    <m/>
    <m/>
    <d v="2028-06-30T00:00:00"/>
    <s v="ITC MIDWEST"/>
    <s v="Story"/>
    <m/>
    <m/>
    <s v="IA"/>
    <s v="DPP-2023"/>
    <s v="West"/>
    <s v="Study Not Started"/>
    <s v="NRIS"/>
    <s v="Fernald"/>
    <n v="200"/>
    <n v="200"/>
    <x v="0"/>
    <s v="Photovoltaic"/>
    <m/>
    <m/>
    <n v="200"/>
    <n v="0"/>
    <n v="0"/>
    <n v="0"/>
  </r>
  <r>
    <s v="J3465"/>
    <x v="2"/>
    <d v="2024-03-27T00:00:00"/>
    <m/>
    <m/>
    <d v="2026-06-01T00:00:00"/>
    <s v="GREAT RIVER ENERGY"/>
    <s v="Isanti"/>
    <m/>
    <m/>
    <s v="MN"/>
    <s v="DPP-2023"/>
    <s v="West"/>
    <s v="Study Not Started"/>
    <s v="NRIS"/>
    <s v="CAMBRIDGE"/>
    <n v="40"/>
    <n v="40"/>
    <x v="5"/>
    <s v="Combustion Turbine (Simple Cycle)"/>
    <m/>
    <m/>
    <n v="20"/>
    <n v="40"/>
    <n v="0"/>
    <n v="0"/>
  </r>
  <r>
    <s v="J3466"/>
    <x v="2"/>
    <d v="2024-04-16T00:00:00"/>
    <m/>
    <m/>
    <d v="2028-06-30T00:00:00"/>
    <s v="AMERICAN TRANSMISSION COMPANY"/>
    <s v="Winnebago"/>
    <m/>
    <m/>
    <s v="WI"/>
    <s v="DPP-2023"/>
    <s v="East (ATC)"/>
    <s v="Study Not Started"/>
    <s v="NRIS"/>
    <s v="FTZGERLD"/>
    <n v="100"/>
    <n v="100"/>
    <x v="0"/>
    <s v="Photovoltaic"/>
    <m/>
    <m/>
    <n v="100"/>
    <n v="75"/>
    <n v="0"/>
    <n v="0"/>
  </r>
  <r>
    <s v="J3467"/>
    <x v="1"/>
    <d v="2024-04-18T00:00:00"/>
    <d v="2025-09-30T00:00:00"/>
    <m/>
    <d v="2027-04-15T00:00:00"/>
    <s v="AMEREN ILLINOIS"/>
    <s v="McLean"/>
    <m/>
    <m/>
    <s v="IL"/>
    <s v="DPP-2023"/>
    <s v="Central"/>
    <s v="Study Not Started"/>
    <s v="NRIS"/>
    <s v="Bloomington Brokaw"/>
    <n v="200"/>
    <n v="200"/>
    <x v="5"/>
    <s v="Solar/Battery"/>
    <m/>
    <m/>
    <n v="0"/>
    <n v="0"/>
    <n v="0"/>
    <n v="0"/>
  </r>
  <r>
    <s v="J3468"/>
    <x v="2"/>
    <d v="2024-04-12T00:00:00"/>
    <m/>
    <m/>
    <d v="2028-06-30T00:00:00"/>
    <s v="OTTER TAIL POWER COMPANY OTP"/>
    <s v="Day"/>
    <m/>
    <m/>
    <s v="SD"/>
    <s v="DPP-2023"/>
    <s v="West"/>
    <s v="Study Not Started"/>
    <s v="NRIS"/>
    <s v="Ellendale - Twin Brooks 345.0kV"/>
    <n v="300"/>
    <n v="300"/>
    <x v="5"/>
    <s v="Wind/Battery"/>
    <m/>
    <m/>
    <n v="300"/>
    <n v="300"/>
    <n v="0"/>
    <n v="0"/>
  </r>
  <r>
    <s v="J3469"/>
    <x v="4"/>
    <d v="2024-04-16T00:00:00"/>
    <m/>
    <m/>
    <d v="2026-06-30T00:00:00"/>
    <s v="AMERICAN TRANSMISSION COMPANY"/>
    <s v="Marathon"/>
    <m/>
    <m/>
    <s v="WI"/>
    <s v="DPP-2023"/>
    <s v="East (ATC)"/>
    <s v="Study Not Started"/>
    <s v="NRIS"/>
    <s v="Stratford - McMillan 115.0kV"/>
    <n v="100"/>
    <n v="100"/>
    <x v="1"/>
    <s v="Wind Turbine"/>
    <m/>
    <m/>
    <n v="100"/>
    <n v="100"/>
    <n v="0"/>
    <n v="0"/>
  </r>
  <r>
    <s v="J3470"/>
    <x v="4"/>
    <d v="2024-04-16T00:00:00"/>
    <m/>
    <m/>
    <d v="2027-06-01T00:00:00"/>
    <s v="ITC"/>
    <s v="Tuscola"/>
    <m/>
    <m/>
    <s v="MI"/>
    <s v="DPP-2023"/>
    <s v="East (ITC)"/>
    <s v="Study Not Started"/>
    <s v="NRIS"/>
    <s v="Other_"/>
    <n v="100"/>
    <n v="100"/>
    <x v="0"/>
    <s v="Photovoltaic"/>
    <m/>
    <m/>
    <n v="100"/>
    <n v="100"/>
    <n v="0"/>
    <n v="0"/>
  </r>
  <r>
    <s v="J3471"/>
    <x v="4"/>
    <d v="2024-04-18T00:00:00"/>
    <m/>
    <m/>
    <d v="2028-11-01T00:00:00"/>
    <s v="METC"/>
    <s v="Branch"/>
    <m/>
    <m/>
    <s v="MI"/>
    <s v="DPP-2023"/>
    <s v="East (ITC)"/>
    <s v="Study Not Started"/>
    <s v="NRIS"/>
    <s v="WAGNER - BATAVIA 138.0kV"/>
    <n v="150"/>
    <n v="150"/>
    <x v="0"/>
    <s v="Photovoltaic"/>
    <m/>
    <m/>
    <n v="150"/>
    <n v="150"/>
    <n v="0"/>
    <n v="0"/>
  </r>
  <r>
    <s v="J3472"/>
    <x v="4"/>
    <d v="2024-04-17T00:00:00"/>
    <m/>
    <m/>
    <d v="2028-11-01T00:00:00"/>
    <s v="ITC"/>
    <s v="Lapeer"/>
    <m/>
    <m/>
    <s v="MI"/>
    <s v="DPP-2023"/>
    <s v="East (ITC)"/>
    <s v="Study Not Started"/>
    <s v="NRIS"/>
    <s v="Other_"/>
    <n v="200"/>
    <n v="200"/>
    <x v="0"/>
    <s v="Photovoltaic"/>
    <m/>
    <m/>
    <n v="200"/>
    <n v="200"/>
    <n v="0"/>
    <n v="0"/>
  </r>
  <r>
    <s v="J3473"/>
    <x v="4"/>
    <d v="2024-04-18T00:00:00"/>
    <m/>
    <m/>
    <d v="2028-11-01T00:00:00"/>
    <s v="ITC"/>
    <s v="Bay"/>
    <m/>
    <m/>
    <s v="MI"/>
    <s v="DPP-2023"/>
    <s v="East (ITC)"/>
    <s v="Study Not Started"/>
    <s v="NRIS"/>
    <s v="Other_"/>
    <n v="150"/>
    <n v="150"/>
    <x v="0"/>
    <s v="Photovoltaic"/>
    <m/>
    <m/>
    <n v="150"/>
    <n v="150"/>
    <n v="0"/>
    <n v="0"/>
  </r>
  <r>
    <s v="J3474"/>
    <x v="1"/>
    <d v="2024-04-18T00:00:00"/>
    <d v="2025-12-23T00:00:00"/>
    <m/>
    <d v="2028-09-15T00:00:00"/>
    <s v="METC"/>
    <s v="Allegan"/>
    <m/>
    <m/>
    <s v="MI"/>
    <s v="DPP-2023"/>
    <s v="East (ITC)"/>
    <s v="Study Not Started"/>
    <s v="NRIS"/>
    <s v="BUCK CREEK - HAZELWOOD 138.0kV"/>
    <n v="128"/>
    <n v="128"/>
    <x v="0"/>
    <s v="Photovoltaic"/>
    <m/>
    <m/>
    <n v="0"/>
    <n v="0"/>
    <n v="0"/>
    <n v="0"/>
  </r>
  <r>
    <s v="J3475"/>
    <x v="1"/>
    <d v="2024-04-18T00:00:00"/>
    <d v="2025-07-31T00:00:00"/>
    <m/>
    <d v="2028-05-13T00:00:00"/>
    <s v="PRAIRIE POWER, INC."/>
    <s v="Mason"/>
    <m/>
    <m/>
    <s v="IL"/>
    <s v="DPP-2023"/>
    <s v="Central"/>
    <s v="Study Not Started"/>
    <s v="NRIS"/>
    <s v="Indian Creek"/>
    <n v="200"/>
    <n v="200"/>
    <x v="0"/>
    <s v="Photovoltaic"/>
    <m/>
    <m/>
    <n v="0"/>
    <n v="0"/>
    <n v="0"/>
    <n v="0"/>
  </r>
  <r>
    <s v="J3476"/>
    <x v="1"/>
    <d v="2024-04-17T00:00:00"/>
    <d v="2025-09-29T00:00:00"/>
    <m/>
    <d v="2028-09-15T00:00:00"/>
    <s v="NORTHERN STATES POWER COMPANY"/>
    <s v="St. Croix"/>
    <m/>
    <m/>
    <s v="WI"/>
    <s v="DPP-2023"/>
    <s v="West"/>
    <s v="Study Not Started"/>
    <s v="NRIS"/>
    <s v="Pine Lake Tap - APPLE RIVER  (DPC) 161.0kV"/>
    <n v="150"/>
    <n v="150"/>
    <x v="0"/>
    <s v="Photovoltaic"/>
    <m/>
    <m/>
    <n v="0"/>
    <n v="0"/>
    <n v="0"/>
    <n v="0"/>
  </r>
  <r>
    <s v="J3477"/>
    <x v="2"/>
    <d v="2024-04-18T00:00:00"/>
    <m/>
    <m/>
    <d v="2028-04-28T00:00:00"/>
    <s v="MIDAMERICAN ENERGY CO. MEC"/>
    <s v="Carroll"/>
    <m/>
    <m/>
    <s v="IA"/>
    <s v="DPP-2023"/>
    <s v="West"/>
    <s v="Study Not Started"/>
    <s v="NRIS"/>
    <s v="Other_"/>
    <n v="200"/>
    <n v="200"/>
    <x v="0"/>
    <s v="Photovoltaic"/>
    <m/>
    <m/>
    <n v="200"/>
    <n v="150"/>
    <n v="0"/>
    <n v="0"/>
  </r>
  <r>
    <s v="J3478"/>
    <x v="1"/>
    <d v="2024-04-17T00:00:00"/>
    <d v="2025-07-31T00:00:00"/>
    <m/>
    <d v="2027-10-01T00:00:00"/>
    <s v="HOOSIER ENERGY"/>
    <s v="Vigo"/>
    <m/>
    <m/>
    <s v="IN"/>
    <s v="DPP-2023"/>
    <s v="Central"/>
    <s v="Study Not Started"/>
    <s v="ERIS"/>
    <s v="Other_"/>
    <n v="35"/>
    <n v="35"/>
    <x v="0"/>
    <s v="Photovoltaic"/>
    <m/>
    <m/>
    <n v="0"/>
    <n v="0"/>
    <n v="0"/>
    <n v="0"/>
  </r>
  <r>
    <s v="J3479"/>
    <x v="2"/>
    <d v="2024-04-12T00:00:00"/>
    <m/>
    <m/>
    <d v="2027-02-28T00:00:00"/>
    <s v="CLECO POWER LLC CLEC"/>
    <s v="Rapides"/>
    <m/>
    <m/>
    <s v="LA"/>
    <s v="DPP-2023"/>
    <s v="South"/>
    <s v="Study Not Started"/>
    <s v="ERIS"/>
    <s v="Hineston"/>
    <n v="200"/>
    <n v="200"/>
    <x v="0"/>
    <s v="Photovoltaic"/>
    <m/>
    <m/>
    <n v="200"/>
    <n v="0"/>
    <n v="0"/>
    <n v="0"/>
  </r>
  <r>
    <s v="J3480"/>
    <x v="2"/>
    <d v="2024-04-17T00:00:00"/>
    <m/>
    <m/>
    <d v="2026-05-25T00:00:00"/>
    <s v="METC"/>
    <s v="Allegan"/>
    <m/>
    <m/>
    <s v="MI"/>
    <s v="DPP-2023"/>
    <s v="East (ITC)"/>
    <s v="Study Not Started"/>
    <s v="NRIS"/>
    <s v="SCOTT LAKE"/>
    <n v="199.9"/>
    <n v="199.9"/>
    <x v="2"/>
    <s v="Battery Storage"/>
    <m/>
    <m/>
    <n v="199.9"/>
    <n v="199.9"/>
    <n v="0"/>
    <n v="0"/>
  </r>
  <r>
    <s v="J3481"/>
    <x v="2"/>
    <d v="2024-04-12T00:00:00"/>
    <m/>
    <m/>
    <d v="2027-02-28T00:00:00"/>
    <s v="ENTERGY ARKANSAS, LLC EATO"/>
    <s v="Grant"/>
    <m/>
    <m/>
    <s v="AR"/>
    <s v="DPP-2023"/>
    <s v="South"/>
    <s v="Study Not Started"/>
    <s v="ERIS"/>
    <s v="J1577 Sub (337689)"/>
    <n v="100"/>
    <n v="100"/>
    <x v="0"/>
    <s v="Photovoltaic"/>
    <m/>
    <m/>
    <n v="100"/>
    <n v="0"/>
    <n v="0"/>
    <n v="0"/>
  </r>
  <r>
    <s v="J3482"/>
    <x v="1"/>
    <d v="2024-04-16T00:00:00"/>
    <d v="2025-12-23T00:00:00"/>
    <m/>
    <d v="2028-09-30T00:00:00"/>
    <s v="AMEREN ILLINOIS"/>
    <s v="McLean"/>
    <m/>
    <m/>
    <s v="IL"/>
    <s v="DPP-2023"/>
    <s v="Central"/>
    <s v="Study Not Started"/>
    <s v="ERIS"/>
    <s v="Other_"/>
    <n v="350"/>
    <n v="350"/>
    <x v="0"/>
    <s v="Photovoltaic"/>
    <m/>
    <m/>
    <n v="0"/>
    <n v="0"/>
    <n v="0"/>
    <n v="0"/>
  </r>
  <r>
    <s v="J3483"/>
    <x v="1"/>
    <d v="2024-04-16T00:00:00"/>
    <d v="2024-09-03T00:00:00"/>
    <m/>
    <d v="2027-03-01T00:00:00"/>
    <s v="AMEREN ILLINOIS"/>
    <s v="Champaign"/>
    <m/>
    <m/>
    <s v="IL"/>
    <s v="DPP-2023"/>
    <s v="Central"/>
    <s v="Study Not Started"/>
    <s v="NRIS"/>
    <s v="4RANTOUL  - 4RISING   138.0kV"/>
    <n v="137.4"/>
    <n v="137.4"/>
    <x v="1"/>
    <s v="Wind Turbine"/>
    <s v="Not Started"/>
    <m/>
    <n v="0"/>
    <n v="0"/>
    <n v="0"/>
    <n v="0"/>
  </r>
  <r>
    <s v="J3484"/>
    <x v="1"/>
    <d v="2024-04-12T00:00:00"/>
    <d v="2025-12-23T00:00:00"/>
    <m/>
    <d v="2027-02-28T00:00:00"/>
    <s v="ENTERGY ARKANSAS, LLC"/>
    <s v="Union"/>
    <m/>
    <m/>
    <s v="AR"/>
    <s v="DPP-2023"/>
    <s v="South"/>
    <s v="Study Not Started"/>
    <s v="ERIS"/>
    <s v="EL DORADO EHV - SAREPTA 345/115 SS 345.0kV"/>
    <n v="200"/>
    <n v="200"/>
    <x v="0"/>
    <s v="Photovoltaic"/>
    <m/>
    <m/>
    <n v="0"/>
    <n v="0"/>
    <n v="0"/>
    <n v="0"/>
  </r>
  <r>
    <s v="J3485"/>
    <x v="2"/>
    <d v="2024-04-16T00:00:00"/>
    <m/>
    <m/>
    <d v="2028-09-15T00:00:00"/>
    <s v="ITC"/>
    <s v="Huron"/>
    <m/>
    <m/>
    <s v="MI"/>
    <s v="DPP-2023"/>
    <s v="East (ITC)"/>
    <s v="Study Not Started"/>
    <s v="NRIS"/>
    <s v="RAPSON"/>
    <n v="100"/>
    <n v="100"/>
    <x v="2"/>
    <s v="Battery Storage"/>
    <m/>
    <m/>
    <n v="100"/>
    <n v="100"/>
    <n v="0"/>
    <n v="0"/>
  </r>
  <r>
    <s v="J3486"/>
    <x v="1"/>
    <d v="2024-04-15T00:00:00"/>
    <d v="2025-09-25T00:00:00"/>
    <m/>
    <d v="2028-06-01T00:00:00"/>
    <s v="WOLVERINE POWER SUPPLY COOPERATIVE"/>
    <s v="Muskegon"/>
    <m/>
    <m/>
    <s v="MI"/>
    <s v="DPP-2023"/>
    <s v="East (ITC)"/>
    <s v="Study Not Started"/>
    <s v="NRIS"/>
    <s v="Rogers 138 kV Substation"/>
    <n v="200"/>
    <n v="200"/>
    <x v="2"/>
    <s v="Battery Storage"/>
    <m/>
    <m/>
    <n v="0"/>
    <n v="0"/>
    <n v="0"/>
    <n v="0"/>
  </r>
  <r>
    <s v="J3487"/>
    <x v="1"/>
    <d v="2024-04-16T00:00:00"/>
    <d v="2025-12-23T00:00:00"/>
    <m/>
    <d v="2028-09-30T00:00:00"/>
    <s v="DUKE ENERGY INDIANA, LLC"/>
    <s v="Vermillion"/>
    <m/>
    <m/>
    <s v="IN"/>
    <s v="DPP-2023"/>
    <s v="Central"/>
    <s v="Study Not Started"/>
    <s v="NRIS"/>
    <s v="CAYUGA 345"/>
    <n v="400"/>
    <n v="400"/>
    <x v="0"/>
    <s v="Photovoltaic"/>
    <m/>
    <m/>
    <n v="0"/>
    <n v="0"/>
    <n v="0"/>
    <n v="0"/>
  </r>
  <r>
    <s v="J3488"/>
    <x v="1"/>
    <d v="2024-04-16T00:00:00"/>
    <d v="2025-09-24T00:00:00"/>
    <m/>
    <d v="2028-09-30T00:00:00"/>
    <s v="DUKE ENERGY INDIANA, LLC"/>
    <s v="Vermillion"/>
    <m/>
    <m/>
    <s v="IN"/>
    <s v="DPP-2023"/>
    <s v="Central"/>
    <s v="Study Not Started"/>
    <s v="NRIS"/>
    <s v="CAYUGA 345"/>
    <n v="400"/>
    <n v="400"/>
    <x v="2"/>
    <s v="Battery Storage"/>
    <m/>
    <m/>
    <n v="0"/>
    <n v="0"/>
    <n v="0"/>
    <n v="0"/>
  </r>
  <r>
    <s v="J3489"/>
    <x v="1"/>
    <d v="2024-04-15T00:00:00"/>
    <d v="2025-09-30T00:00:00"/>
    <m/>
    <d v="2028-09-15T00:00:00"/>
    <s v="AMEREN TRANSMISSION COMPANY OF ILLINOIS"/>
    <s v="McDonough"/>
    <m/>
    <m/>
    <s v="IL"/>
    <s v="DPP-2023"/>
    <s v="Central"/>
    <s v="Study Not Started"/>
    <s v="NRIS"/>
    <s v="Other_"/>
    <n v="105"/>
    <n v="105"/>
    <x v="0"/>
    <s v="Photovoltaic"/>
    <m/>
    <m/>
    <n v="0"/>
    <n v="0"/>
    <n v="0"/>
    <n v="0"/>
  </r>
  <r>
    <s v="J3490"/>
    <x v="1"/>
    <d v="2024-03-21T00:00:00"/>
    <d v="2025-12-23T00:00:00"/>
    <m/>
    <d v="2027-09-01T00:00:00"/>
    <s v="BIG RIVERS ELECTRIC CORPORATION"/>
    <s v="Caldwell"/>
    <m/>
    <m/>
    <s v="KY"/>
    <s v="DPP-2023"/>
    <s v="Central"/>
    <s v="Study Not Started"/>
    <s v="NRIS"/>
    <s v="Caldwell County"/>
    <n v="200"/>
    <n v="200"/>
    <x v="2"/>
    <s v="Battery Storage"/>
    <m/>
    <m/>
    <n v="0"/>
    <n v="0"/>
    <n v="0"/>
    <n v="0"/>
  </r>
  <r>
    <s v="J3491"/>
    <x v="1"/>
    <d v="2024-04-16T00:00:00"/>
    <d v="2025-04-11T00:00:00"/>
    <m/>
    <d v="2028-09-30T00:00:00"/>
    <s v="SOUTHERN INDIANA GAS &amp; ELECTRIC COMPANY D/B/A CENTERPOINT ENERGY INDIANA SOUTH"/>
    <s v="Posey"/>
    <m/>
    <m/>
    <s v="IN"/>
    <s v="DPP-2023"/>
    <s v="Central"/>
    <s v="Study Not Started"/>
    <s v="NRIS"/>
    <s v="AB Brown 345 - Gibson (Duke Terminal) 345.0kV"/>
    <n v="45"/>
    <n v="45"/>
    <x v="0"/>
    <s v="Photovoltaic"/>
    <m/>
    <m/>
    <n v="0"/>
    <n v="0"/>
    <n v="0"/>
    <n v="0"/>
  </r>
  <r>
    <s v="J3492"/>
    <x v="1"/>
    <d v="2024-04-16T00:00:00"/>
    <d v="2025-04-11T00:00:00"/>
    <m/>
    <d v="2028-09-30T00:00:00"/>
    <s v="SOUTHERN INDIANA GAS &amp; ELECTRIC COMPANY D/B/A CENTERPOINT ENERGY INDIANA SOUTH"/>
    <s v="Posey"/>
    <m/>
    <m/>
    <s v="IN"/>
    <s v="DPP-2023"/>
    <s v="Central"/>
    <s v="Study Not Started"/>
    <s v="NRIS"/>
    <s v="AB Brown 345 - Gibson (Duke Terminal) 345.0kV"/>
    <n v="45"/>
    <n v="45"/>
    <x v="2"/>
    <s v="Battery Storage"/>
    <m/>
    <m/>
    <n v="0"/>
    <n v="0"/>
    <n v="0"/>
    <n v="0"/>
  </r>
  <r>
    <s v="J3493"/>
    <x v="2"/>
    <d v="2024-04-17T00:00:00"/>
    <m/>
    <m/>
    <d v="2028-09-15T00:00:00"/>
    <s v="AMEREN TRANSMISSION COMPANY OF ILLINOIS"/>
    <s v="McDonough"/>
    <m/>
    <m/>
    <s v="IL"/>
    <s v="DPP-2023"/>
    <s v="Central"/>
    <s v="Study Not Started"/>
    <s v="NRIS"/>
    <s v="Other_"/>
    <n v="200"/>
    <n v="200"/>
    <x v="1"/>
    <s v="Wind Turbine"/>
    <m/>
    <m/>
    <n v="200"/>
    <n v="200"/>
    <n v="0"/>
    <n v="0"/>
  </r>
  <r>
    <s v="J3494"/>
    <x v="1"/>
    <d v="2024-04-15T00:00:00"/>
    <d v="2025-09-30T00:00:00"/>
    <m/>
    <d v="2028-09-01T00:00:00"/>
    <s v="DUKE ENERGY INDIANA, LLC"/>
    <s v="Greene"/>
    <m/>
    <m/>
    <s v="IN"/>
    <s v="DPP-2023"/>
    <s v="Central"/>
    <s v="Study Not Started"/>
    <s v="NRIS"/>
    <s v="TH Pfizer Jct. - Worthington (HED)"/>
    <n v="175"/>
    <n v="175"/>
    <x v="0"/>
    <s v="Photovoltaic"/>
    <m/>
    <m/>
    <n v="0"/>
    <n v="0"/>
    <n v="0"/>
    <n v="0"/>
  </r>
  <r>
    <s v="J3495"/>
    <x v="2"/>
    <d v="2024-04-15T00:00:00"/>
    <m/>
    <m/>
    <d v="2028-09-15T00:00:00"/>
    <s v="HOOSIER ENERGY"/>
    <s v="Greene"/>
    <m/>
    <m/>
    <s v="IN"/>
    <s v="DPP-2023"/>
    <s v="Central"/>
    <s v="Study Not Started"/>
    <s v="NRIS"/>
    <s v="Merom Primary - Worthington Primary 345.0kV"/>
    <n v="220"/>
    <n v="220"/>
    <x v="0"/>
    <s v="Photovoltaic"/>
    <m/>
    <m/>
    <n v="220"/>
    <n v="220"/>
    <n v="0"/>
    <n v="0"/>
  </r>
  <r>
    <s v="J3496"/>
    <x v="2"/>
    <d v="2024-04-12T00:00:00"/>
    <m/>
    <m/>
    <d v="2027-12-03T00:00:00"/>
    <s v="ITC"/>
    <s v="Sanilac"/>
    <m/>
    <m/>
    <s v="MI"/>
    <s v="DPP-2023"/>
    <s v="East (ITC)"/>
    <s v="Study Not Started"/>
    <s v="NRIS"/>
    <s v="GREENWOOD - RAPSON 345.0kV"/>
    <n v="220"/>
    <n v="220"/>
    <x v="1"/>
    <s v="Wind Turbine"/>
    <m/>
    <m/>
    <n v="220"/>
    <n v="220"/>
    <n v="0"/>
    <n v="0"/>
  </r>
  <r>
    <s v="J3497"/>
    <x v="2"/>
    <d v="2024-04-17T00:00:00"/>
    <m/>
    <m/>
    <d v="2028-09-30T00:00:00"/>
    <s v="AMEREN ILLINOIS"/>
    <s v="Pulaski"/>
    <m/>
    <m/>
    <s v="IL"/>
    <s v="DPP-2023"/>
    <s v="Central"/>
    <s v="Study Not Started"/>
    <s v="NRIS"/>
    <s v="Other_"/>
    <n v="200"/>
    <n v="200"/>
    <x v="2"/>
    <s v="Battery Storage"/>
    <m/>
    <m/>
    <n v="200"/>
    <n v="200"/>
    <n v="0"/>
    <n v="0"/>
  </r>
  <r>
    <s v="J3498"/>
    <x v="2"/>
    <d v="2024-04-13T00:00:00"/>
    <m/>
    <m/>
    <d v="2028-09-15T00:00:00"/>
    <s v="AMEREN TRANSMISSION COMPANY OF ILLINOIS"/>
    <s v="Knox"/>
    <m/>
    <m/>
    <s v="IL"/>
    <s v="DPP-2023"/>
    <s v="Central"/>
    <s v="Study Not Started"/>
    <s v="NRIS"/>
    <s v="7FARGO - 7SANDBURG 345.0kV"/>
    <n v="250"/>
    <n v="250"/>
    <x v="0"/>
    <s v="Photovoltaic"/>
    <m/>
    <m/>
    <n v="250"/>
    <n v="250"/>
    <n v="0"/>
    <n v="0"/>
  </r>
  <r>
    <s v="J3499"/>
    <x v="1"/>
    <d v="2024-04-14T00:00:00"/>
    <d v="2025-07-30T00:00:00"/>
    <m/>
    <d v="2028-09-15T00:00:00"/>
    <s v="NORTHERN INDIANA PUBLIC SERVICE COMPANY LLC"/>
    <s v="Kosciusko"/>
    <m/>
    <m/>
    <s v="IN"/>
    <s v="DPP-2023"/>
    <s v="Central"/>
    <s v="Study Not Started"/>
    <s v="NRIS"/>
    <s v="LEESBURG - DEEDSVILLE (DUKE) 345.0kV"/>
    <n v="300"/>
    <n v="300"/>
    <x v="0"/>
    <s v="Photovoltaic"/>
    <m/>
    <m/>
    <n v="0"/>
    <n v="0"/>
    <n v="0"/>
    <n v="0"/>
  </r>
  <r>
    <s v="J3500"/>
    <x v="1"/>
    <d v="2024-04-17T00:00:00"/>
    <d v="2025-12-23T00:00:00"/>
    <m/>
    <d v="2028-09-15T00:00:00"/>
    <s v="NORTHERN STATES POWER COMPANY"/>
    <s v="Chisago"/>
    <m/>
    <m/>
    <s v="MN"/>
    <s v="DPP-2023"/>
    <s v="West"/>
    <s v="Study Not Started"/>
    <s v="NRIS"/>
    <s v="CHISAGO COUNTY"/>
    <n v="150"/>
    <n v="150"/>
    <x v="2"/>
    <s v="Battery Storage"/>
    <m/>
    <m/>
    <n v="0"/>
    <n v="0"/>
    <n v="0"/>
    <n v="0"/>
  </r>
  <r>
    <s v="J3501"/>
    <x v="1"/>
    <d v="2024-04-15T00:00:00"/>
    <d v="2025-12-23T00:00:00"/>
    <m/>
    <d v="2028-06-01T00:00:00"/>
    <s v="METC"/>
    <s v="Wexford"/>
    <m/>
    <m/>
    <s v="MI"/>
    <s v="DPP-2023"/>
    <s v="East (ITC)"/>
    <s v="Study Not Started"/>
    <s v="NRIS"/>
    <s v="KEYSTONE - TIPPY 138.0kV"/>
    <n v="200"/>
    <n v="200"/>
    <x v="2"/>
    <s v="Battery Storage"/>
    <m/>
    <m/>
    <n v="0"/>
    <n v="0"/>
    <n v="0"/>
    <n v="0"/>
  </r>
  <r>
    <s v="J3502"/>
    <x v="1"/>
    <d v="2024-04-17T00:00:00"/>
    <d v="2025-09-29T00:00:00"/>
    <m/>
    <d v="2028-09-15T00:00:00"/>
    <s v="METC"/>
    <s v="Van Buren"/>
    <m/>
    <m/>
    <s v="MI"/>
    <s v="DPP-2023"/>
    <s v="East (ITC)"/>
    <s v="Study Not Started"/>
    <s v="NRIS"/>
    <s v="ARGENTA - PALISADES 345.0kV"/>
    <n v="200"/>
    <n v="200"/>
    <x v="2"/>
    <s v="Battery Storage"/>
    <m/>
    <m/>
    <n v="0"/>
    <n v="0"/>
    <n v="0"/>
    <n v="0"/>
  </r>
  <r>
    <s v="J3503"/>
    <x v="1"/>
    <d v="2024-04-18T00:00:00"/>
    <d v="2025-09-30T00:00:00"/>
    <m/>
    <d v="2028-09-30T00:00:00"/>
    <s v="NORTHERN INDIANA PUBLIC SERVICE COMPANY LLC"/>
    <s v="Newton"/>
    <m/>
    <m/>
    <s v="IN"/>
    <s v="DPP-2023"/>
    <s v="Central"/>
    <s v="Study Not Started"/>
    <s v="NRIS"/>
    <s v="Morrison Ditch 345 kV substation (LRTP projects 15 &amp; 16) - BUS #255210"/>
    <n v="200"/>
    <n v="200"/>
    <x v="0"/>
    <s v="Photovoltaic"/>
    <m/>
    <m/>
    <n v="0"/>
    <n v="0"/>
    <n v="0"/>
    <n v="0"/>
  </r>
  <r>
    <s v="J3504"/>
    <x v="1"/>
    <d v="2024-04-16T00:00:00"/>
    <d v="2025-12-23T00:00:00"/>
    <m/>
    <d v="2028-09-30T00:00:00"/>
    <s v="AMEREN MISSOURI"/>
    <s v="Bollinger"/>
    <m/>
    <m/>
    <s v="MO"/>
    <s v="DPP-2023"/>
    <s v="Central"/>
    <s v="Study Not Started"/>
    <s v="NRIS"/>
    <s v="5HERITAGE - 5FREDTN  161.0kV"/>
    <n v="150"/>
    <n v="150"/>
    <x v="0"/>
    <s v="Photovoltaic"/>
    <m/>
    <m/>
    <n v="0"/>
    <n v="0"/>
    <n v="0"/>
    <n v="0"/>
  </r>
  <r>
    <s v="J3505"/>
    <x v="2"/>
    <d v="2024-04-16T00:00:00"/>
    <m/>
    <m/>
    <d v="2028-09-30T00:00:00"/>
    <s v="AMEREN MISSOURI"/>
    <s v="Bollinger"/>
    <m/>
    <m/>
    <s v="MO"/>
    <s v="DPP-2023"/>
    <s v="Central"/>
    <s v="Study Not Started"/>
    <s v="NRIS"/>
    <s v="5HERITAGE - 5FREDTN  161.0kV"/>
    <n v="150"/>
    <n v="150"/>
    <x v="2"/>
    <s v="Battery Storage"/>
    <m/>
    <m/>
    <n v="150"/>
    <n v="150"/>
    <n v="0"/>
    <n v="0"/>
  </r>
  <r>
    <s v="J3506"/>
    <x v="1"/>
    <d v="2024-04-15T00:00:00"/>
    <d v="2024-08-13T00:00:00"/>
    <m/>
    <d v="2028-06-30T00:00:00"/>
    <s v="AMEREN ILLINOIS"/>
    <s v="Pike"/>
    <m/>
    <m/>
    <s v="IL"/>
    <s v="DPP-2023"/>
    <s v="Central"/>
    <s v="Study Not Started"/>
    <s v="NRIS"/>
    <s v="Hull 138kV"/>
    <n v="100"/>
    <n v="100"/>
    <x v="2"/>
    <s v="Battery Storage"/>
    <m/>
    <m/>
    <n v="0"/>
    <n v="0"/>
    <n v="0"/>
    <n v="0"/>
  </r>
  <r>
    <s v="J3507"/>
    <x v="1"/>
    <d v="2024-04-01T00:00:00"/>
    <d v="2025-12-23T00:00:00"/>
    <m/>
    <d v="2027-04-30T00:00:00"/>
    <s v="AMEREN ILLINOIS"/>
    <s v="Montgomery"/>
    <m/>
    <m/>
    <s v="IL"/>
    <s v="DPP-2023"/>
    <s v="Central"/>
    <s v="Study Not Started"/>
    <s v="NRIS"/>
    <s v="Coffeen North 138kV"/>
    <n v="17"/>
    <n v="17"/>
    <x v="0"/>
    <s v="Photovoltaic"/>
    <m/>
    <m/>
    <n v="0"/>
    <n v="0"/>
    <n v="0"/>
    <n v="0"/>
  </r>
  <r>
    <s v="J3508"/>
    <x v="1"/>
    <d v="2024-04-01T00:00:00"/>
    <d v="2025-12-23T00:00:00"/>
    <m/>
    <d v="2027-04-30T00:00:00"/>
    <s v="AMEREN ILLINOIS"/>
    <s v="Fulton"/>
    <m/>
    <m/>
    <s v="IL"/>
    <s v="DPP-2023"/>
    <s v="Central"/>
    <s v="Study Not Started"/>
    <s v="NRIS"/>
    <s v="Duck Creek 345kV"/>
    <n v="16.3"/>
    <n v="16.3"/>
    <x v="0"/>
    <s v="Photovoltaic"/>
    <m/>
    <m/>
    <n v="0"/>
    <n v="0"/>
    <n v="0"/>
    <n v="0"/>
  </r>
  <r>
    <s v="J3509"/>
    <x v="1"/>
    <d v="2024-04-16T00:00:00"/>
    <d v="2025-12-23T00:00:00"/>
    <m/>
    <d v="2027-12-17T00:00:00"/>
    <s v="CITY WATER LIGHT &amp; POWER"/>
    <s v="Sangamon"/>
    <m/>
    <m/>
    <s v="IL"/>
    <s v="DPP-2023"/>
    <s v="Central"/>
    <s v="Study Not Started"/>
    <s v="NRIS"/>
    <s v="343505 Interstate"/>
    <n v="380"/>
    <n v="380"/>
    <x v="2"/>
    <s v="Battery Storage"/>
    <m/>
    <m/>
    <n v="0"/>
    <n v="0"/>
    <n v="0"/>
    <n v="0"/>
  </r>
  <r>
    <s v="J3510"/>
    <x v="1"/>
    <d v="2024-04-17T00:00:00"/>
    <d v="2025-12-23T00:00:00"/>
    <m/>
    <d v="2028-08-01T00:00:00"/>
    <s v="ENTERGY ARKANSAS, LLC"/>
    <s v="Cross"/>
    <m/>
    <m/>
    <s v="AR"/>
    <s v="DPP-2023"/>
    <s v="South"/>
    <s v="Study Not Started"/>
    <s v="NRIS"/>
    <s v="FISHER - CHERRY VALLEY 161.0kV"/>
    <n v="175"/>
    <n v="175"/>
    <x v="5"/>
    <s v="Solar/Battery"/>
    <m/>
    <m/>
    <n v="0"/>
    <n v="0"/>
    <n v="0"/>
    <n v="0"/>
  </r>
  <r>
    <s v="J3511"/>
    <x v="1"/>
    <d v="2024-04-17T00:00:00"/>
    <d v="2025-09-29T00:00:00"/>
    <m/>
    <d v="2028-09-15T00:00:00"/>
    <s v="ENTERGY ARKANSAS, LLC"/>
    <s v="Arkansas"/>
    <m/>
    <m/>
    <s v="AR"/>
    <s v="DPP-2023"/>
    <s v="South"/>
    <s v="Study Not Started"/>
    <s v="NRIS"/>
    <s v="STUTTGART RICUSKEY - WOODWARD 230 SUB 230.0kV"/>
    <n v="250"/>
    <n v="250"/>
    <x v="0"/>
    <s v="Photovoltaic"/>
    <m/>
    <m/>
    <n v="0"/>
    <n v="0"/>
    <n v="0"/>
    <n v="0"/>
  </r>
  <r>
    <s v="J3512"/>
    <x v="1"/>
    <d v="2024-04-05T00:00:00"/>
    <d v="2025-09-24T00:00:00"/>
    <m/>
    <d v="2028-06-01T00:00:00"/>
    <s v="ITC"/>
    <s v="Bay"/>
    <m/>
    <m/>
    <s v="MI"/>
    <s v="DPP-2023"/>
    <s v="East (ITC)"/>
    <s v="Study Not Started"/>
    <s v="NRIS"/>
    <s v="MONITOR"/>
    <n v="150"/>
    <n v="150"/>
    <x v="2"/>
    <s v="Battery Storage"/>
    <m/>
    <m/>
    <n v="0"/>
    <n v="0"/>
    <n v="0"/>
    <n v="0"/>
  </r>
  <r>
    <s v="J3513"/>
    <x v="1"/>
    <d v="2024-04-17T00:00:00"/>
    <d v="2025-09-29T00:00:00"/>
    <m/>
    <d v="2028-09-15T00:00:00"/>
    <s v="ENTERGY LOUISIANA, LLC"/>
    <s v="Acadia"/>
    <m/>
    <m/>
    <s v="LA"/>
    <s v="DPP-2023"/>
    <s v="South"/>
    <s v="Study Not Started"/>
    <s v="NRIS"/>
    <s v="RICHARD - WELLS 500.0kV"/>
    <n v="550"/>
    <n v="550"/>
    <x v="0"/>
    <s v="Photovoltaic"/>
    <m/>
    <m/>
    <n v="0"/>
    <n v="0"/>
    <n v="0"/>
    <n v="0"/>
  </r>
  <r>
    <s v="J3514"/>
    <x v="1"/>
    <d v="2024-04-05T00:00:00"/>
    <d v="2025-04-17T00:00:00"/>
    <m/>
    <d v="2028-06-01T00:00:00"/>
    <s v="AMERICAN TRANSMISSION COMPANY"/>
    <s v="Chippewa"/>
    <m/>
    <m/>
    <s v="MI"/>
    <s v="DPP-2023"/>
    <s v="East (ATC)"/>
    <s v="Study Not Started"/>
    <s v="NRIS"/>
    <s v="Pine River 69 kV"/>
    <n v="100"/>
    <n v="100"/>
    <x v="0"/>
    <s v="Photovoltaic"/>
    <m/>
    <m/>
    <n v="0"/>
    <n v="0"/>
    <n v="0"/>
    <n v="0"/>
  </r>
  <r>
    <s v="J3515"/>
    <x v="2"/>
    <d v="2024-04-17T00:00:00"/>
    <m/>
    <m/>
    <d v="2026-05-25T00:00:00"/>
    <s v="CITY WATER LIGHT &amp; POWER"/>
    <s v="Sangamon"/>
    <m/>
    <m/>
    <s v="IL"/>
    <s v="DPP-2023"/>
    <s v="Central"/>
    <s v="Study Not Started"/>
    <s v="ERIS"/>
    <s v="343505 Interstate"/>
    <n v="199.9"/>
    <n v="199.9"/>
    <x v="2"/>
    <s v="Battery Storage"/>
    <m/>
    <m/>
    <n v="199.9"/>
    <n v="0"/>
    <n v="0"/>
    <n v="0"/>
  </r>
  <r>
    <s v="J3516"/>
    <x v="1"/>
    <d v="2024-04-17T00:00:00"/>
    <d v="2025-08-14T00:00:00"/>
    <m/>
    <d v="2026-05-25T00:00:00"/>
    <s v="AMEREN ILLINOIS"/>
    <s v="Jackson"/>
    <m/>
    <m/>
    <s v="IL"/>
    <s v="DPP-2023"/>
    <s v="Central"/>
    <s v="Study Not Started"/>
    <s v="ERIS"/>
    <s v="Makanda North"/>
    <n v="83.4"/>
    <n v="83.4"/>
    <x v="2"/>
    <s v="Battery Storage"/>
    <m/>
    <m/>
    <n v="0"/>
    <n v="0"/>
    <n v="0"/>
    <n v="0"/>
  </r>
  <r>
    <s v="J3517"/>
    <x v="4"/>
    <d v="2024-04-19T00:00:00"/>
    <m/>
    <m/>
    <d v="2028-10-31T00:00:00"/>
    <s v="AMEREN ILLINOIS"/>
    <s v="Williamson"/>
    <m/>
    <m/>
    <s v="IL"/>
    <s v="DPP-2025"/>
    <s v="Central"/>
    <s v="Phase 1"/>
    <s v="NRIS"/>
    <s v="Ordill"/>
    <n v="190"/>
    <n v="190"/>
    <x v="2"/>
    <s v="Battery Storage"/>
    <m/>
    <m/>
    <n v="145"/>
    <n v="145"/>
    <n v="0"/>
    <n v="0"/>
  </r>
  <r>
    <s v="J3518"/>
    <x v="4"/>
    <d v="2024-04-19T00:00:00"/>
    <m/>
    <m/>
    <d v="2028-10-31T00:00:00"/>
    <s v="AMEREN MISSOURI"/>
    <s v="Gasconade"/>
    <m/>
    <m/>
    <s v="MO"/>
    <s v="DPP-2025"/>
    <s v="Central"/>
    <s v="Phase 1"/>
    <s v="NRIS"/>
    <s v="BLAND"/>
    <n v="300"/>
    <n v="300"/>
    <x v="2"/>
    <s v="Battery Storage"/>
    <m/>
    <m/>
    <n v="300"/>
    <n v="300"/>
    <n v="0"/>
    <n v="0"/>
  </r>
  <r>
    <s v="J3519"/>
    <x v="2"/>
    <d v="2024-04-17T00:00:00"/>
    <m/>
    <m/>
    <d v="2028-10-30T00:00:00"/>
    <s v="AMEREN ILLINOIS"/>
    <s v="Mason"/>
    <m/>
    <m/>
    <s v="IL"/>
    <s v="DPP-2023"/>
    <s v="Central"/>
    <s v="Study Not Started"/>
    <s v="NRIS"/>
    <s v="Quiver"/>
    <n v="199.9"/>
    <n v="199.9"/>
    <x v="1"/>
    <s v="Wind Turbine"/>
    <m/>
    <m/>
    <n v="200"/>
    <n v="100"/>
    <n v="0"/>
    <n v="0"/>
  </r>
  <r>
    <s v="J3520"/>
    <x v="1"/>
    <d v="2024-04-18T00:00:00"/>
    <d v="2025-09-30T00:00:00"/>
    <m/>
    <d v="2028-01-01T00:00:00"/>
    <s v="AMEREN ILLINOIS"/>
    <s v="Champaign"/>
    <m/>
    <m/>
    <s v="IL"/>
    <s v="DPP-2023"/>
    <s v="Central"/>
    <s v="Study Not Started"/>
    <s v="NRIS"/>
    <s v="4WEEDMAN  - 4MAHOMET 1 138.0kV"/>
    <n v="215"/>
    <n v="215"/>
    <x v="5"/>
    <s v="Photovoltaic"/>
    <m/>
    <m/>
    <n v="0"/>
    <n v="0"/>
    <n v="0"/>
    <n v="0"/>
  </r>
  <r>
    <s v="J3521"/>
    <x v="2"/>
    <d v="2024-04-18T00:00:00"/>
    <m/>
    <m/>
    <d v="2028-09-15T00:00:00"/>
    <s v="AMEREN ILLINOIS"/>
    <s v="Shelby"/>
    <m/>
    <m/>
    <s v="IL"/>
    <s v="DPP-2023"/>
    <s v="Central"/>
    <s v="Study Not Started"/>
    <s v="NRIS"/>
    <s v="Neoga"/>
    <n v="350"/>
    <n v="350"/>
    <x v="1"/>
    <s v="Wind Turbine"/>
    <m/>
    <m/>
    <n v="350"/>
    <n v="200"/>
    <n v="0"/>
    <n v="0"/>
  </r>
  <r>
    <s v="J3522"/>
    <x v="2"/>
    <d v="2024-03-18T00:00:00"/>
    <m/>
    <m/>
    <d v="2028-08-01T00:00:00"/>
    <s v="NORTHERN STATES POWER COMPANY"/>
    <s v="Cass"/>
    <m/>
    <m/>
    <s v="ND"/>
    <s v="DPP-2023"/>
    <s v="West"/>
    <s v="Study Not Started"/>
    <s v="NRIS"/>
    <s v="Bison"/>
    <n v="200"/>
    <n v="200"/>
    <x v="0"/>
    <s v="Photovoltaic"/>
    <m/>
    <m/>
    <n v="200"/>
    <n v="200"/>
    <n v="0"/>
    <n v="0"/>
  </r>
  <r>
    <s v="J3523"/>
    <x v="2"/>
    <d v="2024-04-16T00:00:00"/>
    <m/>
    <m/>
    <d v="2028-09-30T00:00:00"/>
    <s v="DAIRYLAND POWER COOPERATIVE DPC"/>
    <s v="Barron"/>
    <m/>
    <m/>
    <s v="WI"/>
    <s v="DPP-2023"/>
    <s v="West"/>
    <s v="Study Not Started"/>
    <s v="NRIS"/>
    <s v="BARRON  - WASHCO  161.0kV"/>
    <n v="115"/>
    <n v="115"/>
    <x v="2"/>
    <s v="Battery Storage"/>
    <m/>
    <m/>
    <n v="115"/>
    <n v="115"/>
    <n v="0"/>
    <n v="0"/>
  </r>
  <r>
    <s v="J3524"/>
    <x v="1"/>
    <d v="2024-04-18T00:00:00"/>
    <d v="2025-09-29T00:00:00"/>
    <m/>
    <d v="2028-08-31T00:00:00"/>
    <s v="NORTHERN STATES POWER COMPANY"/>
    <s v="Watonwan"/>
    <m/>
    <m/>
    <s v="MN"/>
    <s v="DPP-2023"/>
    <s v="West"/>
    <s v="Study Not Started"/>
    <s v="NRIS"/>
    <s v="Crandall - Fieldon 345.0kV"/>
    <n v="300"/>
    <n v="300"/>
    <x v="0"/>
    <s v="Photovoltaic"/>
    <m/>
    <m/>
    <n v="0"/>
    <n v="0"/>
    <n v="0"/>
    <n v="0"/>
  </r>
  <r>
    <s v="J3525"/>
    <x v="2"/>
    <d v="2024-04-17T00:00:00"/>
    <m/>
    <m/>
    <d v="2028-09-06T00:00:00"/>
    <s v="MIDAMERICAN ENERGY CO. MEC"/>
    <s v="Rock Island"/>
    <m/>
    <m/>
    <s v="IL"/>
    <s v="DPP-2023"/>
    <s v="West"/>
    <s v="Study Not Started"/>
    <s v="NRIS"/>
    <s v="SUB 47"/>
    <n v="300"/>
    <n v="300"/>
    <x v="2"/>
    <s v="Battery Storage"/>
    <m/>
    <m/>
    <n v="300"/>
    <n v="300"/>
    <n v="0"/>
    <n v="0"/>
  </r>
  <r>
    <s v="J3526"/>
    <x v="1"/>
    <d v="2024-04-15T00:00:00"/>
    <d v="2025-09-30T00:00:00"/>
    <m/>
    <d v="2030-12-31T00:00:00"/>
    <s v="NORTHERN STATES POWER COMPANY"/>
    <s v="Goodhue"/>
    <m/>
    <m/>
    <s v="MN"/>
    <s v="DPP-2023"/>
    <s v="West"/>
    <s v="Study Not Started"/>
    <s v="NRIS"/>
    <s v="NORTH ROCHESTER"/>
    <n v="200"/>
    <n v="200"/>
    <x v="2"/>
    <s v="Battery Storage"/>
    <m/>
    <m/>
    <n v="0"/>
    <n v="0"/>
    <n v="0"/>
    <n v="0"/>
  </r>
  <r>
    <s v="J3527"/>
    <x v="1"/>
    <d v="2024-04-16T00:00:00"/>
    <d v="2025-12-23T00:00:00"/>
    <m/>
    <d v="2027-03-01T00:00:00"/>
    <s v="ITC MIDWEST"/>
    <s v="Allamakee"/>
    <m/>
    <m/>
    <s v="IA"/>
    <s v="DPP-2023"/>
    <s v="West"/>
    <s v="Study Not Started"/>
    <s v="NRIS"/>
    <s v="Lansing - Postville (DPC) 161kV"/>
    <n v="136"/>
    <n v="136"/>
    <x v="1"/>
    <s v="Wind Turbine"/>
    <m/>
    <m/>
    <n v="0"/>
    <n v="0"/>
    <n v="0"/>
    <n v="0"/>
  </r>
  <r>
    <s v="J3528"/>
    <x v="2"/>
    <d v="2024-04-15T00:00:00"/>
    <m/>
    <m/>
    <d v="2026-12-30T00:00:00"/>
    <s v="AMEREN ILLINOIS"/>
    <s v="Jasper"/>
    <m/>
    <m/>
    <s v="IL"/>
    <s v="DPP-2023"/>
    <s v="Central"/>
    <s v="Study Not Started"/>
    <s v="NRIS"/>
    <s v="7CASEY    - 7NEWTON   345.0kV"/>
    <n v="225"/>
    <n v="225"/>
    <x v="5"/>
    <s v="Solar/Battery"/>
    <m/>
    <m/>
    <n v="225"/>
    <n v="225"/>
    <n v="0"/>
    <n v="0"/>
  </r>
  <r>
    <s v="J3529"/>
    <x v="2"/>
    <d v="2024-05-20T00:00:00"/>
    <m/>
    <m/>
    <d v="2028-05-30T00:00:00"/>
    <s v="OTTER TAIL POWER COMPANY OTP"/>
    <s v="Mahnomen"/>
    <m/>
    <m/>
    <s v="MN"/>
    <s v="DPP-2023"/>
    <s v="West"/>
    <s v="Study Not Started"/>
    <s v="NRIS"/>
    <s v="Mahnomen - Winger 115.0kV"/>
    <n v="64"/>
    <n v="64"/>
    <x v="0"/>
    <s v="Photovoltaic"/>
    <m/>
    <m/>
    <n v="64"/>
    <n v="64"/>
    <n v="0"/>
    <n v="0"/>
  </r>
  <r>
    <s v="J3530"/>
    <x v="1"/>
    <d v="2024-04-16T00:00:00"/>
    <d v="2025-12-23T00:00:00"/>
    <m/>
    <d v="2028-06-30T00:00:00"/>
    <s v="ENTERGY ARKANSAS, LLC"/>
    <s v="Saline"/>
    <m/>
    <m/>
    <s v="AR"/>
    <s v="DPP-2023"/>
    <s v="South"/>
    <s v="Study Not Started"/>
    <s v="NRIS"/>
    <s v="SHERIDAN EHV - MAGNET COVE 500.0kV"/>
    <n v="500"/>
    <n v="500"/>
    <x v="0"/>
    <s v="Photovoltaic"/>
    <m/>
    <m/>
    <n v="0"/>
    <n v="0"/>
    <n v="0"/>
    <n v="0"/>
  </r>
  <r>
    <s v="J3531"/>
    <x v="1"/>
    <d v="2024-04-17T00:00:00"/>
    <d v="2025-09-24T00:00:00"/>
    <m/>
    <d v="2027-06-01T00:00:00"/>
    <s v="ENTERGY ARKANSAS, LLC"/>
    <s v="White"/>
    <m/>
    <m/>
    <s v="AR"/>
    <s v="DPP-2023"/>
    <s v="South"/>
    <s v="Study Not Started"/>
    <s v="NRIS"/>
    <s v="Other_"/>
    <n v="100"/>
    <n v="100"/>
    <x v="0"/>
    <s v="Photovoltaic"/>
    <m/>
    <m/>
    <n v="0"/>
    <n v="0"/>
    <n v="0"/>
    <n v="0"/>
  </r>
  <r>
    <s v="J3532"/>
    <x v="2"/>
    <d v="2024-04-18T00:00:00"/>
    <m/>
    <m/>
    <d v="2028-09-30T00:00:00"/>
    <s v="NORTHERN STATES POWER COMPANY"/>
    <s v="Roseau"/>
    <m/>
    <m/>
    <s v="MN"/>
    <s v="DPP-2023"/>
    <s v="West"/>
    <s v="Study Not Started"/>
    <s v="NRIS"/>
    <s v="Riel (MH) - Roseau County North 500.0kV"/>
    <n v="500"/>
    <n v="500"/>
    <x v="0"/>
    <s v="Photovoltaic"/>
    <m/>
    <m/>
    <n v="500"/>
    <n v="500"/>
    <n v="0"/>
    <n v="0"/>
  </r>
  <r>
    <s v="J3533"/>
    <x v="1"/>
    <d v="2024-04-18T00:00:00"/>
    <d v="2025-09-29T00:00:00"/>
    <m/>
    <d v="2028-08-31T00:00:00"/>
    <s v="AMEREN MISSOURI"/>
    <s v="Randolph"/>
    <m/>
    <m/>
    <s v="MO"/>
    <s v="DPP-2023"/>
    <s v="Central"/>
    <s v="Study Not Started"/>
    <s v="NRIS"/>
    <s v="5MOBERLY  - SALSBRY5 (KCPL) 161.0kV"/>
    <n v="200"/>
    <n v="200"/>
    <x v="1"/>
    <s v="Wind Turbine"/>
    <m/>
    <m/>
    <n v="0"/>
    <n v="0"/>
    <n v="0"/>
    <n v="0"/>
  </r>
  <r>
    <s v="J3534"/>
    <x v="1"/>
    <d v="2024-04-17T00:00:00"/>
    <d v="2025-12-23T00:00:00"/>
    <m/>
    <d v="2028-08-01T00:00:00"/>
    <s v="ENTERGY LOUISIANA, LLC"/>
    <s v="Madison"/>
    <m/>
    <m/>
    <s v="LA"/>
    <s v="DPP-2023"/>
    <s v="South"/>
    <s v="Study Not Started"/>
    <s v="NRIS"/>
    <s v="DELHI - TALLULAH 115.0kV"/>
    <n v="125"/>
    <n v="125"/>
    <x v="5"/>
    <s v="Solar/Battery"/>
    <m/>
    <m/>
    <n v="0"/>
    <n v="0"/>
    <n v="0"/>
    <n v="0"/>
  </r>
  <r>
    <s v="J3535"/>
    <x v="1"/>
    <d v="2024-04-17T00:00:00"/>
    <d v="2025-12-23T00:00:00"/>
    <m/>
    <d v="2028-08-01T00:00:00"/>
    <s v="ENTERGY ARKANSAS, LLC"/>
    <s v="Dunklin"/>
    <m/>
    <m/>
    <s v="MO"/>
    <s v="DPP-2023"/>
    <s v="South"/>
    <s v="Study Not Started"/>
    <s v="NRIS"/>
    <s v="JIM HILL - HAYTI SOUTH 161.0kV"/>
    <n v="200"/>
    <n v="200"/>
    <x v="5"/>
    <s v="Solar/Battery"/>
    <m/>
    <m/>
    <n v="0"/>
    <n v="0"/>
    <n v="0"/>
    <n v="0"/>
  </r>
  <r>
    <s v="J3536"/>
    <x v="1"/>
    <d v="2024-04-17T00:00:00"/>
    <d v="2025-12-23T00:00:00"/>
    <m/>
    <d v="2028-08-01T00:00:00"/>
    <s v="ENTERGY ARKANSAS, LLC"/>
    <s v="Poinsett"/>
    <m/>
    <m/>
    <s v="AR"/>
    <s v="DPP-2023"/>
    <s v="South"/>
    <s v="Study Not Started"/>
    <s v="NRIS"/>
    <s v="AECC TRUMANN WEST - TRUMANN 161.0kV"/>
    <n v="190"/>
    <n v="190"/>
    <x v="5"/>
    <s v="Solar/Battery"/>
    <m/>
    <m/>
    <n v="0"/>
    <n v="0"/>
    <n v="0"/>
    <n v="0"/>
  </r>
  <r>
    <s v="J3537"/>
    <x v="1"/>
    <d v="2024-04-16T00:00:00"/>
    <d v="2025-09-30T00:00:00"/>
    <m/>
    <d v="2028-06-30T00:00:00"/>
    <s v="METC"/>
    <s v="Kalamazoo"/>
    <m/>
    <m/>
    <s v="MI"/>
    <s v="DPP-2023"/>
    <s v="East (ITC)"/>
    <s v="Study Not Started"/>
    <s v="NRIS"/>
    <s v="Weeds Lake 138kV substation (Bus Number 256510)"/>
    <n v="265"/>
    <n v="265"/>
    <x v="2"/>
    <s v="Battery Storage"/>
    <m/>
    <m/>
    <n v="0"/>
    <n v="0"/>
    <n v="0"/>
    <n v="0"/>
  </r>
  <r>
    <s v="J3538"/>
    <x v="1"/>
    <d v="2024-04-17T00:00:00"/>
    <d v="2025-09-24T00:00:00"/>
    <m/>
    <d v="2027-03-30T00:00:00"/>
    <s v="ENTERGY MISSISSIPPI, LLC."/>
    <s v="Warren"/>
    <m/>
    <m/>
    <s v="MS"/>
    <s v="DPP-2023"/>
    <s v="South"/>
    <s v="Study Not Started"/>
    <s v="NRIS"/>
    <s v="Baxter 115/34kV"/>
    <n v="730"/>
    <n v="770"/>
    <x v="3"/>
    <s v="Combined-Cycle ‚Äì Steam Plant"/>
    <m/>
    <m/>
    <n v="0"/>
    <n v="0"/>
    <n v="0"/>
    <n v="0"/>
  </r>
  <r>
    <s v="J3539"/>
    <x v="2"/>
    <d v="2024-03-28T00:00:00"/>
    <m/>
    <m/>
    <d v="2027-04-01T00:00:00"/>
    <s v="METC"/>
    <s v="Alcona"/>
    <m/>
    <m/>
    <s v="MI"/>
    <s v="DPP-2023"/>
    <s v="East (ITC)"/>
    <s v="Study Not Started"/>
    <s v="NRIS"/>
    <s v="ALPENA - SPRUCE ROAD 138.0kV"/>
    <n v="116.9"/>
    <n v="116.9"/>
    <x v="0"/>
    <s v="Photovoltaic"/>
    <m/>
    <m/>
    <n v="116.9"/>
    <n v="116.9"/>
    <n v="0"/>
    <n v="0"/>
  </r>
  <r>
    <s v="J3540"/>
    <x v="1"/>
    <d v="2024-04-15T00:00:00"/>
    <d v="2025-07-31T00:00:00"/>
    <m/>
    <d v="2028-05-13T00:00:00"/>
    <s v="ENTERGY ARKANSAS, LLC"/>
    <s v="Monroe"/>
    <m/>
    <m/>
    <s v="AR"/>
    <s v="DPP-2023"/>
    <s v="South"/>
    <s v="Study Not Started"/>
    <s v="ERIS"/>
    <s v="RITCHIE SWYD - TARLETON 230.0kV"/>
    <n v="400"/>
    <n v="400"/>
    <x v="0"/>
    <s v="Photovoltaic"/>
    <m/>
    <m/>
    <n v="0"/>
    <n v="0"/>
    <n v="0"/>
    <n v="0"/>
  </r>
  <r>
    <s v="J3541"/>
    <x v="1"/>
    <d v="2024-04-15T00:00:00"/>
    <d v="2025-07-31T00:00:00"/>
    <m/>
    <d v="2028-05-13T00:00:00"/>
    <s v="ENTERGY MISSISSIPPI, LLC."/>
    <s v="Bolivar"/>
    <m/>
    <m/>
    <s v="MS"/>
    <s v="DPP-2023"/>
    <s v="South"/>
    <s v="Study Not Started"/>
    <s v="ERIS"/>
    <s v="CLEVELAND/SOUTH"/>
    <n v="150"/>
    <n v="150"/>
    <x v="0"/>
    <s v="Photovoltaic"/>
    <m/>
    <m/>
    <n v="0"/>
    <n v="0"/>
    <n v="0"/>
    <n v="0"/>
  </r>
  <r>
    <s v="J3542"/>
    <x v="1"/>
    <d v="2024-04-17T00:00:00"/>
    <d v="2025-12-23T00:00:00"/>
    <m/>
    <d v="2028-09-30T00:00:00"/>
    <s v="ENTERGY MISSISSIPPI, LLC."/>
    <s v="Lincoln"/>
    <m/>
    <m/>
    <s v="MS"/>
    <s v="DPP-2023"/>
    <s v="South"/>
    <s v="Study Not Started"/>
    <s v="NRIS"/>
    <s v="BROOKHAVEN - BROOKHAVEN/SOUTH 115.0kV"/>
    <n v="80"/>
    <n v="80"/>
    <x v="0"/>
    <s v="Photovoltaic"/>
    <m/>
    <m/>
    <n v="0"/>
    <n v="0"/>
    <n v="0"/>
    <n v="0"/>
  </r>
  <r>
    <s v="J3543"/>
    <x v="2"/>
    <d v="2024-04-18T00:00:00"/>
    <m/>
    <m/>
    <d v="2028-06-30T00:00:00"/>
    <s v="GREAT RIVER ENERGY"/>
    <s v="Dakota"/>
    <m/>
    <m/>
    <s v="MN"/>
    <s v="DPP-2023"/>
    <s v="West"/>
    <s v="Study Not Started"/>
    <s v="NRIS"/>
    <s v="Chub Lake 115 kV"/>
    <n v="135"/>
    <n v="135"/>
    <x v="2"/>
    <s v="Battery Storage"/>
    <m/>
    <m/>
    <n v="135"/>
    <n v="135"/>
    <n v="0"/>
    <n v="0"/>
  </r>
  <r>
    <s v="J3544"/>
    <x v="1"/>
    <d v="2024-04-17T00:00:00"/>
    <d v="2025-07-09T00:00:00"/>
    <m/>
    <d v="2027-10-30T00:00:00"/>
    <s v="ITC MIDWEST"/>
    <s v="Tama"/>
    <m/>
    <m/>
    <s v="IA"/>
    <s v="DPP-2023"/>
    <s v="West"/>
    <s v="Study Not Started"/>
    <s v="NRIS"/>
    <s v="Abbott"/>
    <n v="62"/>
    <n v="62"/>
    <x v="1"/>
    <s v="Wind Turbine"/>
    <m/>
    <m/>
    <n v="0"/>
    <n v="0"/>
    <n v="0"/>
    <n v="0"/>
  </r>
  <r>
    <s v="J3545"/>
    <x v="2"/>
    <d v="2024-04-15T00:00:00"/>
    <m/>
    <m/>
    <d v="2028-09-15T00:00:00"/>
    <s v="METC"/>
    <s v="Ionia"/>
    <m/>
    <m/>
    <s v="MI"/>
    <s v="DPP-2023"/>
    <s v="East (ITC)"/>
    <s v="Study Not Started"/>
    <s v="NRIS"/>
    <s v="BINGHAM - MARQUETTE 138.0kV"/>
    <n v="200"/>
    <n v="200"/>
    <x v="0"/>
    <s v="Photovoltaic"/>
    <m/>
    <m/>
    <n v="200"/>
    <n v="200"/>
    <n v="0"/>
    <n v="0"/>
  </r>
  <r>
    <s v="J3546"/>
    <x v="2"/>
    <d v="2024-04-18T00:00:00"/>
    <m/>
    <m/>
    <d v="2028-08-01T00:00:00"/>
    <s v="NORTHERN STATES POWER COMPANY"/>
    <s v="Lincoln"/>
    <m/>
    <m/>
    <s v="SD"/>
    <s v="DPP-2023"/>
    <s v="West"/>
    <s v="Study Not Started"/>
    <s v="NRIS"/>
    <s v="Yankee - Brookings CO. 115.0kV"/>
    <n v="120"/>
    <n v="120"/>
    <x v="1"/>
    <s v="Wind Turbine"/>
    <m/>
    <m/>
    <n v="120"/>
    <n v="120"/>
    <n v="0"/>
    <n v="0"/>
  </r>
  <r>
    <s v="J3547"/>
    <x v="1"/>
    <d v="2024-04-17T00:00:00"/>
    <d v="2025-12-23T00:00:00"/>
    <m/>
    <d v="2026-06-01T00:00:00"/>
    <s v="NORTHERN STATES POWER COMPANY"/>
    <s v="Martin"/>
    <m/>
    <m/>
    <s v="MN"/>
    <s v="DPP-2023"/>
    <s v="West"/>
    <s v="Study Not Started"/>
    <s v="NRIS"/>
    <s v="LAKEFIELD"/>
    <n v="549.6"/>
    <n v="630"/>
    <x v="5"/>
    <s v="Combustion Turbine (Simple Cycle)"/>
    <m/>
    <m/>
    <n v="0"/>
    <n v="0"/>
    <n v="0"/>
    <n v="0"/>
  </r>
  <r>
    <s v="J3548"/>
    <x v="1"/>
    <d v="2024-04-18T00:00:00"/>
    <d v="2025-07-09T00:00:00"/>
    <m/>
    <d v="2027-10-30T00:00:00"/>
    <s v="ITC MIDWEST"/>
    <s v="Marshall"/>
    <m/>
    <m/>
    <s v="IA"/>
    <s v="DPP-2023"/>
    <s v="West"/>
    <s v="Study Not Started"/>
    <s v="NRIS"/>
    <s v="Laurel"/>
    <n v="62"/>
    <n v="62"/>
    <x v="1"/>
    <s v="Wind Turbine"/>
    <m/>
    <m/>
    <n v="0"/>
    <n v="0"/>
    <n v="0"/>
    <n v="0"/>
  </r>
  <r>
    <s v="J3549"/>
    <x v="1"/>
    <d v="2024-04-17T00:00:00"/>
    <d v="2025-12-23T00:00:00"/>
    <m/>
    <d v="2026-06-01T00:00:00"/>
    <s v="GREAT RIVER ENERGY"/>
    <s v="Mower"/>
    <m/>
    <m/>
    <s v="MN"/>
    <s v="DPP-2023"/>
    <s v="West"/>
    <s v="Study Not Started"/>
    <s v="NRIS"/>
    <s v="NOT IN DROPDOWN MENU"/>
    <n v="484.5"/>
    <n v="515"/>
    <x v="3"/>
    <s v="Combustion Turbine (Simple Cycle)"/>
    <m/>
    <m/>
    <n v="0"/>
    <n v="0"/>
    <n v="0"/>
    <n v="0"/>
  </r>
  <r>
    <s v="J3550"/>
    <x v="2"/>
    <d v="2024-04-18T00:00:00"/>
    <m/>
    <m/>
    <d v="2027-09-10T00:00:00"/>
    <s v="SOUTHERN INDIANA GAS &amp; ELECTRIC COMPANY D/B/A CENTERPOINT ENERGY INDIANA SOUTH"/>
    <s v="Dubois"/>
    <m/>
    <m/>
    <s v="IN"/>
    <s v="DPP-2023"/>
    <s v="Central"/>
    <s v="Study Not Started"/>
    <s v="NRIS"/>
    <s v="Duff - Dubois 138.0 kV"/>
    <n v="200"/>
    <n v="200"/>
    <x v="2"/>
    <s v="Battery Storage"/>
    <m/>
    <m/>
    <n v="200"/>
    <n v="200"/>
    <n v="0"/>
    <n v="0"/>
  </r>
  <r>
    <s v="J3551"/>
    <x v="2"/>
    <d v="2024-04-18T00:00:00"/>
    <m/>
    <m/>
    <d v="2027-09-10T00:00:00"/>
    <s v="MIDAMERICAN ENERGY CO. MEC"/>
    <s v="Mahaska"/>
    <m/>
    <m/>
    <s v="IA"/>
    <s v="DPP-2023"/>
    <s v="West"/>
    <s v="Study Not Started"/>
    <s v="NRIS"/>
    <s v="BEACON"/>
    <n v="200"/>
    <n v="200"/>
    <x v="2"/>
    <s v="Battery Storage"/>
    <m/>
    <m/>
    <n v="200"/>
    <n v="200"/>
    <n v="0"/>
    <n v="0"/>
  </r>
  <r>
    <s v="J3552"/>
    <x v="2"/>
    <d v="2024-04-16T00:00:00"/>
    <m/>
    <m/>
    <d v="2028-10-31T00:00:00"/>
    <s v="GREAT RIVER ENERGY"/>
    <s v="McLeod"/>
    <m/>
    <m/>
    <s v="MN"/>
    <s v="DPP-2023"/>
    <s v="West"/>
    <s v="Study Not Started"/>
    <s v="NRIS"/>
    <s v="Hutchinson Municipal - GRE Big Swan 115.0kV"/>
    <n v="112"/>
    <n v="112"/>
    <x v="0"/>
    <s v="Photovoltaic"/>
    <m/>
    <m/>
    <n v="112"/>
    <n v="112"/>
    <n v="0"/>
    <n v="0"/>
  </r>
  <r>
    <s v="J3553"/>
    <x v="1"/>
    <d v="2024-04-18T00:00:00"/>
    <d v="2025-12-23T00:00:00"/>
    <m/>
    <d v="2028-11-30T00:00:00"/>
    <s v="MIDAMERICAN ENERGY CO."/>
    <s v="Adair"/>
    <m/>
    <m/>
    <s v="IA"/>
    <s v="DPP-2023"/>
    <s v="West"/>
    <s v="Study Not Started"/>
    <s v="NRIS"/>
    <s v="Orient Energy Center Substation"/>
    <n v="244"/>
    <n v="263"/>
    <x v="3"/>
    <s v="Combustion Turbine (Simple Cycle)"/>
    <m/>
    <m/>
    <n v="0"/>
    <n v="0"/>
    <n v="0"/>
    <n v="0"/>
  </r>
  <r>
    <s v="J3554"/>
    <x v="1"/>
    <d v="2024-04-18T00:00:00"/>
    <d v="2025-07-09T00:00:00"/>
    <m/>
    <d v="2027-10-30T00:00:00"/>
    <s v="MIDAMERICAN ENERGY CO."/>
    <s v="Adair"/>
    <m/>
    <m/>
    <s v="IA"/>
    <s v="DPP-2023"/>
    <s v="West"/>
    <s v="Study Not Started"/>
    <s v="NRIS"/>
    <s v="SOUTHERN HILLS"/>
    <n v="96"/>
    <n v="96"/>
    <x v="1"/>
    <s v="Wind Turbine"/>
    <m/>
    <m/>
    <n v="0"/>
    <n v="0"/>
    <n v="0"/>
    <n v="0"/>
  </r>
  <r>
    <s v="J3555"/>
    <x v="1"/>
    <d v="2024-04-18T00:00:00"/>
    <d v="2025-07-09T00:00:00"/>
    <m/>
    <d v="2027-10-30T00:00:00"/>
    <s v="MIDAMERICAN ENERGY CO."/>
    <s v="Boone"/>
    <m/>
    <m/>
    <s v="IA"/>
    <s v="DPP-2023"/>
    <s v="West"/>
    <s v="Study Not Started"/>
    <s v="NRIS"/>
    <s v="BEAVER CREEK"/>
    <n v="84"/>
    <n v="84"/>
    <x v="1"/>
    <s v="Wind Turbine"/>
    <m/>
    <m/>
    <n v="0"/>
    <n v="0"/>
    <n v="0"/>
    <n v="0"/>
  </r>
  <r>
    <s v="J3556"/>
    <x v="2"/>
    <d v="2024-04-18T00:00:00"/>
    <m/>
    <m/>
    <d v="2028-08-31T00:00:00"/>
    <s v="AMEREN ILLINOIS"/>
    <s v="Montgomery"/>
    <m/>
    <m/>
    <s v="IL"/>
    <s v="DPP-2023"/>
    <s v="Central"/>
    <s v="Study Not Started"/>
    <s v="NRIS"/>
    <s v="7COFFEEN  - 7PANA     345.0kV"/>
    <n v="250"/>
    <n v="250"/>
    <x v="0"/>
    <s v="Photovoltaic"/>
    <m/>
    <m/>
    <n v="250"/>
    <n v="0"/>
    <n v="0"/>
    <n v="0"/>
  </r>
  <r>
    <s v="J3557"/>
    <x v="1"/>
    <d v="2024-04-18T00:00:00"/>
    <d v="2025-09-29T00:00:00"/>
    <m/>
    <d v="2028-08-31T00:00:00"/>
    <s v="INDIANAPOLIS POWER &amp; LIGHT COMPANY"/>
    <s v="Morgan"/>
    <m/>
    <m/>
    <s v="IN"/>
    <s v="DPP-2023"/>
    <s v="Central"/>
    <s v="Study Not Started"/>
    <s v="NRIS"/>
    <s v="Heartland Crossing Tap - Eagle Valley 138.0kV"/>
    <n v="200"/>
    <n v="200"/>
    <x v="2"/>
    <s v="Battery Storage"/>
    <m/>
    <m/>
    <n v="0"/>
    <n v="0"/>
    <n v="0"/>
    <n v="0"/>
  </r>
  <r>
    <s v="J3558"/>
    <x v="2"/>
    <d v="2024-04-18T00:00:00"/>
    <m/>
    <m/>
    <d v="2027-09-10T00:00:00"/>
    <s v="AMEREN TRANSMISSION COMPANY OF ILLINOIS"/>
    <s v="Champaign"/>
    <m/>
    <m/>
    <s v="IL"/>
    <s v="DPP-2023"/>
    <s v="Central"/>
    <s v="Study Not Started"/>
    <s v="NRIS"/>
    <s v="Rising"/>
    <n v="300"/>
    <n v="300"/>
    <x v="2"/>
    <s v="Battery Storage"/>
    <m/>
    <m/>
    <n v="300"/>
    <n v="300"/>
    <n v="0"/>
    <n v="0"/>
  </r>
  <r>
    <s v="J3559"/>
    <x v="1"/>
    <d v="2024-04-18T00:00:00"/>
    <d v="2025-12-23T00:00:00"/>
    <m/>
    <d v="2027-09-10T00:00:00"/>
    <s v="BIG RIVERS ELECTRIC CORPORATION"/>
    <s v="Hancock"/>
    <m/>
    <m/>
    <s v="KY"/>
    <s v="DPP-2023"/>
    <s v="Central"/>
    <s v="Study Not Started"/>
    <s v="NRIS"/>
    <s v="Coleman EHV"/>
    <n v="250"/>
    <n v="250"/>
    <x v="2"/>
    <s v="Battery Storage"/>
    <m/>
    <m/>
    <n v="0"/>
    <n v="0"/>
    <n v="0"/>
    <n v="0"/>
  </r>
  <r>
    <s v="J3560"/>
    <x v="1"/>
    <d v="2024-04-05T00:00:00"/>
    <d v="2025-12-23T00:00:00"/>
    <m/>
    <d v="2027-04-30T00:00:00"/>
    <s v="AMEREN ILLINOIS"/>
    <s v="Putnam"/>
    <m/>
    <m/>
    <s v="IL"/>
    <s v="DPP-2023"/>
    <s v="Central"/>
    <s v="Study Not Started"/>
    <s v="NRIS"/>
    <s v="Putnam 138kV"/>
    <n v="20"/>
    <n v="20"/>
    <x v="0"/>
    <s v="Photovoltaic"/>
    <m/>
    <m/>
    <n v="0"/>
    <n v="0"/>
    <n v="0"/>
    <n v="0"/>
  </r>
  <r>
    <s v="J3561"/>
    <x v="1"/>
    <d v="2024-04-18T00:00:00"/>
    <d v="2025-12-23T00:00:00"/>
    <m/>
    <d v="2028-01-01T00:00:00"/>
    <s v="ITC MIDWEST"/>
    <s v="Jo Daviess"/>
    <m/>
    <m/>
    <s v="IL"/>
    <s v="DPP-2023"/>
    <s v="West"/>
    <s v="Study Not Started"/>
    <s v="NRIS"/>
    <s v="Galena (DPC) - Savanna 161kV"/>
    <n v="135"/>
    <n v="135"/>
    <x v="0"/>
    <s v="Photovoltaic"/>
    <m/>
    <m/>
    <n v="0"/>
    <n v="0"/>
    <n v="0"/>
    <n v="0"/>
  </r>
  <r>
    <s v="J3562"/>
    <x v="1"/>
    <d v="2024-04-17T00:00:00"/>
    <d v="2025-09-26T00:00:00"/>
    <m/>
    <d v="2028-06-01T00:00:00"/>
    <s v="AMEREN ILLINOIS"/>
    <s v="Vermilion"/>
    <m/>
    <m/>
    <s v="IL"/>
    <s v="DPP-2023"/>
    <s v="Central"/>
    <s v="Study Not Started"/>
    <s v="NRIS"/>
    <s v="4VERMILION - 4NCHAMPGN W 138.0kV"/>
    <n v="300"/>
    <n v="300"/>
    <x v="0"/>
    <s v="Photovoltaic"/>
    <m/>
    <m/>
    <n v="0"/>
    <n v="0"/>
    <n v="0"/>
    <n v="0"/>
  </r>
  <r>
    <s v="J3563"/>
    <x v="1"/>
    <d v="2024-04-18T00:00:00"/>
    <d v="2025-09-26T00:00:00"/>
    <m/>
    <d v="2028-06-01T00:00:00"/>
    <s v="AMEREN ILLINOIS"/>
    <s v="Franklin"/>
    <m/>
    <m/>
    <s v="IL"/>
    <s v="DPP-2023"/>
    <s v="Central"/>
    <s v="Study Not Started"/>
    <s v="NRIS"/>
    <s v="7W_FRFT_E - 7MTVERNW 345.0kV"/>
    <n v="200"/>
    <n v="200"/>
    <x v="0"/>
    <s v="Photovoltaic"/>
    <m/>
    <m/>
    <n v="0"/>
    <n v="0"/>
    <n v="0"/>
    <n v="0"/>
  </r>
  <r>
    <s v="J3564"/>
    <x v="2"/>
    <d v="2024-04-18T00:00:00"/>
    <m/>
    <m/>
    <d v="2028-08-01T00:00:00"/>
    <s v="NORTHERN INDIANA PUBLIC SERVICE COMPANY LLC NIPS"/>
    <s v="Newton"/>
    <m/>
    <m/>
    <s v="IN"/>
    <s v="DPP-2023"/>
    <s v="Central"/>
    <s v="Study Not Started"/>
    <s v="NRIS"/>
    <s v="Other_"/>
    <n v="275"/>
    <n v="275"/>
    <x v="1"/>
    <s v="Wind Turbine"/>
    <m/>
    <m/>
    <n v="275"/>
    <n v="0"/>
    <n v="0"/>
    <n v="0"/>
  </r>
  <r>
    <s v="J3565"/>
    <x v="2"/>
    <d v="2024-04-18T00:00:00"/>
    <m/>
    <m/>
    <d v="2028-08-01T00:00:00"/>
    <s v="AMEREN TRANSMISSION COMPANY OF ILLINOIS"/>
    <s v="Champaign"/>
    <m/>
    <m/>
    <s v="IL"/>
    <s v="DPP-2023"/>
    <s v="Central"/>
    <s v="Study Not Started"/>
    <s v="NRIS"/>
    <s v="Rising"/>
    <n v="100"/>
    <n v="100"/>
    <x v="2"/>
    <s v="Battery Storage"/>
    <m/>
    <m/>
    <n v="100"/>
    <n v="100"/>
    <n v="0"/>
    <n v="0"/>
  </r>
  <r>
    <s v="J3566"/>
    <x v="2"/>
    <d v="2024-04-18T00:00:00"/>
    <m/>
    <m/>
    <d v="2028-08-01T00:00:00"/>
    <s v="AMEREN TRANSMISSION COMPANY OF ILLINOIS"/>
    <s v="McLean"/>
    <m/>
    <m/>
    <s v="IL"/>
    <s v="DPP-2023"/>
    <s v="Central"/>
    <s v="Study Not Started"/>
    <s v="ERIS"/>
    <s v="Other_"/>
    <n v="198"/>
    <n v="198"/>
    <x v="1"/>
    <s v="Wind Turbine"/>
    <m/>
    <m/>
    <n v="198"/>
    <n v="0"/>
    <n v="0"/>
    <n v="0"/>
  </r>
  <r>
    <s v="J3567"/>
    <x v="1"/>
    <d v="2024-04-18T00:00:00"/>
    <d v="2025-05-09T00:00:00"/>
    <m/>
    <d v="2026-06-01T00:00:00"/>
    <s v="ENTERGY ARKANSAS, LLC"/>
    <s v="Calhoun"/>
    <m/>
    <m/>
    <s v="AR"/>
    <s v="DPP-2023"/>
    <s v="South"/>
    <s v="Study Not Started"/>
    <s v="NRIS"/>
    <s v="SHERIDAN EHV - EL DORADO EHV 500.0kV"/>
    <n v="200"/>
    <n v="200"/>
    <x v="2"/>
    <s v="Battery Storage"/>
    <m/>
    <m/>
    <n v="0"/>
    <n v="0"/>
    <n v="0"/>
    <n v="0"/>
  </r>
  <r>
    <s v="J3568"/>
    <x v="1"/>
    <d v="2024-04-15T00:00:00"/>
    <d v="2025-07-31T00:00:00"/>
    <m/>
    <d v="2028-05-13T00:00:00"/>
    <s v="ENTERGY MISSISSIPPI, LLC."/>
    <s v="Leflore"/>
    <m/>
    <m/>
    <s v="MS"/>
    <s v="DPP-2023"/>
    <s v="South"/>
    <s v="Study Not Started"/>
    <s v="ERIS"/>
    <s v="SCHLATER"/>
    <n v="250"/>
    <n v="250"/>
    <x v="0"/>
    <s v="Photovoltaic"/>
    <m/>
    <m/>
    <n v="0"/>
    <n v="0"/>
    <n v="0"/>
    <n v="0"/>
  </r>
  <r>
    <s v="J3569"/>
    <x v="1"/>
    <d v="2024-04-18T00:00:00"/>
    <d v="2025-12-23T00:00:00"/>
    <m/>
    <d v="2028-01-01T00:00:00"/>
    <s v="ENTERGY ARKANSAS, LLC"/>
    <s v="Poinsett"/>
    <m/>
    <m/>
    <s v="AR"/>
    <s v="DPP-2023"/>
    <s v="South"/>
    <s v="Study Not Started"/>
    <s v="NRIS"/>
    <s v="TRUMANN - HARRISBURG SS 161.0kV"/>
    <n v="300"/>
    <n v="300"/>
    <x v="5"/>
    <s v="Photovoltaic"/>
    <m/>
    <m/>
    <n v="0"/>
    <n v="0"/>
    <n v="0"/>
    <n v="0"/>
  </r>
  <r>
    <s v="J3570"/>
    <x v="1"/>
    <d v="2024-04-18T00:00:00"/>
    <d v="2025-12-23T00:00:00"/>
    <m/>
    <d v="2028-01-01T00:00:00"/>
    <s v="ENTERGY ARKANSAS, LLC"/>
    <s v="Cross"/>
    <m/>
    <m/>
    <s v="AR"/>
    <s v="DPP-2023"/>
    <s v="South"/>
    <s v="Study Not Started"/>
    <s v="NRIS"/>
    <s v="AECC WYNNE EAST - PARKIN 161.0kV"/>
    <n v="300"/>
    <n v="300"/>
    <x v="5"/>
    <s v="Photovoltaic"/>
    <m/>
    <m/>
    <n v="0"/>
    <n v="0"/>
    <n v="0"/>
    <n v="0"/>
  </r>
  <r>
    <s v="J3571"/>
    <x v="1"/>
    <d v="2024-04-18T00:00:00"/>
    <d v="2025-08-28T00:00:00"/>
    <m/>
    <d v="2028-01-01T00:00:00"/>
    <s v="ENTERGY ARKANSAS, LLC"/>
    <s v="Poinsett"/>
    <m/>
    <m/>
    <s v="AR"/>
    <s v="DPP-2023"/>
    <s v="South"/>
    <s v="Study Not Started"/>
    <s v="NRIS"/>
    <s v="MARKED TREE - TWIST 161.0kV"/>
    <n v="250"/>
    <n v="250"/>
    <x v="5"/>
    <s v="Photovoltaic"/>
    <m/>
    <m/>
    <n v="0"/>
    <n v="0"/>
    <n v="0"/>
    <n v="0"/>
  </r>
  <r>
    <s v="J3572"/>
    <x v="1"/>
    <d v="2024-04-18T00:00:00"/>
    <d v="2025-09-02T00:00:00"/>
    <m/>
    <d v="2028-01-01T00:00:00"/>
    <s v="ENTERGY LOUISIANA, LLC"/>
    <s v="Catahoula"/>
    <m/>
    <m/>
    <s v="LA"/>
    <s v="DPP-2023"/>
    <s v="South"/>
    <s v="Study Not Started"/>
    <s v="NRIS"/>
    <s v="METROPOLIS - RED GUM 115.0kV"/>
    <n v="200"/>
    <n v="200"/>
    <x v="5"/>
    <s v="Photovoltaic"/>
    <m/>
    <m/>
    <n v="0"/>
    <n v="0"/>
    <n v="0"/>
    <n v="0"/>
  </r>
  <r>
    <s v="J3573"/>
    <x v="1"/>
    <d v="2024-04-18T00:00:00"/>
    <d v="2025-09-30T00:00:00"/>
    <m/>
    <d v="2028-01-01T00:00:00"/>
    <s v="ENTERGY LOUISIANA, LLC"/>
    <s v="Morehouse"/>
    <m/>
    <m/>
    <s v="LA"/>
    <s v="DPP-2023"/>
    <s v="South"/>
    <s v="Study Not Started"/>
    <s v="NRIS"/>
    <s v="GALION - OAK GROVE 115 SUB 115.0kV"/>
    <n v="200"/>
    <n v="200"/>
    <x v="5"/>
    <s v="Photovoltaic"/>
    <m/>
    <m/>
    <n v="0"/>
    <n v="0"/>
    <n v="0"/>
    <n v="0"/>
  </r>
  <r>
    <s v="J3574"/>
    <x v="1"/>
    <d v="2024-04-17T00:00:00"/>
    <d v="2025-07-31T00:00:00"/>
    <m/>
    <d v="2027-10-01T00:00:00"/>
    <s v="DUKE ENERGY INDIANA, LLC"/>
    <s v="Wayne"/>
    <m/>
    <m/>
    <s v="IN"/>
    <s v="DPP-2023"/>
    <s v="Central"/>
    <s v="Study Not Started"/>
    <s v="NRIS"/>
    <s v="Other_"/>
    <n v="60"/>
    <n v="60"/>
    <x v="0"/>
    <s v="Photovoltaic"/>
    <m/>
    <m/>
    <n v="0"/>
    <n v="0"/>
    <n v="0"/>
    <n v="0"/>
  </r>
  <r>
    <s v="J3575"/>
    <x v="1"/>
    <d v="2024-04-18T00:00:00"/>
    <d v="2025-12-23T00:00:00"/>
    <m/>
    <d v="2028-01-01T00:00:00"/>
    <s v="ENTERGY ARKANSAS, LLC"/>
    <s v="Mississippi"/>
    <m/>
    <m/>
    <s v="AR"/>
    <s v="DPP-2023"/>
    <s v="South"/>
    <s v="Study Not Started"/>
    <s v="NRIS"/>
    <s v="GILMORE - WILSON 161.0kV"/>
    <n v="300"/>
    <n v="300"/>
    <x v="5"/>
    <s v="Photovoltaic"/>
    <m/>
    <m/>
    <n v="0"/>
    <n v="0"/>
    <n v="0"/>
    <n v="0"/>
  </r>
  <r>
    <s v="J3576"/>
    <x v="1"/>
    <d v="2024-04-18T00:00:00"/>
    <d v="2025-12-23T00:00:00"/>
    <m/>
    <d v="2028-04-01T00:00:00"/>
    <s v="ENTERGY MISSISSIPPI, LLC."/>
    <s v="Walthall"/>
    <m/>
    <m/>
    <s v="MS"/>
    <s v="DPP-2023"/>
    <s v="South"/>
    <s v="Study Not Started"/>
    <s v="ERIS"/>
    <s v="BOGALUSA 500 SS - FRANKLIN EHV 500.0kV"/>
    <n v="300"/>
    <n v="300"/>
    <x v="0"/>
    <s v="Photovoltaic"/>
    <m/>
    <m/>
    <n v="0"/>
    <n v="0"/>
    <n v="0"/>
    <n v="0"/>
  </r>
  <r>
    <s v="J3577"/>
    <x v="1"/>
    <d v="2024-04-18T00:00:00"/>
    <d v="2025-12-23T00:00:00"/>
    <m/>
    <d v="2028-11-15T00:00:00"/>
    <s v="ENTERGY MISSISSIPPI, LLC."/>
    <s v="Simpson"/>
    <m/>
    <m/>
    <s v="MS"/>
    <s v="DPP-2023"/>
    <s v="South"/>
    <s v="Study Not Started"/>
    <s v="NRIS"/>
    <s v="MAGEE - NEW HEBRON 115.0kV"/>
    <n v="120"/>
    <n v="120"/>
    <x v="0"/>
    <s v="Photovoltaic"/>
    <m/>
    <m/>
    <n v="0"/>
    <n v="0"/>
    <n v="0"/>
    <n v="0"/>
  </r>
  <r>
    <s v="J3578"/>
    <x v="1"/>
    <d v="2024-04-09T00:00:00"/>
    <d v="2025-12-23T00:00:00"/>
    <m/>
    <d v="2027-04-15T00:00:00"/>
    <s v="ARKANSAS ELECTRIC COOPERATIVE CORPORATION"/>
    <s v="Greene"/>
    <m/>
    <m/>
    <s v="AR"/>
    <s v="DPP-2023"/>
    <s v="South"/>
    <s v="Study Not Started"/>
    <s v="NRIS"/>
    <s v="Gainesville Switching Station"/>
    <n v="100"/>
    <n v="100"/>
    <x v="0"/>
    <s v="Photovoltaic"/>
    <m/>
    <m/>
    <n v="0"/>
    <n v="0"/>
    <n v="0"/>
    <n v="0"/>
  </r>
  <r>
    <s v="J3579"/>
    <x v="1"/>
    <d v="2024-04-17T00:00:00"/>
    <d v="2025-12-23T00:00:00"/>
    <m/>
    <d v="2028-12-31T00:00:00"/>
    <s v="ENTERGY ARKANSAS, LLC"/>
    <s v="Lee"/>
    <m/>
    <m/>
    <s v="AR"/>
    <s v="DPP-2023"/>
    <s v="South"/>
    <s v="Study Not Started"/>
    <s v="NRIS"/>
    <s v="MARIANNA WEST SS - MARIANNA 115.0kV"/>
    <n v="135"/>
    <n v="135"/>
    <x v="0"/>
    <s v="Photovoltaic"/>
    <m/>
    <m/>
    <n v="0"/>
    <n v="0"/>
    <n v="0"/>
    <n v="0"/>
  </r>
  <r>
    <s v="J3580"/>
    <x v="1"/>
    <d v="2024-04-18T00:00:00"/>
    <d v="2025-05-23T00:00:00"/>
    <m/>
    <d v="2028-05-31T00:00:00"/>
    <s v="ARKANSAS ELECTRIC COOPERATIVE CORPORATION"/>
    <s v="Mississippi"/>
    <m/>
    <m/>
    <s v="AR"/>
    <s v="DPP-2023"/>
    <s v="South"/>
    <s v="Study Not Started"/>
    <s v="NRIS"/>
    <s v="AECC Dell 161kV - Nucor-Yamato 161kV Switching Station 161.0kV"/>
    <n v="250"/>
    <n v="250"/>
    <x v="2"/>
    <s v="Battery Storage"/>
    <m/>
    <m/>
    <n v="0"/>
    <n v="0"/>
    <n v="0"/>
    <n v="0"/>
  </r>
  <r>
    <s v="J3581"/>
    <x v="1"/>
    <d v="2024-04-18T00:00:00"/>
    <d v="2025-05-23T00:00:00"/>
    <m/>
    <d v="2028-05-31T00:00:00"/>
    <s v="CLECO POWER LLC"/>
    <s v="Avoyelles"/>
    <m/>
    <m/>
    <s v="LA"/>
    <s v="DPP-2023"/>
    <s v="South"/>
    <s v="Study Not Started"/>
    <s v="NRIS"/>
    <s v="Eola - Marksville 138.0kV"/>
    <n v="200"/>
    <n v="200"/>
    <x v="2"/>
    <s v="Battery Storage"/>
    <m/>
    <m/>
    <n v="0"/>
    <n v="0"/>
    <n v="0"/>
    <n v="0"/>
  </r>
  <r>
    <s v="J3582"/>
    <x v="1"/>
    <d v="2024-04-18T00:00:00"/>
    <d v="2024-10-17T00:00:00"/>
    <m/>
    <d v="2028-08-01T00:00:00"/>
    <s v="CLECO POWER LLC"/>
    <s v="Beauregard"/>
    <m/>
    <m/>
    <s v="LA"/>
    <s v="DPP-2023"/>
    <s v="South"/>
    <s v="Study Not Started"/>
    <s v="NRIS"/>
    <s v="Longville - Nelson (EES) 138.0kV"/>
    <n v="150"/>
    <n v="150"/>
    <x v="5"/>
    <s v="Solar/Battery"/>
    <s v="Withdrawn"/>
    <m/>
    <n v="0"/>
    <n v="0"/>
    <n v="0"/>
    <n v="0"/>
  </r>
  <r>
    <s v="J3583"/>
    <x v="1"/>
    <d v="2024-04-18T00:00:00"/>
    <d v="2025-12-23T00:00:00"/>
    <m/>
    <d v="2028-08-01T00:00:00"/>
    <s v="ENTERGY ARKANSAS, LLC"/>
    <s v="Lonoke"/>
    <m/>
    <m/>
    <s v="AR"/>
    <s v="DPP-2023"/>
    <s v="South"/>
    <s v="Study Not Started"/>
    <s v="NRIS"/>
    <s v="HOLLAND BOTTOM - KEO EHV 500.0kV"/>
    <n v="300"/>
    <n v="300"/>
    <x v="5"/>
    <s v="Solar/Battery"/>
    <m/>
    <m/>
    <n v="0"/>
    <n v="0"/>
    <n v="0"/>
    <n v="0"/>
  </r>
  <r>
    <s v="J3584"/>
    <x v="1"/>
    <d v="2024-04-17T00:00:00"/>
    <d v="2025-03-28T00:00:00"/>
    <m/>
    <d v="2028-08-01T00:00:00"/>
    <s v="ENTERGY ARKANSAS, LLC"/>
    <s v="Lee"/>
    <m/>
    <m/>
    <s v="AR"/>
    <s v="DPP-2023"/>
    <s v="South"/>
    <s v="Study Not Started"/>
    <s v="NRIS"/>
    <s v="BRINKLEY EAST - AECC AUBREY 230.0kV"/>
    <n v="215"/>
    <n v="215"/>
    <x v="5"/>
    <s v="Battery Storage"/>
    <m/>
    <m/>
    <n v="0"/>
    <n v="0"/>
    <n v="0"/>
    <n v="0"/>
  </r>
  <r>
    <s v="J3585"/>
    <x v="1"/>
    <d v="2024-04-17T00:00:00"/>
    <d v="2025-09-24T00:00:00"/>
    <m/>
    <d v="2028-09-30T00:00:00"/>
    <s v="ENTERGY TEXAS, INC."/>
    <s v="Sabine"/>
    <m/>
    <m/>
    <s v="LA"/>
    <s v="DPP-2023"/>
    <s v="South"/>
    <s v="Study Not Started"/>
    <s v="ERIS"/>
    <s v="HARTBURG - AEP LAYFIELD 500.0kV"/>
    <n v="150"/>
    <n v="150"/>
    <x v="2"/>
    <s v="Battery Storage"/>
    <m/>
    <m/>
    <n v="0"/>
    <n v="0"/>
    <n v="0"/>
    <n v="0"/>
  </r>
  <r>
    <s v="J3586"/>
    <x v="2"/>
    <d v="2024-04-18T00:00:00"/>
    <m/>
    <m/>
    <d v="2028-01-01T00:00:00"/>
    <s v="ENTERGY TEXAS, INC. ETTO"/>
    <s v="Montgomery"/>
    <m/>
    <m/>
    <s v="TX"/>
    <s v="DPP-2023"/>
    <s v="South"/>
    <s v="Study Not Started"/>
    <s v="NRIS"/>
    <s v="JACINTO - PEACH CREEK 230.0kV"/>
    <n v="205.8"/>
    <n v="205.8"/>
    <x v="0"/>
    <s v="Solar/Battery"/>
    <m/>
    <m/>
    <n v="205.8"/>
    <n v="165"/>
    <n v="0"/>
    <n v="0"/>
  </r>
  <r>
    <s v="J3587"/>
    <x v="1"/>
    <d v="2024-04-18T00:00:00"/>
    <d v="2025-09-26T00:00:00"/>
    <m/>
    <d v="2027-07-01T00:00:00"/>
    <s v="ENTERGY TEXAS, INC."/>
    <s v="Jefferson"/>
    <m/>
    <m/>
    <s v="TX"/>
    <s v="DPP-2023"/>
    <s v="South"/>
    <s v="Study Not Started"/>
    <s v="NRIS-Only"/>
    <s v="PORT ACRES BULK"/>
    <n v="110"/>
    <n v="110"/>
    <x v="3"/>
    <s v="Co-gen"/>
    <m/>
    <m/>
    <n v="0"/>
    <n v="0"/>
    <n v="0"/>
    <n v="0"/>
  </r>
  <r>
    <s v="J3588"/>
    <x v="1"/>
    <d v="2024-04-17T00:00:00"/>
    <d v="2025-09-30T00:00:00"/>
    <m/>
    <d v="2028-09-30T00:00:00"/>
    <s v="ENTERGY ARKANSAS, LLC"/>
    <s v="Lawrence"/>
    <m/>
    <m/>
    <s v="AR"/>
    <s v="DPP-2023"/>
    <s v="South"/>
    <s v="Study Not Started"/>
    <s v="NRIS"/>
    <s v="J2733 Sub"/>
    <n v="100"/>
    <n v="100"/>
    <x v="0"/>
    <s v="Photovoltaic"/>
    <m/>
    <m/>
    <n v="0"/>
    <n v="0"/>
    <n v="0"/>
    <n v="0"/>
  </r>
  <r>
    <s v="J3589"/>
    <x v="1"/>
    <d v="2024-04-17T00:00:00"/>
    <d v="2025-09-30T00:00:00"/>
    <m/>
    <d v="2028-09-30T00:00:00"/>
    <s v="ENTERGY MISSISSIPPI, LLC."/>
    <s v="Lincoln"/>
    <m/>
    <m/>
    <s v="MS"/>
    <s v="DPP-2023"/>
    <s v="South"/>
    <s v="Study Not Started"/>
    <s v="NRIS"/>
    <s v="FRANKLIN EHV - MCCOMB 115.0kV"/>
    <n v="160"/>
    <n v="160"/>
    <x v="0"/>
    <s v="Photovoltaic"/>
    <m/>
    <m/>
    <n v="0"/>
    <n v="0"/>
    <n v="0"/>
    <n v="0"/>
  </r>
  <r>
    <s v="J3590"/>
    <x v="2"/>
    <d v="2024-04-17T00:00:00"/>
    <m/>
    <m/>
    <d v="2028-12-31T00:00:00"/>
    <s v="ENTERGY MISSISSIPPI, LLC. EMTO"/>
    <s v="Humphreys"/>
    <m/>
    <m/>
    <s v="MS"/>
    <s v="DPP-2023"/>
    <s v="South"/>
    <s v="Study Not Started"/>
    <s v="NRIS"/>
    <s v="BELZONI - BELZONI TAP SS 115.0kV"/>
    <n v="75"/>
    <n v="75"/>
    <x v="0"/>
    <s v="Photovoltaic"/>
    <m/>
    <m/>
    <n v="75"/>
    <n v="75"/>
    <n v="0"/>
    <n v="0"/>
  </r>
  <r>
    <s v="J3591"/>
    <x v="1"/>
    <d v="2024-04-17T00:00:00"/>
    <d v="2025-12-29T00:00:00"/>
    <m/>
    <d v="2028-08-31T00:00:00"/>
    <s v="ENTERGY LOUISIANA, LLC"/>
    <s v="St. Helena"/>
    <m/>
    <m/>
    <s v="LA"/>
    <s v="DPP-2023"/>
    <s v="South"/>
    <s v="Study Not Started"/>
    <s v="NRIS"/>
    <s v="MCKNIGHT - PLANT DANIEL 500.0kV"/>
    <n v="400"/>
    <n v="400"/>
    <x v="5"/>
    <s v="Solar/Battery"/>
    <m/>
    <m/>
    <n v="400"/>
    <n v="400"/>
    <n v="0"/>
    <n v="0"/>
  </r>
  <r>
    <s v="J3592"/>
    <x v="2"/>
    <d v="2024-04-18T00:00:00"/>
    <m/>
    <m/>
    <d v="2028-04-01T00:00:00"/>
    <s v="ENTERGY MISSISSIPPI, LLC. EMTO"/>
    <s v="Sunflower"/>
    <m/>
    <m/>
    <s v="MS"/>
    <s v="DPP-2023"/>
    <s v="South"/>
    <s v="Study Not Started"/>
    <s v="NRIS"/>
    <s v="INDIANOLA 230/115 SUB - TILLATOBA 230.0kV"/>
    <n v="57"/>
    <n v="57"/>
    <x v="1"/>
    <s v="Wind Turbine"/>
    <m/>
    <m/>
    <n v="57"/>
    <n v="37"/>
    <n v="0"/>
    <n v="0"/>
  </r>
  <r>
    <s v="J3593"/>
    <x v="1"/>
    <d v="2024-04-18T00:00:00"/>
    <d v="2025-10-01T00:00:00"/>
    <m/>
    <d v="2028-03-01T00:00:00"/>
    <s v="DUKE ENERGY INDIANA, LLC"/>
    <s v="Clay"/>
    <m/>
    <m/>
    <s v="IN"/>
    <s v="DPP-2023"/>
    <s v="Central"/>
    <s v="Study Not Started"/>
    <s v="NRIS"/>
    <s v="Wabash River  -  Staunton 230.0kV"/>
    <n v="250"/>
    <n v="250"/>
    <x v="5"/>
    <s v="Solar/Battery"/>
    <m/>
    <m/>
    <n v="0"/>
    <n v="0"/>
    <n v="0"/>
    <n v="0"/>
  </r>
  <r>
    <s v="J3594"/>
    <x v="1"/>
    <d v="2024-04-17T00:00:00"/>
    <d v="2024-09-10T00:00:00"/>
    <m/>
    <d v="2026-12-30T00:00:00"/>
    <s v="ENTERGY LOUISIANA, LLC"/>
    <s v="Jefferson Davis"/>
    <m/>
    <m/>
    <s v="LA"/>
    <s v="DPP-2023"/>
    <s v="South"/>
    <s v="Study Not Started"/>
    <s v="NRIS"/>
    <s v="ELTON - COMPTON TAP 69.0kV"/>
    <n v="100"/>
    <n v="100"/>
    <x v="0"/>
    <s v="Photovoltaic"/>
    <m/>
    <m/>
    <n v="0"/>
    <n v="0"/>
    <n v="0"/>
    <n v="0"/>
  </r>
  <r>
    <s v="J3595"/>
    <x v="1"/>
    <d v="2024-04-18T00:00:00"/>
    <d v="2025-12-23T00:00:00"/>
    <m/>
    <d v="2028-09-02T00:00:00"/>
    <s v="ENTERGY MISSISSIPPI, LLC."/>
    <s v="Sunflower"/>
    <m/>
    <m/>
    <s v="MS"/>
    <s v="DPP-2023"/>
    <s v="South"/>
    <s v="Study Not Started"/>
    <s v="NRIS"/>
    <s v="INDIANOLA 230/115 SUB - TILLATOBA 230.0kV"/>
    <n v="230"/>
    <n v="230"/>
    <x v="0"/>
    <s v="Photovoltaic"/>
    <m/>
    <m/>
    <n v="0"/>
    <n v="0"/>
    <n v="0"/>
    <n v="0"/>
  </r>
  <r>
    <s v="J3596"/>
    <x v="1"/>
    <d v="2024-04-19T00:00:00"/>
    <d v="2025-04-17T00:00:00"/>
    <m/>
    <d v="2029-07-02T00:00:00"/>
    <s v="ENTERGY TEXAS, INC."/>
    <s v="Harris"/>
    <m/>
    <m/>
    <s v="TX"/>
    <s v="DPP-2025"/>
    <s v="South"/>
    <s v="Phase 1"/>
    <s v="NRIS"/>
    <s v="BEVIL - CYPRESS 230.0kV"/>
    <n v="460"/>
    <n v="460"/>
    <x v="0"/>
    <s v="Photovoltaic"/>
    <m/>
    <m/>
    <n v="0"/>
    <n v="0"/>
    <n v="0"/>
    <n v="0"/>
  </r>
  <r>
    <s v="J3597"/>
    <x v="2"/>
    <d v="2024-04-18T00:00:00"/>
    <m/>
    <m/>
    <d v="2028-04-01T00:00:00"/>
    <s v="ENTERGY ARKANSAS, LLC EATO"/>
    <s v="Lonoke"/>
    <m/>
    <m/>
    <s v="AR"/>
    <s v="DPP-2023"/>
    <s v="South"/>
    <s v="Study Not Started"/>
    <s v="NRIS"/>
    <s v="WEST MEMPHIS EHV - KEO EHV 500.0kV"/>
    <n v="348"/>
    <n v="348"/>
    <x v="1"/>
    <s v="Wind Turbine"/>
    <m/>
    <m/>
    <n v="348"/>
    <n v="226"/>
    <n v="0"/>
    <n v="0"/>
  </r>
  <r>
    <s v="J3598"/>
    <x v="1"/>
    <d v="2024-04-17T00:00:00"/>
    <d v="2025-02-19T00:00:00"/>
    <m/>
    <d v="2028-04-01T00:00:00"/>
    <s v="AMEREN ILLINOIS"/>
    <s v="McLean"/>
    <m/>
    <m/>
    <s v="IL"/>
    <s v="DPP-2023"/>
    <s v="Central"/>
    <s v="Study Not Started"/>
    <s v="NRIS"/>
    <s v="Other_"/>
    <n v="9"/>
    <n v="9"/>
    <x v="1"/>
    <s v="Wind Turbine"/>
    <m/>
    <m/>
    <n v="0"/>
    <n v="0"/>
    <n v="0"/>
    <n v="0"/>
  </r>
  <r>
    <s v="J3599"/>
    <x v="1"/>
    <d v="2024-04-10T00:00:00"/>
    <d v="2025-09-29T00:00:00"/>
    <m/>
    <d v="2027-06-01T00:00:00"/>
    <s v="ARKANSAS ELECTRIC COOPERATIVE CORPORATION"/>
    <s v="Craighead"/>
    <m/>
    <m/>
    <s v="AR"/>
    <s v="DPP-2023"/>
    <s v="South"/>
    <s v="Study Not Started"/>
    <s v="ERIS"/>
    <s v="Lunsford"/>
    <n v="60"/>
    <n v="60"/>
    <x v="0"/>
    <s v="Photovoltaic"/>
    <m/>
    <m/>
    <n v="0"/>
    <n v="0"/>
    <n v="0"/>
    <n v="0"/>
  </r>
  <r>
    <s v="J3600"/>
    <x v="1"/>
    <d v="2024-04-16T00:00:00"/>
    <d v="2025-09-29T00:00:00"/>
    <m/>
    <d v="2028-09-01T00:00:00"/>
    <s v="ENTERGY LOUISIANA, LLC"/>
    <s v="Morehouse"/>
    <m/>
    <m/>
    <s v="LA"/>
    <s v="DPP-2023"/>
    <s v="South"/>
    <s v="Study Not Started"/>
    <s v="NRIS"/>
    <s v="OAK RIDGE (LA) - SWARTZ 115.0kV"/>
    <n v="50"/>
    <n v="50"/>
    <x v="2"/>
    <s v="Battery Storage"/>
    <m/>
    <m/>
    <n v="0"/>
    <n v="0"/>
    <n v="0"/>
    <n v="0"/>
  </r>
  <r>
    <s v="J3601"/>
    <x v="2"/>
    <d v="2024-04-16T00:00:00"/>
    <m/>
    <m/>
    <d v="2028-09-01T00:00:00"/>
    <s v="ENTERGY LOUISIANA, LLC ELTO"/>
    <s v="Morehouse"/>
    <m/>
    <m/>
    <s v="LA"/>
    <s v="DPP-2023"/>
    <s v="South"/>
    <s v="Study Not Started"/>
    <s v="NRIS"/>
    <s v="OAK RIDGE (LA) - SWARTZ 115.0kV"/>
    <n v="200"/>
    <n v="200"/>
    <x v="0"/>
    <s v="Photovoltaic"/>
    <m/>
    <m/>
    <n v="200"/>
    <n v="0"/>
    <n v="0"/>
    <n v="0"/>
  </r>
  <r>
    <s v="J3602"/>
    <x v="2"/>
    <d v="2024-04-17T00:00:00"/>
    <m/>
    <m/>
    <d v="2028-04-01T00:00:00"/>
    <s v="AMEREN ILLINOIS"/>
    <s v="McLean"/>
    <m/>
    <m/>
    <s v="IL"/>
    <s v="DPP-2023"/>
    <s v="Central"/>
    <s v="Study Not Started"/>
    <s v="NRIS"/>
    <s v="Other_"/>
    <n v="110"/>
    <n v="110"/>
    <x v="1"/>
    <s v="Wind Turbine"/>
    <m/>
    <m/>
    <n v="110"/>
    <n v="110"/>
    <n v="0"/>
    <n v="0"/>
  </r>
  <r>
    <s v="J3603"/>
    <x v="1"/>
    <d v="2024-04-16T00:00:00"/>
    <d v="2025-12-23T00:00:00"/>
    <m/>
    <d v="2028-09-15T00:00:00"/>
    <s v="ENTERGY LOUISIANA, LLC"/>
    <s v="Morehouse"/>
    <m/>
    <m/>
    <s v="LA"/>
    <s v="DPP-2023"/>
    <s v="South"/>
    <s v="Study Not Started"/>
    <s v="NRIS"/>
    <s v="OAK RIDGE (LA) - STERLINGTON 115 SWYD 115.0kV"/>
    <n v="175"/>
    <n v="175"/>
    <x v="0"/>
    <s v="Photovoltaic"/>
    <m/>
    <m/>
    <n v="0"/>
    <n v="0"/>
    <n v="0"/>
    <n v="0"/>
  </r>
  <r>
    <s v="J3604"/>
    <x v="2"/>
    <d v="2024-04-18T00:00:00"/>
    <m/>
    <m/>
    <d v="2027-09-01T00:00:00"/>
    <s v="DUKE ENERGY INDIANA, LLC CIN"/>
    <s v="Sullivan"/>
    <m/>
    <m/>
    <s v="IN"/>
    <s v="DPP-2023"/>
    <s v="Central"/>
    <s v="Study Not Started"/>
    <s v="NRIS"/>
    <s v="Merom (HED) -  Dresser 345.0kV"/>
    <n v="650"/>
    <n v="650"/>
    <x v="3"/>
    <s v="Combined Cycle"/>
    <m/>
    <m/>
    <n v="650"/>
    <n v="650"/>
    <n v="0"/>
    <n v="0"/>
  </r>
  <r>
    <s v="J3605"/>
    <x v="1"/>
    <d v="2024-04-17T00:00:00"/>
    <d v="2025-09-24T00:00:00"/>
    <m/>
    <d v="2027-10-15T00:00:00"/>
    <s v="ENTERGY TEXAS, INC."/>
    <s v="Liberty"/>
    <m/>
    <m/>
    <s v="TX"/>
    <s v="DPP-2023"/>
    <s v="South"/>
    <s v="Study Not Started"/>
    <s v="NRIS"/>
    <s v="JACINTO"/>
    <n v="430"/>
    <n v="465"/>
    <x v="3"/>
    <s v="Combustion Turbine (Simple Cycle)"/>
    <m/>
    <m/>
    <n v="0"/>
    <n v="0"/>
    <n v="0"/>
    <n v="0"/>
  </r>
  <r>
    <s v="J3606"/>
    <x v="1"/>
    <d v="2024-04-18T00:00:00"/>
    <d v="2025-12-23T00:00:00"/>
    <m/>
    <d v="2028-01-01T00:00:00"/>
    <s v="ENTERGY ARKANSAS, LLC"/>
    <s v="Cross"/>
    <m/>
    <m/>
    <s v="AR"/>
    <s v="DPP-2023"/>
    <s v="South"/>
    <s v="Study Not Started"/>
    <s v="NRIS"/>
    <s v="PARKIN - KUHN ROAD 161.0kV"/>
    <n v="197.7"/>
    <n v="197.7"/>
    <x v="5"/>
    <s v="Solar/Battery"/>
    <m/>
    <m/>
    <n v="0"/>
    <n v="0"/>
    <n v="0"/>
    <n v="0"/>
  </r>
  <r>
    <s v="J3607"/>
    <x v="1"/>
    <d v="2024-04-18T00:00:00"/>
    <d v="2025-09-26T00:00:00"/>
    <m/>
    <d v="2028-07-01T00:00:00"/>
    <s v="DUKE ENERGY INDIANA, LLC"/>
    <s v="Henry"/>
    <m/>
    <m/>
    <s v="IN"/>
    <s v="DPP-2023"/>
    <s v="Central"/>
    <s v="Study Not Started"/>
    <s v="NRIS"/>
    <s v="New Castle I Avenue"/>
    <n v="47.4"/>
    <n v="47.4"/>
    <x v="0"/>
    <s v="Photovoltaic"/>
    <m/>
    <m/>
    <n v="0"/>
    <n v="0"/>
    <n v="0"/>
    <n v="0"/>
  </r>
  <r>
    <s v="J3608"/>
    <x v="1"/>
    <d v="2024-04-18T00:00:00"/>
    <d v="2025-09-26T00:00:00"/>
    <m/>
    <d v="2028-07-01T00:00:00"/>
    <s v="DUKE ENERGY INDIANA, LLC"/>
    <s v="Henry"/>
    <m/>
    <m/>
    <s v="IN"/>
    <s v="DPP-2023"/>
    <s v="Central"/>
    <s v="Study Not Started"/>
    <s v="NRIS"/>
    <s v="New Castle I Avenue"/>
    <n v="77.599999999999994"/>
    <n v="77.599999999999994"/>
    <x v="0"/>
    <s v="Photovoltaic"/>
    <m/>
    <m/>
    <n v="0"/>
    <n v="0"/>
    <n v="0"/>
    <n v="0"/>
  </r>
  <r>
    <s v="J3609"/>
    <x v="1"/>
    <d v="2024-04-02T00:00:00"/>
    <d v="2025-09-30T00:00:00"/>
    <m/>
    <d v="2027-12-27T00:00:00"/>
    <s v="ENTERGY LOUISIANA, LLC"/>
    <s v="Beauregard"/>
    <m/>
    <m/>
    <s v="LA"/>
    <s v="DPP-2023"/>
    <s v="South"/>
    <s v="Study Not Started"/>
    <s v="ERIS"/>
    <s v="NELSON 138 SWYD - LONGVILLE (CLECO) 138.0kV"/>
    <n v="93.1"/>
    <n v="93.1"/>
    <x v="0"/>
    <s v="Solar/Battery"/>
    <m/>
    <m/>
    <n v="0"/>
    <n v="0"/>
    <n v="0"/>
    <n v="0"/>
  </r>
  <r>
    <s v="J3610"/>
    <x v="1"/>
    <d v="2024-04-18T00:00:00"/>
    <d v="2025-03-25T00:00:00"/>
    <m/>
    <d v="2028-06-30T00:00:00"/>
    <s v="ENTERGY TEXAS, INC."/>
    <s v="Tyler"/>
    <m/>
    <m/>
    <s v="TX"/>
    <s v="DPP-2023"/>
    <s v="South"/>
    <s v="Study Not Started"/>
    <s v="NRIS"/>
    <s v="DOUCETTE"/>
    <n v="150"/>
    <n v="150"/>
    <x v="0"/>
    <s v="Photovoltaic"/>
    <m/>
    <m/>
    <n v="0"/>
    <n v="0"/>
    <n v="0"/>
    <n v="0"/>
  </r>
  <r>
    <s v="J3611"/>
    <x v="2"/>
    <d v="2024-04-18T00:00:00"/>
    <m/>
    <m/>
    <d v="2026-12-30T00:00:00"/>
    <s v="AMEREN ILLINOIS"/>
    <s v="Hamilton"/>
    <m/>
    <m/>
    <s v="IL"/>
    <s v="DPP-2023"/>
    <s v="Central"/>
    <s v="Study Not Started"/>
    <s v="NRIS"/>
    <s v="7W_FRFT_E - 7NORRIS   345.0kV"/>
    <n v="140"/>
    <n v="140"/>
    <x v="0"/>
    <s v="Photovoltaic"/>
    <m/>
    <m/>
    <n v="140"/>
    <n v="140"/>
    <n v="0"/>
    <n v="0"/>
  </r>
  <r>
    <s v="J3612"/>
    <x v="1"/>
    <d v="2024-04-17T00:00:00"/>
    <d v="2025-09-24T00:00:00"/>
    <m/>
    <d v="2028-09-30T00:00:00"/>
    <s v="CLECO POWER LLC"/>
    <s v="Sabine"/>
    <m/>
    <m/>
    <s v="LA"/>
    <s v="DPP-2023"/>
    <s v="South"/>
    <s v="Study Not Started"/>
    <s v="NRIS"/>
    <s v="Fisher - Many 138.0kV"/>
    <n v="200"/>
    <n v="200"/>
    <x v="0"/>
    <s v="Photovoltaic"/>
    <m/>
    <m/>
    <n v="0"/>
    <n v="0"/>
    <n v="0"/>
    <n v="0"/>
  </r>
  <r>
    <s v="J3613"/>
    <x v="1"/>
    <d v="2024-04-16T00:00:00"/>
    <d v="2025-12-23T00:00:00"/>
    <m/>
    <d v="2028-09-30T00:00:00"/>
    <s v="ENTERGY ARKANSAS, LLC"/>
    <s v="Ashley"/>
    <m/>
    <m/>
    <s v="AR"/>
    <s v="DPP-2023"/>
    <s v="South"/>
    <s v="Study Not Started"/>
    <s v="NRIS"/>
    <s v="CROSSETT NORTH - HAMBURG 115.0kV"/>
    <n v="180"/>
    <n v="180"/>
    <x v="0"/>
    <s v="Photovoltaic"/>
    <m/>
    <m/>
    <n v="0"/>
    <n v="0"/>
    <n v="0"/>
    <n v="0"/>
  </r>
  <r>
    <s v="J3614"/>
    <x v="1"/>
    <d v="2024-04-16T00:00:00"/>
    <d v="2025-12-23T00:00:00"/>
    <m/>
    <d v="2028-09-30T00:00:00"/>
    <s v="ENTERGY ARKANSAS, LLC"/>
    <s v="Ashley"/>
    <m/>
    <m/>
    <s v="AR"/>
    <s v="DPP-2023"/>
    <s v="South"/>
    <s v="Study Not Started"/>
    <s v="NRIS"/>
    <s v="CROSSETT NORTH - HAMBURG 115.0kV"/>
    <n v="180"/>
    <n v="180"/>
    <x v="2"/>
    <s v="Battery Storage"/>
    <m/>
    <m/>
    <n v="0"/>
    <n v="0"/>
    <n v="0"/>
    <n v="0"/>
  </r>
  <r>
    <s v="J3615"/>
    <x v="1"/>
    <d v="2024-04-16T00:00:00"/>
    <d v="2025-12-23T00:00:00"/>
    <m/>
    <d v="2028-09-30T00:00:00"/>
    <s v="ENTERGY ARKANSAS, LLC"/>
    <s v="Arkansas"/>
    <m/>
    <m/>
    <s v="AR"/>
    <s v="DPP-2023"/>
    <s v="South"/>
    <s v="Study Not Started"/>
    <s v="NRIS"/>
    <s v="STUTTGART NORTH SS - STUTTGART RICUSKEY 115.0kV"/>
    <n v="125"/>
    <n v="125"/>
    <x v="0"/>
    <s v="Photovoltaic"/>
    <m/>
    <m/>
    <n v="0"/>
    <n v="0"/>
    <n v="0"/>
    <n v="0"/>
  </r>
  <r>
    <s v="J3616"/>
    <x v="1"/>
    <d v="2024-04-16T00:00:00"/>
    <d v="2025-12-23T00:00:00"/>
    <m/>
    <d v="2028-09-30T00:00:00"/>
    <s v="ENTERGY ARKANSAS, LLC"/>
    <s v="Arkansas"/>
    <m/>
    <m/>
    <s v="AR"/>
    <s v="DPP-2023"/>
    <s v="South"/>
    <s v="Study Not Started"/>
    <s v="NRIS"/>
    <s v="STUTTGART NORTH SS - STUTTGART RICUSKEY 115.0kV"/>
    <n v="125"/>
    <n v="125"/>
    <x v="2"/>
    <s v="Battery Storage"/>
    <m/>
    <m/>
    <n v="0"/>
    <n v="0"/>
    <n v="0"/>
    <n v="0"/>
  </r>
  <r>
    <s v="J3617"/>
    <x v="1"/>
    <d v="2024-04-16T00:00:00"/>
    <d v="2025-12-23T00:00:00"/>
    <m/>
    <d v="2028-09-30T00:00:00"/>
    <s v="ENTERGY ARKANSAS, LLC"/>
    <s v="Clay"/>
    <m/>
    <m/>
    <s v="AR"/>
    <s v="DPP-2023"/>
    <s v="South"/>
    <s v="Study Not Started"/>
    <s v="NRIS"/>
    <s v="DATTO"/>
    <n v="150"/>
    <n v="150"/>
    <x v="0"/>
    <s v="Photovoltaic"/>
    <m/>
    <m/>
    <n v="0"/>
    <n v="0"/>
    <n v="0"/>
    <n v="0"/>
  </r>
  <r>
    <s v="J3618"/>
    <x v="1"/>
    <d v="2024-04-16T00:00:00"/>
    <d v="2025-12-23T00:00:00"/>
    <m/>
    <d v="2028-09-30T00:00:00"/>
    <s v="ENTERGY ARKANSAS, LLC"/>
    <s v="Clay"/>
    <m/>
    <m/>
    <s v="AR"/>
    <s v="DPP-2023"/>
    <s v="South"/>
    <s v="Study Not Started"/>
    <s v="NRIS"/>
    <s v="DATTO"/>
    <n v="150"/>
    <n v="150"/>
    <x v="2"/>
    <s v="Battery Storage"/>
    <m/>
    <m/>
    <n v="0"/>
    <n v="0"/>
    <n v="0"/>
    <n v="0"/>
  </r>
  <r>
    <s v="J3619"/>
    <x v="2"/>
    <d v="2024-04-16T00:00:00"/>
    <m/>
    <m/>
    <d v="2028-09-30T00:00:00"/>
    <s v="ENTERGY ARKANSAS, LLC EATO"/>
    <s v="Mississippi"/>
    <m/>
    <m/>
    <s v="AR"/>
    <s v="DPP-2023"/>
    <s v="South"/>
    <s v="Study Not Started"/>
    <s v="NRIS"/>
    <s v="MONETTE JUNCTION - PARAGOULD 161.0kV"/>
    <n v="150"/>
    <n v="150"/>
    <x v="0"/>
    <s v="Photovoltaic"/>
    <m/>
    <m/>
    <n v="150"/>
    <n v="150"/>
    <n v="0"/>
    <n v="0"/>
  </r>
  <r>
    <s v="J3620"/>
    <x v="1"/>
    <d v="2024-04-16T00:00:00"/>
    <d v="2025-12-23T00:00:00"/>
    <m/>
    <d v="2028-09-30T00:00:00"/>
    <s v="ENTERGY ARKANSAS, LLC"/>
    <s v="Mississippi"/>
    <m/>
    <m/>
    <s v="AR"/>
    <s v="DPP-2023"/>
    <s v="South"/>
    <s v="Study Not Started"/>
    <s v="NRIS"/>
    <s v="MONETTE JUNCTION - PARAGOULD 161.0kV"/>
    <n v="150"/>
    <n v="150"/>
    <x v="2"/>
    <s v="Battery Storage"/>
    <m/>
    <m/>
    <n v="0"/>
    <n v="0"/>
    <n v="0"/>
    <n v="0"/>
  </r>
  <r>
    <s v="J3621"/>
    <x v="1"/>
    <d v="2024-04-16T00:00:00"/>
    <d v="2025-09-24T00:00:00"/>
    <m/>
    <d v="2028-09-30T00:00:00"/>
    <s v="ENTERGY ARKANSAS, LLC"/>
    <s v="Craighead"/>
    <m/>
    <m/>
    <s v="AR"/>
    <s v="DPP-2023"/>
    <s v="South"/>
    <s v="Study Not Started"/>
    <s v="NRIS"/>
    <s v="HERGETT - POWERLINE ROAD 161.0kV"/>
    <n v="150"/>
    <n v="150"/>
    <x v="0"/>
    <s v="Photovoltaic"/>
    <m/>
    <m/>
    <n v="0"/>
    <n v="0"/>
    <n v="0"/>
    <n v="0"/>
  </r>
  <r>
    <s v="J3622"/>
    <x v="1"/>
    <d v="2024-04-16T00:00:00"/>
    <d v="2025-09-24T00:00:00"/>
    <m/>
    <d v="2028-09-30T00:00:00"/>
    <s v="ENTERGY ARKANSAS, LLC"/>
    <s v="Craighead"/>
    <m/>
    <m/>
    <s v="AR"/>
    <s v="DPP-2023"/>
    <s v="South"/>
    <s v="Study Not Started"/>
    <s v="NRIS"/>
    <s v="HERGETT - POWERLINE ROAD 161.0kV"/>
    <n v="150"/>
    <n v="150"/>
    <x v="2"/>
    <s v="Battery Storage"/>
    <m/>
    <m/>
    <n v="0"/>
    <n v="0"/>
    <n v="0"/>
    <n v="0"/>
  </r>
  <r>
    <s v="J3623"/>
    <x v="2"/>
    <d v="2024-04-17T00:00:00"/>
    <m/>
    <m/>
    <d v="2028-09-01T00:00:00"/>
    <s v="ENTERGY MISSISSIPPI, LLC. EMTO"/>
    <s v="Sunflower"/>
    <m/>
    <m/>
    <s v="MS"/>
    <s v="DPP-2023"/>
    <s v="South"/>
    <s v="Study Not Started"/>
    <s v="NRIS"/>
    <s v="INDIANOLA 230/115 SUB - TILLATOBA 230.0kV"/>
    <n v="350"/>
    <n v="350"/>
    <x v="1"/>
    <s v="Wind Turbine"/>
    <m/>
    <m/>
    <n v="350"/>
    <n v="250"/>
    <n v="0"/>
    <n v="0"/>
  </r>
  <r>
    <s v="J3624"/>
    <x v="1"/>
    <d v="2024-04-18T00:00:00"/>
    <d v="2025-09-26T00:00:00"/>
    <m/>
    <d v="2028-09-30T00:00:00"/>
    <s v="ENTERGY ARKANSAS, LLC"/>
    <s v="Columbia"/>
    <m/>
    <m/>
    <s v="AR"/>
    <s v="DPP-2023"/>
    <s v="South"/>
    <s v="Study Not Started"/>
    <s v="NRIS"/>
    <s v="MAGNOLIA SOUTH - SHULER 115.0kV"/>
    <n v="155"/>
    <n v="155"/>
    <x v="0"/>
    <s v="Photovoltaic"/>
    <m/>
    <m/>
    <n v="0"/>
    <n v="0"/>
    <n v="0"/>
    <n v="0"/>
  </r>
  <r>
    <s v="J3625"/>
    <x v="1"/>
    <d v="2024-04-05T00:00:00"/>
    <d v="2025-09-26T00:00:00"/>
    <m/>
    <d v="2027-10-27T00:00:00"/>
    <s v="ENTERGY LOUISIANA, LLC"/>
    <s v="Winn"/>
    <m/>
    <m/>
    <s v="LA"/>
    <s v="DPP-2023"/>
    <s v="South"/>
    <s v="Study Not Started"/>
    <s v="NRIS"/>
    <s v="JELD WEN - WINNFIELD 115 SUB 115.0kV"/>
    <n v="82"/>
    <n v="82"/>
    <x v="5"/>
    <s v="Solar/Battery"/>
    <m/>
    <m/>
    <n v="0"/>
    <n v="0"/>
    <n v="0"/>
    <n v="0"/>
  </r>
  <r>
    <s v="J3626"/>
    <x v="1"/>
    <d v="2024-04-18T00:00:00"/>
    <d v="2025-09-30T00:00:00"/>
    <m/>
    <d v="2027-12-31T00:00:00"/>
    <s v="ENTERGY ARKANSAS, LLC"/>
    <s v="Craighead"/>
    <m/>
    <m/>
    <s v="AR"/>
    <s v="DPP-2023"/>
    <s v="South"/>
    <s v="Study Not Started"/>
    <s v="NRIS"/>
    <s v="INDEPENDENCE-ISES - POWERLINE ROAD 500.0kV"/>
    <n v="500"/>
    <n v="500"/>
    <x v="0"/>
    <s v="Photovoltaic"/>
    <m/>
    <m/>
    <n v="0"/>
    <n v="0"/>
    <n v="0"/>
    <n v="0"/>
  </r>
  <r>
    <s v="J3627"/>
    <x v="1"/>
    <d v="2024-04-18T00:00:00"/>
    <d v="2025-12-23T00:00:00"/>
    <m/>
    <d v="2027-12-31T00:00:00"/>
    <s v="ENTERGY ARKANSAS, LLC"/>
    <s v="Craighead"/>
    <m/>
    <m/>
    <s v="AR"/>
    <s v="DPP-2023"/>
    <s v="South"/>
    <s v="Study Not Started"/>
    <s v="NRIS"/>
    <s v="JONESBORO (APL) - CASH 161.0kV"/>
    <n v="200"/>
    <n v="200"/>
    <x v="0"/>
    <s v="Photovoltaic"/>
    <m/>
    <m/>
    <n v="0"/>
    <n v="0"/>
    <n v="0"/>
    <n v="0"/>
  </r>
  <r>
    <s v="J3628"/>
    <x v="1"/>
    <d v="2024-04-18T00:00:00"/>
    <d v="2025-09-26T00:00:00"/>
    <m/>
    <d v="2027-12-31T00:00:00"/>
    <s v="ENTERGY MISSISSIPPI, LLC."/>
    <s v="Jefferson"/>
    <m/>
    <m/>
    <s v="MS"/>
    <s v="DPP-2023"/>
    <s v="South"/>
    <s v="Study Not Started"/>
    <s v="NRIS"/>
    <s v="FRANKLIN EHV - GRAND GULF TRANSMISSION 500.0kV"/>
    <n v="200"/>
    <n v="200"/>
    <x v="0"/>
    <s v="Photovoltaic"/>
    <m/>
    <m/>
    <n v="0"/>
    <n v="0"/>
    <n v="0"/>
    <n v="0"/>
  </r>
  <r>
    <s v="J3629"/>
    <x v="1"/>
    <d v="2024-04-18T00:00:00"/>
    <d v="2025-09-30T00:00:00"/>
    <m/>
    <d v="2027-12-15T00:00:00"/>
    <s v="ENTERGY MISSISSIPPI, LLC."/>
    <s v="Bolivar"/>
    <m/>
    <m/>
    <s v="MS"/>
    <s v="DPP-2023"/>
    <s v="South"/>
    <s v="Study Not Started"/>
    <s v="NRIS"/>
    <s v="DELTA SWYD - DREW [MS] 115.0kV"/>
    <n v="210"/>
    <n v="210"/>
    <x v="5"/>
    <s v="Solar/Battery"/>
    <m/>
    <m/>
    <n v="0"/>
    <n v="0"/>
    <n v="0"/>
    <n v="0"/>
  </r>
  <r>
    <s v="J3630"/>
    <x v="2"/>
    <d v="2024-04-18T00:00:00"/>
    <m/>
    <m/>
    <d v="2028-06-15T00:00:00"/>
    <s v="ENTERGY LOUISIANA, LLC ELTO"/>
    <s v="East Feliciana"/>
    <m/>
    <m/>
    <s v="LA"/>
    <s v="DPP-2023"/>
    <s v="South"/>
    <s v="Study Not Started"/>
    <s v="NRIS"/>
    <s v="MOLER - COLFEL 230.0kV"/>
    <n v="77"/>
    <n v="77"/>
    <x v="5"/>
    <s v="Solar/Battery"/>
    <m/>
    <m/>
    <n v="77"/>
    <n v="77"/>
    <n v="0"/>
    <n v="0"/>
  </r>
  <r>
    <s v="J3631"/>
    <x v="1"/>
    <d v="2024-04-18T00:00:00"/>
    <d v="2025-10-27T00:00:00"/>
    <m/>
    <d v="2027-12-15T00:00:00"/>
    <s v="ENTERGY LOUISIANA, LLC"/>
    <s v="Vermilion"/>
    <m/>
    <m/>
    <s v="LA"/>
    <s v="DPP-2023"/>
    <s v="South"/>
    <s v="Study Not Started"/>
    <s v="NRIS"/>
    <s v="GUEYDAN TAP - MORSE 69.0kV"/>
    <n v="60"/>
    <n v="60"/>
    <x v="0"/>
    <s v="Photovoltaic"/>
    <m/>
    <m/>
    <n v="0"/>
    <n v="0"/>
    <n v="0"/>
    <n v="0"/>
  </r>
  <r>
    <s v="J3632"/>
    <x v="1"/>
    <d v="2024-04-17T00:00:00"/>
    <d v="2025-12-23T00:00:00"/>
    <m/>
    <d v="2028-07-30T00:00:00"/>
    <s v="ENTERGY ARKANSAS, LLC"/>
    <s v="Cleveland"/>
    <m/>
    <m/>
    <s v="AR"/>
    <s v="DPP-2023"/>
    <s v="South"/>
    <s v="Study Not Started"/>
    <s v="NRIS"/>
    <s v="TEXAS EASTERN P.S. G SS - FORDYCE ORIENT SS 115.0kV"/>
    <n v="85"/>
    <n v="85"/>
    <x v="5"/>
    <s v="Photovoltaic"/>
    <m/>
    <m/>
    <n v="0"/>
    <n v="0"/>
    <n v="0"/>
    <n v="0"/>
  </r>
  <r>
    <s v="J3633"/>
    <x v="2"/>
    <d v="2024-04-13T00:00:00"/>
    <m/>
    <m/>
    <d v="2028-09-15T00:00:00"/>
    <s v="ITC"/>
    <s v="Sanilac"/>
    <m/>
    <m/>
    <s v="MI"/>
    <s v="DPP-2023"/>
    <s v="East (ITC)"/>
    <s v="Study Not Started"/>
    <s v="NRIS"/>
    <s v="GREENWOOD - RAPSON (BANNER) 345.0kV"/>
    <n v="200"/>
    <n v="200"/>
    <x v="0"/>
    <s v="Photovoltaic"/>
    <m/>
    <m/>
    <n v="200"/>
    <n v="200"/>
    <n v="0"/>
    <n v="0"/>
  </r>
  <r>
    <s v="J3634"/>
    <x v="1"/>
    <d v="2024-04-15T00:00:00"/>
    <d v="2025-12-23T00:00:00"/>
    <m/>
    <d v="2027-12-31T00:00:00"/>
    <s v="METC"/>
    <s v="Gratiot"/>
    <m/>
    <m/>
    <s v="MI"/>
    <s v="DPP-2023"/>
    <s v="East (ITC)"/>
    <s v="Study Not Started"/>
    <s v="NRIS"/>
    <s v="NELSON ROAD"/>
    <n v="200"/>
    <n v="200"/>
    <x v="2"/>
    <s v="Battery Storage"/>
    <m/>
    <m/>
    <n v="0"/>
    <n v="0"/>
    <n v="0"/>
    <n v="0"/>
  </r>
  <r>
    <s v="J3635"/>
    <x v="1"/>
    <d v="2024-04-15T00:00:00"/>
    <d v="2025-09-30T00:00:00"/>
    <m/>
    <d v="2027-12-31T00:00:00"/>
    <s v="METC"/>
    <s v="Kent"/>
    <m/>
    <m/>
    <s v="MI"/>
    <s v="DPP-2023"/>
    <s v="East (ITC)"/>
    <s v="Study Not Started"/>
    <s v="NRIS"/>
    <s v="GAINES"/>
    <n v="200"/>
    <n v="200"/>
    <x v="2"/>
    <s v="Battery Storage"/>
    <m/>
    <m/>
    <n v="0"/>
    <n v="0"/>
    <n v="0"/>
    <n v="0"/>
  </r>
  <r>
    <s v="J3636"/>
    <x v="2"/>
    <d v="2024-04-18T00:00:00"/>
    <m/>
    <m/>
    <d v="2028-08-31T00:00:00"/>
    <s v="ITC"/>
    <s v="Tuscola"/>
    <m/>
    <m/>
    <s v="MI"/>
    <s v="DPP-2023"/>
    <s v="East (ITC)"/>
    <s v="Study Not Started"/>
    <s v="NRIS"/>
    <s v="BAUER"/>
    <n v="150"/>
    <n v="150"/>
    <x v="2"/>
    <s v="Battery Storage"/>
    <m/>
    <m/>
    <n v="150"/>
    <n v="150"/>
    <n v="0"/>
    <n v="0"/>
  </r>
  <r>
    <s v="J3637"/>
    <x v="1"/>
    <d v="2024-04-18T00:00:00"/>
    <d v="2025-12-23T00:00:00"/>
    <m/>
    <d v="2027-06-30T00:00:00"/>
    <s v="METC"/>
    <s v="Otsego"/>
    <m/>
    <m/>
    <s v="MI"/>
    <s v="DPP-2023"/>
    <s v="East (ITC)"/>
    <s v="Study Not Started"/>
    <s v="NRIS"/>
    <s v="LIVINGSTON - TITTABAWASSEE 345.0kV"/>
    <n v="90"/>
    <n v="90"/>
    <x v="3"/>
    <s v="Combustion Turbine (Simple Cycle)"/>
    <m/>
    <m/>
    <n v="0"/>
    <n v="0"/>
    <n v="0"/>
    <n v="0"/>
  </r>
  <r>
    <s v="J3638"/>
    <x v="1"/>
    <d v="2024-04-18T00:00:00"/>
    <d v="2025-09-30T00:00:00"/>
    <m/>
    <d v="2028-10-16T00:00:00"/>
    <s v="AMERICAN TRANSMISSION COMPANY"/>
    <s v="Dickinson"/>
    <m/>
    <m/>
    <s v="MI"/>
    <s v="DPP-2023"/>
    <s v="East (ATC)"/>
    <s v="Study Not Started"/>
    <s v="NRIS"/>
    <s v="Amberg - Plains 138.0kV"/>
    <n v="50"/>
    <n v="50"/>
    <x v="2"/>
    <s v="Battery Storage"/>
    <m/>
    <m/>
    <n v="0"/>
    <n v="0"/>
    <n v="0"/>
    <n v="0"/>
  </r>
  <r>
    <s v="J3639"/>
    <x v="2"/>
    <d v="2024-04-17T00:00:00"/>
    <m/>
    <m/>
    <d v="2028-04-01T00:00:00"/>
    <s v="AMERICAN TRANSMISSION COMPANY"/>
    <s v="Columbia"/>
    <m/>
    <m/>
    <s v="WI"/>
    <s v="DPP-2023"/>
    <s v="East (ATC)"/>
    <s v="Study Not Started"/>
    <s v="NRIS"/>
    <s v="Columbia - Rockdale 345.0kV"/>
    <n v="250"/>
    <n v="250"/>
    <x v="1"/>
    <s v="Wind Turbine"/>
    <m/>
    <m/>
    <n v="250"/>
    <n v="250"/>
    <n v="0"/>
    <n v="0"/>
  </r>
  <r>
    <s v="J3640"/>
    <x v="1"/>
    <d v="2024-04-17T00:00:00"/>
    <d v="2025-12-23T00:00:00"/>
    <m/>
    <d v="2028-04-01T00:00:00"/>
    <s v="METC"/>
    <s v="Shiawassee"/>
    <m/>
    <m/>
    <s v="MI"/>
    <s v="DPP-2023"/>
    <s v="East (ITC)"/>
    <s v="Study Not Started"/>
    <s v="NRIS"/>
    <s v="NELSON ROAD - STYX 345.0kV"/>
    <n v="300"/>
    <n v="300"/>
    <x v="1"/>
    <s v="Wind Turbine"/>
    <m/>
    <m/>
    <n v="0"/>
    <n v="0"/>
    <n v="0"/>
    <n v="0"/>
  </r>
  <r>
    <s v="J3641"/>
    <x v="1"/>
    <d v="2024-04-18T00:00:00"/>
    <d v="2025-09-30T00:00:00"/>
    <m/>
    <d v="2028-10-16T00:00:00"/>
    <s v="AMERICAN TRANSMISSION COMPANY"/>
    <s v="Dickinson"/>
    <m/>
    <m/>
    <s v="MI"/>
    <s v="DPP-2023"/>
    <s v="East (ATC)"/>
    <s v="Study Not Started"/>
    <s v="NRIS"/>
    <s v="Amberg - Plains 138.0kV"/>
    <n v="100"/>
    <n v="100"/>
    <x v="0"/>
    <s v="Photovoltaic"/>
    <m/>
    <m/>
    <n v="0"/>
    <n v="0"/>
    <n v="0"/>
    <n v="0"/>
  </r>
  <r>
    <s v="J3642"/>
    <x v="1"/>
    <d v="2024-04-18T00:00:00"/>
    <d v="2025-09-30T00:00:00"/>
    <m/>
    <d v="2028-10-16T00:00:00"/>
    <s v="AMERICAN TRANSMISSION COMPANY"/>
    <s v="Dickinson"/>
    <m/>
    <m/>
    <s v="MI"/>
    <s v="DPP-2023"/>
    <s v="East (ATC)"/>
    <s v="Study Not Started"/>
    <s v="NRIS"/>
    <s v="Nordic"/>
    <n v="60"/>
    <n v="60"/>
    <x v="0"/>
    <s v="Photovoltaic"/>
    <m/>
    <m/>
    <n v="0"/>
    <n v="0"/>
    <n v="0"/>
    <n v="0"/>
  </r>
  <r>
    <s v="J3643"/>
    <x v="1"/>
    <d v="2024-04-18T00:00:00"/>
    <d v="2024-11-04T00:00:00"/>
    <m/>
    <d v="2028-10-16T00:00:00"/>
    <s v="METC"/>
    <s v="Midland"/>
    <m/>
    <m/>
    <s v="MI"/>
    <s v="DPP-2023"/>
    <s v="East (ITC)"/>
    <s v="Study Not Started"/>
    <s v="NRIS"/>
    <s v="REDSTONE - TITTABAWASSEE 138.0kV"/>
    <n v="50"/>
    <n v="50"/>
    <x v="2"/>
    <s v="Battery Storage"/>
    <m/>
    <m/>
    <n v="0"/>
    <n v="0"/>
    <n v="0"/>
    <n v="0"/>
  </r>
  <r>
    <s v="J3644"/>
    <x v="2"/>
    <d v="2024-04-18T00:00:00"/>
    <m/>
    <m/>
    <d v="2028-11-01T00:00:00"/>
    <s v="METC"/>
    <s v="Bay"/>
    <m/>
    <m/>
    <s v="MI"/>
    <s v="DPP-2023"/>
    <s v="East (ITC)"/>
    <s v="Study Not Started"/>
    <s v="NRIS"/>
    <s v="Other_"/>
    <n v="150"/>
    <n v="150"/>
    <x v="0"/>
    <s v="Photovoltaic"/>
    <m/>
    <m/>
    <n v="150"/>
    <n v="150"/>
    <n v="0"/>
    <n v="0"/>
  </r>
  <r>
    <s v="J3645"/>
    <x v="2"/>
    <d v="2024-04-17T00:00:00"/>
    <m/>
    <m/>
    <d v="2028-09-01T00:00:00"/>
    <s v="ITC"/>
    <s v="Huron"/>
    <m/>
    <m/>
    <s v="MI"/>
    <s v="DPP-2023"/>
    <s v="East (ITC)"/>
    <s v="Study Not Started"/>
    <s v="NRIS"/>
    <s v="RAPSON"/>
    <n v="150"/>
    <n v="150"/>
    <x v="1"/>
    <s v="Wind Turbine"/>
    <m/>
    <m/>
    <n v="150"/>
    <n v="150"/>
    <n v="0"/>
    <n v="0"/>
  </r>
  <r>
    <s v="J3646"/>
    <x v="2"/>
    <d v="2024-04-17T00:00:00"/>
    <m/>
    <m/>
    <d v="2028-11-01T00:00:00"/>
    <s v="ITC"/>
    <s v="St. Clair"/>
    <m/>
    <m/>
    <s v="MI"/>
    <s v="DPP-2023"/>
    <s v="East (ITC)"/>
    <s v="Study Not Started"/>
    <s v="NRIS"/>
    <s v="ST. CLAIR"/>
    <n v="220"/>
    <n v="220"/>
    <x v="2"/>
    <s v="Battery Storage"/>
    <m/>
    <m/>
    <n v="220"/>
    <n v="220"/>
    <n v="0"/>
    <n v="0"/>
  </r>
  <r>
    <s v="J3647"/>
    <x v="1"/>
    <d v="2024-04-15T00:00:00"/>
    <d v="2025-09-29T00:00:00"/>
    <m/>
    <d v="2028-11-15T00:00:00"/>
    <s v="METC"/>
    <s v="Gratiot"/>
    <m/>
    <m/>
    <s v="MI"/>
    <s v="DPP-2023"/>
    <s v="East (ITC)"/>
    <s v="Study Not Started"/>
    <s v="NRIS"/>
    <s v="NELSON ROAD"/>
    <n v="220"/>
    <n v="220"/>
    <x v="2"/>
    <s v="Battery Storage"/>
    <m/>
    <m/>
    <n v="0"/>
    <n v="0"/>
    <n v="0"/>
    <n v="0"/>
  </r>
  <r>
    <s v="J3648"/>
    <x v="1"/>
    <d v="2024-04-18T00:00:00"/>
    <d v="2025-02-13T00:00:00"/>
    <m/>
    <d v="2028-08-01T00:00:00"/>
    <s v="AMERICAN TRANSMISSION COMPANY"/>
    <s v="Baraga"/>
    <m/>
    <m/>
    <s v="MI"/>
    <s v="DPP-2023"/>
    <s v="East (ATC)"/>
    <s v="Study Not Started"/>
    <s v="NRIS"/>
    <s v="Silver River - Perch Lake 138.0kV"/>
    <n v="120"/>
    <n v="120"/>
    <x v="5"/>
    <s v="Solar/Battery"/>
    <m/>
    <m/>
    <n v="0"/>
    <n v="0"/>
    <n v="0"/>
    <n v="0"/>
  </r>
  <r>
    <s v="J3649"/>
    <x v="1"/>
    <d v="2024-04-18T00:00:00"/>
    <d v="2025-03-28T00:00:00"/>
    <m/>
    <d v="2028-08-01T00:00:00"/>
    <s v="AMERICAN TRANSMISSION COMPANY"/>
    <s v="Houghton"/>
    <m/>
    <m/>
    <s v="MI"/>
    <s v="DPP-2023"/>
    <s v="East (ATC)"/>
    <s v="Study Not Started"/>
    <s v="NRIS"/>
    <s v="Winona"/>
    <n v="200"/>
    <n v="200"/>
    <x v="5"/>
    <s v="Solar/Battery"/>
    <m/>
    <m/>
    <n v="0"/>
    <n v="0"/>
    <n v="0"/>
    <n v="0"/>
  </r>
  <r>
    <s v="J3650"/>
    <x v="2"/>
    <d v="2024-04-15T00:00:00"/>
    <m/>
    <m/>
    <d v="2028-11-15T00:00:00"/>
    <s v="METC"/>
    <s v="Genesee"/>
    <m/>
    <m/>
    <s v="MI"/>
    <s v="DPP-2023"/>
    <s v="East (ITC)"/>
    <s v="Study Not Started"/>
    <s v="NRIS"/>
    <s v="BEVERIDGE"/>
    <n v="150"/>
    <n v="150"/>
    <x v="2"/>
    <s v="Battery Storage"/>
    <m/>
    <m/>
    <n v="150"/>
    <n v="150"/>
    <n v="0"/>
    <n v="0"/>
  </r>
  <r>
    <s v="J3651"/>
    <x v="2"/>
    <d v="2024-04-16T00:00:00"/>
    <m/>
    <m/>
    <d v="2028-09-30T00:00:00"/>
    <s v="METC"/>
    <s v="Lenawee"/>
    <m/>
    <m/>
    <s v="MI"/>
    <s v="DPP-2023"/>
    <s v="East (ITC)"/>
    <s v="Study Not Started"/>
    <s v="NRIS"/>
    <s v="BEECHER - KNOWLES 138.0kV"/>
    <n v="150"/>
    <n v="150"/>
    <x v="2"/>
    <s v="Battery Storage"/>
    <m/>
    <m/>
    <n v="150"/>
    <n v="150"/>
    <n v="0"/>
    <n v="0"/>
  </r>
  <r>
    <s v="J3652"/>
    <x v="1"/>
    <d v="2024-04-16T00:00:00"/>
    <d v="2025-12-23T00:00:00"/>
    <m/>
    <d v="2028-09-30T00:00:00"/>
    <s v="METC"/>
    <s v="Lenawee"/>
    <m/>
    <m/>
    <s v="MI"/>
    <s v="DPP-2023"/>
    <s v="East (ITC)"/>
    <s v="Study Not Started"/>
    <s v="NRIS"/>
    <s v="BEECHER - KNOWLES 138.0kV"/>
    <n v="150"/>
    <n v="150"/>
    <x v="0"/>
    <s v="Photovoltaic"/>
    <m/>
    <m/>
    <n v="0"/>
    <n v="0"/>
    <n v="0"/>
    <n v="0"/>
  </r>
  <r>
    <s v="J3653"/>
    <x v="2"/>
    <d v="2024-04-05T00:00:00"/>
    <m/>
    <m/>
    <d v="2028-06-01T00:00:00"/>
    <s v="ITC"/>
    <s v="Washtenaw"/>
    <m/>
    <m/>
    <s v="MI"/>
    <s v="DPP-2023"/>
    <s v="East (ITC)"/>
    <s v="Study Not Started"/>
    <s v="NRIS"/>
    <s v="Line tap on Superior-Wayne 120kV line at 42.275480, -83.628250"/>
    <n v="80"/>
    <n v="80"/>
    <x v="0"/>
    <s v="Photovoltaic"/>
    <m/>
    <m/>
    <n v="80"/>
    <n v="80"/>
    <n v="0"/>
    <n v="0"/>
  </r>
  <r>
    <s v="J3654"/>
    <x v="2"/>
    <d v="2024-04-05T00:00:00"/>
    <m/>
    <m/>
    <d v="2028-06-01T00:00:00"/>
    <s v="ITC"/>
    <s v="Washtenaw"/>
    <m/>
    <m/>
    <s v="MI"/>
    <s v="DPP-2023"/>
    <s v="East (ITC)"/>
    <s v="Study Not Started"/>
    <s v="NRIS"/>
    <s v="Line tap on Superior-Wayne 120kV line at 42.275480, -83.628250"/>
    <n v="150"/>
    <n v="150"/>
    <x v="2"/>
    <s v="Battery Storage"/>
    <m/>
    <m/>
    <n v="150"/>
    <n v="150"/>
    <n v="0"/>
    <n v="0"/>
  </r>
  <r>
    <s v="J3655"/>
    <x v="2"/>
    <d v="2024-04-17T00:00:00"/>
    <m/>
    <m/>
    <d v="2028-04-01T00:00:00"/>
    <s v="MIDAMERICAN ENERGY CO. MEC"/>
    <s v="Dallas"/>
    <m/>
    <m/>
    <s v="IA"/>
    <s v="DPP-2023"/>
    <s v="West"/>
    <s v="Study Not Started"/>
    <s v="ERIS"/>
    <s v="OVERLAND TRAIL - FALLOW AVENUE 345.0kV"/>
    <n v="200"/>
    <n v="200"/>
    <x v="1"/>
    <s v="Wind Turbine"/>
    <m/>
    <m/>
    <n v="200"/>
    <n v="0"/>
    <n v="0"/>
    <n v="0"/>
  </r>
  <r>
    <s v="J3656"/>
    <x v="4"/>
    <d v="2024-03-26T00:00:00"/>
    <m/>
    <m/>
    <d v="2028-06-30T00:00:00"/>
    <s v="ITC"/>
    <s v="Saginaw"/>
    <m/>
    <m/>
    <s v="MI"/>
    <s v="DPP-2023"/>
    <s v="East (ITC)"/>
    <s v="Study Not Started"/>
    <s v="NRIS"/>
    <s v="BAUER"/>
    <n v="250"/>
    <n v="250"/>
    <x v="2"/>
    <s v="Battery Storage"/>
    <m/>
    <m/>
    <n v="250"/>
    <n v="250"/>
    <n v="0"/>
    <n v="0"/>
  </r>
  <r>
    <s v="J3657"/>
    <x v="1"/>
    <d v="2024-04-04T00:00:00"/>
    <d v="2025-10-06T00:00:00"/>
    <m/>
    <d v="2028-06-15T00:00:00"/>
    <s v="ENTERGY MISSISSIPPI, LLC."/>
    <s v="Washington"/>
    <m/>
    <m/>
    <s v="MS"/>
    <s v="DPP-2023"/>
    <s v="South"/>
    <s v="Study Not Started"/>
    <s v="NRIS"/>
    <s v="Greer Solar substation J1458"/>
    <n v="50"/>
    <n v="50"/>
    <x v="0"/>
    <s v="Photovoltaic"/>
    <m/>
    <m/>
    <n v="0"/>
    <n v="0"/>
    <n v="0"/>
    <n v="0"/>
  </r>
  <r>
    <s v="J3658"/>
    <x v="1"/>
    <d v="2024-03-25T00:00:00"/>
    <d v="2025-12-23T00:00:00"/>
    <m/>
    <d v="2028-06-30T00:00:00"/>
    <s v="ENTERGY ARKANSAS, LLC"/>
    <s v="Clark"/>
    <m/>
    <m/>
    <s v="AR"/>
    <s v="DPP-2023"/>
    <s v="South"/>
    <s v="Study Not Started"/>
    <s v="NRIS"/>
    <s v="GURDON - BEIRNE 115.0kV"/>
    <n v="150"/>
    <n v="150"/>
    <x v="5"/>
    <s v="Solar/Battery"/>
    <m/>
    <m/>
    <n v="0"/>
    <n v="0"/>
    <n v="0"/>
    <n v="0"/>
  </r>
  <r>
    <s v="J3659"/>
    <x v="1"/>
    <d v="2024-04-16T00:00:00"/>
    <d v="2025-12-23T00:00:00"/>
    <m/>
    <d v="2027-12-27T00:00:00"/>
    <s v="CLECO POWER LLC"/>
    <s v="Avoyelles"/>
    <m/>
    <m/>
    <s v="LA"/>
    <s v="DPP-2023"/>
    <s v="South"/>
    <s v="Study Not Started"/>
    <s v="ERIS"/>
    <s v="Yellow Bayou"/>
    <n v="90.25"/>
    <n v="90.25"/>
    <x v="5"/>
    <s v="Solar/Battery"/>
    <m/>
    <m/>
    <n v="0"/>
    <n v="0"/>
    <n v="0"/>
    <n v="0"/>
  </r>
  <r>
    <s v="J3660"/>
    <x v="2"/>
    <d v="2024-04-18T00:00:00"/>
    <m/>
    <m/>
    <d v="2028-06-30T00:00:00"/>
    <s v="MIDAMERICAN ENERGY CO. MEC"/>
    <s v="Rock Island"/>
    <m/>
    <m/>
    <s v="IL"/>
    <s v="DPP-2023"/>
    <s v="West"/>
    <s v="Study Not Started"/>
    <s v="NRIS"/>
    <s v="Oak Grove 161 kV sub"/>
    <n v="200"/>
    <n v="200"/>
    <x v="2"/>
    <s v="Battery Storage"/>
    <m/>
    <m/>
    <n v="200"/>
    <n v="200"/>
    <n v="0"/>
    <n v="0"/>
  </r>
  <r>
    <s v="J3661"/>
    <x v="1"/>
    <d v="2024-04-14T00:00:00"/>
    <d v="2025-09-02T00:00:00"/>
    <m/>
    <d v="2028-09-01T00:00:00"/>
    <s v="AMEREN MISSOURI"/>
    <s v="Henry"/>
    <m/>
    <m/>
    <s v="IA"/>
    <s v="DPP-2023"/>
    <s v="West"/>
    <s v="Study Not Started"/>
    <s v="NRIS"/>
    <s v="7MAYWOOD - 7SUB T  3 345.0kV"/>
    <n v="300"/>
    <n v="300"/>
    <x v="1"/>
    <s v="Wind Turbine"/>
    <m/>
    <m/>
    <n v="0"/>
    <n v="0"/>
    <n v="0"/>
    <n v="0"/>
  </r>
  <r>
    <s v="J3662"/>
    <x v="1"/>
    <d v="2024-04-13T00:00:00"/>
    <d v="2025-09-26T00:00:00"/>
    <m/>
    <d v="2028-09-15T00:00:00"/>
    <s v="AMEREN ILLINOIS"/>
    <s v="Monroe"/>
    <m/>
    <m/>
    <s v="IL"/>
    <s v="DPP-2023"/>
    <s v="Central"/>
    <s v="Study Not Started"/>
    <s v="NRIS"/>
    <s v="Valmeyer 138kV."/>
    <n v="200"/>
    <n v="200"/>
    <x v="2"/>
    <s v="Battery Storage"/>
    <m/>
    <m/>
    <n v="0"/>
    <n v="0"/>
    <n v="0"/>
    <n v="0"/>
  </r>
  <r>
    <s v="J3663"/>
    <x v="1"/>
    <d v="2024-04-13T00:00:00"/>
    <d v="2025-09-29T00:00:00"/>
    <m/>
    <d v="2028-09-01T00:00:00"/>
    <s v="ENTERGY LOUISIANA, LLC"/>
    <s v="Morehouse"/>
    <m/>
    <m/>
    <s v="LA"/>
    <s v="DPP-2023"/>
    <s v="South"/>
    <s v="Study Not Started"/>
    <s v="NRIS"/>
    <s v="OAK RIDGE (LA) - STERLINGTON 115 SWYD 115.0kV"/>
    <n v="150"/>
    <n v="150"/>
    <x v="0"/>
    <s v="Photovoltaic"/>
    <m/>
    <m/>
    <n v="0"/>
    <n v="0"/>
    <n v="0"/>
    <n v="0"/>
  </r>
  <r>
    <s v="J3664"/>
    <x v="1"/>
    <d v="2024-04-15T00:00:00"/>
    <d v="2025-09-30T00:00:00"/>
    <m/>
    <d v="2028-12-30T00:00:00"/>
    <s v="NORTHERN INDIANA PUBLIC SERVICE COMPANY LLC"/>
    <s v="LaGrange"/>
    <m/>
    <m/>
    <s v="IN"/>
    <s v="DPP-2023"/>
    <s v="Central"/>
    <s v="Study Not Started"/>
    <s v="NRIS"/>
    <s v="Other_"/>
    <n v="80"/>
    <n v="80"/>
    <x v="5"/>
    <s v="Solar/Battery"/>
    <m/>
    <m/>
    <n v="0"/>
    <n v="0"/>
    <n v="0"/>
    <n v="0"/>
  </r>
  <r>
    <s v="J3665"/>
    <x v="1"/>
    <d v="2024-04-15T00:00:00"/>
    <d v="2025-09-30T00:00:00"/>
    <m/>
    <d v="2028-12-30T00:00:00"/>
    <s v="SOUTHERN MINNESOTA MUNICIPAL POWER AGENCY"/>
    <s v="Redwood"/>
    <m/>
    <m/>
    <s v="MN"/>
    <s v="DPP-2023"/>
    <s v="West"/>
    <s v="Study Not Started"/>
    <s v="NRIS"/>
    <s v="Redwood Falls Tap - Redwood Falls West 115.0kV"/>
    <n v="100"/>
    <n v="100"/>
    <x v="2"/>
    <s v="Battery Storage"/>
    <m/>
    <m/>
    <n v="0"/>
    <n v="0"/>
    <n v="0"/>
    <n v="0"/>
  </r>
  <r>
    <s v="J3666"/>
    <x v="2"/>
    <d v="2024-04-17T00:00:00"/>
    <m/>
    <m/>
    <d v="2028-09-30T00:00:00"/>
    <s v="INDIANAPOLIS POWER &amp; LIGHT COMPANY"/>
    <s v="Morgan"/>
    <m/>
    <m/>
    <s v="IN"/>
    <s v="DPP-2023"/>
    <s v="Central"/>
    <s v="Study Not Started"/>
    <s v="NRIS"/>
    <s v="Petersburg - Thompson 345.0kV"/>
    <n v="263.7"/>
    <n v="263.7"/>
    <x v="3"/>
    <s v="Combustion Turbine (Simple Cycle)"/>
    <m/>
    <m/>
    <n v="263.7"/>
    <n v="263.7"/>
    <n v="0"/>
    <n v="0"/>
  </r>
  <r>
    <s v="J3667"/>
    <x v="1"/>
    <d v="2024-04-18T00:00:00"/>
    <d v="2025-04-17T00:00:00"/>
    <m/>
    <d v="2028-12-31T00:00:00"/>
    <s v="OTTER TAIL POWER COMPANY"/>
    <s v="Dickey"/>
    <m/>
    <m/>
    <s v="ND"/>
    <s v="DPP-2023"/>
    <s v="West"/>
    <s v="Study Not Started"/>
    <s v="NRIS"/>
    <s v="Other_"/>
    <n v="200"/>
    <n v="200"/>
    <x v="1"/>
    <s v="Wind Turbine"/>
    <m/>
    <m/>
    <n v="0"/>
    <n v="0"/>
    <n v="0"/>
    <n v="0"/>
  </r>
  <r>
    <s v="J3668"/>
    <x v="1"/>
    <d v="2024-04-18T00:00:00"/>
    <d v="2025-09-29T00:00:00"/>
    <m/>
    <d v="2028-05-31T00:00:00"/>
    <s v="METC"/>
    <s v="Cheboygan"/>
    <m/>
    <m/>
    <s v="MI"/>
    <s v="DPP-2023"/>
    <s v="East (ITC)"/>
    <s v="Study Not Started"/>
    <s v="NRIS"/>
    <s v="PORT CALCITE - RIGGSVILLE 138.0kV"/>
    <n v="100"/>
    <n v="100"/>
    <x v="0"/>
    <s v="Photovoltaic"/>
    <m/>
    <m/>
    <n v="0"/>
    <n v="0"/>
    <n v="0"/>
    <n v="0"/>
  </r>
  <r>
    <s v="J3669"/>
    <x v="2"/>
    <d v="2024-04-18T00:00:00"/>
    <m/>
    <m/>
    <d v="2028-02-01T00:00:00"/>
    <s v="OTTER TAIL POWER COMPANY OTP"/>
    <s v="Stevens"/>
    <m/>
    <m/>
    <s v="MN"/>
    <s v="DPP-2023"/>
    <s v="West"/>
    <s v="Study Not Started"/>
    <s v="ERIS"/>
    <s v="Big Stone South - Alexandria 345.0kV"/>
    <n v="135"/>
    <n v="135"/>
    <x v="0"/>
    <s v="Photovoltaic"/>
    <m/>
    <m/>
    <n v="135"/>
    <n v="0"/>
    <n v="0"/>
    <n v="0"/>
  </r>
  <r>
    <s v="J3670"/>
    <x v="1"/>
    <d v="2024-04-18T00:00:00"/>
    <d v="2025-03-13T00:00:00"/>
    <m/>
    <d v="2028-06-30T00:00:00"/>
    <s v="AMEREN ILLINOIS"/>
    <s v="LaSalle"/>
    <m/>
    <m/>
    <s v="IL"/>
    <s v="DPP-2023"/>
    <s v="Central"/>
    <s v="Study Not Started"/>
    <s v="NRIS"/>
    <s v="Corbin 138 kV"/>
    <n v="100"/>
    <n v="100"/>
    <x v="2"/>
    <s v="Battery Storage"/>
    <m/>
    <m/>
    <n v="0"/>
    <n v="0"/>
    <n v="0"/>
    <n v="0"/>
  </r>
  <r>
    <s v="J3671"/>
    <x v="1"/>
    <d v="2024-04-18T00:00:00"/>
    <d v="2025-12-23T00:00:00"/>
    <m/>
    <d v="2027-07-27T00:00:00"/>
    <s v="AMEREN ILLINOIS"/>
    <s v="Shelby"/>
    <m/>
    <m/>
    <s v="IL"/>
    <s v="DPP-2023"/>
    <s v="Central"/>
    <s v="Study Not Started"/>
    <s v="NRIS"/>
    <s v="4NEOGA 2 - 4SHELBYVL E 138.0kV"/>
    <n v="120"/>
    <n v="120"/>
    <x v="0"/>
    <s v="Photovoltaic"/>
    <m/>
    <m/>
    <n v="0"/>
    <n v="0"/>
    <n v="0"/>
    <n v="0"/>
  </r>
  <r>
    <s v="J3672"/>
    <x v="2"/>
    <d v="2024-04-18T00:00:00"/>
    <m/>
    <m/>
    <d v="2028-10-30T00:00:00"/>
    <s v="OTTER TAIL POWER COMPANY OTP"/>
    <s v="Big Stone"/>
    <m/>
    <m/>
    <s v="MN"/>
    <s v="DPP-2023"/>
    <s v="West"/>
    <s v="Study Not Started"/>
    <s v="NRIS"/>
    <s v="Big Stone South - Alexandira 345kV"/>
    <n v="300"/>
    <n v="300"/>
    <x v="1"/>
    <s v="Wind Turbine"/>
    <m/>
    <m/>
    <n v="300"/>
    <n v="0"/>
    <n v="0"/>
    <n v="0"/>
  </r>
  <r>
    <s v="J3673"/>
    <x v="1"/>
    <d v="2024-04-18T00:00:00"/>
    <d v="2025-12-23T00:00:00"/>
    <m/>
    <d v="2028-04-01T00:00:00"/>
    <s v="NORTHERN INDIANA PUBLIC SERVICE COMPANY LLC"/>
    <s v="Newton"/>
    <m/>
    <m/>
    <s v="IN"/>
    <s v="DPP-2023"/>
    <s v="Central"/>
    <s v="Study Not Started"/>
    <s v="ERIS"/>
    <s v="GOODLAND - MORRISON DITCH 138.0kV"/>
    <n v="150"/>
    <n v="150"/>
    <x v="0"/>
    <s v="Photovoltaic"/>
    <m/>
    <m/>
    <n v="0"/>
    <n v="0"/>
    <n v="0"/>
    <n v="0"/>
  </r>
  <r>
    <s v="J3674"/>
    <x v="2"/>
    <d v="2024-04-17T00:00:00"/>
    <m/>
    <m/>
    <d v="2028-09-01T00:00:00"/>
    <s v="AMEREN ILLINOIS"/>
    <s v="Jasper"/>
    <m/>
    <m/>
    <s v="IL"/>
    <s v="DPP-2023"/>
    <s v="Central"/>
    <s v="Study Not Started"/>
    <s v="NRIS"/>
    <s v="4NEWTON   - 4WISEMAN 138.0kV"/>
    <n v="100"/>
    <n v="100"/>
    <x v="0"/>
    <s v="Photovoltaic"/>
    <m/>
    <m/>
    <n v="100"/>
    <n v="100"/>
    <n v="0"/>
    <n v="0"/>
  </r>
  <r>
    <s v="J3675"/>
    <x v="1"/>
    <d v="2024-04-18T00:00:00"/>
    <d v="2025-09-29T00:00:00"/>
    <m/>
    <d v="2029-09-30T00:00:00"/>
    <s v="OTTER TAIL POWER COMPANY"/>
    <s v="Greene"/>
    <m/>
    <m/>
    <s v="AR"/>
    <s v="DPP-2023"/>
    <s v="South"/>
    <s v="Study Not Started"/>
    <s v="NRIS"/>
    <s v="SEDGEWICK SS - AECC LIGHT 115.0kV"/>
    <n v="100"/>
    <n v="100"/>
    <x v="0"/>
    <s v="Photovoltaic"/>
    <m/>
    <m/>
    <n v="0"/>
    <n v="0"/>
    <n v="0"/>
    <n v="0"/>
  </r>
  <r>
    <s v="J3676"/>
    <x v="1"/>
    <d v="2024-04-18T00:00:00"/>
    <d v="2025-12-23T00:00:00"/>
    <m/>
    <d v="2027-12-15T00:00:00"/>
    <s v="WOLVERINE POWER SUPPLY COOPERATIVE"/>
    <s v="Otsego"/>
    <m/>
    <m/>
    <s v="MI"/>
    <s v="DPP-2023"/>
    <s v="East (ITC)"/>
    <s v="Study Not Started"/>
    <s v="NRIS"/>
    <s v="Gaylord - Atlanta 138.0kV"/>
    <n v="93"/>
    <n v="93"/>
    <x v="5"/>
    <s v="Solar/Battery"/>
    <m/>
    <m/>
    <n v="0"/>
    <n v="0"/>
    <n v="0"/>
    <n v="0"/>
  </r>
  <r>
    <s v="J3677"/>
    <x v="1"/>
    <d v="2024-04-17T00:00:00"/>
    <d v="2025-09-16T00:00:00"/>
    <m/>
    <d v="2027-01-31T00:00:00"/>
    <s v="DUKE ENERGY INDIANA, LLC"/>
    <s v="Daviess"/>
    <m/>
    <m/>
    <s v="IN"/>
    <s v="DPP-2023"/>
    <s v="Central"/>
    <s v="Study Not Started"/>
    <s v="NRIS"/>
    <s v="Other_"/>
    <n v="148"/>
    <n v="148"/>
    <x v="0"/>
    <s v="Photovoltaic"/>
    <m/>
    <m/>
    <n v="0"/>
    <n v="0"/>
    <n v="0"/>
    <n v="0"/>
  </r>
  <r>
    <s v="J3678"/>
    <x v="1"/>
    <d v="2024-04-18T00:00:00"/>
    <d v="2025-12-23T00:00:00"/>
    <m/>
    <d v="2027-09-10T00:00:00"/>
    <s v="DUKE ENERGY INDIANA, LLC"/>
    <s v="Vermillion"/>
    <m/>
    <m/>
    <s v="IN"/>
    <s v="DPP-2023"/>
    <s v="Central"/>
    <s v="Study Not Started"/>
    <s v="NRIS"/>
    <s v="CAYUGA 345"/>
    <n v="300"/>
    <n v="300"/>
    <x v="2"/>
    <s v="Battery Storage"/>
    <m/>
    <m/>
    <n v="0"/>
    <n v="0"/>
    <n v="0"/>
    <n v="0"/>
  </r>
  <r>
    <s v="J3679"/>
    <x v="2"/>
    <d v="2024-04-18T00:00:00"/>
    <m/>
    <m/>
    <d v="2028-01-31T00:00:00"/>
    <s v="NORTHERN INDIANA PUBLIC SERVICE COMPANY LLC NIPS"/>
    <s v="LaPorte"/>
    <m/>
    <m/>
    <s v="IN"/>
    <s v="DPP-2023"/>
    <s v="Central"/>
    <s v="Study Not Started"/>
    <s v="NRIS"/>
    <s v="BABCOCK - STILLWELL 345.0kV"/>
    <n v="149"/>
    <n v="149"/>
    <x v="0"/>
    <s v="Photovoltaic"/>
    <m/>
    <m/>
    <n v="149"/>
    <n v="115"/>
    <n v="0"/>
    <n v="0"/>
  </r>
  <r>
    <s v="J3680"/>
    <x v="1"/>
    <d v="2024-04-18T00:00:00"/>
    <d v="2025-12-23T00:00:00"/>
    <m/>
    <d v="2028-11-15T00:00:00"/>
    <s v="ENTERGY MISSISSIPPI, LLC."/>
    <s v="Scott"/>
    <m/>
    <m/>
    <s v="MS"/>
    <s v="DPP-2023"/>
    <s v="South"/>
    <s v="Study Not Started"/>
    <s v="NRIS"/>
    <s v="PELAHATCHIE"/>
    <n v="189"/>
    <n v="189"/>
    <x v="5"/>
    <s v="Solar/Battery"/>
    <m/>
    <m/>
    <n v="0"/>
    <n v="0"/>
    <n v="0"/>
    <n v="0"/>
  </r>
  <r>
    <s v="J3681"/>
    <x v="2"/>
    <d v="2024-04-18T00:00:00"/>
    <m/>
    <m/>
    <d v="2028-04-01T00:00:00"/>
    <s v="AMEREN ILLINOIS"/>
    <s v="McLean"/>
    <m/>
    <m/>
    <s v="IL"/>
    <s v="DPP-2023"/>
    <s v="Central"/>
    <s v="Study Not Started"/>
    <s v="ERIS"/>
    <s v="7CLINTON  - 7BROKAW 345.0kV"/>
    <n v="300"/>
    <n v="300"/>
    <x v="1"/>
    <s v="Wind Turbine"/>
    <m/>
    <m/>
    <n v="300"/>
    <n v="0"/>
    <n v="0"/>
    <n v="0"/>
  </r>
  <r>
    <s v="J3682"/>
    <x v="2"/>
    <d v="2024-04-18T00:00:00"/>
    <m/>
    <m/>
    <d v="2028-04-01T00:00:00"/>
    <s v="METC"/>
    <s v="Muskegon"/>
    <m/>
    <m/>
    <s v="MI"/>
    <s v="DPP-2023"/>
    <s v="East (ITC)"/>
    <s v="Study Not Started"/>
    <s v="ERIS"/>
    <s v="FOUR MILE - WHITE ROAD 138.0kV"/>
    <n v="150"/>
    <n v="150"/>
    <x v="0"/>
    <s v="Photovoltaic"/>
    <m/>
    <m/>
    <n v="150"/>
    <n v="0"/>
    <n v="0"/>
    <n v="0"/>
  </r>
  <r>
    <s v="J3683"/>
    <x v="1"/>
    <d v="2024-04-17T00:00:00"/>
    <d v="2025-12-23T00:00:00"/>
    <m/>
    <d v="2028-09-01T00:00:00"/>
    <s v="AMEREN ILLINOIS"/>
    <s v="Scott"/>
    <m/>
    <m/>
    <s v="IL"/>
    <s v="DPP-2023"/>
    <s v="Central"/>
    <s v="Study Not Started"/>
    <s v="NRIS"/>
    <s v="4BALLARD - 4MEREDOSA 138.0kV"/>
    <n v="100"/>
    <n v="100"/>
    <x v="0"/>
    <s v="Photovoltaic"/>
    <m/>
    <m/>
    <n v="0"/>
    <n v="0"/>
    <n v="0"/>
    <n v="0"/>
  </r>
  <r>
    <s v="J3684"/>
    <x v="1"/>
    <d v="2024-04-17T00:00:00"/>
    <d v="2025-04-22T00:00:00"/>
    <m/>
    <d v="2028-09-01T00:00:00"/>
    <s v="AMEREN ILLINOIS"/>
    <s v="Morgan"/>
    <m/>
    <m/>
    <s v="IL"/>
    <s v="DPP-2023"/>
    <s v="Central"/>
    <s v="Study Not Started"/>
    <s v="NRIS"/>
    <s v="4JACK_IND N - 4YATES  138.0kV"/>
    <n v="100"/>
    <n v="100"/>
    <x v="0"/>
    <s v="Photovoltaic"/>
    <m/>
    <m/>
    <n v="0"/>
    <n v="0"/>
    <n v="0"/>
    <n v="0"/>
  </r>
  <r>
    <s v="J3685"/>
    <x v="2"/>
    <d v="2024-04-17T00:00:00"/>
    <m/>
    <m/>
    <d v="2028-09-01T00:00:00"/>
    <s v="AMEREN ILLINOIS"/>
    <s v="Pike"/>
    <m/>
    <m/>
    <s v="IL"/>
    <s v="DPP-2023"/>
    <s v="Central"/>
    <s v="Study Not Started"/>
    <s v="NRIS"/>
    <s v="4HULL     - 4MEPPEN T 138.0kV"/>
    <n v="100"/>
    <n v="100"/>
    <x v="0"/>
    <s v="Photovoltaic"/>
    <m/>
    <m/>
    <n v="100"/>
    <n v="100"/>
    <n v="0"/>
    <n v="0"/>
  </r>
  <r>
    <s v="J3686"/>
    <x v="2"/>
    <d v="2024-04-17T00:00:00"/>
    <m/>
    <m/>
    <d v="2028-09-01T00:00:00"/>
    <s v="AMEREN ILLINOIS"/>
    <s v="Christian"/>
    <m/>
    <m/>
    <s v="IL"/>
    <s v="DPP-2023"/>
    <s v="Central"/>
    <s v="Study Not Started"/>
    <s v="NRIS"/>
    <s v="4AUSTIN - 4TAYLORVL 138.0kV"/>
    <n v="190"/>
    <n v="190"/>
    <x v="0"/>
    <s v="Photovoltaic"/>
    <m/>
    <m/>
    <n v="190"/>
    <n v="0"/>
    <n v="0"/>
    <n v="0"/>
  </r>
  <r>
    <s v="J3687"/>
    <x v="2"/>
    <d v="2024-04-16T00:00:00"/>
    <m/>
    <m/>
    <d v="2027-07-23T00:00:00"/>
    <s v="AMEREN ILLINOIS"/>
    <s v="Fayette"/>
    <m/>
    <m/>
    <s v="IL"/>
    <s v="DPP-2023"/>
    <s v="Central"/>
    <s v="Study Not Started"/>
    <s v="NRIS"/>
    <s v="4OTEGO - 4KINMUNDY 138.0kV"/>
    <n v="113"/>
    <n v="113"/>
    <x v="0"/>
    <s v="Photovoltaic"/>
    <m/>
    <m/>
    <n v="113"/>
    <n v="0"/>
    <n v="0"/>
    <n v="0"/>
  </r>
  <r>
    <s v="J3688"/>
    <x v="2"/>
    <d v="2024-04-17T00:00:00"/>
    <m/>
    <m/>
    <d v="2028-09-30T00:00:00"/>
    <s v="NORTHERN INDIANA PUBLIC SERVICE COMPANY LLC NIPS"/>
    <s v="White"/>
    <m/>
    <m/>
    <s v="IN"/>
    <s v="DPP-2023"/>
    <s v="Central"/>
    <s v="Study Not Started"/>
    <s v="NRIS"/>
    <s v="Luse Road Substation"/>
    <n v="100"/>
    <n v="100"/>
    <x v="2"/>
    <s v="Battery Storage"/>
    <m/>
    <m/>
    <n v="100"/>
    <n v="100"/>
    <n v="0"/>
    <n v="0"/>
  </r>
  <r>
    <s v="J3689"/>
    <x v="1"/>
    <d v="2024-04-16T00:00:00"/>
    <d v="2025-12-23T00:00:00"/>
    <m/>
    <d v="2028-09-30T00:00:00"/>
    <s v="DUKE ENERGY INDIANA, LLC"/>
    <s v="Montgomery"/>
    <m/>
    <m/>
    <s v="IN"/>
    <s v="DPP-2023"/>
    <s v="Central"/>
    <s v="Study Not Started"/>
    <s v="NRIS"/>
    <s v="Other_"/>
    <n v="200"/>
    <n v="200"/>
    <x v="2"/>
    <s v="Battery Storage"/>
    <m/>
    <m/>
    <n v="0"/>
    <n v="0"/>
    <n v="0"/>
    <n v="0"/>
  </r>
  <r>
    <s v="J3690"/>
    <x v="1"/>
    <d v="2024-04-16T00:00:00"/>
    <d v="2025-12-23T00:00:00"/>
    <m/>
    <d v="2028-09-30T00:00:00"/>
    <s v="AMEREN MISSOURI"/>
    <s v="Scott"/>
    <m/>
    <m/>
    <s v="MO"/>
    <s v="DPP-2023"/>
    <s v="Central"/>
    <s v="Study Not Started"/>
    <s v="NRIS"/>
    <s v="5STODDARD - 5MORLEY (AECI) 161.0kV"/>
    <n v="300"/>
    <n v="300"/>
    <x v="2"/>
    <s v="Battery Storage"/>
    <m/>
    <m/>
    <n v="0"/>
    <n v="0"/>
    <n v="0"/>
    <n v="0"/>
  </r>
  <r>
    <s v="J3691"/>
    <x v="2"/>
    <d v="2024-04-18T00:00:00"/>
    <m/>
    <m/>
    <d v="2028-05-31T00:00:00"/>
    <s v="NORTHERN INDIANA PUBLIC SERVICE COMPANY LLC NIPS"/>
    <s v="White"/>
    <m/>
    <m/>
    <s v="IN"/>
    <s v="DPP-2023"/>
    <s v="Central"/>
    <s v="Study Not Started"/>
    <s v="NRIS"/>
    <s v="REYNOLDS"/>
    <n v="200"/>
    <n v="200"/>
    <x v="2"/>
    <s v="Battery Storage"/>
    <m/>
    <m/>
    <n v="200"/>
    <n v="200"/>
    <n v="0"/>
    <n v="0"/>
  </r>
  <r>
    <s v="J3692"/>
    <x v="1"/>
    <d v="2024-04-18T00:00:00"/>
    <d v="2025-09-29T00:00:00"/>
    <m/>
    <d v="2028-05-31T00:00:00"/>
    <s v="METC"/>
    <s v="Cheboygan"/>
    <m/>
    <m/>
    <s v="MI"/>
    <s v="DPP-2023"/>
    <s v="East (ITC)"/>
    <s v="Study Not Started"/>
    <s v="NRIS"/>
    <s v="PORT CALCITE - RIGGSVILLE 138.0kV"/>
    <n v="100"/>
    <n v="100"/>
    <x v="2"/>
    <s v="Battery Storage"/>
    <m/>
    <m/>
    <n v="0"/>
    <n v="0"/>
    <n v="0"/>
    <n v="0"/>
  </r>
  <r>
    <s v="J3693"/>
    <x v="1"/>
    <d v="2024-04-17T00:00:00"/>
    <d v="2025-09-29T00:00:00"/>
    <m/>
    <d v="2026-10-01T00:00:00"/>
    <s v="NORTHERN INDIANA PUBLIC SERVICE COMPANY LLC"/>
    <s v="Marshall"/>
    <m/>
    <m/>
    <s v="IN"/>
    <s v="DPP-2023"/>
    <s v="Central"/>
    <s v="Study Not Started"/>
    <s v="NRIS"/>
    <s v="BURR OAK - LEESBURG 345.0kV"/>
    <n v="300"/>
    <n v="300"/>
    <x v="2"/>
    <s v="Battery Storage"/>
    <m/>
    <m/>
    <n v="0"/>
    <n v="0"/>
    <n v="0"/>
    <n v="0"/>
  </r>
  <r>
    <s v="J3694"/>
    <x v="1"/>
    <d v="2024-04-17T00:00:00"/>
    <d v="2025-09-29T00:00:00"/>
    <m/>
    <d v="2026-10-01T00:00:00"/>
    <s v="DUKE ENERGY INDIANA, LLC"/>
    <s v="Vermillion"/>
    <m/>
    <m/>
    <s v="IN"/>
    <s v="DPP-2023"/>
    <s v="Central"/>
    <s v="Study Not Started"/>
    <s v="NRIS"/>
    <s v="Sugar Creek - Cayuga CT  345.0kV"/>
    <n v="300"/>
    <n v="300"/>
    <x v="2"/>
    <s v="Battery Storage"/>
    <m/>
    <m/>
    <n v="0"/>
    <n v="0"/>
    <n v="0"/>
    <n v="0"/>
  </r>
  <r>
    <s v="J3695"/>
    <x v="2"/>
    <d v="2024-04-18T00:00:00"/>
    <m/>
    <m/>
    <d v="2028-09-30T00:00:00"/>
    <s v="AMEREN ILLINOIS"/>
    <s v="Clark"/>
    <m/>
    <m/>
    <s v="IL"/>
    <s v="DPP-2023"/>
    <s v="Central"/>
    <s v="Study Not Started"/>
    <s v="NRIS"/>
    <s v="7CASEY - 7SNYDER  345.0kV"/>
    <n v="150"/>
    <n v="150"/>
    <x v="2"/>
    <s v="Battery Storage"/>
    <m/>
    <m/>
    <n v="150"/>
    <n v="150"/>
    <n v="0"/>
    <n v="0"/>
  </r>
  <r>
    <s v="J3696"/>
    <x v="2"/>
    <d v="2024-04-15T00:00:00"/>
    <m/>
    <m/>
    <d v="2026-12-30T00:00:00"/>
    <s v="METC"/>
    <s v="Montcalm"/>
    <m/>
    <m/>
    <s v="MI"/>
    <s v="DPP-2023"/>
    <s v="East (ITC)"/>
    <s v="Study Not Started"/>
    <s v="NRIS"/>
    <s v="NELSON ROAD - VERGENNES 345.0kV"/>
    <n v="225"/>
    <n v="225"/>
    <x v="2"/>
    <s v="Battery Storage"/>
    <m/>
    <m/>
    <n v="225"/>
    <n v="225"/>
    <n v="0"/>
    <n v="0"/>
  </r>
  <r>
    <s v="J3697"/>
    <x v="1"/>
    <d v="2024-04-17T00:00:00"/>
    <d v="2025-12-23T00:00:00"/>
    <m/>
    <d v="2028-05-01T00:00:00"/>
    <s v="HOOSIER ENERGY"/>
    <s v="Jennings"/>
    <m/>
    <m/>
    <s v="IN"/>
    <s v="DPP-2023"/>
    <s v="Central"/>
    <s v="Study Not Started"/>
    <s v="NRIS"/>
    <s v="Other_"/>
    <n v="44"/>
    <n v="44"/>
    <x v="2"/>
    <s v="Battery Storage"/>
    <m/>
    <m/>
    <n v="0"/>
    <n v="0"/>
    <n v="0"/>
    <n v="0"/>
  </r>
  <r>
    <s v="J3698"/>
    <x v="1"/>
    <d v="2024-04-18T00:00:00"/>
    <d v="2025-09-30T00:00:00"/>
    <m/>
    <d v="2028-10-16T00:00:00"/>
    <s v="METC"/>
    <s v="Roscommon"/>
    <m/>
    <m/>
    <s v="MI"/>
    <s v="DPP-2023"/>
    <s v="East (ITC)"/>
    <s v="Study Not Started"/>
    <s v="NRIS"/>
    <s v="HIGGINS - MIO DAM 138.0kV"/>
    <n v="100"/>
    <n v="100"/>
    <x v="2"/>
    <s v="Battery Storage"/>
    <m/>
    <m/>
    <n v="0"/>
    <n v="0"/>
    <n v="0"/>
    <n v="0"/>
  </r>
  <r>
    <s v="J3699"/>
    <x v="2"/>
    <d v="2024-04-18T00:00:00"/>
    <m/>
    <m/>
    <d v="2028-04-01T00:00:00"/>
    <s v="MIDAMERICAN ENERGY CO. MEC"/>
    <s v="Henry"/>
    <m/>
    <m/>
    <s v="IL"/>
    <s v="DPP-2023"/>
    <s v="West"/>
    <s v="Study Not Started"/>
    <s v="NRIS"/>
    <s v="SUB 39 - OAK GROVE 345.0kV"/>
    <n v="300"/>
    <n v="300"/>
    <x v="1"/>
    <s v="Wind Turbine"/>
    <m/>
    <m/>
    <n v="300"/>
    <n v="300"/>
    <n v="0"/>
    <n v="0"/>
  </r>
  <r>
    <s v="J3700"/>
    <x v="1"/>
    <d v="2024-04-18T00:00:00"/>
    <d v="2025-12-23T00:00:00"/>
    <m/>
    <d v="2028-04-01T00:00:00"/>
    <s v="AMEREN ILLINOIS"/>
    <s v="Champaign"/>
    <m/>
    <m/>
    <s v="IL"/>
    <s v="DPP-2023"/>
    <s v="Central"/>
    <s v="Study Not Started"/>
    <s v="NRIS"/>
    <s v="7BUNSONVILLE - 7SIDNEY   345.0kV"/>
    <n v="300"/>
    <n v="300"/>
    <x v="1"/>
    <s v="Wind Turbine"/>
    <m/>
    <m/>
    <n v="0"/>
    <n v="0"/>
    <n v="0"/>
    <n v="0"/>
  </r>
  <r>
    <s v="J3701"/>
    <x v="2"/>
    <d v="2024-04-18T00:00:00"/>
    <m/>
    <m/>
    <d v="2028-04-01T00:00:00"/>
    <s v="MIDAMERICAN ENERGY CO. MEC"/>
    <s v="Taylor"/>
    <m/>
    <m/>
    <s v="IA"/>
    <s v="DPP-2023"/>
    <s v="West"/>
    <s v="Study Not Started"/>
    <s v="ERIS"/>
    <s v="ORIENT - NORTHBORO 345.0kV"/>
    <n v="400"/>
    <n v="400"/>
    <x v="1"/>
    <s v="Wind Turbine"/>
    <m/>
    <m/>
    <n v="400"/>
    <n v="0"/>
    <n v="0"/>
    <n v="0"/>
  </r>
  <r>
    <s v="J3702"/>
    <x v="2"/>
    <d v="2024-03-27T00:00:00"/>
    <m/>
    <m/>
    <d v="2028-06-30T00:00:00"/>
    <s v="NORTHERN STATES POWER COMPANY"/>
    <s v="Mitchell"/>
    <m/>
    <m/>
    <s v="IA"/>
    <s v="DPP-2023"/>
    <s v="West"/>
    <s v="Study Not Started"/>
    <s v="NRIS"/>
    <s v="ADAMS"/>
    <n v="180"/>
    <n v="180"/>
    <x v="1"/>
    <s v="Wind Turbine"/>
    <m/>
    <m/>
    <n v="180"/>
    <n v="180"/>
    <n v="0"/>
    <n v="0"/>
  </r>
  <r>
    <s v="J3703"/>
    <x v="2"/>
    <d v="2024-03-25T00:00:00"/>
    <m/>
    <m/>
    <d v="2028-06-15T00:00:00"/>
    <s v="MINNESOTA POWER INC."/>
    <s v="Itasca"/>
    <m/>
    <m/>
    <s v="MN"/>
    <s v="DPP-2023"/>
    <s v="West"/>
    <s v="Study Not Started"/>
    <s v="NRIS"/>
    <s v="Blackberry 230/115kV"/>
    <n v="200"/>
    <n v="200"/>
    <x v="2"/>
    <s v="Battery Storage"/>
    <m/>
    <m/>
    <n v="200"/>
    <n v="200"/>
    <n v="0"/>
    <n v="0"/>
  </r>
  <r>
    <s v="J3704"/>
    <x v="2"/>
    <d v="2024-04-16T00:00:00"/>
    <m/>
    <m/>
    <d v="2028-09-30T00:00:00"/>
    <s v="GREAT RIVER ENERGY"/>
    <s v="Redwood"/>
    <m/>
    <m/>
    <s v="MN"/>
    <s v="DPP-2023"/>
    <s v="West"/>
    <s v="Study Not Started"/>
    <s v="NRIS"/>
    <s v="Cedar Mountain - Lyon County 345.0kV"/>
    <n v="200"/>
    <n v="200"/>
    <x v="2"/>
    <s v="Battery Storage"/>
    <m/>
    <m/>
    <n v="200"/>
    <n v="200"/>
    <n v="0"/>
    <n v="0"/>
  </r>
  <r>
    <s v="J3705"/>
    <x v="1"/>
    <d v="2024-04-16T00:00:00"/>
    <d v="2025-09-24T00:00:00"/>
    <m/>
    <d v="2028-09-30T00:00:00"/>
    <s v="GREAT RIVER ENERGY"/>
    <s v="Redwood"/>
    <m/>
    <m/>
    <s v="MN"/>
    <s v="DPP-2023"/>
    <s v="West"/>
    <s v="Study Not Started"/>
    <s v="NRIS"/>
    <s v="Cedar Mountain - Lyon County 345.0kV"/>
    <n v="200"/>
    <n v="200"/>
    <x v="1"/>
    <s v="Wind Turbine"/>
    <m/>
    <m/>
    <n v="0"/>
    <n v="0"/>
    <n v="0"/>
    <n v="0"/>
  </r>
  <r>
    <s v="J3706"/>
    <x v="1"/>
    <d v="2024-04-18T00:00:00"/>
    <d v="2025-12-23T00:00:00"/>
    <m/>
    <d v="2030-05-31T00:00:00"/>
    <s v="ENTERGY ARKANSAS, LLC"/>
    <s v="Mississippi"/>
    <m/>
    <m/>
    <s v="AR"/>
    <s v="DPP-2023"/>
    <s v="South"/>
    <s v="Study Not Started"/>
    <s v="NRIS"/>
    <s v="GILMORE - WILSON 161.0kV"/>
    <n v="150"/>
    <n v="150"/>
    <x v="1"/>
    <s v="Wind Turbine"/>
    <m/>
    <m/>
    <n v="0"/>
    <n v="0"/>
    <n v="0"/>
    <n v="0"/>
  </r>
  <r>
    <s v="J3707"/>
    <x v="1"/>
    <d v="2024-04-16T00:00:00"/>
    <d v="2025-07-01T00:00:00"/>
    <m/>
    <d v="2027-09-15T00:00:00"/>
    <s v="DUKE ENERGY INDIANA, LLC"/>
    <s v="Putnam"/>
    <m/>
    <m/>
    <s v="IN"/>
    <s v="DPP-2023"/>
    <s v="Central"/>
    <s v="Study Not Started"/>
    <s v="NRIS"/>
    <s v="Other_"/>
    <n v="40"/>
    <n v="40"/>
    <x v="0"/>
    <s v="Photovoltaic"/>
    <m/>
    <m/>
    <n v="0"/>
    <n v="0"/>
    <n v="0"/>
    <n v="0"/>
  </r>
  <r>
    <s v="J3708"/>
    <x v="1"/>
    <d v="2024-04-17T00:00:00"/>
    <d v="2025-09-24T00:00:00"/>
    <m/>
    <d v="2027-04-30T00:00:00"/>
    <s v="ENTERGY TEXAS, INC."/>
    <s v="Jefferson"/>
    <m/>
    <m/>
    <s v="TX"/>
    <s v="DPP-2023"/>
    <s v="South"/>
    <s v="Study Not Started"/>
    <s v="NRIS"/>
    <s v="LEGEND"/>
    <n v="735"/>
    <n v="770"/>
    <x v="3"/>
    <s v="Combined-Cycle ‚Äì Steam Plant"/>
    <m/>
    <m/>
    <n v="0"/>
    <n v="0"/>
    <n v="0"/>
    <n v="0"/>
  </r>
  <r>
    <s v="J3709"/>
    <x v="1"/>
    <d v="2024-04-17T00:00:00"/>
    <d v="2025-12-23T00:00:00"/>
    <m/>
    <d v="2028-07-31T00:00:00"/>
    <s v="INDIANAPOLIS POWER &amp; LIGHT COMPANY"/>
    <s v="Marion"/>
    <m/>
    <m/>
    <s v="IN"/>
    <s v="DPP-2023"/>
    <s v="Central"/>
    <s v="Study Not Started"/>
    <s v="NRIS"/>
    <s v="Georgetown"/>
    <n v="47"/>
    <n v="47"/>
    <x v="2"/>
    <s v="Battery Storage"/>
    <m/>
    <m/>
    <n v="0"/>
    <n v="0"/>
    <n v="0"/>
    <n v="0"/>
  </r>
  <r>
    <s v="J3710"/>
    <x v="1"/>
    <d v="2024-04-18T00:00:00"/>
    <d v="2025-12-23T00:00:00"/>
    <m/>
    <d v="2028-07-31T00:00:00"/>
    <s v="AMEREN ILLINOIS"/>
    <s v="Jersey"/>
    <m/>
    <m/>
    <s v="IL"/>
    <s v="DPP-2023"/>
    <s v="Central"/>
    <s v="Study Not Started"/>
    <s v="NRIS"/>
    <s v="Jerseyville Northwest"/>
    <n v="50"/>
    <n v="50"/>
    <x v="2"/>
    <s v="Battery Storage"/>
    <m/>
    <m/>
    <n v="0"/>
    <n v="0"/>
    <n v="0"/>
    <n v="0"/>
  </r>
  <r>
    <s v="J3711"/>
    <x v="1"/>
    <d v="2024-04-16T00:00:00"/>
    <d v="2025-12-23T00:00:00"/>
    <m/>
    <d v="2029-11-30T00:00:00"/>
    <s v="ENTERGY ARKANSAS, LLC"/>
    <s v="Calhoun"/>
    <m/>
    <m/>
    <s v="AR"/>
    <s v="DPP-2023"/>
    <s v="South"/>
    <s v="Study Not Started"/>
    <s v="NRIS"/>
    <s v="SHERIDAN EHV - EL DORADO EHV 500.0kV"/>
    <n v="400"/>
    <n v="400"/>
    <x v="0"/>
    <s v="Photovoltaic"/>
    <m/>
    <m/>
    <n v="0"/>
    <n v="0"/>
    <n v="0"/>
    <n v="0"/>
  </r>
  <r>
    <s v="J3712"/>
    <x v="2"/>
    <d v="2024-04-18T00:00:00"/>
    <m/>
    <m/>
    <d v="2028-04-01T00:00:00"/>
    <s v="AMEREN TRANSMISSION COMPANY OF ILLINOIS"/>
    <s v="Peoria"/>
    <m/>
    <m/>
    <s v="IL"/>
    <s v="DPP-2023"/>
    <s v="Central"/>
    <s v="Study Not Started"/>
    <s v="NRIS"/>
    <s v="7FARGO - 7SANDBURG 345.0kV"/>
    <n v="350"/>
    <n v="350"/>
    <x v="1"/>
    <s v="Wind Turbine"/>
    <m/>
    <m/>
    <n v="350"/>
    <n v="350"/>
    <n v="0"/>
    <n v="0"/>
  </r>
  <r>
    <s v="J3713"/>
    <x v="2"/>
    <d v="2024-04-18T00:00:00"/>
    <m/>
    <m/>
    <d v="2028-04-01T00:00:00"/>
    <s v="ITC MIDWEST"/>
    <s v="Wapello"/>
    <m/>
    <m/>
    <s v="IA"/>
    <s v="DPP-2023"/>
    <s v="West"/>
    <s v="Study Not Started"/>
    <s v="ERIS"/>
    <s v="Ottumwa Generation - Woody 161kV"/>
    <n v="200"/>
    <n v="200"/>
    <x v="1"/>
    <s v="Wind Turbine"/>
    <m/>
    <m/>
    <n v="200"/>
    <n v="0"/>
    <n v="0"/>
    <n v="0"/>
  </r>
  <r>
    <s v="J3714"/>
    <x v="1"/>
    <d v="2024-04-17T00:00:00"/>
    <d v="2025-07-15T00:00:00"/>
    <m/>
    <d v="2028-04-01T00:00:00"/>
    <s v="COOPERATIVE ENERGY"/>
    <s v="Scott"/>
    <m/>
    <m/>
    <s v="MS"/>
    <s v="DPP-2023"/>
    <s v="South"/>
    <s v="Study Not Started"/>
    <s v="NRIS"/>
    <s v="Homewood 69 - Lake 69.0kV"/>
    <n v="95"/>
    <n v="95"/>
    <x v="0"/>
    <s v="Photovoltaic"/>
    <m/>
    <m/>
    <n v="0"/>
    <n v="0"/>
    <n v="0"/>
    <n v="0"/>
  </r>
  <r>
    <s v="J3715"/>
    <x v="1"/>
    <d v="2024-04-18T00:00:00"/>
    <d v="2025-12-23T00:00:00"/>
    <m/>
    <d v="2028-08-01T00:00:00"/>
    <s v="HOOSIER ENERGY"/>
    <s v="Jackson"/>
    <m/>
    <m/>
    <s v="IN"/>
    <s v="DPP-2023"/>
    <s v="Central"/>
    <s v="Study Not Started"/>
    <s v="NRIS"/>
    <s v="Other_"/>
    <n v="150"/>
    <n v="150"/>
    <x v="5"/>
    <s v="Solar/Battery"/>
    <m/>
    <m/>
    <n v="0"/>
    <n v="0"/>
    <n v="0"/>
    <n v="0"/>
  </r>
  <r>
    <s v="J3716"/>
    <x v="1"/>
    <d v="2024-04-18T00:00:00"/>
    <d v="2025-09-24T00:00:00"/>
    <m/>
    <d v="2028-07-03T00:00:00"/>
    <s v="ENTERGY MISSISSIPPI, LLC."/>
    <s v="Holmes"/>
    <m/>
    <m/>
    <s v="MS"/>
    <s v="DPP-2023"/>
    <s v="South"/>
    <s v="Study Not Started"/>
    <s v="NRIS"/>
    <s v="INDIANOLA 230/115 SUB - MCADAMS EHV 230.0kV"/>
    <n v="199"/>
    <n v="199"/>
    <x v="0"/>
    <s v="Photovoltaic"/>
    <m/>
    <m/>
    <n v="0"/>
    <n v="0"/>
    <n v="0"/>
    <n v="0"/>
  </r>
  <r>
    <s v="J3717"/>
    <x v="1"/>
    <d v="2024-04-18T00:00:00"/>
    <d v="2025-09-24T00:00:00"/>
    <m/>
    <d v="2028-07-03T00:00:00"/>
    <s v="ENTERGY MISSISSIPPI, LLC."/>
    <s v="Yalobusha"/>
    <m/>
    <m/>
    <s v="MS"/>
    <s v="DPP-2023"/>
    <s v="South"/>
    <s v="Study Not Started"/>
    <s v="NRIS"/>
    <s v="ENID - TILLATOBA 230.0kV"/>
    <n v="199"/>
    <n v="199"/>
    <x v="0"/>
    <s v="Photovoltaic"/>
    <m/>
    <m/>
    <n v="0"/>
    <n v="0"/>
    <n v="0"/>
    <n v="0"/>
  </r>
  <r>
    <s v="J3718"/>
    <x v="1"/>
    <d v="2024-03-20T00:00:00"/>
    <d v="2025-12-24T00:00:00"/>
    <m/>
    <d v="2028-09-01T00:00:00"/>
    <s v="AMEREN ILLINOIS"/>
    <s v="Greene"/>
    <m/>
    <m/>
    <s v="IL"/>
    <s v="DPP-2023"/>
    <s v="Central"/>
    <s v="Study Not Started"/>
    <s v="NRIS"/>
    <s v="Roodhouse West"/>
    <n v="200"/>
    <n v="200"/>
    <x v="0"/>
    <s v="Photovoltaic"/>
    <m/>
    <m/>
    <n v="200"/>
    <n v="200"/>
    <n v="0"/>
    <n v="0"/>
  </r>
  <r>
    <s v="J3719"/>
    <x v="2"/>
    <d v="2024-03-20T00:00:00"/>
    <m/>
    <m/>
    <d v="2028-09-01T00:00:00"/>
    <s v="DUKE ENERGY INDIANA, LLC CIN"/>
    <s v="Miami"/>
    <m/>
    <m/>
    <s v="IN"/>
    <s v="DPP-2023"/>
    <s v="Central"/>
    <s v="Study Not Started"/>
    <s v="NRIS"/>
    <s v="Greentown  - Walton. 230.0kV"/>
    <n v="200"/>
    <n v="200"/>
    <x v="0"/>
    <s v="Photovoltaic"/>
    <m/>
    <m/>
    <n v="200"/>
    <n v="200"/>
    <n v="0"/>
    <n v="0"/>
  </r>
  <r>
    <s v="J3720"/>
    <x v="1"/>
    <d v="2024-03-18T00:00:00"/>
    <d v="2025-12-23T00:00:00"/>
    <m/>
    <d v="2028-09-01T00:00:00"/>
    <s v="AMEREN MISSOURI"/>
    <s v="Ralls"/>
    <m/>
    <m/>
    <s v="MO"/>
    <s v="DPP-2023"/>
    <s v="Central"/>
    <s v="Study Not Started"/>
    <s v="NRIS"/>
    <s v="5SPALDNG (AECI) - 5PENOCRK  161.0kV"/>
    <n v="200"/>
    <n v="200"/>
    <x v="0"/>
    <s v="Photovoltaic"/>
    <m/>
    <m/>
    <n v="0"/>
    <n v="0"/>
    <n v="0"/>
    <n v="0"/>
  </r>
  <r>
    <s v="J3721"/>
    <x v="1"/>
    <d v="2024-03-20T00:00:00"/>
    <d v="2025-12-23T00:00:00"/>
    <m/>
    <d v="2028-09-01T00:00:00"/>
    <s v="AMEREN ILLINOIS"/>
    <s v="Spencer"/>
    <m/>
    <m/>
    <s v="IN"/>
    <s v="DPP-2023"/>
    <s v="Central"/>
    <s v="Study Not Started"/>
    <s v="NRIS"/>
    <s v="Culley - Dubois 138.0kV"/>
    <n v="200"/>
    <n v="200"/>
    <x v="0"/>
    <s v="Photovoltaic"/>
    <m/>
    <m/>
    <n v="0"/>
    <n v="0"/>
    <n v="0"/>
    <n v="0"/>
  </r>
  <r>
    <s v="J3722"/>
    <x v="2"/>
    <d v="2024-03-27T00:00:00"/>
    <m/>
    <m/>
    <d v="2028-09-01T00:00:00"/>
    <s v="METC"/>
    <s v="Hillsdale"/>
    <m/>
    <m/>
    <s v="MI"/>
    <s v="DPP-2023"/>
    <s v="East (ITC)"/>
    <s v="Study Not Started"/>
    <s v="NRIS"/>
    <s v="COLDWATER - MOORE ROAD 138.0kV"/>
    <n v="150"/>
    <n v="150"/>
    <x v="0"/>
    <s v="Photovoltaic"/>
    <m/>
    <m/>
    <n v="150"/>
    <n v="150"/>
    <n v="0"/>
    <n v="0"/>
  </r>
  <r>
    <s v="J3723"/>
    <x v="2"/>
    <d v="2024-04-15T00:00:00"/>
    <m/>
    <m/>
    <d v="2028-09-01T00:00:00"/>
    <s v="METC"/>
    <s v="Wexford"/>
    <m/>
    <m/>
    <s v="MI"/>
    <s v="DPP-2023"/>
    <s v="East (ITC)"/>
    <s v="Study Not Started"/>
    <s v="NRIS"/>
    <s v="KEYSTONE - LUDINGTON 345.0kV"/>
    <n v="300"/>
    <n v="300"/>
    <x v="0"/>
    <s v="Photovoltaic"/>
    <m/>
    <m/>
    <n v="300"/>
    <n v="300"/>
    <n v="0"/>
    <n v="0"/>
  </r>
  <r>
    <s v="J3724"/>
    <x v="2"/>
    <d v="2024-04-16T00:00:00"/>
    <m/>
    <m/>
    <d v="2028-09-01T00:00:00"/>
    <m/>
    <s v="Vigo"/>
    <m/>
    <m/>
    <s v="IN"/>
    <s v="DPP-2023"/>
    <s v="Central"/>
    <s v="Study Not Started"/>
    <s v="NRIS"/>
    <s v="Sandford"/>
    <n v="132"/>
    <n v="132"/>
    <x v="0"/>
    <s v="Photovoltaic"/>
    <m/>
    <m/>
    <n v="132"/>
    <n v="132"/>
    <n v="0"/>
    <n v="0"/>
  </r>
  <r>
    <s v="J3725"/>
    <x v="2"/>
    <d v="2024-04-18T00:00:00"/>
    <m/>
    <m/>
    <d v="2028-09-01T00:00:00"/>
    <s v="MIDAMERICAN ENERGY CO. MEC"/>
    <s v="Louisa"/>
    <m/>
    <m/>
    <s v="IA"/>
    <s v="DPP-2023"/>
    <s v="West"/>
    <s v="Study Not Started"/>
    <s v="NRIS"/>
    <s v="SUB 93 LOUISA - SUB T HASKINS 345.0kV"/>
    <n v="200"/>
    <n v="200"/>
    <x v="0"/>
    <s v="Photovoltaic"/>
    <m/>
    <m/>
    <n v="200"/>
    <n v="200"/>
    <n v="0"/>
    <n v="0"/>
  </r>
  <r>
    <s v="J3726"/>
    <x v="1"/>
    <d v="2024-03-18T00:00:00"/>
    <d v="2025-12-23T00:00:00"/>
    <m/>
    <d v="2027-01-15T00:00:00"/>
    <s v="BIG RIVERS ELECTRIC CORPORATION"/>
    <s v="Hancock"/>
    <m/>
    <m/>
    <s v="KY"/>
    <s v="DPP-2023"/>
    <s v="Central"/>
    <s v="Study Not Started"/>
    <s v="NRIS"/>
    <s v="Skillman"/>
    <n v="200"/>
    <n v="200"/>
    <x v="2"/>
    <s v="Battery Storage"/>
    <m/>
    <m/>
    <n v="0"/>
    <n v="0"/>
    <n v="0"/>
    <n v="0"/>
  </r>
  <r>
    <s v="J3727"/>
    <x v="2"/>
    <d v="2024-04-16T00:00:00"/>
    <m/>
    <m/>
    <d v="2028-06-30T00:00:00"/>
    <s v="AMEREN ILLINOIS"/>
    <s v="Madison"/>
    <m/>
    <m/>
    <s v="IL"/>
    <s v="DPP-2023"/>
    <s v="Central"/>
    <s v="Study Not Started"/>
    <s v="NRIS"/>
    <s v="Mississippi"/>
    <n v="225"/>
    <n v="225"/>
    <x v="2"/>
    <s v="Battery Storage"/>
    <m/>
    <m/>
    <n v="225"/>
    <n v="225"/>
    <n v="0"/>
    <n v="0"/>
  </r>
  <r>
    <s v="J3728"/>
    <x v="1"/>
    <d v="2024-04-18T00:00:00"/>
    <d v="2025-09-30T00:00:00"/>
    <m/>
    <d v="2028-02-01T00:00:00"/>
    <s v="Southern Illinois Power Cooperative"/>
    <s v="Franklin"/>
    <m/>
    <m/>
    <s v="IL"/>
    <s v="DPP-2023"/>
    <s v="Central"/>
    <s v="Study Not Started"/>
    <s v="NRIS"/>
    <s v="Ameren E. West Frankfort - Franklin 138.0kV"/>
    <n v="400"/>
    <n v="400"/>
    <x v="2"/>
    <s v="Battery Storage"/>
    <m/>
    <m/>
    <n v="0"/>
    <n v="0"/>
    <n v="0"/>
    <n v="0"/>
  </r>
  <r>
    <s v="J3729"/>
    <x v="4"/>
    <d v="2024-04-18T00:00:00"/>
    <m/>
    <m/>
    <d v="2028-02-01T00:00:00"/>
    <s v="AMEREN ILLINOIS"/>
    <s v="Franklin"/>
    <m/>
    <m/>
    <s v="IL"/>
    <s v="DPP-2023"/>
    <s v="Central"/>
    <s v="Study Not Started"/>
    <s v="NRIS"/>
    <s v="Benton Northwest"/>
    <n v="200"/>
    <n v="200"/>
    <x v="2"/>
    <s v="Battery Storage"/>
    <m/>
    <m/>
    <n v="200"/>
    <n v="200"/>
    <n v="0"/>
    <n v="0"/>
  </r>
  <r>
    <s v="J3730"/>
    <x v="2"/>
    <d v="2024-04-18T00:00:00"/>
    <m/>
    <m/>
    <d v="2028-08-01T00:00:00"/>
    <s v="AMEREN ILLINOIS"/>
    <s v="Macoupin"/>
    <m/>
    <m/>
    <s v="IL"/>
    <s v="DPP-2023"/>
    <s v="Central"/>
    <s v="Study Not Started"/>
    <s v="ERIS"/>
    <s v="MORO 345 kV Substation"/>
    <n v="305"/>
    <n v="305"/>
    <x v="1"/>
    <s v="Wind Turbine"/>
    <m/>
    <m/>
    <n v="305"/>
    <n v="0"/>
    <n v="0"/>
    <n v="0"/>
  </r>
  <r>
    <s v="J3731"/>
    <x v="2"/>
    <d v="2024-04-17T00:00:00"/>
    <m/>
    <m/>
    <d v="2027-01-31T00:00:00"/>
    <s v="DUKE ENERGY INDIANA, LLC CIN"/>
    <s v="Knox"/>
    <m/>
    <m/>
    <s v="IN"/>
    <s v="DPP-2023"/>
    <s v="Central"/>
    <s v="Study Not Started"/>
    <s v="NRIS"/>
    <s v="Edwardsport  - Vincennes 138.0kV"/>
    <n v="160"/>
    <n v="160"/>
    <x v="0"/>
    <s v="Photovoltaic"/>
    <m/>
    <m/>
    <n v="160"/>
    <n v="160"/>
    <n v="0"/>
    <n v="0"/>
  </r>
  <r>
    <s v="J3732"/>
    <x v="2"/>
    <d v="2024-04-15T00:00:00"/>
    <m/>
    <m/>
    <d v="2026-12-30T00:00:00"/>
    <s v="AMEREN ILLINOIS"/>
    <s v="Saline"/>
    <m/>
    <m/>
    <s v="IL"/>
    <s v="DPP-2023"/>
    <s v="Central"/>
    <s v="Study Not Started"/>
    <s v="NRIS"/>
    <s v="Niles 138 kV (J1208/J1209) to be built near existing Harco Tap"/>
    <n v="175"/>
    <n v="175"/>
    <x v="5"/>
    <s v="Solar/Battery"/>
    <m/>
    <m/>
    <n v="175"/>
    <n v="175"/>
    <n v="0"/>
    <n v="0"/>
  </r>
  <r>
    <s v="J3733"/>
    <x v="3"/>
    <d v="2024-05-25T00:00:00"/>
    <m/>
    <m/>
    <d v="2028-04-17T00:00:00"/>
    <s v="DUKE ENERGY INDIANA, LLC CIN"/>
    <s v="Gibson"/>
    <m/>
    <m/>
    <s v="IN"/>
    <s v="DPP-2023"/>
    <s v="Central"/>
    <s v="Study Not Started"/>
    <s v="NRIS"/>
    <s v="Oakland City  - Old Ben Coal 138.0kV"/>
    <n v="150"/>
    <n v="150"/>
    <x v="5"/>
    <s v="Solar/Battery"/>
    <m/>
    <m/>
    <n v="150"/>
    <n v="150"/>
    <n v="0"/>
    <n v="0"/>
  </r>
  <r>
    <s v="J3734"/>
    <x v="1"/>
    <d v="2024-04-05T00:00:00"/>
    <d v="2025-09-24T00:00:00"/>
    <m/>
    <d v="2028-06-01T00:00:00"/>
    <s v="ITC"/>
    <s v="Oakland"/>
    <m/>
    <m/>
    <s v="MI"/>
    <s v="DPP-2023"/>
    <s v="East (ITC)"/>
    <s v="Study Not Started"/>
    <s v="NRIS"/>
    <s v="STRATFORD"/>
    <n v="150"/>
    <n v="150"/>
    <x v="2"/>
    <s v="Battery Storage"/>
    <m/>
    <m/>
    <n v="0"/>
    <n v="0"/>
    <n v="0"/>
    <n v="0"/>
  </r>
  <r>
    <s v="J3735"/>
    <x v="2"/>
    <d v="2024-04-05T00:00:00"/>
    <m/>
    <m/>
    <d v="2028-06-01T00:00:00"/>
    <s v="METC"/>
    <s v="Genesee"/>
    <m/>
    <m/>
    <s v="MI"/>
    <s v="DPP-2023"/>
    <s v="East (ITC)"/>
    <s v="Study Not Started"/>
    <s v="NRIS"/>
    <s v="BEVERIDGE 138kV"/>
    <n v="100"/>
    <n v="100"/>
    <x v="2"/>
    <s v="Battery Storage"/>
    <m/>
    <m/>
    <n v="100"/>
    <n v="100"/>
    <n v="0"/>
    <n v="0"/>
  </r>
  <r>
    <s v="J3736"/>
    <x v="2"/>
    <d v="2024-04-17T00:00:00"/>
    <m/>
    <m/>
    <d v="2027-12-03T00:00:00"/>
    <s v="AMEREN MISSOURI"/>
    <s v="Osage"/>
    <m/>
    <m/>
    <s v="MO"/>
    <s v="DPP-2023"/>
    <s v="Central"/>
    <s v="Study Not Started"/>
    <s v="NRIS"/>
    <s v="LOOSE CREEK"/>
    <n v="100"/>
    <n v="100"/>
    <x v="2"/>
    <s v="Battery Storage"/>
    <m/>
    <m/>
    <n v="100"/>
    <n v="100"/>
    <n v="0"/>
    <n v="0"/>
  </r>
  <r>
    <s v="J3737"/>
    <x v="1"/>
    <d v="2024-04-18T00:00:00"/>
    <d v="2025-10-24T00:00:00"/>
    <m/>
    <d v="2028-06-01T00:00:00"/>
    <s v="MIDAMERICAN ENERGY CO."/>
    <s v="Mills"/>
    <m/>
    <m/>
    <s v="IA"/>
    <s v="DPP-2023"/>
    <s v="West"/>
    <s v="Study Not Started"/>
    <s v="NRIS"/>
    <s v="HASTINGS"/>
    <n v="100"/>
    <n v="100"/>
    <x v="2"/>
    <s v="Battery Storage"/>
    <m/>
    <m/>
    <n v="0"/>
    <n v="0"/>
    <n v="0"/>
    <n v="0"/>
  </r>
  <r>
    <s v="J3738"/>
    <x v="1"/>
    <d v="2024-04-18T00:00:00"/>
    <d v="2025-04-22T00:00:00"/>
    <m/>
    <d v="2026-12-09T00:00:00"/>
    <s v="ENTERGY LOUISIANA, LLC"/>
    <s v="Vermilion"/>
    <m/>
    <m/>
    <s v="LA"/>
    <s v="DPP-2023"/>
    <s v="South"/>
    <s v="Study Not Started"/>
    <s v="NRIS"/>
    <s v="Gueydan Entergy Power Station 69kV"/>
    <n v="65"/>
    <n v="65"/>
    <x v="0"/>
    <s v="Photovoltaic"/>
    <m/>
    <m/>
    <n v="0"/>
    <n v="0"/>
    <n v="0"/>
    <n v="0"/>
  </r>
  <r>
    <s v="J3739"/>
    <x v="1"/>
    <d v="2024-04-15T00:00:00"/>
    <d v="2025-12-23T00:00:00"/>
    <m/>
    <d v="2028-06-01T00:00:00"/>
    <s v="AMEREN ILLINOIS"/>
    <s v="Warren"/>
    <m/>
    <m/>
    <s v="IL"/>
    <s v="DPP-2023"/>
    <s v="Central"/>
    <s v="Study Not Started"/>
    <s v="NRIS"/>
    <s v="138kV Line Tap Between Galesburg Monmouth Boulevard (BUS 348956) and Castro JCT (BUS 348917). Distan"/>
    <n v="200"/>
    <n v="200"/>
    <x v="0"/>
    <s v="Photovoltaic"/>
    <m/>
    <m/>
    <n v="0"/>
    <n v="0"/>
    <n v="0"/>
    <n v="0"/>
  </r>
  <r>
    <s v="J3740"/>
    <x v="1"/>
    <d v="2024-04-16T00:00:00"/>
    <d v="2025-07-01T00:00:00"/>
    <m/>
    <d v="2027-09-15T00:00:00"/>
    <s v="DUKE ENERGY INDIANA, LLC"/>
    <s v="Putnam"/>
    <m/>
    <m/>
    <s v="IN"/>
    <s v="DPP-2023"/>
    <s v="Central"/>
    <s v="Study Not Started"/>
    <s v="NRIS"/>
    <s v="Other_"/>
    <n v="40"/>
    <n v="40"/>
    <x v="0"/>
    <s v="Photovoltaic"/>
    <m/>
    <m/>
    <n v="0"/>
    <n v="0"/>
    <n v="0"/>
    <n v="0"/>
  </r>
  <r>
    <s v="J3741"/>
    <x v="1"/>
    <d v="2024-04-18T00:00:00"/>
    <d v="2025-09-26T00:00:00"/>
    <m/>
    <d v="2028-09-30T00:00:00"/>
    <s v="ENTERGY ARKANSAS, LLC"/>
    <s v="Cleveland"/>
    <m/>
    <m/>
    <s v="AR"/>
    <s v="DPP-2023"/>
    <s v="South"/>
    <s v="Study Not Started"/>
    <s v="NRIS"/>
    <s v="WOODWARD 115 SUB - RISON 115.0kV"/>
    <n v="155"/>
    <n v="155"/>
    <x v="0"/>
    <s v="Photovoltaic"/>
    <m/>
    <m/>
    <n v="0"/>
    <n v="0"/>
    <n v="0"/>
    <n v="0"/>
  </r>
  <r>
    <s v="J3742"/>
    <x v="2"/>
    <d v="2024-06-06T00:00:00"/>
    <m/>
    <m/>
    <d v="2028-12-15T00:00:00"/>
    <s v="OTTER TAIL POWER COMPANY OTP"/>
    <s v="Otter Tail"/>
    <m/>
    <m/>
    <s v="MN"/>
    <s v="DPP-2023"/>
    <s v="West"/>
    <s v="Study Not Started"/>
    <s v="NRIS"/>
    <s v="Wahpeton - Fergus Falls 230.0kV"/>
    <n v="160"/>
    <n v="160"/>
    <x v="5"/>
    <s v="Solar/Battery"/>
    <m/>
    <m/>
    <n v="160"/>
    <n v="160"/>
    <n v="0"/>
    <n v="0"/>
  </r>
  <r>
    <s v="J3743"/>
    <x v="2"/>
    <d v="2024-04-12T00:00:00"/>
    <m/>
    <m/>
    <d v="2027-05-01T00:00:00"/>
    <s v="ITC"/>
    <s v="Tuscola"/>
    <m/>
    <m/>
    <s v="MI"/>
    <s v="DPP-2023"/>
    <s v="East (ITC)"/>
    <s v="Study Not Started"/>
    <s v="NRIS"/>
    <s v="ARROWHEAD"/>
    <n v="175.5"/>
    <n v="175.5"/>
    <x v="1"/>
    <s v="Wind Turbine"/>
    <m/>
    <m/>
    <n v="175.5"/>
    <n v="175.5"/>
    <n v="0"/>
    <n v="0"/>
  </r>
  <r>
    <s v="J3744"/>
    <x v="1"/>
    <d v="2024-04-18T00:00:00"/>
    <d v="2025-12-23T00:00:00"/>
    <m/>
    <d v="1995-10-23T00:00:00"/>
    <s v="METC"/>
    <s v="Mason"/>
    <m/>
    <m/>
    <s v="MI"/>
    <s v="DPP-2023"/>
    <s v="East (ITC)"/>
    <s v="Study Not Started"/>
    <s v="NRIS"/>
    <s v="MICHIGAN POWER - PEREMARQUETTE 138.0kV"/>
    <n v="15"/>
    <n v="15"/>
    <x v="3"/>
    <s v="Combined Cycle"/>
    <s v="Withdrawn"/>
    <d v="1995-10-23T00:00:00"/>
    <n v="0"/>
    <n v="0"/>
    <n v="0"/>
    <n v="0"/>
  </r>
  <r>
    <s v="J3745"/>
    <x v="2"/>
    <d v="2024-04-15T00:00:00"/>
    <m/>
    <m/>
    <d v="2028-07-01T00:00:00"/>
    <s v="DUKE ENERGY INDIANA, LLC CIN"/>
    <s v="Dearborn"/>
    <m/>
    <m/>
    <s v="IN"/>
    <s v="DPP-2023"/>
    <s v="Central"/>
    <s v="Study Not Started"/>
    <s v="NRIS"/>
    <s v="Sunman Weisburg"/>
    <n v="150"/>
    <n v="150"/>
    <x v="5"/>
    <s v="Solar/Battery"/>
    <m/>
    <m/>
    <n v="150"/>
    <n v="150"/>
    <n v="0"/>
    <n v="0"/>
  </r>
  <r>
    <s v="J3746"/>
    <x v="1"/>
    <d v="2024-04-18T00:00:00"/>
    <d v="2025-12-23T00:00:00"/>
    <m/>
    <d v="2028-03-01T00:00:00"/>
    <s v="CLECO POWER LLC"/>
    <s v="Grant"/>
    <m/>
    <m/>
    <s v="LA"/>
    <s v="DPP-2023"/>
    <s v="South"/>
    <s v="Study Not Started"/>
    <s v="NRIS"/>
    <s v="Rodemacher - Sherwood 230.0kV"/>
    <n v="250"/>
    <n v="250"/>
    <x v="5"/>
    <s v="Solar/Battery"/>
    <m/>
    <m/>
    <n v="0"/>
    <n v="0"/>
    <n v="0"/>
    <n v="0"/>
  </r>
  <r>
    <s v="J3747"/>
    <x v="1"/>
    <d v="2024-04-17T00:00:00"/>
    <d v="2025-12-23T00:00:00"/>
    <m/>
    <d v="2028-03-01T00:00:00"/>
    <s v="ENTERGY ARKANSAS, LLC"/>
    <s v="Lonoke"/>
    <m/>
    <m/>
    <s v="AR"/>
    <s v="DPP-2023"/>
    <s v="South"/>
    <s v="Study Not Started"/>
    <s v="NRIS"/>
    <s v="WHITE BLUFF EHV - KEO EHV 500.0kV"/>
    <n v="300"/>
    <n v="300"/>
    <x v="5"/>
    <s v="Solar/Battery"/>
    <m/>
    <m/>
    <n v="0"/>
    <n v="0"/>
    <n v="0"/>
    <n v="0"/>
  </r>
  <r>
    <s v="J3748"/>
    <x v="1"/>
    <d v="2024-04-18T00:00:00"/>
    <d v="2025-12-23T00:00:00"/>
    <m/>
    <d v="2028-03-01T00:00:00"/>
    <s v="ENTERGY MISSISSIPPI, LLC."/>
    <s v="Washington"/>
    <m/>
    <m/>
    <s v="MS"/>
    <s v="DPP-2023"/>
    <s v="South"/>
    <s v="Study Not Started"/>
    <s v="NRIS"/>
    <s v="Gerald Andrus 230 kV"/>
    <n v="200"/>
    <n v="200"/>
    <x v="5"/>
    <s v="Solar/Battery"/>
    <m/>
    <m/>
    <n v="0"/>
    <n v="0"/>
    <n v="0"/>
    <n v="0"/>
  </r>
  <r>
    <s v="J3749"/>
    <x v="2"/>
    <d v="2024-04-11T00:00:00"/>
    <m/>
    <m/>
    <d v="2028-06-30T00:00:00"/>
    <s v="NORTHERN STATES POWER COMPANY"/>
    <s v="Lyon"/>
    <m/>
    <m/>
    <s v="MN"/>
    <s v="DPP-2023"/>
    <s v="West"/>
    <s v="Study Not Started"/>
    <s v="NRIS"/>
    <s v="LYON COUNTY"/>
    <n v="200"/>
    <n v="200"/>
    <x v="1"/>
    <s v="Wind Turbine"/>
    <m/>
    <m/>
    <n v="200"/>
    <n v="200"/>
    <n v="0"/>
    <n v="0"/>
  </r>
  <r>
    <s v="J3750"/>
    <x v="2"/>
    <d v="2024-04-18T00:00:00"/>
    <m/>
    <m/>
    <d v="2028-10-30T00:00:00"/>
    <s v="MIDAMERICAN ENERGY CO. MEC"/>
    <s v="Mercer"/>
    <m/>
    <m/>
    <s v="IL"/>
    <s v="DPP-2023"/>
    <s v="West"/>
    <s v="Study Not Started"/>
    <s v="NRIS"/>
    <s v="OAK GROVE - SANDBURG (AMRN) 345.0kV"/>
    <n v="250"/>
    <n v="250"/>
    <x v="1"/>
    <s v="Wind Turbine"/>
    <m/>
    <m/>
    <n v="250"/>
    <n v="250"/>
    <n v="0"/>
    <n v="0"/>
  </r>
  <r>
    <s v="J3751"/>
    <x v="1"/>
    <d v="2024-04-18T00:00:00"/>
    <d v="2025-12-23T00:00:00"/>
    <m/>
    <d v="2028-10-31T00:00:00"/>
    <s v="AMEREN ILLINOIS"/>
    <s v="Madison"/>
    <m/>
    <m/>
    <s v="IL"/>
    <s v="DPP-2023"/>
    <s v="Central"/>
    <s v="Study Not Started"/>
    <s v="NRIS"/>
    <s v="7COFFEEN  - 7ROXFORD  345.0kV"/>
    <n v="236"/>
    <n v="236"/>
    <x v="1"/>
    <s v="Wind Turbine"/>
    <m/>
    <m/>
    <n v="0"/>
    <n v="0"/>
    <n v="0"/>
    <n v="0"/>
  </r>
  <r>
    <s v="J3752"/>
    <x v="1"/>
    <d v="2024-04-18T00:00:00"/>
    <d v="2025-12-23T00:00:00"/>
    <m/>
    <d v="2028-10-01T00:00:00"/>
    <s v="MINNESOTA POWER INC."/>
    <s v="Aitkin"/>
    <m/>
    <m/>
    <s v="MN"/>
    <s v="DPP-2023"/>
    <s v="West"/>
    <s v="Study Not Started"/>
    <s v="NRIS"/>
    <s v="Cromwell (GRE) - Riverton 115kV"/>
    <n v="220"/>
    <n v="220"/>
    <x v="0"/>
    <s v="Photovoltaic"/>
    <m/>
    <m/>
    <n v="0"/>
    <n v="0"/>
    <n v="0"/>
    <n v="0"/>
  </r>
  <r>
    <s v="J3753"/>
    <x v="2"/>
    <d v="2024-04-18T00:00:00"/>
    <m/>
    <m/>
    <d v="2028-09-15T00:00:00"/>
    <s v="AMEREN TRANSMISSION COMPANY OF ILLINOIS"/>
    <s v="Iroquois"/>
    <m/>
    <m/>
    <s v="IL"/>
    <s v="DPP-2023"/>
    <s v="Central"/>
    <s v="Study Not Started"/>
    <s v="NRIS"/>
    <s v="Other_"/>
    <n v="195.55"/>
    <n v="195.55"/>
    <x v="1"/>
    <s v="Wind Turbine"/>
    <m/>
    <m/>
    <n v="195.55"/>
    <n v="195.55"/>
    <n v="0"/>
    <n v="0"/>
  </r>
  <r>
    <s v="J3754"/>
    <x v="2"/>
    <d v="2024-04-18T00:00:00"/>
    <m/>
    <m/>
    <d v="2028-09-15T00:00:00"/>
    <s v="AMEREN TRANSMISSION COMPANY OF ILLINOIS"/>
    <s v="Iroquois"/>
    <m/>
    <m/>
    <s v="IL"/>
    <s v="DPP-2023"/>
    <s v="Central"/>
    <s v="Study Not Started"/>
    <s v="NRIS"/>
    <s v="Other_"/>
    <n v="146.66"/>
    <n v="146.66"/>
    <x v="1"/>
    <s v="Wind Turbine"/>
    <m/>
    <m/>
    <n v="146.66"/>
    <n v="146.66"/>
    <n v="0"/>
    <n v="0"/>
  </r>
  <r>
    <s v="J3755"/>
    <x v="2"/>
    <d v="2024-04-18T00:00:00"/>
    <m/>
    <m/>
    <d v="2028-09-15T00:00:00"/>
    <s v="AMEREN TRANSMISSION COMPANY OF ILLINOIS"/>
    <s v="Iroquois"/>
    <m/>
    <m/>
    <s v="IL"/>
    <s v="DPP-2023"/>
    <s v="Central"/>
    <s v="Study Not Started"/>
    <s v="NRIS"/>
    <s v="Other_"/>
    <n v="146.66"/>
    <n v="146.66"/>
    <x v="1"/>
    <s v="Wind Turbine"/>
    <m/>
    <m/>
    <n v="146.66"/>
    <n v="146.66"/>
    <n v="0"/>
    <n v="0"/>
  </r>
  <r>
    <s v="J3756"/>
    <x v="2"/>
    <d v="2024-04-17T00:00:00"/>
    <m/>
    <m/>
    <d v="2019-01-21T00:00:00"/>
    <s v="AMERICAN TRANSMISSION COMPANY"/>
    <s v="Marquette"/>
    <m/>
    <m/>
    <s v="MI"/>
    <s v="DPP-2023"/>
    <s v="East (ATC)"/>
    <s v="Study Not Started"/>
    <s v="NRIS"/>
    <s v="Huron"/>
    <n v="4.2"/>
    <n v="4.2"/>
    <x v="3"/>
    <s v="Piston (Engine), Internal Combustion (Diesel)"/>
    <m/>
    <m/>
    <n v="4.2"/>
    <n v="4.2"/>
    <n v="0"/>
    <n v="0"/>
  </r>
  <r>
    <s v="J3757"/>
    <x v="1"/>
    <d v="2024-04-18T00:00:00"/>
    <d v="2025-03-13T00:00:00"/>
    <m/>
    <d v="2028-06-30T00:00:00"/>
    <s v="ITC MIDWEST"/>
    <s v="Dubuque"/>
    <m/>
    <m/>
    <s v="IA"/>
    <s v="DPP-2023"/>
    <s v="West"/>
    <s v="Study Not Started"/>
    <s v="NRIS"/>
    <s v="Salem 161kv"/>
    <n v="100"/>
    <n v="100"/>
    <x v="2"/>
    <s v="Battery Storage"/>
    <m/>
    <m/>
    <n v="0"/>
    <n v="0"/>
    <n v="0"/>
    <n v="0"/>
  </r>
  <r>
    <s v="J3758"/>
    <x v="2"/>
    <d v="2024-04-18T00:00:00"/>
    <m/>
    <m/>
    <d v="2028-09-15T00:00:00"/>
    <s v="AMEREN TRANSMISSION COMPANY OF ILLINOIS"/>
    <s v="Macon"/>
    <m/>
    <m/>
    <s v="MO"/>
    <s v="DPP-2023"/>
    <s v="Central"/>
    <s v="Study Not Started"/>
    <s v="NRIS"/>
    <s v="Other_"/>
    <n v="300"/>
    <n v="300"/>
    <x v="0"/>
    <s v="Photovoltaic"/>
    <m/>
    <m/>
    <n v="300"/>
    <n v="300"/>
    <n v="0"/>
    <n v="0"/>
  </r>
  <r>
    <s v="J3759"/>
    <x v="1"/>
    <d v="2024-04-01T00:00:00"/>
    <d v="2025-12-23T00:00:00"/>
    <m/>
    <d v="2027-04-30T00:00:00"/>
    <s v="AMEREN ILLINOIS"/>
    <s v="Jasper"/>
    <m/>
    <m/>
    <s v="IL"/>
    <s v="DPP-2023"/>
    <s v="Central"/>
    <s v="Study Not Started"/>
    <s v="NRIS"/>
    <s v="Newton Switchyard"/>
    <n v="15"/>
    <n v="15"/>
    <x v="0"/>
    <s v="Photovoltaic"/>
    <m/>
    <m/>
    <n v="0"/>
    <n v="0"/>
    <n v="0"/>
    <n v="0"/>
  </r>
  <r>
    <s v="J3760"/>
    <x v="1"/>
    <d v="2024-04-18T00:00:00"/>
    <d v="2025-12-23T00:00:00"/>
    <m/>
    <d v="2028-09-30T00:00:00"/>
    <s v="ENTERGY MISSISSIPPI, LLC."/>
    <s v="Richland"/>
    <m/>
    <m/>
    <s v="LA"/>
    <s v="DPP-2023"/>
    <s v="South"/>
    <s v="Study Not Started"/>
    <s v="NRIS"/>
    <s v="BAXTER WILSON SES SWYD - PERRYVILLE 500 SWYD 500.0kV"/>
    <n v="405"/>
    <n v="405"/>
    <x v="0"/>
    <s v="Photovoltaic"/>
    <m/>
    <m/>
    <n v="0"/>
    <n v="0"/>
    <n v="0"/>
    <n v="0"/>
  </r>
  <r>
    <s v="J3761"/>
    <x v="2"/>
    <d v="2024-04-05T00:00:00"/>
    <m/>
    <m/>
    <d v="2027-11-01T00:00:00"/>
    <s v="METC"/>
    <s v="Ogemaw"/>
    <m/>
    <m/>
    <s v="MI"/>
    <s v="DPP-2023"/>
    <s v="East (ITC)"/>
    <s v="Study Not Started"/>
    <s v="NRIS"/>
    <s v="GALLAGHER - TWINING 138.0kV"/>
    <n v="145.80000000000001"/>
    <n v="145.80000000000001"/>
    <x v="0"/>
    <s v="Photovoltaic"/>
    <m/>
    <m/>
    <n v="145.80000000000001"/>
    <n v="145.80000000000001"/>
    <n v="0"/>
    <n v="0"/>
  </r>
  <r>
    <s v="J3762"/>
    <x v="2"/>
    <d v="2024-04-18T00:00:00"/>
    <m/>
    <m/>
    <d v="2028-08-01T00:00:00"/>
    <s v="GREAT RIVER ENERGY"/>
    <s v="Clay"/>
    <m/>
    <m/>
    <s v="MN"/>
    <s v="DPP-2023"/>
    <s v="West"/>
    <s v="Study Not Started"/>
    <s v="NRIS"/>
    <s v="ALEXANDRIA - BISON 345.0kV"/>
    <n v="430"/>
    <n v="430"/>
    <x v="0"/>
    <s v="Photovoltaic"/>
    <m/>
    <m/>
    <n v="430"/>
    <n v="430"/>
    <n v="0"/>
    <n v="0"/>
  </r>
  <r>
    <s v="J3763"/>
    <x v="2"/>
    <d v="2024-04-18T00:00:00"/>
    <m/>
    <m/>
    <d v="2026-06-01T00:00:00"/>
    <s v="ITC"/>
    <s v="Wayne"/>
    <m/>
    <m/>
    <s v="MI"/>
    <s v="DPP-2023"/>
    <s v="East (ITC)"/>
    <s v="Study Not Started"/>
    <s v="NRIS"/>
    <s v="DBGEN GIS"/>
    <n v="7.5"/>
    <n v="7.5"/>
    <x v="7"/>
    <s v="Combined-Cycle ‚Äì Steam Plant"/>
    <m/>
    <m/>
    <n v="7.5"/>
    <n v="7.5"/>
    <n v="0"/>
    <n v="0"/>
  </r>
  <r>
    <s v="J3764"/>
    <x v="2"/>
    <d v="2024-04-18T00:00:00"/>
    <m/>
    <m/>
    <d v="2028-03-01T00:00:00"/>
    <s v="ENTERGY MISSISSIPPI, LLC. EMTO"/>
    <s v="Madison"/>
    <m/>
    <m/>
    <s v="MS"/>
    <s v="DPP-2023"/>
    <s v="South"/>
    <s v="Study Not Started"/>
    <s v="NRIS"/>
    <s v="Andes Substation 230 kV"/>
    <n v="170"/>
    <n v="170"/>
    <x v="5"/>
    <s v="Solar/Battery"/>
    <m/>
    <m/>
    <n v="170"/>
    <n v="170"/>
    <n v="0"/>
    <n v="0"/>
  </r>
  <r>
    <s v="J3765"/>
    <x v="1"/>
    <d v="2024-04-18T00:00:00"/>
    <d v="2025-09-26T00:00:00"/>
    <m/>
    <d v="2024-04-18T00:00:00"/>
    <s v="ENTERGY LOUISIANA, LLC"/>
    <s v="St. James"/>
    <m/>
    <m/>
    <s v="LA"/>
    <s v="DPP-2023"/>
    <s v="South"/>
    <s v="Study Not Started"/>
    <s v="ERIS"/>
    <s v="ST JAMES"/>
    <n v="8"/>
    <n v="8"/>
    <x v="5"/>
    <s v="Steam Turbine (including Nuclear, Geothermal and Solar Steam)"/>
    <m/>
    <m/>
    <n v="0"/>
    <n v="0"/>
    <n v="0"/>
    <n v="0"/>
  </r>
  <r>
    <s v="J3766"/>
    <x v="1"/>
    <d v="2024-04-18T00:00:00"/>
    <d v="2025-04-09T00:00:00"/>
    <m/>
    <d v="2026-10-30T00:00:00"/>
    <s v="MIDAMERICAN ENERGY CO."/>
    <s v="Pottawattamie"/>
    <m/>
    <m/>
    <s v="IA"/>
    <s v="DPP-2023"/>
    <s v="West"/>
    <s v="Study Not Started"/>
    <s v="NRIS"/>
    <s v="ROLLING HILLS - PONY CREEK 345.0kV"/>
    <n v="235"/>
    <n v="235"/>
    <x v="1"/>
    <s v="Wind Turbine"/>
    <m/>
    <m/>
    <n v="0"/>
    <n v="0"/>
    <n v="0"/>
    <n v="0"/>
  </r>
  <r>
    <s v="J3767"/>
    <x v="1"/>
    <d v="2024-04-18T00:00:00"/>
    <d v="2025-09-23T00:00:00"/>
    <m/>
    <d v="2028-09-30T00:00:00"/>
    <s v="HOOSIER ENERGY"/>
    <s v="Crawford"/>
    <m/>
    <m/>
    <s v="IN"/>
    <s v="DPP-2023"/>
    <s v="Central"/>
    <s v="Study Not Started"/>
    <s v="NRIS"/>
    <s v="ECKERTY - BUECHLER 69.0kV"/>
    <n v="38"/>
    <n v="38"/>
    <x v="0"/>
    <s v="Photovoltaic"/>
    <m/>
    <m/>
    <n v="0"/>
    <n v="0"/>
    <n v="0"/>
    <n v="0"/>
  </r>
  <r>
    <s v="J3768"/>
    <x v="1"/>
    <d v="2024-04-10T00:00:00"/>
    <d v="2025-10-01T00:00:00"/>
    <m/>
    <d v="2028-08-01T00:00:00"/>
    <s v="ENTERGY TEXAS, INC."/>
    <s v="Walker"/>
    <m/>
    <m/>
    <s v="TX"/>
    <s v="DPP-2023"/>
    <s v="South"/>
    <s v="Study Not Started"/>
    <s v="NRIS"/>
    <s v="ROCKY CREEK"/>
    <n v="250"/>
    <n v="250"/>
    <x v="0"/>
    <s v="Photovoltaic"/>
    <m/>
    <m/>
    <n v="0"/>
    <n v="0"/>
    <n v="0"/>
    <n v="0"/>
  </r>
  <r>
    <s v="J3769"/>
    <x v="1"/>
    <d v="2024-04-17T00:00:00"/>
    <d v="2025-12-23T00:00:00"/>
    <m/>
    <d v="2028-08-01T00:00:00"/>
    <s v="WOLVERINE POWER SUPPLY COOPERATIVE"/>
    <s v="Saginaw"/>
    <m/>
    <m/>
    <s v="MI"/>
    <s v="DPP-2023"/>
    <s v="East (ITC)"/>
    <s v="Study Not Started"/>
    <s v="NRIS"/>
    <s v="MURPHY - NELSON ROAD 345.0kV"/>
    <n v="250"/>
    <n v="250"/>
    <x v="5"/>
    <s v="Solar/Battery"/>
    <m/>
    <m/>
    <n v="0"/>
    <n v="0"/>
    <n v="0"/>
    <n v="0"/>
  </r>
  <r>
    <s v="J3770"/>
    <x v="1"/>
    <d v="2024-04-01T00:00:00"/>
    <d v="2025-12-23T00:00:00"/>
    <m/>
    <d v="2027-04-30T00:00:00"/>
    <s v="AMEREN ILLINOIS"/>
    <s v="Randolph"/>
    <m/>
    <m/>
    <s v="IL"/>
    <s v="DPP-2023"/>
    <s v="Central"/>
    <s v="Study Not Started"/>
    <s v="NRIS"/>
    <s v="The Baldwin 345kV substation found in the drop down. But please note the POI is same as J1202. The p"/>
    <n v="45.8"/>
    <n v="45.8"/>
    <x v="0"/>
    <s v="Photovoltaic"/>
    <m/>
    <m/>
    <n v="0"/>
    <n v="0"/>
    <n v="0"/>
    <n v="0"/>
  </r>
  <r>
    <s v="J3771"/>
    <x v="1"/>
    <d v="2024-04-17T00:00:00"/>
    <d v="2025-09-24T00:00:00"/>
    <m/>
    <d v="2028-09-30T00:00:00"/>
    <s v="CLECO POWER LLC"/>
    <s v="Sabine"/>
    <m/>
    <m/>
    <s v="LA"/>
    <s v="DPP-2023"/>
    <s v="South"/>
    <s v="Study Not Started"/>
    <s v="NRIS"/>
    <s v="Fisher - Many 138.0kV"/>
    <n v="200"/>
    <n v="200"/>
    <x v="2"/>
    <s v="Battery Storage"/>
    <m/>
    <m/>
    <n v="0"/>
    <n v="0"/>
    <n v="0"/>
    <n v="0"/>
  </r>
  <r>
    <s v="J3772"/>
    <x v="1"/>
    <d v="2024-04-17T00:00:00"/>
    <d v="2025-12-23T00:00:00"/>
    <m/>
    <d v="2028-07-31T00:00:00"/>
    <s v="ENTERGY MISSISSIPPI, LLC."/>
    <s v="Panola"/>
    <m/>
    <m/>
    <s v="MS"/>
    <s v="DPP-2023"/>
    <s v="South"/>
    <s v="Study Not Started"/>
    <s v="NRIS"/>
    <s v="BATESVILLE [MS] - MARKS 115.0kV"/>
    <n v="100"/>
    <n v="100"/>
    <x v="0"/>
    <s v="Photovoltaic"/>
    <m/>
    <m/>
    <n v="0"/>
    <n v="0"/>
    <n v="0"/>
    <n v="0"/>
  </r>
  <r>
    <s v="J3773"/>
    <x v="1"/>
    <d v="2024-04-17T00:00:00"/>
    <d v="2025-12-23T00:00:00"/>
    <m/>
    <d v="2028-07-31T00:00:00"/>
    <s v="ENTERGY ARKANSAS, LLC"/>
    <s v="Drew"/>
    <m/>
    <m/>
    <s v="AR"/>
    <s v="DPP-2023"/>
    <s v="South"/>
    <s v="Study Not Started"/>
    <s v="NRIS"/>
    <s v="MONTICELLO EAST - REED SS 115.0kV"/>
    <n v="265"/>
    <n v="265"/>
    <x v="0"/>
    <s v="Photovoltaic"/>
    <m/>
    <m/>
    <n v="0"/>
    <n v="0"/>
    <n v="0"/>
    <n v="0"/>
  </r>
  <r>
    <s v="J3774"/>
    <x v="1"/>
    <d v="2024-04-17T00:00:00"/>
    <d v="2025-12-23T00:00:00"/>
    <m/>
    <d v="2028-07-31T00:00:00"/>
    <s v="ENTERGY MISSISSIPPI, LLC."/>
    <s v="Sunflower"/>
    <m/>
    <m/>
    <s v="MS"/>
    <s v="DPP-2023"/>
    <s v="South"/>
    <s v="Study Not Started"/>
    <s v="NRIS"/>
    <s v="INDIANOLA 230/115 SUB - TILLATOBA 230.0kV"/>
    <n v="303"/>
    <n v="303"/>
    <x v="0"/>
    <s v="Photovoltaic"/>
    <m/>
    <m/>
    <n v="0"/>
    <n v="0"/>
    <n v="0"/>
    <n v="0"/>
  </r>
  <r>
    <s v="J3775"/>
    <x v="1"/>
    <d v="2024-04-15T00:00:00"/>
    <d v="2025-09-30T00:00:00"/>
    <m/>
    <d v="2028-12-01T00:00:00"/>
    <s v="ENTERGY ARKANSAS, LLC"/>
    <s v="Desha"/>
    <m/>
    <m/>
    <s v="AR"/>
    <s v="DPP-2023"/>
    <s v="South"/>
    <s v="Study Not Started"/>
    <s v="NRIS"/>
    <s v="DUMAS - REED SS 115.0kV"/>
    <n v="160"/>
    <n v="160"/>
    <x v="5"/>
    <s v="Solar/Battery"/>
    <m/>
    <m/>
    <n v="0"/>
    <n v="0"/>
    <n v="0"/>
    <n v="0"/>
  </r>
  <r>
    <s v="J3776"/>
    <x v="2"/>
    <d v="2024-04-18T00:00:00"/>
    <m/>
    <m/>
    <d v="2028-09-30T00:00:00"/>
    <s v="METC"/>
    <s v="Midland"/>
    <m/>
    <m/>
    <s v="MI"/>
    <s v="DPP-2023"/>
    <s v="East (ITC)"/>
    <s v="Study Not Started"/>
    <s v="NRIS"/>
    <s v="TittabawASSEe"/>
    <n v="150"/>
    <n v="150"/>
    <x v="2"/>
    <s v="Battery Storage"/>
    <m/>
    <m/>
    <n v="150"/>
    <n v="150"/>
    <n v="0"/>
    <n v="0"/>
  </r>
  <r>
    <s v="J3777"/>
    <x v="2"/>
    <d v="2024-04-12T00:00:00"/>
    <m/>
    <m/>
    <d v="2028-04-01T00:00:00"/>
    <s v="METC"/>
    <s v="Cheboygan"/>
    <m/>
    <m/>
    <s v="MI"/>
    <s v="DPP-2023"/>
    <s v="East (ITC)"/>
    <s v="Study Not Started"/>
    <s v="NRIS"/>
    <s v="MC GULPIN - RIGGSVILLE (MILL CREEK) 138.0kV"/>
    <n v="91.8"/>
    <n v="91.8"/>
    <x v="0"/>
    <s v="Photovoltaic"/>
    <m/>
    <m/>
    <n v="91.8"/>
    <n v="91.8"/>
    <n v="0"/>
    <n v="0"/>
  </r>
  <r>
    <s v="J3778"/>
    <x v="1"/>
    <d v="2024-04-15T00:00:00"/>
    <d v="2025-09-30T00:00:00"/>
    <m/>
    <d v="2028-08-15T00:00:00"/>
    <s v="MISSOURI RIVER ENERGY SERVICES - TRANSMISSION"/>
    <s v="Otter Tail"/>
    <m/>
    <m/>
    <s v="MN"/>
    <s v="DPP-2023"/>
    <s v="West"/>
    <s v="Study Not Started"/>
    <s v="NRIS"/>
    <s v="Fergus Falls MRES/WMMPA"/>
    <n v="100"/>
    <n v="100"/>
    <x v="2"/>
    <s v="Battery Storage"/>
    <m/>
    <m/>
    <n v="0"/>
    <n v="0"/>
    <n v="0"/>
    <n v="0"/>
  </r>
  <r>
    <s v="J3779"/>
    <x v="1"/>
    <d v="2024-04-17T00:00:00"/>
    <d v="2025-08-13T00:00:00"/>
    <m/>
    <d v="2026-10-15T00:00:00"/>
    <s v="SOUTHERN INDIANA GAS &amp; ELECTRIC COMPANY D/B/A CENTERPOINT ENERGY INDIANA SOUTH"/>
    <s v="Henderson"/>
    <m/>
    <m/>
    <s v="KY"/>
    <s v="DPP-2023"/>
    <s v="Central"/>
    <s v="Study Not Started"/>
    <s v="NRIS"/>
    <s v="AB Brown 345 - Reid EHV (BREC Terminal) 345.0kV"/>
    <n v="100"/>
    <n v="100"/>
    <x v="1"/>
    <s v="Wind Turbine"/>
    <m/>
    <m/>
    <n v="0"/>
    <n v="0"/>
    <n v="0"/>
    <n v="0"/>
  </r>
  <r>
    <s v="J3780"/>
    <x v="2"/>
    <d v="2024-04-18T00:00:00"/>
    <m/>
    <m/>
    <d v="2028-06-30T00:00:00"/>
    <s v="ITC MIDWEST"/>
    <s v="Buchanan"/>
    <m/>
    <m/>
    <s v="IA"/>
    <s v="DPP-2023"/>
    <s v="West"/>
    <s v="Study Not Started"/>
    <s v="NRIS"/>
    <s v="Hazleton"/>
    <n v="205"/>
    <n v="205"/>
    <x v="2"/>
    <s v="Battery Storage"/>
    <m/>
    <m/>
    <n v="200"/>
    <n v="200"/>
    <n v="0"/>
    <n v="0"/>
  </r>
  <r>
    <s v="J3781"/>
    <x v="2"/>
    <d v="2024-04-18T00:00:00"/>
    <m/>
    <m/>
    <d v="2027-07-27T00:00:00"/>
    <s v="ENTERGY LOUISIANA, LLC ELTO"/>
    <s v="Jefferson Davis"/>
    <m/>
    <m/>
    <s v="LA"/>
    <s v="DPP-2023"/>
    <s v="South"/>
    <s v="Study Not Started"/>
    <s v="NRIS"/>
    <s v="HEBERT (SLEMCO) - HENNING 138.0kV"/>
    <n v="150"/>
    <n v="150"/>
    <x v="0"/>
    <s v="Photovoltaic"/>
    <m/>
    <m/>
    <n v="150"/>
    <n v="150"/>
    <n v="0"/>
    <n v="0"/>
  </r>
  <r>
    <s v="J3782"/>
    <x v="2"/>
    <d v="2024-04-18T00:00:00"/>
    <m/>
    <m/>
    <d v="2027-07-26T00:00:00"/>
    <s v="METC"/>
    <s v="Saginaw"/>
    <m/>
    <m/>
    <s v="MI"/>
    <s v="DPP-2023"/>
    <s v="East (ITC)"/>
    <s v="Study Not Started"/>
    <s v="NRIS"/>
    <s v="18MURPHY"/>
    <n v="180"/>
    <n v="180"/>
    <x v="2"/>
    <s v="Battery Storage"/>
    <m/>
    <m/>
    <n v="180"/>
    <n v="180"/>
    <n v="0"/>
    <n v="0"/>
  </r>
  <r>
    <s v="J3783"/>
    <x v="1"/>
    <d v="2024-04-18T00:00:00"/>
    <d v="2025-12-23T00:00:00"/>
    <m/>
    <d v="2028-01-01T00:00:00"/>
    <s v="ENTERGY ARKANSAS, LLC"/>
    <s v="Cross"/>
    <m/>
    <m/>
    <s v="AR"/>
    <s v="DPP-2023"/>
    <s v="South"/>
    <s v="Study Not Started"/>
    <s v="NRIS"/>
    <s v="AECC WYNNE EAST - PARKIN 161.0kV"/>
    <n v="200"/>
    <n v="200"/>
    <x v="5"/>
    <s v="Photovoltaic"/>
    <m/>
    <m/>
    <n v="0"/>
    <n v="0"/>
    <n v="0"/>
    <n v="0"/>
  </r>
  <r>
    <s v="J3784"/>
    <x v="4"/>
    <d v="2024-04-18T00:00:00"/>
    <m/>
    <m/>
    <d v="2028-06-30T00:00:00"/>
    <s v="AMERICAN TRANSMISSION COMPANY"/>
    <s v="Ozaukee"/>
    <m/>
    <m/>
    <s v="WI"/>
    <s v="DPP-2023"/>
    <s v="East (ATC)"/>
    <s v="Study Not Started"/>
    <s v="NRIS"/>
    <s v="Saukville (Cedarsauk)"/>
    <n v="200"/>
    <n v="200"/>
    <x v="2"/>
    <s v="Battery Storage"/>
    <m/>
    <m/>
    <n v="200"/>
    <n v="200"/>
    <n v="0"/>
    <n v="0"/>
  </r>
  <r>
    <s v="J3785"/>
    <x v="4"/>
    <d v="2024-04-18T00:00:00"/>
    <m/>
    <m/>
    <d v="2028-06-30T00:00:00"/>
    <s v="AMERICAN TRANSMISSION COMPANY"/>
    <s v="Kenosha"/>
    <m/>
    <m/>
    <s v="MI"/>
    <s v="DPP-2023"/>
    <s v="East (ATC)"/>
    <s v="Study Not Started"/>
    <s v="NRIS"/>
    <s v="Pleasant Prairie"/>
    <n v="200"/>
    <n v="200"/>
    <x v="2"/>
    <s v="Battery Storage"/>
    <m/>
    <m/>
    <n v="200"/>
    <n v="200"/>
    <n v="0"/>
    <n v="0"/>
  </r>
  <r>
    <s v="J3786"/>
    <x v="1"/>
    <d v="2024-04-18T00:00:00"/>
    <d v="2025-03-13T00:00:00"/>
    <m/>
    <d v="2028-06-30T00:00:00"/>
    <s v="ITC"/>
    <s v="Washtenaw"/>
    <m/>
    <m/>
    <s v="MI"/>
    <s v="DPP-2023"/>
    <s v="East (ITC)"/>
    <s v="Study Not Started"/>
    <s v="NRIS"/>
    <s v="Coventry 230kV"/>
    <n v="200"/>
    <n v="200"/>
    <x v="2"/>
    <s v="Battery Storage"/>
    <m/>
    <m/>
    <n v="0"/>
    <n v="0"/>
    <n v="0"/>
    <n v="0"/>
  </r>
  <r>
    <s v="J3787"/>
    <x v="2"/>
    <d v="2024-04-16T00:00:00"/>
    <m/>
    <m/>
    <d v="2028-06-30T00:00:00"/>
    <s v="OTTER TAIL POWER COMPANY OTP"/>
    <s v="Stutsman"/>
    <m/>
    <m/>
    <s v="ND"/>
    <s v="DPP-2023"/>
    <s v="West"/>
    <s v="Study Not Started"/>
    <s v="NRIS"/>
    <s v="Jamestown 345 kV Substation"/>
    <n v="247"/>
    <n v="247"/>
    <x v="0"/>
    <s v="Photovoltaic"/>
    <m/>
    <m/>
    <n v="247"/>
    <n v="247"/>
    <n v="0"/>
    <n v="0"/>
  </r>
  <r>
    <s v="J3788"/>
    <x v="1"/>
    <d v="2024-04-17T00:00:00"/>
    <d v="2025-12-23T00:00:00"/>
    <m/>
    <d v="2028-01-01T00:00:00"/>
    <s v="ENTERGY ARKANSAS, LLC"/>
    <s v="Grant"/>
    <m/>
    <m/>
    <s v="AR"/>
    <s v="DPP-2023"/>
    <s v="South"/>
    <s v="Study Not Started"/>
    <s v="NRIS"/>
    <s v="AECC GRAPEVINE - CARTHAGE (AR) 115.0kV"/>
    <n v="100"/>
    <n v="100"/>
    <x v="0"/>
    <s v="Photovoltaic"/>
    <m/>
    <m/>
    <n v="0"/>
    <n v="0"/>
    <n v="0"/>
    <n v="0"/>
  </r>
  <r>
    <s v="J3789"/>
    <x v="1"/>
    <d v="2024-04-17T00:00:00"/>
    <d v="2025-02-13T00:00:00"/>
    <m/>
    <d v="2028-07-30T00:00:00"/>
    <s v="DUKE ENERGY INDIANA, LLC"/>
    <s v="Hancock"/>
    <m/>
    <m/>
    <s v="IN"/>
    <s v="DPP-2023"/>
    <s v="Central"/>
    <s v="Study Not Started"/>
    <s v="NRIS"/>
    <s v="FOUNTAINTOWN"/>
    <n v="77"/>
    <n v="77"/>
    <x v="5"/>
    <s v="Solar/Battery"/>
    <m/>
    <m/>
    <n v="0"/>
    <n v="0"/>
    <n v="0"/>
    <n v="0"/>
  </r>
  <r>
    <s v="J3790"/>
    <x v="1"/>
    <d v="2024-04-17T00:00:00"/>
    <d v="2025-12-23T00:00:00"/>
    <m/>
    <d v="2028-01-01T00:00:00"/>
    <s v="ENTERGY ARKANSAS, LLC"/>
    <s v="Lee"/>
    <m/>
    <m/>
    <s v="AR"/>
    <s v="DPP-2023"/>
    <s v="South"/>
    <s v="Study Not Started"/>
    <s v="NRIS"/>
    <s v="MARIANNA - WEST HELENA 115.0kV"/>
    <n v="120"/>
    <n v="120"/>
    <x v="0"/>
    <s v="Photovoltaic"/>
    <m/>
    <m/>
    <n v="0"/>
    <n v="0"/>
    <n v="0"/>
    <n v="0"/>
  </r>
  <r>
    <s v="J3791"/>
    <x v="1"/>
    <d v="2024-04-17T00:00:00"/>
    <d v="2025-09-16T00:00:00"/>
    <m/>
    <d v="2028-05-07T00:00:00"/>
    <s v="SOUTHERN MINNESOTA MUNICIPAL POWER AGENCY"/>
    <s v="Houston"/>
    <m/>
    <m/>
    <s v="MN"/>
    <s v="DPP-2023"/>
    <s v="West"/>
    <s v="Study Not Started"/>
    <s v="NRIS"/>
    <s v="Caledonia"/>
    <n v="50"/>
    <n v="50"/>
    <x v="2"/>
    <s v="Battery Storage"/>
    <m/>
    <m/>
    <n v="0"/>
    <n v="0"/>
    <n v="0"/>
    <n v="0"/>
  </r>
  <r>
    <s v="J3792"/>
    <x v="2"/>
    <d v="2024-04-18T00:00:00"/>
    <m/>
    <m/>
    <d v="2028-04-01T00:00:00"/>
    <s v="METC"/>
    <s v="Gratiot"/>
    <m/>
    <m/>
    <s v="MI"/>
    <s v="DPP-2023"/>
    <s v="East (ITC)"/>
    <s v="Study Not Started"/>
    <s v="ERIS"/>
    <s v="ALMA - VESTABURG 138.0kV"/>
    <n v="125"/>
    <n v="125"/>
    <x v="0"/>
    <s v="Photovoltaic"/>
    <m/>
    <m/>
    <n v="125"/>
    <n v="0"/>
    <n v="0"/>
    <n v="0"/>
  </r>
  <r>
    <s v="J3793"/>
    <x v="1"/>
    <d v="2024-04-18T00:00:00"/>
    <d v="2025-12-23T00:00:00"/>
    <m/>
    <d v="2028-04-01T00:00:00"/>
    <s v="CLECO POWER LLC"/>
    <s v="Rapides"/>
    <m/>
    <m/>
    <s v="LA"/>
    <s v="DPP-2023"/>
    <s v="South"/>
    <s v="Study Not Started"/>
    <s v="ERIS"/>
    <s v="East Leesville - Rodemacher 230.0kV"/>
    <n v="100"/>
    <n v="100"/>
    <x v="0"/>
    <s v="Photovoltaic"/>
    <m/>
    <m/>
    <n v="0"/>
    <n v="0"/>
    <n v="0"/>
    <n v="0"/>
  </r>
  <r>
    <s v="J3794"/>
    <x v="1"/>
    <d v="2024-04-18T00:00:00"/>
    <d v="2025-09-25T00:00:00"/>
    <m/>
    <d v="2028-01-01T00:00:00"/>
    <s v="BIG RIVERS ELECTRIC CORPORATION"/>
    <s v="Daviess"/>
    <m/>
    <m/>
    <s v="KY"/>
    <s v="DPP-2023"/>
    <s v="Central"/>
    <s v="Study Not Started"/>
    <s v="NRIS"/>
    <s v="Daviess County - Utica 69.0kV"/>
    <n v="50"/>
    <n v="50"/>
    <x v="5"/>
    <s v="Solar/Battery"/>
    <m/>
    <m/>
    <n v="0"/>
    <n v="0"/>
    <n v="0"/>
    <n v="0"/>
  </r>
  <r>
    <s v="J3795"/>
    <x v="1"/>
    <d v="2024-04-18T00:00:00"/>
    <d v="2025-09-25T00:00:00"/>
    <m/>
    <d v="2028-01-01T00:00:00"/>
    <s v="AMEREN TRANSMISSION COMPANY OF ILLINOIS"/>
    <s v="Knox"/>
    <m/>
    <m/>
    <s v="MO"/>
    <s v="DPP-2023"/>
    <s v="Central"/>
    <s v="Study Not Started"/>
    <s v="NRIS"/>
    <s v="7FABIUS - 7MAYWOOD 345.0kV"/>
    <n v="91"/>
    <n v="91"/>
    <x v="5"/>
    <s v="Solar/Battery"/>
    <m/>
    <m/>
    <n v="0"/>
    <n v="0"/>
    <n v="0"/>
    <n v="0"/>
  </r>
  <r>
    <s v="J3796"/>
    <x v="1"/>
    <d v="2024-04-17T00:00:00"/>
    <d v="2025-09-24T00:00:00"/>
    <m/>
    <d v="2028-11-30T00:00:00"/>
    <s v="ENTERGY LOUISIANA, LLC"/>
    <s v="Calcasieu"/>
    <m/>
    <m/>
    <s v="LA"/>
    <s v="DPP-2023"/>
    <s v="South"/>
    <s v="Study Not Started"/>
    <s v="NRIS"/>
    <s v="NELSON 230 SWYD"/>
    <n v="735"/>
    <n v="770"/>
    <x v="3"/>
    <s v="Combined-Cycle ‚Äì Steam Plant"/>
    <m/>
    <m/>
    <n v="0"/>
    <n v="0"/>
    <n v="0"/>
    <n v="0"/>
  </r>
  <r>
    <s v="J3797"/>
    <x v="2"/>
    <d v="2024-04-18T00:00:00"/>
    <m/>
    <m/>
    <d v="2028-03-31T00:00:00"/>
    <s v="DUKE ENERGY INDIANA, LLC CIN"/>
    <s v="Edgar"/>
    <m/>
    <m/>
    <s v="IL"/>
    <s v="DPP-2023"/>
    <s v="Central"/>
    <s v="Study Not Started"/>
    <s v="NRIS"/>
    <s v="7KANSAS   - 08SUGCRK 345.0kV"/>
    <n v="141.22999999999999"/>
    <n v="141.22999999999999"/>
    <x v="0"/>
    <s v="Photovoltaic"/>
    <m/>
    <m/>
    <n v="141.22999999999999"/>
    <n v="109.8"/>
    <n v="0"/>
    <n v="0"/>
  </r>
  <r>
    <s v="J3798"/>
    <x v="2"/>
    <d v="2024-03-27T00:00:00"/>
    <m/>
    <m/>
    <d v="2028-06-30T00:00:00"/>
    <s v="ITC MIDWEST"/>
    <s v="Winnebago"/>
    <m/>
    <m/>
    <s v="IA"/>
    <s v="DPP-2023"/>
    <s v="West"/>
    <s v="Study Not Started"/>
    <s v="NRIS"/>
    <s v="Bison - Colby 345kV"/>
    <n v="320"/>
    <n v="320"/>
    <x v="1"/>
    <s v="Wind Turbine"/>
    <m/>
    <m/>
    <n v="320"/>
    <n v="320"/>
    <n v="0"/>
    <n v="0"/>
  </r>
  <r>
    <s v="J3799"/>
    <x v="4"/>
    <d v="2024-04-18T00:00:00"/>
    <m/>
    <m/>
    <d v="2030-04-01T00:00:00"/>
    <s v="ITC"/>
    <s v="Livingston"/>
    <m/>
    <m/>
    <s v="MI"/>
    <s v="DPP-2025"/>
    <s v="East (ITC)"/>
    <s v="Phase 1"/>
    <s v="NRIS"/>
    <s v="BLACKFOOT - MADRID 345.0kV"/>
    <n v="1452"/>
    <n v="1452"/>
    <x v="3"/>
    <s v="Combined Cycle"/>
    <m/>
    <m/>
    <n v="1452"/>
    <n v="1452"/>
    <n v="0"/>
    <n v="0"/>
  </r>
  <r>
    <s v="J3800"/>
    <x v="2"/>
    <d v="2024-04-17T00:00:00"/>
    <m/>
    <m/>
    <d v="2019-01-21T00:00:00"/>
    <s v="AMERICAN TRANSMISSION COMPANY"/>
    <s v="Baraga"/>
    <m/>
    <m/>
    <s v="MI"/>
    <s v="DPP-2023"/>
    <s v="East (ATC)"/>
    <s v="Study Not Started"/>
    <s v="NRIS"/>
    <s v="Silver River"/>
    <n v="1.8"/>
    <n v="1.8"/>
    <x v="3"/>
    <s v="Piston (Engine), Internal Combustion (Diesel)"/>
    <m/>
    <m/>
    <n v="1.8"/>
    <n v="1.8"/>
    <n v="0"/>
    <n v="0"/>
  </r>
  <r>
    <s v="J3801"/>
    <x v="2"/>
    <d v="2024-04-18T00:00:00"/>
    <m/>
    <m/>
    <d v="2028-03-31T00:00:00"/>
    <s v="MIDAMERICAN ENERGY CO. MEC"/>
    <s v="Mercer"/>
    <m/>
    <m/>
    <s v="IL"/>
    <s v="DPP-2023"/>
    <s v="West"/>
    <s v="Study Not Started"/>
    <s v="NRIS"/>
    <s v="OAK GROVE - SANDBURG (AMRN) 345.0kV"/>
    <n v="195.64"/>
    <n v="195.64"/>
    <x v="0"/>
    <s v="Photovoltaic"/>
    <m/>
    <m/>
    <n v="195.64"/>
    <n v="195.64"/>
    <n v="0"/>
    <n v="0"/>
  </r>
  <r>
    <s v="J3802"/>
    <x v="1"/>
    <d v="2024-04-17T00:00:00"/>
    <d v="2025-09-30T00:00:00"/>
    <m/>
    <d v="2028-09-04T00:00:00"/>
    <s v="ENTERGY ARKANSAS, LLC"/>
    <s v="Phillips"/>
    <m/>
    <m/>
    <s v="AR"/>
    <s v="DPP-2023"/>
    <s v="South"/>
    <s v="Study Not Started"/>
    <s v="NRIS"/>
    <s v="RITCHIE SWYD - TARLETON 230.0kV"/>
    <n v="300"/>
    <n v="300"/>
    <x v="0"/>
    <s v="Photovoltaic"/>
    <m/>
    <m/>
    <n v="0"/>
    <n v="0"/>
    <n v="0"/>
    <n v="0"/>
  </r>
  <r>
    <s v="J3803"/>
    <x v="2"/>
    <d v="2024-04-18T00:00:00"/>
    <m/>
    <m/>
    <d v="2028-04-01T00:00:00"/>
    <s v="ITC"/>
    <s v="Monroe"/>
    <m/>
    <m/>
    <s v="MI"/>
    <s v="DPP-2023"/>
    <s v="East (ITC)"/>
    <s v="Study Not Started"/>
    <s v="NRIS"/>
    <s v="LEMOYNE - MAJESTIC 345.0kV"/>
    <n v="200"/>
    <n v="200"/>
    <x v="0"/>
    <s v="Photovoltaic"/>
    <m/>
    <m/>
    <n v="200"/>
    <n v="200"/>
    <n v="0"/>
    <n v="0"/>
  </r>
  <r>
    <s v="J3804"/>
    <x v="1"/>
    <d v="2024-04-18T00:00:00"/>
    <d v="2025-09-29T00:00:00"/>
    <m/>
    <d v="2028-06-30T00:00:00"/>
    <s v="DUKE ENERGY INDIANA, LLC"/>
    <s v="Putnam"/>
    <m/>
    <m/>
    <s v="IN"/>
    <s v="DPP-2023"/>
    <s v="Central"/>
    <s v="Study Not Started"/>
    <s v="NRIS"/>
    <s v="Edwardsport IGCC - Amo 345.0kV"/>
    <n v="100"/>
    <n v="100"/>
    <x v="2"/>
    <s v="Battery Storage"/>
    <m/>
    <m/>
    <n v="0"/>
    <n v="0"/>
    <n v="0"/>
    <n v="0"/>
  </r>
  <r>
    <s v="J3805"/>
    <x v="2"/>
    <d v="2024-03-27T00:00:00"/>
    <m/>
    <m/>
    <d v="2027-09-01T00:00:00"/>
    <s v="AMEREN ILLINOIS"/>
    <s v="Fayette"/>
    <m/>
    <m/>
    <s v="IL"/>
    <s v="DPP-2023"/>
    <s v="Central"/>
    <s v="Study Not Started"/>
    <s v="NRIS"/>
    <s v="Coffeen North-Ramsey East-4557"/>
    <n v="250"/>
    <n v="250"/>
    <x v="0"/>
    <s v="Photovoltaic"/>
    <m/>
    <m/>
    <n v="250"/>
    <n v="250"/>
    <n v="0"/>
    <n v="0"/>
  </r>
  <r>
    <s v="J3806"/>
    <x v="1"/>
    <d v="2024-04-16T00:00:00"/>
    <d v="2025-12-23T00:00:00"/>
    <m/>
    <d v="2028-06-01T00:00:00"/>
    <s v="ENTERGY MISSISSIPPI, LLC."/>
    <s v="Sunflower"/>
    <m/>
    <m/>
    <s v="MS"/>
    <s v="DPP-2023"/>
    <s v="South"/>
    <s v="Study Not Started"/>
    <s v="NRIS"/>
    <s v="STEINER (CE) - SHAW SS (CE) 115.0kV"/>
    <n v="100"/>
    <n v="100"/>
    <x v="0"/>
    <s v="Photovoltaic"/>
    <m/>
    <m/>
    <n v="0"/>
    <n v="0"/>
    <n v="0"/>
    <n v="0"/>
  </r>
  <r>
    <s v="J3807"/>
    <x v="1"/>
    <d v="2024-04-09T00:00:00"/>
    <d v="2025-12-23T00:00:00"/>
    <m/>
    <d v="2028-08-01T00:00:00"/>
    <s v="NORTHERN STATES POWER COMPANY"/>
    <s v="Goodhue"/>
    <m/>
    <m/>
    <s v="MN"/>
    <s v="DPP-2023"/>
    <s v="West"/>
    <s v="Study Not Started"/>
    <s v="NRIS"/>
    <s v="Hampton - Prairie Island 345.0kV"/>
    <n v="100"/>
    <n v="100"/>
    <x v="2"/>
    <s v="Battery Storage"/>
    <m/>
    <m/>
    <n v="0"/>
    <n v="0"/>
    <n v="0"/>
    <n v="0"/>
  </r>
  <r>
    <s v="J3808"/>
    <x v="1"/>
    <d v="2024-04-16T00:00:00"/>
    <d v="2025-09-30T00:00:00"/>
    <m/>
    <d v="2028-05-01T00:00:00"/>
    <s v="MIDAMERICAN ENERGY CO."/>
    <s v="Webster"/>
    <m/>
    <m/>
    <s v="IA"/>
    <s v="DPP-2023"/>
    <s v="West"/>
    <s v="Study Not Started"/>
    <s v="NRIS"/>
    <s v="IRVINGTON - WEBSTER 345.0kV"/>
    <n v="300"/>
    <n v="300"/>
    <x v="1"/>
    <s v="Wind Turbine"/>
    <m/>
    <m/>
    <n v="0"/>
    <n v="0"/>
    <n v="0"/>
    <n v="0"/>
  </r>
  <r>
    <s v="J3809"/>
    <x v="1"/>
    <d v="2024-04-17T00:00:00"/>
    <d v="2026-06-03T00:00:00"/>
    <m/>
    <d v="2028-09-01T00:00:00"/>
    <s v="AMEREN ILLINOIS"/>
    <s v="Mason"/>
    <m/>
    <m/>
    <s v="IL"/>
    <s v="DPP-2023"/>
    <s v="Central"/>
    <s v="Study Not Started"/>
    <s v="NRIS"/>
    <s v="Winnebago"/>
    <n v="199.99"/>
    <n v="199.99"/>
    <x v="1"/>
    <s v="Wind Turbine"/>
    <m/>
    <m/>
    <n v="0"/>
    <n v="0"/>
    <n v="0"/>
    <n v="0"/>
  </r>
  <r>
    <s v="J3810"/>
    <x v="1"/>
    <d v="2024-04-17T00:00:00"/>
    <d v="2025-09-29T00:00:00"/>
    <m/>
    <d v="2026-10-01T00:00:00"/>
    <s v="DUKE ENERGY INDIANA, LLC"/>
    <s v="Knox"/>
    <m/>
    <m/>
    <s v="IN"/>
    <s v="DPP-2023"/>
    <s v="Central"/>
    <s v="Study Not Started"/>
    <s v="NRIS"/>
    <s v="Edwardsport IGCC - Amo 345.0kV"/>
    <n v="300"/>
    <n v="300"/>
    <x v="2"/>
    <s v="Battery Storage"/>
    <m/>
    <m/>
    <n v="0"/>
    <n v="0"/>
    <n v="0"/>
    <n v="0"/>
  </r>
  <r>
    <s v="J3811"/>
    <x v="2"/>
    <d v="2024-04-18T00:00:00"/>
    <m/>
    <m/>
    <d v="2028-09-30T00:00:00"/>
    <s v="AMEREN ILLINOIS"/>
    <s v="Clay"/>
    <m/>
    <m/>
    <s v="IL"/>
    <s v="DPP-2023"/>
    <s v="Central"/>
    <s v="Study Not Started"/>
    <s v="NRIS"/>
    <s v="4KINMUNDY S - 4TANNER 138.0kV"/>
    <n v="200"/>
    <n v="200"/>
    <x v="0"/>
    <s v="Photovoltaic"/>
    <m/>
    <m/>
    <n v="200"/>
    <n v="200"/>
    <n v="0"/>
    <n v="0"/>
  </r>
  <r>
    <s v="J3812"/>
    <x v="1"/>
    <d v="2024-04-18T00:00:00"/>
    <d v="2025-12-23T00:00:00"/>
    <m/>
    <d v="2028-01-01T00:00:00"/>
    <s v="ENTERGY ARKANSAS, LLC"/>
    <s v="Phillips"/>
    <m/>
    <m/>
    <s v="AR"/>
    <s v="DPP-2023"/>
    <s v="South"/>
    <s v="Study Not Started"/>
    <s v="NRIS"/>
    <s v="BALD KNOB T.E.T.C. P.S. #6 SS - AECC COFFEEVILLE 161.0kV"/>
    <n v="158.59"/>
    <n v="158.59"/>
    <x v="0"/>
    <s v="Solar/Battery"/>
    <m/>
    <m/>
    <n v="0"/>
    <n v="0"/>
    <n v="0"/>
    <n v="0"/>
  </r>
  <r>
    <s v="J3813"/>
    <x v="1"/>
    <d v="2024-04-18T00:00:00"/>
    <d v="2025-09-29T00:00:00"/>
    <m/>
    <d v="2028-06-30T00:00:00"/>
    <s v="DUKE ENERGY INDIANA, LLC"/>
    <s v="Putnam"/>
    <m/>
    <m/>
    <s v="IN"/>
    <s v="DPP-2023"/>
    <s v="Central"/>
    <s v="Study Not Started"/>
    <s v="NRIS"/>
    <s v="Edwardsport IGCC - Amo 345.0kV"/>
    <n v="100"/>
    <n v="100"/>
    <x v="2"/>
    <s v="Battery Storage"/>
    <m/>
    <m/>
    <n v="0"/>
    <n v="0"/>
    <n v="0"/>
    <n v="0"/>
  </r>
  <r>
    <s v="J3814"/>
    <x v="1"/>
    <d v="2024-04-16T00:00:00"/>
    <d v="2025-12-23T00:00:00"/>
    <m/>
    <d v="2028-10-30T00:00:00"/>
    <s v="ENTERGY ARKANSAS, LLC"/>
    <s v="Cross"/>
    <m/>
    <m/>
    <s v="AR"/>
    <s v="DPP-2023"/>
    <s v="South"/>
    <s v="Study Not Started"/>
    <s v="NRIS-Only"/>
    <s v="FORREST CITY N SS - WYNNE SOUTH 161.0kV"/>
    <n v="135"/>
    <n v="135"/>
    <x v="1"/>
    <s v="Wind Turbine"/>
    <m/>
    <m/>
    <n v="0"/>
    <n v="0"/>
    <n v="0"/>
    <n v="0"/>
  </r>
  <r>
    <s v="J3815"/>
    <x v="2"/>
    <d v="2024-06-29T00:00:00"/>
    <m/>
    <m/>
    <d v="2026-10-22T00:00:00"/>
    <s v="ENTERGY LOUISIANA, LLC ELTO"/>
    <s v="St. Charles"/>
    <m/>
    <m/>
    <s v="LA"/>
    <s v="DPP-2023"/>
    <s v="South"/>
    <s v="Study Not Started"/>
    <s v="NRIS"/>
    <s v="Waterford 3 SWYD"/>
    <n v="153.1"/>
    <n v="59.5"/>
    <x v="11"/>
    <s v="Nuclear"/>
    <m/>
    <m/>
    <n v="59.5"/>
    <n v="153.1"/>
    <n v="0"/>
    <n v="0"/>
  </r>
  <r>
    <s v="J3816"/>
    <x v="1"/>
    <d v="2024-04-17T00:00:00"/>
    <d v="2025-12-23T00:00:00"/>
    <m/>
    <d v="2028-06-01T00:00:00"/>
    <s v="METC"/>
    <s v="Saginaw"/>
    <m/>
    <m/>
    <s v="MI"/>
    <s v="DPP-2023"/>
    <s v="East (ITC)"/>
    <s v="Study Not Started"/>
    <s v="NRIS"/>
    <s v="BULLOCK - SAGINAW RIVER 138.0kV"/>
    <n v="100"/>
    <n v="100"/>
    <x v="2"/>
    <s v="Battery Storage"/>
    <m/>
    <m/>
    <n v="0"/>
    <n v="0"/>
    <n v="0"/>
    <n v="0"/>
  </r>
  <r>
    <s v="J3817"/>
    <x v="1"/>
    <d v="2024-04-11T00:00:00"/>
    <d v="2025-09-30T00:00:00"/>
    <m/>
    <d v="2028-08-17T00:00:00"/>
    <s v="METC"/>
    <s v="Allegan"/>
    <m/>
    <m/>
    <s v="MI"/>
    <s v="DPP-2023"/>
    <s v="East (ITC)"/>
    <s v="Study Not Started"/>
    <s v="NRIS"/>
    <s v="Other_"/>
    <n v="175"/>
    <n v="175"/>
    <x v="2"/>
    <s v="Battery Storage"/>
    <m/>
    <m/>
    <n v="0"/>
    <n v="0"/>
    <n v="0"/>
    <n v="0"/>
  </r>
  <r>
    <s v="J3818"/>
    <x v="2"/>
    <d v="2024-06-07T00:00:00"/>
    <m/>
    <m/>
    <d v="2028-03-01T00:00:00"/>
    <s v="AMEREN ILLINOIS"/>
    <s v="Shelby"/>
    <m/>
    <m/>
    <s v="IL"/>
    <s v="DPP-2023"/>
    <s v="Central"/>
    <s v="Study Not Started"/>
    <s v="ERIS"/>
    <s v="4PANA 1 - 4SHELBYVL E 138.0kV"/>
    <n v="40"/>
    <n v="40"/>
    <x v="0"/>
    <s v="Photovoltaic"/>
    <m/>
    <m/>
    <n v="40"/>
    <n v="0"/>
    <n v="0"/>
    <n v="0"/>
  </r>
  <r>
    <s v="J3819"/>
    <x v="1"/>
    <d v="2024-04-18T00:00:00"/>
    <d v="2025-08-15T00:00:00"/>
    <m/>
    <d v="2027-05-01T00:00:00"/>
    <s v="ENTERGY MISSISSIPPI, LLC."/>
    <s v="Madison"/>
    <m/>
    <m/>
    <s v="MS"/>
    <s v="DPP-2023"/>
    <s v="South"/>
    <s v="Study Not Started"/>
    <s v="NRIS"/>
    <s v="CATLETT - TINNIN ROAD 230.0kV"/>
    <n v="36.1"/>
    <n v="36.1"/>
    <x v="0"/>
    <s v="Photovoltaic"/>
    <m/>
    <m/>
    <n v="0"/>
    <n v="0"/>
    <n v="0"/>
    <n v="0"/>
  </r>
  <r>
    <s v="J3820"/>
    <x v="2"/>
    <d v="2024-04-16T00:00:00"/>
    <m/>
    <m/>
    <d v="2028-06-01T00:00:00"/>
    <s v="AMEREN ILLINOIS"/>
    <s v="Hancock"/>
    <m/>
    <m/>
    <s v="IL"/>
    <s v="DPP-2023"/>
    <s v="Central"/>
    <s v="Study Not Started"/>
    <s v="NRIS"/>
    <s v="LRTP Line"/>
    <n v="127"/>
    <n v="127"/>
    <x v="1"/>
    <s v="Wind Turbine"/>
    <m/>
    <m/>
    <n v="127"/>
    <n v="127"/>
    <n v="0"/>
    <n v="0"/>
  </r>
  <r>
    <s v="J3821"/>
    <x v="1"/>
    <d v="2024-04-18T00:00:00"/>
    <d v="2025-12-23T00:00:00"/>
    <m/>
    <d v="2028-08-01T00:00:00"/>
    <s v="ENTERGY TEXAS, INC."/>
    <s v="Walker"/>
    <m/>
    <m/>
    <s v="TX"/>
    <s v="DPP-2023"/>
    <s v="South"/>
    <s v="Study Not Started"/>
    <s v="NRIS"/>
    <s v="RIVTRIN"/>
    <n v="175"/>
    <n v="175"/>
    <x v="5"/>
    <s v="Solar/Battery"/>
    <m/>
    <m/>
    <n v="0"/>
    <n v="0"/>
    <n v="0"/>
    <n v="0"/>
  </r>
  <r>
    <s v="J3822"/>
    <x v="1"/>
    <d v="2024-04-18T00:00:00"/>
    <d v="2025-12-23T00:00:00"/>
    <m/>
    <d v="2028-01-01T00:00:00"/>
    <s v="ENTERGY LOUISIANA, LLC"/>
    <s v="Pointe Coupee"/>
    <m/>
    <m/>
    <s v="LA"/>
    <s v="DPP-2023"/>
    <s v="South"/>
    <s v="Study Not Started"/>
    <s v="NRIS"/>
    <s v="DEVIN - LIVONIA 138.0kV"/>
    <n v="139.58000000000001"/>
    <n v="139.58000000000001"/>
    <x v="0"/>
    <s v="Photovoltaic"/>
    <m/>
    <m/>
    <n v="0"/>
    <n v="0"/>
    <n v="0"/>
    <n v="0"/>
  </r>
  <r>
    <s v="J3823"/>
    <x v="1"/>
    <d v="2024-04-12T00:00:00"/>
    <d v="2025-09-26T00:00:00"/>
    <m/>
    <d v="2028-09-30T00:00:00"/>
    <s v="NORTHERN STATES POWER COMPANY"/>
    <s v="Watonwan"/>
    <m/>
    <m/>
    <s v="MN"/>
    <s v="DPP-2023"/>
    <s v="West"/>
    <s v="Study Not Started"/>
    <s v="ERIS"/>
    <s v="Crandall - Fieldon 345.0kV"/>
    <n v="300"/>
    <n v="300"/>
    <x v="0"/>
    <s v="Photovoltaic"/>
    <m/>
    <m/>
    <n v="0"/>
    <n v="0"/>
    <n v="0"/>
    <n v="0"/>
  </r>
  <r>
    <s v="J3824"/>
    <x v="1"/>
    <d v="2024-04-18T00:00:00"/>
    <d v="2024-06-28T00:00:00"/>
    <m/>
    <d v="2028-09-30T00:00:00"/>
    <s v="OTTER TAIL POWER COMPANY"/>
    <s v="Roberts"/>
    <m/>
    <m/>
    <s v="SD"/>
    <s v="DPP-2023"/>
    <s v="West"/>
    <s v="Study Not Started"/>
    <s v="NRIS"/>
    <s v="Twin Brooks 345 kV Substation"/>
    <n v="250"/>
    <n v="250"/>
    <x v="2"/>
    <s v="Battery Storage"/>
    <m/>
    <m/>
    <n v="0"/>
    <n v="0"/>
    <n v="0"/>
    <n v="0"/>
  </r>
  <r>
    <s v="J3825"/>
    <x v="1"/>
    <d v="2024-04-17T00:00:00"/>
    <d v="2025-09-24T00:00:00"/>
    <m/>
    <d v="2028-01-01T00:00:00"/>
    <s v="ENTERGY MISSISSIPPI, LLC."/>
    <s v="Hinds"/>
    <m/>
    <m/>
    <s v="MS"/>
    <s v="DPP-2023"/>
    <s v="South"/>
    <s v="Study Not Started"/>
    <s v="NRIS"/>
    <s v="230kV Greenacres Substation"/>
    <n v="730"/>
    <n v="770"/>
    <x v="3"/>
    <s v="Combined-Cycle ‚Äì Steam Plant"/>
    <m/>
    <m/>
    <n v="0"/>
    <n v="0"/>
    <n v="0"/>
    <n v="0"/>
  </r>
  <r>
    <s v="J3826"/>
    <x v="1"/>
    <d v="2025-10-27T00:00:00"/>
    <d v="2025-12-23T00:00:00"/>
    <m/>
    <d v="2026-11-01T00:00:00"/>
    <s v="ENTERGY MISSISSIPPI, LLC."/>
    <s v="Holmes"/>
    <m/>
    <m/>
    <s v="MS"/>
    <s v="DPP-2023"/>
    <s v="South"/>
    <s v="Study Not Started"/>
    <s v="NRIS"/>
    <s v="3Pickens"/>
    <n v="198"/>
    <n v="198"/>
    <x v="0"/>
    <s v="Photovoltaic"/>
    <m/>
    <m/>
    <n v="0"/>
    <n v="0"/>
    <n v="0"/>
    <n v="0"/>
  </r>
  <r>
    <s v="J3827"/>
    <x v="2"/>
    <d v="2024-04-18T00:00:00"/>
    <m/>
    <m/>
    <d v="2028-11-01T00:00:00"/>
    <s v="AMERICAN TRANSMISSION COMPANY"/>
    <s v="Mackinac"/>
    <m/>
    <m/>
    <s v="MI"/>
    <s v="DPP-2025"/>
    <s v="East (ATC)"/>
    <s v="Phase 1"/>
    <s v="NRIS"/>
    <s v="Indian Lake - Hiawatha 138.0kV"/>
    <n v="160"/>
    <n v="160"/>
    <x v="0"/>
    <s v="Photovoltaic"/>
    <m/>
    <m/>
    <n v="160"/>
    <n v="160"/>
    <n v="0"/>
    <n v="0"/>
  </r>
  <r>
    <s v="J3828"/>
    <x v="2"/>
    <d v="2024-04-18T00:00:00"/>
    <m/>
    <m/>
    <d v="2028-11-01T00:00:00"/>
    <s v="ITC"/>
    <s v="Lapeer"/>
    <m/>
    <m/>
    <s v="MI"/>
    <s v="DPP-2025"/>
    <s v="East (ITC)"/>
    <s v="Phase 1"/>
    <s v="NRIS"/>
    <s v="Other_"/>
    <n v="100"/>
    <n v="100"/>
    <x v="0"/>
    <s v="Photovoltaic"/>
    <m/>
    <m/>
    <n v="100"/>
    <n v="100"/>
    <n v="0"/>
    <n v="0"/>
  </r>
  <r>
    <s v="J3829"/>
    <x v="2"/>
    <d v="2024-04-17T00:00:00"/>
    <m/>
    <m/>
    <d v="2028-12-01T00:00:00"/>
    <s v="ENTERGY ARKANSAS, LLC EATO"/>
    <s v="Hot Spring"/>
    <m/>
    <m/>
    <s v="AR"/>
    <s v="DPP-2023"/>
    <s v="South"/>
    <s v="Study Not Started"/>
    <s v="NRIS"/>
    <s v="ETTA"/>
    <n v="770"/>
    <n v="770"/>
    <x v="3"/>
    <s v="Combined-Cycle ‚Äì Steam Plant"/>
    <m/>
    <m/>
    <n v="770"/>
    <n v="0"/>
    <n v="0"/>
    <n v="0"/>
  </r>
  <r>
    <s v="J3830"/>
    <x v="2"/>
    <d v="2024-04-16T00:00:00"/>
    <m/>
    <m/>
    <d v="2028-06-01T00:00:00"/>
    <s v="AMEREN ILLINOIS"/>
    <m/>
    <m/>
    <m/>
    <s v="IL"/>
    <s v="DPP-2023"/>
    <s v="Central"/>
    <s v="Study Not Started"/>
    <s v="NRIS"/>
    <s v="Other_"/>
    <n v="225"/>
    <n v="225"/>
    <x v="1"/>
    <s v="Wind Turbine"/>
    <m/>
    <m/>
    <n v="225"/>
    <n v="225"/>
    <n v="0"/>
    <n v="0"/>
  </r>
  <r>
    <s v="J3831"/>
    <x v="1"/>
    <d v="2024-10-08T00:00:00"/>
    <d v="2025-12-22T00:00:00"/>
    <m/>
    <d v="2029-06-01T00:00:00"/>
    <s v="INDIANAPOLIS POWER &amp; LIGHT COMPANY"/>
    <s v="Madison"/>
    <m/>
    <m/>
    <s v="IN"/>
    <s v="DPP-2025"/>
    <s v="Central"/>
    <s v="Phase 1"/>
    <s v="NRIS"/>
    <s v="Noblesville (Duke) - Fall Creek (AEP/PJM) 345.0kV"/>
    <n v="215"/>
    <n v="240"/>
    <x v="5"/>
    <s v="Combustion Turbine (Simple Cycle)"/>
    <m/>
    <m/>
    <n v="0"/>
    <n v="0"/>
    <n v="0"/>
    <n v="0"/>
  </r>
  <r>
    <s v="J3832"/>
    <x v="1"/>
    <d v="2024-07-30T00:00:00"/>
    <d v="2025-12-22T00:00:00"/>
    <m/>
    <d v="2028-04-05T00:00:00"/>
    <s v="ITC"/>
    <s v="Macomb"/>
    <m/>
    <m/>
    <s v="MI"/>
    <s v="DPP-2025"/>
    <s v="East (ITC)"/>
    <s v="Phase 1"/>
    <s v="NRIS"/>
    <s v="Lenox 120kV Substation (Bus #264749)"/>
    <n v="200"/>
    <n v="200"/>
    <x v="2"/>
    <s v="Battery Storage"/>
    <m/>
    <m/>
    <n v="0"/>
    <n v="0"/>
    <n v="0"/>
    <n v="0"/>
  </r>
  <r>
    <s v="J3833"/>
    <x v="2"/>
    <d v="2024-10-01T00:00:00"/>
    <m/>
    <m/>
    <d v="2028-09-01T00:00:00"/>
    <s v="OTTER TAIL POWER COMPANY OTP"/>
    <s v="Cass"/>
    <m/>
    <m/>
    <s v="ND"/>
    <s v="DPP-2025"/>
    <s v="West"/>
    <s v="Phase 1"/>
    <s v="NRIS"/>
    <s v="Buffalo 115 kV"/>
    <n v="200"/>
    <n v="200"/>
    <x v="1"/>
    <s v="Wind Turbine"/>
    <m/>
    <m/>
    <n v="200"/>
    <n v="200"/>
    <n v="0"/>
    <n v="0"/>
  </r>
  <r>
    <s v="J3834"/>
    <x v="1"/>
    <d v="2024-09-19T00:00:00"/>
    <d v="2026-04-14T00:00:00"/>
    <m/>
    <d v="2026-10-01T00:00:00"/>
    <s v="DUKE ENERGY INDIANA, LLC"/>
    <s v="Gibson"/>
    <m/>
    <m/>
    <s v="IN"/>
    <s v="DPP-2025"/>
    <s v="Central"/>
    <s v="Phase 1"/>
    <s v="NRIS"/>
    <s v="Gibson Sta - Francisco 345.0kV"/>
    <n v="300"/>
    <n v="300"/>
    <x v="2"/>
    <s v="Battery Storage"/>
    <m/>
    <m/>
    <n v="0"/>
    <n v="0"/>
    <n v="0"/>
    <n v="0"/>
  </r>
  <r>
    <s v="J3835"/>
    <x v="2"/>
    <d v="2024-07-18T00:00:00"/>
    <m/>
    <m/>
    <d v="2028-11-01T00:00:00"/>
    <s v="ITC"/>
    <s v="Saginaw"/>
    <m/>
    <m/>
    <s v="MI"/>
    <s v="DPP-2025"/>
    <s v="East (ITC)"/>
    <s v="Phase 1"/>
    <s v="NRIS"/>
    <s v="Other_"/>
    <n v="130"/>
    <n v="130"/>
    <x v="0"/>
    <s v="Photovoltaic"/>
    <m/>
    <m/>
    <n v="100"/>
    <n v="100"/>
    <n v="0"/>
    <n v="0"/>
  </r>
  <r>
    <s v="J3836"/>
    <x v="2"/>
    <d v="2024-10-24T00:00:00"/>
    <m/>
    <m/>
    <d v="2028-10-06T00:00:00"/>
    <s v="METC"/>
    <s v="Eaton"/>
    <m/>
    <m/>
    <s v="MI"/>
    <s v="DPP-2025"/>
    <s v="East (ITC)"/>
    <s v="Phase 1"/>
    <s v="NRIS"/>
    <s v="ONEIDA"/>
    <n v="250"/>
    <n v="250"/>
    <x v="2"/>
    <s v="Battery Storage"/>
    <m/>
    <m/>
    <n v="250"/>
    <n v="250"/>
    <n v="0"/>
    <n v="0"/>
  </r>
  <r>
    <s v="J3837"/>
    <x v="2"/>
    <d v="2024-12-02T00:00:00"/>
    <m/>
    <m/>
    <d v="2029-06-01T00:00:00"/>
    <s v="METC"/>
    <s v="Van Buren"/>
    <m/>
    <m/>
    <s v="MI"/>
    <s v="DPP-2025"/>
    <s v="East (ITC)"/>
    <s v="Phase 1"/>
    <s v="NRIS"/>
    <s v="ARGENTA - PALISADES 345.0kV"/>
    <n v="200"/>
    <n v="200"/>
    <x v="0"/>
    <s v="Photovoltaic"/>
    <m/>
    <m/>
    <n v="200"/>
    <n v="200"/>
    <n v="0"/>
    <n v="0"/>
  </r>
  <r>
    <s v="J3838"/>
    <x v="2"/>
    <d v="2024-04-18T00:00:00"/>
    <m/>
    <m/>
    <d v="2028-11-01T00:00:00"/>
    <s v="METC"/>
    <s v="Ingham"/>
    <m/>
    <m/>
    <s v="MI"/>
    <s v="DPP-2025"/>
    <s v="East (ITC)"/>
    <s v="Phase 1"/>
    <s v="NRIS"/>
    <s v="DELHI - TOMPKINS 138.0kV"/>
    <n v="225"/>
    <n v="225"/>
    <x v="0"/>
    <s v="Photovoltaic"/>
    <m/>
    <m/>
    <n v="135"/>
    <n v="135"/>
    <n v="0"/>
    <n v="0"/>
  </r>
  <r>
    <s v="J3839"/>
    <x v="1"/>
    <d v="2024-05-31T00:00:00"/>
    <d v="2026-01-04T00:00:00"/>
    <m/>
    <d v="2028-07-03T00:00:00"/>
    <s v="ENTERGY LOUISIANA, LLC"/>
    <s v="Union"/>
    <m/>
    <m/>
    <s v="LA"/>
    <s v="DPP-2025"/>
    <s v="South"/>
    <s v="Phase 1"/>
    <s v="NRIS"/>
    <s v="MARION SS (LAGEN) - HUTTIG SS 115.0kV"/>
    <n v="50"/>
    <n v="50"/>
    <x v="5"/>
    <s v="Solar/Battery"/>
    <m/>
    <m/>
    <n v="0"/>
    <n v="0"/>
    <n v="0"/>
    <n v="0"/>
  </r>
  <r>
    <s v="J3840"/>
    <x v="2"/>
    <d v="2024-12-31T00:00:00"/>
    <m/>
    <m/>
    <d v="2030-06-30T00:00:00"/>
    <s v="CLECO POWER LLC CLEC"/>
    <s v="St. Landry"/>
    <m/>
    <m/>
    <s v="LA"/>
    <s v="DPP-2025"/>
    <s v="South"/>
    <s v="Phase 1"/>
    <s v="NRIS"/>
    <s v="Wells"/>
    <n v="300"/>
    <n v="300"/>
    <x v="2"/>
    <s v="Battery Storage"/>
    <m/>
    <m/>
    <n v="300"/>
    <n v="300"/>
    <n v="0"/>
    <n v="0"/>
  </r>
  <r>
    <s v="J3841"/>
    <x v="1"/>
    <d v="2024-10-31T00:00:00"/>
    <d v="2025-09-11T00:00:00"/>
    <m/>
    <d v="2028-01-31T00:00:00"/>
    <s v="ENTERGY MISSISSIPPI, LLC."/>
    <s v="Richland"/>
    <m/>
    <m/>
    <s v="LA"/>
    <s v="DPP-2025"/>
    <s v="South"/>
    <s v="Phase 1"/>
    <s v="ERIS"/>
    <s v="Smalling 230kV Substation"/>
    <n v="735"/>
    <n v="770"/>
    <x v="3"/>
    <s v="Combined Cycle"/>
    <m/>
    <m/>
    <n v="0"/>
    <n v="0"/>
    <n v="0"/>
    <n v="0"/>
  </r>
  <r>
    <s v="J3842"/>
    <x v="1"/>
    <d v="2024-10-31T00:00:00"/>
    <d v="2025-09-11T00:00:00"/>
    <m/>
    <d v="2028-01-31T00:00:00"/>
    <s v="ENTERGY MISSISSIPPI, LLC."/>
    <s v="Richland"/>
    <m/>
    <m/>
    <s v="LA"/>
    <s v="DPP-2025"/>
    <s v="South"/>
    <s v="Phase 1"/>
    <s v="ERIS"/>
    <s v="Smalling 230kV Substation"/>
    <n v="735"/>
    <n v="770"/>
    <x v="3"/>
    <s v="Combined Cycle"/>
    <m/>
    <m/>
    <n v="0"/>
    <n v="0"/>
    <n v="0"/>
    <n v="0"/>
  </r>
  <r>
    <s v="J3843"/>
    <x v="2"/>
    <d v="2024-11-21T00:00:00"/>
    <m/>
    <m/>
    <d v="2027-11-01T00:00:00"/>
    <s v="METC"/>
    <s v="Saginaw"/>
    <m/>
    <m/>
    <s v="MI"/>
    <s v="DPP-2025"/>
    <s v="East (ITC)"/>
    <s v="Phase 1"/>
    <s v="NRIS"/>
    <s v="GOSS - SLATE 345.0kV"/>
    <n v="300"/>
    <n v="300"/>
    <x v="0"/>
    <s v="Photovoltaic"/>
    <m/>
    <m/>
    <n v="300"/>
    <n v="300"/>
    <n v="0"/>
    <n v="0"/>
  </r>
  <r>
    <s v="J3844"/>
    <x v="2"/>
    <d v="2024-11-26T00:00:00"/>
    <m/>
    <m/>
    <d v="2029-04-01T00:00:00"/>
    <s v="METC"/>
    <s v="St. Joseph"/>
    <m/>
    <m/>
    <s v="MI"/>
    <s v="DPP-2025"/>
    <s v="East (ITC)"/>
    <s v="Phase 1"/>
    <s v="NRIS"/>
    <s v="BATAVIA - MORROW  138.0kV"/>
    <n v="150"/>
    <n v="150"/>
    <x v="0"/>
    <s v="Photovoltaic"/>
    <m/>
    <m/>
    <n v="150"/>
    <n v="150"/>
    <n v="0"/>
    <n v="0"/>
  </r>
  <r>
    <s v="J3845"/>
    <x v="1"/>
    <d v="2024-11-27T00:00:00"/>
    <d v="2026-04-16T00:00:00"/>
    <m/>
    <d v="2029-02-09T00:00:00"/>
    <s v="ITC"/>
    <s v="Monroe"/>
    <m/>
    <m/>
    <s v="MI"/>
    <s v="DPP-2025"/>
    <s v="East (ITC)"/>
    <s v="Phase 1"/>
    <s v="NRIS"/>
    <s v="BROWNSTOWN - ENRICO FERMI #3 345.0kV"/>
    <n v="250"/>
    <n v="250"/>
    <x v="2"/>
    <s v="Battery Storage"/>
    <m/>
    <m/>
    <n v="0"/>
    <n v="0"/>
    <n v="0"/>
    <n v="0"/>
  </r>
  <r>
    <s v="J3846"/>
    <x v="1"/>
    <d v="2025-01-10T00:00:00"/>
    <d v="2026-04-14T00:00:00"/>
    <m/>
    <d v="2030-08-01T00:00:00"/>
    <s v="NORTHERN INDIANA PUBLIC SERVICE COMPANY LLC"/>
    <s v="Newton"/>
    <m/>
    <m/>
    <s v="IN"/>
    <s v="DPP-2025"/>
    <s v="Central"/>
    <s v="Phase 1"/>
    <s v="NRIS"/>
    <s v="Other_"/>
    <n v="220"/>
    <n v="220"/>
    <x v="1"/>
    <s v="Wind Turbine"/>
    <m/>
    <m/>
    <n v="0"/>
    <n v="0"/>
    <n v="0"/>
    <n v="0"/>
  </r>
  <r>
    <s v="J3847"/>
    <x v="1"/>
    <d v="2025-01-03T00:00:00"/>
    <d v="2026-04-14T00:00:00"/>
    <m/>
    <d v="2029-06-01T00:00:00"/>
    <s v="AMEREN ILLINOIS"/>
    <s v="Jefferson"/>
    <m/>
    <m/>
    <s v="IL"/>
    <s v="DPP-2025"/>
    <s v="Central"/>
    <s v="Phase 1"/>
    <s v="NRIS"/>
    <s v="Walton Shell Substation 138KV"/>
    <n v="200"/>
    <n v="200"/>
    <x v="0"/>
    <s v="Photovoltaic"/>
    <m/>
    <m/>
    <n v="0"/>
    <n v="0"/>
    <n v="0"/>
    <n v="0"/>
  </r>
  <r>
    <s v="J3848"/>
    <x v="2"/>
    <d v="2024-12-31T00:00:00"/>
    <m/>
    <m/>
    <d v="2030-06-30T00:00:00"/>
    <s v="DAIRYLAND POWER COOPERATIVE DPC"/>
    <s v="Wabasha"/>
    <m/>
    <m/>
    <s v="MN"/>
    <s v="DPP-2025"/>
    <s v="West"/>
    <s v="Phase 1"/>
    <s v="NRIS"/>
    <s v="Wabaco"/>
    <n v="250"/>
    <n v="250"/>
    <x v="2"/>
    <s v="Battery Storage"/>
    <m/>
    <m/>
    <n v="250"/>
    <n v="250"/>
    <n v="0"/>
    <n v="0"/>
  </r>
  <r>
    <s v="J3849"/>
    <x v="4"/>
    <d v="2024-12-31T00:00:00"/>
    <m/>
    <m/>
    <d v="2030-06-30T00:00:00"/>
    <s v="ITC MIDWEST"/>
    <s v="Winnebago"/>
    <m/>
    <m/>
    <s v="IA"/>
    <s v="DPP-2025"/>
    <s v="West"/>
    <s v="Phase 1"/>
    <s v="NRIS"/>
    <s v="Bison - Colby 345kV"/>
    <n v="200"/>
    <n v="200"/>
    <x v="1"/>
    <s v="Wind Turbine"/>
    <m/>
    <m/>
    <n v="200"/>
    <n v="200"/>
    <n v="0"/>
    <n v="0"/>
  </r>
  <r>
    <s v="J3850"/>
    <x v="1"/>
    <d v="2024-12-31T00:00:00"/>
    <d v="2026-04-15T00:00:00"/>
    <m/>
    <d v="2030-06-30T00:00:00"/>
    <s v="NORTHERN STATES POWER COMPANY"/>
    <s v="Pine"/>
    <m/>
    <m/>
    <s v="MN"/>
    <s v="DPP-2025"/>
    <s v="West"/>
    <s v="Phase 1"/>
    <s v="NRIS"/>
    <s v="ROCK CREEK"/>
    <n v="150"/>
    <n v="150"/>
    <x v="0"/>
    <s v="Photovoltaic"/>
    <m/>
    <m/>
    <n v="0"/>
    <n v="0"/>
    <n v="0"/>
    <n v="0"/>
  </r>
  <r>
    <s v="J3851"/>
    <x v="1"/>
    <d v="2024-12-31T00:00:00"/>
    <d v="2025-12-19T00:00:00"/>
    <m/>
    <d v="2030-06-30T00:00:00"/>
    <s v="AMEREN ILLINOIS"/>
    <s v="McDonough"/>
    <m/>
    <m/>
    <s v="IL"/>
    <s v="DPP-2025"/>
    <s v="Central"/>
    <s v="Phase 1"/>
    <s v="NRIS"/>
    <s v="Macomb West"/>
    <n v="200"/>
    <n v="200"/>
    <x v="2"/>
    <s v="Battery Storage"/>
    <m/>
    <m/>
    <n v="0"/>
    <n v="0"/>
    <n v="0"/>
    <n v="0"/>
  </r>
  <r>
    <s v="J3852"/>
    <x v="1"/>
    <d v="2024-12-31T00:00:00"/>
    <d v="2026-04-15T00:00:00"/>
    <m/>
    <d v="2030-06-30T00:00:00"/>
    <s v="ITC"/>
    <s v="Tuscola"/>
    <m/>
    <m/>
    <s v="MI"/>
    <s v="DPP-2025"/>
    <s v="East (ITC)"/>
    <s v="Phase 1"/>
    <s v="NRIS"/>
    <s v="KIRK"/>
    <n v="200"/>
    <n v="200"/>
    <x v="0"/>
    <s v="Photovoltaic"/>
    <m/>
    <m/>
    <n v="0"/>
    <n v="0"/>
    <n v="0"/>
    <n v="0"/>
  </r>
  <r>
    <s v="J3853"/>
    <x v="2"/>
    <d v="2024-12-26T00:00:00"/>
    <m/>
    <m/>
    <d v="2029-06-01T00:00:00"/>
    <s v="AMEREN ILLINOIS"/>
    <s v="Iroquois"/>
    <m/>
    <m/>
    <s v="IL"/>
    <s v="DPP-2025"/>
    <s v="Central"/>
    <s v="Phase 1"/>
    <s v="NRIS"/>
    <s v="Other_"/>
    <n v="300"/>
    <n v="300"/>
    <x v="1"/>
    <s v="Wind Turbine"/>
    <m/>
    <m/>
    <n v="300"/>
    <n v="300"/>
    <n v="0"/>
    <n v="0"/>
  </r>
  <r>
    <s v="J3854"/>
    <x v="1"/>
    <d v="2024-12-26T00:00:00"/>
    <d v="2025-04-09T00:00:00"/>
    <m/>
    <d v="2028-01-03T00:00:00"/>
    <s v="AMEREN ILLINOIS"/>
    <s v="Mason"/>
    <m/>
    <m/>
    <s v="IL"/>
    <s v="DPP-2025"/>
    <s v="Central"/>
    <s v="Phase 1"/>
    <s v="NRIS"/>
    <s v="4PURO - 4HAVANA3 138.0kV"/>
    <n v="44.33"/>
    <n v="44.33"/>
    <x v="1"/>
    <s v="Wind Turbine"/>
    <m/>
    <m/>
    <n v="0"/>
    <n v="0"/>
    <n v="0"/>
    <n v="0"/>
  </r>
  <r>
    <s v="J3855"/>
    <x v="1"/>
    <d v="2024-12-26T00:00:00"/>
    <d v="2025-12-31T00:00:00"/>
    <m/>
    <d v="2028-03-01T00:00:00"/>
    <s v="ENTERGY MISSISSIPPI, LLC."/>
    <s v="Madison"/>
    <m/>
    <m/>
    <s v="MS"/>
    <s v="DPP-2025"/>
    <s v="South"/>
    <s v="Phase 1"/>
    <s v="ERIS"/>
    <s v="CANTON - PICKENS 230.0kV"/>
    <n v="197.5"/>
    <n v="197.5"/>
    <x v="0"/>
    <s v="Photovoltaic"/>
    <m/>
    <m/>
    <n v="0"/>
    <n v="0"/>
    <n v="0"/>
    <n v="0"/>
  </r>
  <r>
    <s v="J3856"/>
    <x v="2"/>
    <d v="2024-12-26T00:00:00"/>
    <m/>
    <m/>
    <d v="2030-04-01T00:00:00"/>
    <s v="AMEREN ILLINOIS"/>
    <s v="Wabash"/>
    <m/>
    <m/>
    <s v="IL"/>
    <s v="DPP-2025"/>
    <s v="Central"/>
    <s v="Phase 1"/>
    <s v="NRIS"/>
    <s v="08GIBSON (PSI) - 7ALBION   345.0kV"/>
    <n v="235"/>
    <n v="235"/>
    <x v="1"/>
    <s v="Wind Turbine"/>
    <m/>
    <m/>
    <n v="235"/>
    <n v="153"/>
    <n v="0"/>
    <n v="0"/>
  </r>
  <r>
    <s v="J3857"/>
    <x v="1"/>
    <d v="2024-12-26T00:00:00"/>
    <d v="2026-04-16T00:00:00"/>
    <m/>
    <d v="2030-04-01T00:00:00"/>
    <s v="METC"/>
    <s v="Iosco"/>
    <m/>
    <m/>
    <s v="MI"/>
    <s v="DPP-2025"/>
    <s v="East (ITC)"/>
    <s v="Phase 1"/>
    <s v="NRIS"/>
    <s v="ALCONA - WHITTEMORE 138.0kV"/>
    <n v="105"/>
    <n v="105"/>
    <x v="0"/>
    <s v="Photovoltaic"/>
    <m/>
    <m/>
    <n v="0"/>
    <n v="0"/>
    <n v="0"/>
    <n v="0"/>
  </r>
  <r>
    <s v="J3858"/>
    <x v="1"/>
    <d v="2024-12-18T00:00:00"/>
    <d v="2026-07-22T00:00:00"/>
    <m/>
    <d v="2029-06-01T00:00:00"/>
    <s v="ITC"/>
    <s v="Livingston"/>
    <m/>
    <m/>
    <s v="MI"/>
    <s v="DPP-2025"/>
    <s v="East (ITC)"/>
    <s v="Phase 1"/>
    <s v="NRIS"/>
    <s v="Madrid Substation 120 kV - Bus number 265650"/>
    <n v="110"/>
    <n v="110"/>
    <x v="0"/>
    <s v="Photovoltaic"/>
    <m/>
    <m/>
    <n v="0"/>
    <n v="0"/>
    <n v="0"/>
    <n v="0"/>
  </r>
  <r>
    <s v="J3859"/>
    <x v="4"/>
    <d v="2024-12-17T00:00:00"/>
    <m/>
    <m/>
    <d v="2028-10-01T00:00:00"/>
    <s v="METC"/>
    <s v="Branch"/>
    <m/>
    <m/>
    <s v="MI"/>
    <s v="DPP-2025"/>
    <s v="East (ITC)"/>
    <s v="Phase 1"/>
    <s v="NRIS"/>
    <s v="Other_"/>
    <n v="200"/>
    <n v="200"/>
    <x v="0"/>
    <s v="Photovoltaic"/>
    <m/>
    <m/>
    <n v="200"/>
    <n v="200"/>
    <n v="0"/>
    <n v="0"/>
  </r>
  <r>
    <s v="J3860"/>
    <x v="2"/>
    <d v="2025-01-27T00:00:00"/>
    <m/>
    <m/>
    <d v="2030-04-02T00:00:00"/>
    <s v="AMEREN TRANSMISSION COMPANY OF ILLINOIS"/>
    <s v="Peoria"/>
    <m/>
    <m/>
    <s v="IL"/>
    <s v="DPP-2025"/>
    <s v="Central"/>
    <s v="Phase 1"/>
    <s v="NRIS"/>
    <s v="7FARGO - 7SANDBURG 345.0kV"/>
    <n v="500"/>
    <n v="500"/>
    <x v="1"/>
    <s v="Wind Turbine"/>
    <m/>
    <m/>
    <n v="300"/>
    <n v="300"/>
    <n v="0"/>
    <n v="0"/>
  </r>
  <r>
    <s v="J3861"/>
    <x v="1"/>
    <d v="2024-12-13T00:00:00"/>
    <d v="2026-04-15T00:00:00"/>
    <m/>
    <d v="2028-07-28T00:00:00"/>
    <s v="METC"/>
    <s v="Branch"/>
    <m/>
    <m/>
    <s v="MI"/>
    <s v="DPP-2025"/>
    <s v="East (ITC)"/>
    <s v="Phase 1"/>
    <s v="NRIS"/>
    <s v="WAGNER"/>
    <n v="100"/>
    <n v="100"/>
    <x v="2"/>
    <s v="Battery Storage"/>
    <m/>
    <m/>
    <n v="0"/>
    <n v="0"/>
    <n v="0"/>
    <n v="0"/>
  </r>
  <r>
    <s v="J3862"/>
    <x v="1"/>
    <d v="2024-12-11T00:00:00"/>
    <d v="2025-08-20T00:00:00"/>
    <m/>
    <d v="2028-09-01T00:00:00"/>
    <s v="OTTER TAIL POWER COMPANY"/>
    <s v="Deuel"/>
    <m/>
    <m/>
    <s v="SD"/>
    <s v="DPP-2025"/>
    <s v="West"/>
    <s v="Phase 1"/>
    <s v="NRIS"/>
    <s v="Astoria - Deuel County 345.0kV"/>
    <n v="250"/>
    <n v="250"/>
    <x v="0"/>
    <s v="Photovoltaic"/>
    <m/>
    <m/>
    <n v="0"/>
    <n v="0"/>
    <n v="0"/>
    <n v="0"/>
  </r>
  <r>
    <s v="J3863"/>
    <x v="1"/>
    <d v="2024-12-11T00:00:00"/>
    <d v="2025-07-07T00:00:00"/>
    <m/>
    <d v="2028-09-01T00:00:00"/>
    <s v="MINNESOTA POWER INC."/>
    <s v="Itasca"/>
    <m/>
    <m/>
    <s v="MN"/>
    <s v="DPP-2025"/>
    <s v="West"/>
    <s v="Phase 1"/>
    <s v="NRIS"/>
    <s v="Boswell 230 - Blackberry 230kV"/>
    <n v="200"/>
    <n v="200"/>
    <x v="0"/>
    <s v="Photovoltaic"/>
    <m/>
    <m/>
    <n v="0"/>
    <n v="0"/>
    <n v="0"/>
    <n v="0"/>
  </r>
  <r>
    <s v="J3864"/>
    <x v="4"/>
    <d v="2024-12-09T00:00:00"/>
    <m/>
    <m/>
    <d v="2028-11-01T00:00:00"/>
    <s v="METC"/>
    <s v="Shiawassee"/>
    <m/>
    <m/>
    <s v="MI"/>
    <s v="DPP-2025"/>
    <s v="East (ITC)"/>
    <s v="Phase 1"/>
    <s v="NRIS"/>
    <s v="GOSS - THETFORD 345.0kV"/>
    <n v="230"/>
    <n v="230"/>
    <x v="1"/>
    <s v="Wind Turbine"/>
    <m/>
    <m/>
    <n v="230"/>
    <n v="230"/>
    <n v="0"/>
    <n v="0"/>
  </r>
  <r>
    <s v="J3865"/>
    <x v="4"/>
    <d v="2024-12-08T00:00:00"/>
    <m/>
    <m/>
    <d v="2028-11-01T00:00:00"/>
    <s v="METC"/>
    <s v="Shiawassee"/>
    <m/>
    <m/>
    <s v="MI"/>
    <s v="DPP-2025"/>
    <s v="East (ITC)"/>
    <s v="Phase 1"/>
    <s v="NRIS"/>
    <s v="CORNELL - LAYTON 138.0kV"/>
    <n v="250"/>
    <n v="250"/>
    <x v="1"/>
    <s v="Wind Turbine"/>
    <m/>
    <m/>
    <n v="250"/>
    <n v="250"/>
    <n v="0"/>
    <n v="0"/>
  </r>
  <r>
    <s v="J3866"/>
    <x v="4"/>
    <d v="2024-12-06T00:00:00"/>
    <m/>
    <m/>
    <d v="2028-11-01T00:00:00"/>
    <s v="ITC"/>
    <s v="Lapeer"/>
    <m/>
    <m/>
    <s v="MI"/>
    <s v="DPP-2025"/>
    <s v="East (ITC)"/>
    <s v="Phase 1"/>
    <s v="NRIS"/>
    <s v="BENNET - GREENWOOD 120.0kV"/>
    <n v="300"/>
    <n v="300"/>
    <x v="1"/>
    <s v="Wind Turbine"/>
    <m/>
    <m/>
    <n v="250"/>
    <n v="250"/>
    <n v="0"/>
    <n v="0"/>
  </r>
  <r>
    <s v="J3867"/>
    <x v="1"/>
    <d v="2024-12-02T00:00:00"/>
    <d v="2025-12-29T00:00:00"/>
    <m/>
    <d v="2029-06-01T00:00:00"/>
    <s v="AMEREN TRANSMISSION COMPANY OF ILLINOIS"/>
    <s v="Iroquois"/>
    <m/>
    <m/>
    <s v="IL"/>
    <s v="DPP-2025"/>
    <s v="Central"/>
    <s v="Phase 1"/>
    <s v="NRIS"/>
    <s v="Watseka"/>
    <n v="200"/>
    <n v="200"/>
    <x v="0"/>
    <s v="Photovoltaic"/>
    <m/>
    <m/>
    <n v="0"/>
    <n v="0"/>
    <n v="0"/>
    <n v="0"/>
  </r>
  <r>
    <s v="J3868"/>
    <x v="1"/>
    <d v="2024-12-02T00:00:00"/>
    <d v="2025-09-11T00:00:00"/>
    <m/>
    <d v="2029-06-01T00:00:00"/>
    <s v="ENTERGY ARKANSAS, LLC"/>
    <s v="Sharp"/>
    <m/>
    <m/>
    <s v="AR"/>
    <s v="DPP-2025"/>
    <s v="South"/>
    <s v="Phase 1"/>
    <s v="NRIS"/>
    <s v="CAVE CITY"/>
    <n v="100"/>
    <n v="100"/>
    <x v="0"/>
    <s v="Photovoltaic"/>
    <m/>
    <m/>
    <n v="0"/>
    <n v="0"/>
    <n v="0"/>
    <n v="0"/>
  </r>
  <r>
    <s v="J3869"/>
    <x v="1"/>
    <d v="2024-12-02T00:00:00"/>
    <d v="2025-09-11T00:00:00"/>
    <m/>
    <d v="2029-06-01T00:00:00"/>
    <s v="AMEREN MISSOURI"/>
    <s v="Pike"/>
    <m/>
    <m/>
    <s v="MO"/>
    <s v="DPP-2025"/>
    <s v="Central"/>
    <s v="Phase 1"/>
    <s v="NRIS"/>
    <s v="5PIKE 1 - 5CALUMET 161.0kV"/>
    <n v="150"/>
    <n v="150"/>
    <x v="0"/>
    <s v="Photovoltaic"/>
    <m/>
    <m/>
    <n v="0"/>
    <n v="0"/>
    <n v="0"/>
    <n v="0"/>
  </r>
  <r>
    <s v="J3870"/>
    <x v="2"/>
    <d v="2024-12-23T00:00:00"/>
    <m/>
    <m/>
    <d v="2024-01-26T00:00:00"/>
    <s v="DUKE ENERGY INDIANA, LLC CIN"/>
    <s v="Vigo"/>
    <m/>
    <m/>
    <s v="IN"/>
    <s v="DPP-2025"/>
    <s v="Central"/>
    <s v="Phase 1"/>
    <s v="NRIS"/>
    <s v="SUGAR CREEK"/>
    <n v="87"/>
    <n v="87"/>
    <x v="3"/>
    <s v="Combined Cycle"/>
    <m/>
    <d v="2002-05-01T00:00:00"/>
    <n v="87"/>
    <n v="87"/>
    <n v="87"/>
    <n v="87"/>
  </r>
  <r>
    <s v="J3871"/>
    <x v="1"/>
    <d v="2024-12-19T00:00:00"/>
    <d v="2025-09-24T00:00:00"/>
    <m/>
    <d v="2028-11-30T00:00:00"/>
    <s v="ENTERGY LOUISIANA, LLC"/>
    <s v="St. Charles"/>
    <m/>
    <m/>
    <s v="LA"/>
    <s v="DPP-2025"/>
    <s v="South"/>
    <s v="Phase 1"/>
    <s v="NRIS"/>
    <s v="WATERFORD 500 SS"/>
    <n v="735"/>
    <n v="770"/>
    <x v="3"/>
    <s v="Combined-Cycle ‚Äì Steam Plant"/>
    <m/>
    <m/>
    <n v="0"/>
    <n v="0"/>
    <n v="0"/>
    <n v="0"/>
  </r>
  <r>
    <s v="J3872"/>
    <x v="2"/>
    <d v="2025-01-27T00:00:00"/>
    <m/>
    <m/>
    <d v="2029-01-05T00:00:00"/>
    <s v="ITC"/>
    <s v="Wayne"/>
    <m/>
    <m/>
    <s v="MI"/>
    <s v="DPP-2025"/>
    <s v="East (ITC)"/>
    <s v="Phase 1"/>
    <s v="NRIS"/>
    <s v="RIVER ROUGE"/>
    <n v="350"/>
    <n v="350"/>
    <x v="2"/>
    <s v="Battery Storage"/>
    <m/>
    <m/>
    <n v="350"/>
    <n v="350"/>
    <n v="0"/>
    <n v="0"/>
  </r>
  <r>
    <s v="J3873"/>
    <x v="4"/>
    <d v="2024-12-19T00:00:00"/>
    <m/>
    <m/>
    <d v="2029-06-01T00:00:00"/>
    <s v="HOOSIER ENERGY"/>
    <s v="Gibson"/>
    <m/>
    <m/>
    <s v="IN"/>
    <s v="DPP-2025"/>
    <s v="Central"/>
    <s v="Phase 1"/>
    <s v="NRIS"/>
    <s v="Owensville Primary"/>
    <n v="200"/>
    <n v="200"/>
    <x v="2"/>
    <s v="Battery Storage"/>
    <m/>
    <m/>
    <n v="200"/>
    <n v="200"/>
    <n v="0"/>
    <n v="0"/>
  </r>
  <r>
    <s v="J3874"/>
    <x v="2"/>
    <d v="2024-12-19T00:00:00"/>
    <m/>
    <m/>
    <d v="2028-11-01T00:00:00"/>
    <s v="ENTERGY ARKANSAS, LLC EATO"/>
    <s v="Union"/>
    <m/>
    <m/>
    <s v="AR"/>
    <s v="DPP-2025"/>
    <s v="South"/>
    <s v="Phase 1"/>
    <s v="ERIS"/>
    <s v="White Bluff EHV"/>
    <n v="770"/>
    <n v="770"/>
    <x v="3"/>
    <s v="Combined-Cycle ‚Äì Steam Plant"/>
    <m/>
    <m/>
    <n v="770"/>
    <n v="0"/>
    <n v="0"/>
    <n v="0"/>
  </r>
  <r>
    <s v="J3875"/>
    <x v="1"/>
    <d v="2025-02-06T00:00:00"/>
    <d v="2025-12-31T00:00:00"/>
    <m/>
    <d v="2030-09-30T00:00:00"/>
    <s v="METC"/>
    <s v="Lapeer"/>
    <m/>
    <m/>
    <s v="MI"/>
    <s v="DPP-2025"/>
    <s v="East (ITC)"/>
    <s v="Phase 1"/>
    <s v="NRIS"/>
    <s v="Other_"/>
    <n v="50"/>
    <n v="50"/>
    <x v="2"/>
    <s v="Battery Storage"/>
    <m/>
    <m/>
    <n v="0"/>
    <n v="0"/>
    <n v="0"/>
    <n v="0"/>
  </r>
  <r>
    <s v="J3876"/>
    <x v="1"/>
    <d v="2025-02-06T00:00:00"/>
    <d v="2025-12-31T00:00:00"/>
    <m/>
    <d v="2030-09-30T00:00:00"/>
    <s v="ITC"/>
    <s v="Lapeer"/>
    <m/>
    <m/>
    <s v="MI"/>
    <s v="DPP-2025"/>
    <s v="East (ITC)"/>
    <s v="Phase 1"/>
    <s v="NRIS"/>
    <s v="Other_"/>
    <n v="150"/>
    <n v="150"/>
    <x v="0"/>
    <s v="Photovoltaic"/>
    <m/>
    <m/>
    <n v="0"/>
    <n v="0"/>
    <n v="0"/>
    <n v="0"/>
  </r>
  <r>
    <s v="J3877"/>
    <x v="1"/>
    <d v="2025-01-03T00:00:00"/>
    <d v="2026-01-05T00:00:00"/>
    <m/>
    <d v="2029-06-01T00:00:00"/>
    <s v="DUKE ENERGY INDIANA, LLC"/>
    <s v="Pike"/>
    <m/>
    <m/>
    <s v="IN"/>
    <s v="DPP-2025"/>
    <s v="Central"/>
    <s v="Phase 1"/>
    <s v="NRIS"/>
    <s v="Other_"/>
    <n v="160"/>
    <n v="160"/>
    <x v="0"/>
    <s v="Photovoltaic"/>
    <m/>
    <m/>
    <n v="0"/>
    <n v="0"/>
    <n v="0"/>
    <n v="0"/>
  </r>
  <r>
    <s v="J3878"/>
    <x v="1"/>
    <d v="2024-12-19T00:00:00"/>
    <d v="2026-01-05T00:00:00"/>
    <m/>
    <d v="2029-06-01T00:00:00"/>
    <s v="AMEREN ILLINOIS"/>
    <s v="Jefferson"/>
    <m/>
    <m/>
    <s v="IL"/>
    <s v="DPP-2025"/>
    <s v="Central"/>
    <s v="Phase 1"/>
    <s v="NRIS"/>
    <s v="7PR STATE - 7MTVERNW 345.0kV"/>
    <n v="300"/>
    <n v="300"/>
    <x v="0"/>
    <s v="Photovoltaic"/>
    <m/>
    <m/>
    <n v="0"/>
    <n v="0"/>
    <n v="0"/>
    <n v="0"/>
  </r>
  <r>
    <s v="J3879"/>
    <x v="2"/>
    <d v="2024-05-28T00:00:00"/>
    <m/>
    <m/>
    <d v="2030-08-01T00:00:00"/>
    <s v="DUKE ENERGY INDIANA, LLC CIN"/>
    <s v="Jackson"/>
    <m/>
    <m/>
    <s v="IN"/>
    <s v="DPP-2025"/>
    <s v="Central"/>
    <s v="Phase 1"/>
    <s v="NRIS"/>
    <s v="Cayuga  - Hillsdale North 230.0kV"/>
    <n v="200"/>
    <n v="200"/>
    <x v="5"/>
    <s v="Solar/Battery"/>
    <m/>
    <m/>
    <n v="200"/>
    <n v="200"/>
    <n v="0"/>
    <n v="0"/>
  </r>
  <r>
    <s v="J3880"/>
    <x v="1"/>
    <d v="2025-02-10T00:00:00"/>
    <d v="2026-04-14T00:00:00"/>
    <m/>
    <d v="2030-09-30T00:00:00"/>
    <s v="AMEREN ILLINOIS"/>
    <s v="Clay"/>
    <m/>
    <m/>
    <s v="IL"/>
    <s v="DPP-2025"/>
    <s v="Central"/>
    <s v="Phase 1"/>
    <s v="NRIS"/>
    <s v="7NEWTON   - 7TANNER    345.0kV"/>
    <n v="200"/>
    <n v="200"/>
    <x v="0"/>
    <s v="Photovoltaic"/>
    <m/>
    <m/>
    <n v="0"/>
    <n v="0"/>
    <n v="0"/>
    <n v="0"/>
  </r>
  <r>
    <s v="J3881"/>
    <x v="1"/>
    <d v="2025-02-10T00:00:00"/>
    <d v="2026-04-14T00:00:00"/>
    <m/>
    <d v="2030-09-30T00:00:00"/>
    <s v="AMEREN ILLINOIS"/>
    <s v="Clay"/>
    <m/>
    <m/>
    <s v="IL"/>
    <s v="DPP-2025"/>
    <s v="Central"/>
    <s v="Phase 1"/>
    <s v="NRIS"/>
    <s v="7NEWTON   - 7TANNER    345.0kV"/>
    <n v="200"/>
    <n v="200"/>
    <x v="2"/>
    <s v="Battery Storage"/>
    <m/>
    <m/>
    <n v="0"/>
    <n v="0"/>
    <n v="0"/>
    <n v="0"/>
  </r>
  <r>
    <s v="J3882"/>
    <x v="2"/>
    <d v="2025-02-10T00:00:00"/>
    <m/>
    <m/>
    <d v="2030-09-30T00:00:00"/>
    <s v="AMEREN ILLINOIS"/>
    <s v="Crawford"/>
    <m/>
    <m/>
    <s v="IL"/>
    <s v="DPP-2025"/>
    <s v="Central"/>
    <s v="Phase 1"/>
    <s v="NRIS"/>
    <s v="4HUTSONVL - 4HEATH 138.0kV"/>
    <n v="250"/>
    <n v="250"/>
    <x v="0"/>
    <s v="Photovoltaic"/>
    <m/>
    <m/>
    <n v="250"/>
    <n v="250"/>
    <n v="0"/>
    <n v="0"/>
  </r>
  <r>
    <s v="J3883"/>
    <x v="1"/>
    <d v="2025-02-10T00:00:00"/>
    <d v="2026-04-14T00:00:00"/>
    <m/>
    <d v="2030-09-30T00:00:00"/>
    <s v="AMEREN ILLINOIS"/>
    <s v="Crawford"/>
    <m/>
    <m/>
    <s v="IL"/>
    <s v="DPP-2025"/>
    <s v="Central"/>
    <s v="Phase 1"/>
    <s v="NRIS"/>
    <s v="4HUTSONVL - 4HEATH 138.0kV"/>
    <n v="250"/>
    <n v="250"/>
    <x v="2"/>
    <s v="Battery Storage"/>
    <m/>
    <m/>
    <n v="0"/>
    <n v="0"/>
    <n v="0"/>
    <n v="0"/>
  </r>
  <r>
    <s v="J3884"/>
    <x v="1"/>
    <d v="2025-02-09T00:00:00"/>
    <d v="2026-04-15T00:00:00"/>
    <m/>
    <d v="2030-09-30T00:00:00"/>
    <s v="GREAT RIVER ENERGY"/>
    <s v="Benton"/>
    <m/>
    <m/>
    <s v="MN"/>
    <s v="DPP-2025"/>
    <s v="West"/>
    <s v="Phase 1"/>
    <s v="NRIS"/>
    <s v="BENTON COUNTY 345 - START DBL CKT W/EW LINE 345.0kV"/>
    <n v="300"/>
    <n v="300"/>
    <x v="0"/>
    <s v="Photovoltaic"/>
    <m/>
    <m/>
    <n v="0"/>
    <n v="0"/>
    <n v="0"/>
    <n v="0"/>
  </r>
  <r>
    <s v="J3885"/>
    <x v="1"/>
    <d v="2025-02-25T00:00:00"/>
    <d v="2026-01-05T00:00:00"/>
    <m/>
    <d v="2030-09-30T00:00:00"/>
    <s v="ENTERGY LOUISIANA, LLC"/>
    <s v="Morehouse"/>
    <m/>
    <m/>
    <s v="LA"/>
    <s v="DPP-2025"/>
    <s v="South"/>
    <s v="Phase 1"/>
    <s v="NRIS"/>
    <s v="STERLINGTON 115 SWYD - AECC MERIDIAN 115.0kV"/>
    <n v="200"/>
    <n v="200"/>
    <x v="0"/>
    <s v="Photovoltaic"/>
    <m/>
    <m/>
    <n v="0"/>
    <n v="0"/>
    <n v="0"/>
    <n v="0"/>
  </r>
  <r>
    <s v="J3886"/>
    <x v="1"/>
    <d v="2025-02-11T00:00:00"/>
    <d v="2026-04-15T00:00:00"/>
    <m/>
    <d v="2030-04-01T00:00:00"/>
    <s v="OTTER TAIL POWER COMPANY"/>
    <s v="Swift"/>
    <m/>
    <m/>
    <s v="MN"/>
    <s v="DPP-2025"/>
    <s v="West"/>
    <s v="Phase 1"/>
    <s v="NRIS"/>
    <s v="Big Stone South - Alexandria 345kV"/>
    <n v="300"/>
    <n v="300"/>
    <x v="1"/>
    <s v="Wind Turbine"/>
    <m/>
    <m/>
    <n v="0"/>
    <n v="0"/>
    <n v="0"/>
    <n v="0"/>
  </r>
  <r>
    <s v="J3887"/>
    <x v="1"/>
    <d v="2025-01-10T00:00:00"/>
    <d v="2026-02-20T00:00:00"/>
    <m/>
    <d v="2030-12-31T00:00:00"/>
    <s v="METC"/>
    <s v="Montcalm"/>
    <m/>
    <m/>
    <s v="MI"/>
    <s v="DPP-2025"/>
    <s v="East (ITC)"/>
    <s v="Phase 1"/>
    <s v="NRIS"/>
    <s v="KENOWA - NELSON ROAD 345.0kV"/>
    <n v="300"/>
    <n v="300"/>
    <x v="1"/>
    <s v="Wind Turbine"/>
    <m/>
    <m/>
    <n v="0"/>
    <n v="0"/>
    <n v="0"/>
    <n v="0"/>
  </r>
  <r>
    <s v="J3888"/>
    <x v="1"/>
    <d v="2025-02-06T00:00:00"/>
    <d v="2026-04-15T00:00:00"/>
    <m/>
    <d v="2030-09-12T00:00:00"/>
    <s v="ENTERGY ARKANSAS, LLC"/>
    <s v="Union"/>
    <m/>
    <m/>
    <s v="AR"/>
    <s v="DPP-2025"/>
    <s v="South"/>
    <s v="Phase 1"/>
    <s v="NRIS"/>
    <s v="EL DORADO EHV - SAREPTA 345/115 SS 345.0kV"/>
    <n v="150"/>
    <n v="150"/>
    <x v="0"/>
    <s v="Photovoltaic"/>
    <m/>
    <m/>
    <n v="0"/>
    <n v="0"/>
    <n v="0"/>
    <n v="0"/>
  </r>
  <r>
    <s v="J3889"/>
    <x v="1"/>
    <d v="2025-02-06T00:00:00"/>
    <d v="2026-04-15T00:00:00"/>
    <m/>
    <d v="2030-09-12T00:00:00"/>
    <s v="ENTERGY ARKANSAS, LLC"/>
    <s v="Union"/>
    <m/>
    <m/>
    <s v="AR"/>
    <s v="DPP-2025"/>
    <s v="South"/>
    <s v="Phase 1"/>
    <s v="NRIS"/>
    <s v="EL DORADO EHV - SAREPTA 345/115 SS 345.0kV"/>
    <n v="350"/>
    <n v="350"/>
    <x v="0"/>
    <s v="Photovoltaic"/>
    <m/>
    <m/>
    <n v="0"/>
    <n v="0"/>
    <n v="0"/>
    <n v="0"/>
  </r>
  <r>
    <s v="J3891"/>
    <x v="1"/>
    <d v="2025-01-31T00:00:00"/>
    <d v="2026-04-16T00:00:00"/>
    <m/>
    <d v="2030-09-01T00:00:00"/>
    <s v="ENTERGY ARKANSAS, LLC"/>
    <s v="Pope"/>
    <m/>
    <m/>
    <s v="AR"/>
    <s v="DPP-2025"/>
    <s v="South"/>
    <s v="Phase 1"/>
    <s v="NRIS"/>
    <s v="ATKINS"/>
    <n v="200"/>
    <n v="200"/>
    <x v="0"/>
    <s v="Photovoltaic"/>
    <m/>
    <m/>
    <n v="0"/>
    <n v="0"/>
    <n v="0"/>
    <n v="0"/>
  </r>
  <r>
    <s v="J3892"/>
    <x v="1"/>
    <d v="2025-01-29T00:00:00"/>
    <d v="2026-04-14T00:00:00"/>
    <m/>
    <d v="2028-09-15T00:00:00"/>
    <s v="CITY WATER LIGHT &amp; POWER"/>
    <s v="Sangamon"/>
    <m/>
    <m/>
    <s v="IL"/>
    <s v="DPP-2025"/>
    <s v="Central"/>
    <s v="Phase 1"/>
    <s v="NRIS"/>
    <s v="343506 Eastdale"/>
    <n v="50"/>
    <n v="50"/>
    <x v="2"/>
    <s v="Battery Storage"/>
    <m/>
    <m/>
    <n v="0"/>
    <n v="0"/>
    <n v="0"/>
    <n v="0"/>
  </r>
  <r>
    <s v="J3893"/>
    <x v="1"/>
    <d v="2025-02-20T00:00:00"/>
    <d v="2026-01-05T00:00:00"/>
    <m/>
    <d v="2030-09-30T00:00:00"/>
    <s v="ENTERGY ARKANSAS, LLC"/>
    <s v="Phillips"/>
    <m/>
    <m/>
    <s v="AR"/>
    <s v="DPP-2025"/>
    <s v="South"/>
    <s v="Phase 1"/>
    <s v="NRIS"/>
    <s v="AECC AUBREY - RITCHIE SWYD 230.0kV"/>
    <n v="214"/>
    <n v="214"/>
    <x v="0"/>
    <s v="Photovoltaic"/>
    <m/>
    <m/>
    <n v="0"/>
    <n v="0"/>
    <n v="0"/>
    <n v="0"/>
  </r>
  <r>
    <s v="J3894"/>
    <x v="2"/>
    <d v="2025-02-14T00:00:00"/>
    <m/>
    <m/>
    <d v="2030-05-01T00:00:00"/>
    <s v="GREAT RIVER ENERGY"/>
    <s v="Lyon"/>
    <m/>
    <m/>
    <s v="MN"/>
    <s v="DPP-2025"/>
    <s v="West"/>
    <s v="Phase 1"/>
    <s v="NRIS"/>
    <s v="Lyon County - Brookings County 345.0kV"/>
    <n v="250"/>
    <n v="250"/>
    <x v="2"/>
    <s v="Battery Storage"/>
    <m/>
    <m/>
    <n v="250"/>
    <n v="250"/>
    <n v="0"/>
    <n v="0"/>
  </r>
  <r>
    <s v="J3895"/>
    <x v="1"/>
    <d v="2025-02-07T00:00:00"/>
    <d v="2026-04-15T00:00:00"/>
    <m/>
    <d v="2028-06-01T00:00:00"/>
    <s v="METC"/>
    <s v="Muskegon"/>
    <m/>
    <m/>
    <s v="MI"/>
    <s v="DPP-2025"/>
    <s v="East (ITC)"/>
    <s v="Phase 1"/>
    <s v="NRIS"/>
    <s v="KENOWA - LUDINGTON 345.0kV"/>
    <n v="199.72"/>
    <n v="199.72"/>
    <x v="1"/>
    <s v="Wind Turbine"/>
    <m/>
    <m/>
    <n v="0"/>
    <n v="0"/>
    <n v="0"/>
    <n v="0"/>
  </r>
  <r>
    <s v="J3896"/>
    <x v="2"/>
    <d v="2025-02-07T00:00:00"/>
    <m/>
    <m/>
    <d v="2030-09-01T00:00:00"/>
    <s v="DUKE ENERGY INDIANA, LLC CIN"/>
    <s v="Knox"/>
    <m/>
    <m/>
    <s v="IN"/>
    <s v="DPP-2025"/>
    <s v="Central"/>
    <s v="Phase 1"/>
    <s v="NRIS"/>
    <s v="Gibson Sta - Bedford 345 345.0kV"/>
    <n v="70"/>
    <n v="70"/>
    <x v="0"/>
    <s v="Photovoltaic"/>
    <m/>
    <m/>
    <n v="70"/>
    <n v="70"/>
    <n v="0"/>
    <n v="0"/>
  </r>
  <r>
    <s v="J3897"/>
    <x v="1"/>
    <d v="2025-02-07T00:00:00"/>
    <d v="2026-04-14T00:00:00"/>
    <m/>
    <d v="2030-09-01T00:00:00"/>
    <s v="DUKE ENERGY INDIANA, LLC"/>
    <s v="Knox"/>
    <m/>
    <m/>
    <s v="IN"/>
    <s v="DPP-2025"/>
    <s v="Central"/>
    <s v="Phase 1"/>
    <s v="NRIS"/>
    <s v="Gibson Sta - Bedford 345 345.0kV"/>
    <n v="60"/>
    <n v="60"/>
    <x v="0"/>
    <s v="Photovoltaic"/>
    <m/>
    <m/>
    <n v="0"/>
    <n v="0"/>
    <n v="0"/>
    <n v="0"/>
  </r>
  <r>
    <s v="J3898"/>
    <x v="2"/>
    <d v="2025-02-14T00:00:00"/>
    <m/>
    <m/>
    <d v="2030-05-01T00:00:00"/>
    <s v="ITC MIDWEST"/>
    <s v="Howard"/>
    <m/>
    <m/>
    <s v="IA"/>
    <s v="DPP-2025"/>
    <s v="West"/>
    <s v="Phase 1"/>
    <s v="NRIS"/>
    <s v="MITCHELL COUNTY (ITCM) - HAZLETON (ITCM) 345.0kV"/>
    <n v="155"/>
    <n v="155"/>
    <x v="1"/>
    <s v="Wind Turbine"/>
    <m/>
    <m/>
    <n v="155"/>
    <n v="155"/>
    <n v="0"/>
    <n v="0"/>
  </r>
  <r>
    <s v="J3899"/>
    <x v="2"/>
    <d v="2024-12-03T00:00:00"/>
    <m/>
    <m/>
    <d v="2027-11-07T00:00:00"/>
    <s v="AMEREN ILLINOIS"/>
    <s v="Putnam"/>
    <m/>
    <m/>
    <s v="IL"/>
    <s v="DPP-2025"/>
    <s v="Central"/>
    <s v="Phase 1"/>
    <s v="NRIS"/>
    <s v="Other_"/>
    <n v="100"/>
    <n v="100"/>
    <x v="0"/>
    <s v="Photovoltaic"/>
    <m/>
    <m/>
    <n v="100"/>
    <n v="100"/>
    <n v="0"/>
    <n v="0"/>
  </r>
  <r>
    <s v="J3900"/>
    <x v="1"/>
    <d v="2024-12-26T00:00:00"/>
    <d v="2026-04-16T00:00:00"/>
    <m/>
    <d v="2030-04-01T00:00:00"/>
    <s v="ENTERGY MISSISSIPPI, LLC."/>
    <s v="Sunflower"/>
    <m/>
    <m/>
    <s v="MS"/>
    <s v="DPP-2025"/>
    <s v="South"/>
    <s v="Phase 1"/>
    <s v="NRIS"/>
    <s v="INDIANOLA 230/115 SUB - TILLATOBA 230.0kV"/>
    <n v="163"/>
    <n v="163"/>
    <x v="1"/>
    <s v="Wind Turbine"/>
    <m/>
    <m/>
    <n v="0"/>
    <n v="0"/>
    <n v="0"/>
    <n v="0"/>
  </r>
  <r>
    <s v="J3901"/>
    <x v="1"/>
    <d v="2025-01-17T00:00:00"/>
    <d v="2026-04-14T00:00:00"/>
    <m/>
    <d v="2030-04-01T00:00:00"/>
    <s v="AMEREN ILLINOIS"/>
    <s v="Shelby"/>
    <m/>
    <m/>
    <s v="IL"/>
    <s v="DPP-2025"/>
    <s v="Central"/>
    <s v="Phase 1"/>
    <s v="NRIS"/>
    <s v="4MATOONW S - 4NEOGA 3 138.0kV"/>
    <n v="300"/>
    <n v="300"/>
    <x v="1"/>
    <s v="Wind Turbine"/>
    <m/>
    <m/>
    <n v="0"/>
    <n v="0"/>
    <n v="0"/>
    <n v="0"/>
  </r>
  <r>
    <s v="J3902"/>
    <x v="2"/>
    <d v="2025-02-06T00:00:00"/>
    <m/>
    <m/>
    <d v="2028-06-01T00:00:00"/>
    <s v="ENTERGY TEXAS, INC. ETTO"/>
    <s v="Jefferson"/>
    <m/>
    <m/>
    <s v="TX"/>
    <s v="DPP-2025"/>
    <s v="South"/>
    <s v="Phase 1"/>
    <s v="NRIS"/>
    <s v="STOWELL"/>
    <n v="288.5"/>
    <n v="288.5"/>
    <x v="1"/>
    <s v="Wind Turbine"/>
    <m/>
    <m/>
    <n v="218.94"/>
    <n v="218.94"/>
    <n v="0"/>
    <n v="0"/>
  </r>
  <r>
    <s v="J3903"/>
    <x v="2"/>
    <d v="2025-02-19T00:00:00"/>
    <m/>
    <m/>
    <d v="2029-03-30T00:00:00"/>
    <s v="SOUTHERN MINNESOTA MUNICIPAL POWER AGENCY"/>
    <s v="Mower"/>
    <m/>
    <m/>
    <s v="MN"/>
    <s v="DPP-2025"/>
    <s v="West"/>
    <s v="Phase 1"/>
    <s v="ERIS"/>
    <s v="North Austin - Adams (ITC) 161.0kV"/>
    <n v="185"/>
    <n v="185"/>
    <x v="0"/>
    <s v="Photovoltaic"/>
    <m/>
    <m/>
    <n v="185"/>
    <n v="0"/>
    <n v="0"/>
    <n v="0"/>
  </r>
  <r>
    <s v="J3904"/>
    <x v="2"/>
    <d v="2025-03-12T00:00:00"/>
    <m/>
    <m/>
    <d v="2030-05-01T00:00:00"/>
    <s v="AMEREN ILLINOIS"/>
    <s v="Tazewell"/>
    <m/>
    <m/>
    <s v="IL"/>
    <s v="DPP-2025"/>
    <s v="Central"/>
    <s v="Phase 1"/>
    <s v="NRIS"/>
    <s v="Other_"/>
    <n v="175"/>
    <n v="175"/>
    <x v="2"/>
    <s v="Battery Storage"/>
    <m/>
    <m/>
    <n v="175"/>
    <n v="175"/>
    <n v="0"/>
    <n v="0"/>
  </r>
  <r>
    <s v="J3905"/>
    <x v="2"/>
    <d v="2025-03-12T00:00:00"/>
    <m/>
    <m/>
    <d v="2030-05-01T00:00:00"/>
    <s v="AMEREN ILLINOIS"/>
    <s v="Tazewell"/>
    <m/>
    <m/>
    <s v="IL"/>
    <s v="DPP-2025"/>
    <s v="Central"/>
    <s v="Phase 1"/>
    <s v="NRIS"/>
    <s v="Other_"/>
    <n v="175"/>
    <n v="175"/>
    <x v="1"/>
    <s v="Wind Turbine"/>
    <m/>
    <m/>
    <n v="175"/>
    <n v="175"/>
    <n v="0"/>
    <n v="0"/>
  </r>
  <r>
    <s v="J3906"/>
    <x v="1"/>
    <d v="2025-03-12T00:00:00"/>
    <d v="2026-01-05T00:00:00"/>
    <m/>
    <d v="2030-05-01T00:00:00"/>
    <s v="AMEREN MISSOURI"/>
    <s v="Stoddard"/>
    <m/>
    <m/>
    <s v="MO"/>
    <s v="DPP-2025"/>
    <s v="Central"/>
    <s v="Phase 1"/>
    <s v="NRIS"/>
    <s v="5STODDARD - 5MORLEY (AECI) 161.0kV"/>
    <n v="140"/>
    <n v="140"/>
    <x v="5"/>
    <s v="Battery Storage"/>
    <m/>
    <m/>
    <n v="0"/>
    <n v="0"/>
    <n v="0"/>
    <n v="0"/>
  </r>
  <r>
    <s v="J3907"/>
    <x v="2"/>
    <d v="2025-03-11T00:00:00"/>
    <m/>
    <m/>
    <d v="2030-05-01T00:00:00"/>
    <s v="AMEREN ILLINOIS"/>
    <s v="Stark"/>
    <m/>
    <m/>
    <s v="IL"/>
    <s v="DPP-2025"/>
    <s v="Central"/>
    <s v="Phase 1"/>
    <s v="NRIS"/>
    <s v="4BUREAU - 4EKEWANEE N 138.0kV"/>
    <n v="200"/>
    <n v="200"/>
    <x v="5"/>
    <s v="Wind Turbine"/>
    <m/>
    <m/>
    <n v="200"/>
    <n v="150"/>
    <n v="0"/>
    <n v="0"/>
  </r>
  <r>
    <s v="J3908"/>
    <x v="2"/>
    <d v="2025-03-10T00:00:00"/>
    <m/>
    <m/>
    <d v="2025-04-30T00:00:00"/>
    <s v="METC"/>
    <s v="St. Joseph"/>
    <m/>
    <m/>
    <s v="MI"/>
    <s v="DPP-2026"/>
    <s v="East (ITC)"/>
    <m/>
    <s v="NRIS"/>
    <s v="BATAVIA - MORROW  138.0kV"/>
    <n v="196"/>
    <n v="196"/>
    <x v="0"/>
    <s v="Photovoltaic"/>
    <m/>
    <m/>
    <n v="0"/>
    <n v="0"/>
    <n v="0"/>
    <n v="0"/>
  </r>
  <r>
    <s v="J3909"/>
    <x v="1"/>
    <d v="2025-02-28T00:00:00"/>
    <d v="2026-04-17T00:00:00"/>
    <m/>
    <d v="2030-05-01T00:00:00"/>
    <s v="METC"/>
    <s v="Gratiot"/>
    <m/>
    <m/>
    <s v="MI"/>
    <s v="DPP-2025"/>
    <s v="East (ITC)"/>
    <s v="Phase 1"/>
    <s v="NRIS"/>
    <s v="ALMA - VESTABURG 138.0kV"/>
    <n v="175"/>
    <n v="175"/>
    <x v="5"/>
    <s v="Wind Turbine"/>
    <m/>
    <m/>
    <n v="0"/>
    <n v="0"/>
    <n v="0"/>
    <n v="0"/>
  </r>
  <r>
    <s v="J3910"/>
    <x v="2"/>
    <d v="2025-02-28T00:00:00"/>
    <m/>
    <m/>
    <d v="2030-05-01T00:00:00"/>
    <s v="NORTHERN INDIANA PUBLIC SERVICE COMPANY LLC NIPS"/>
    <s v="Newton"/>
    <m/>
    <m/>
    <s v="IN"/>
    <s v="DPP-2025"/>
    <s v="Central"/>
    <s v="Phase 1"/>
    <s v="NRIS"/>
    <s v="Other_"/>
    <n v="300"/>
    <n v="300"/>
    <x v="5"/>
    <s v="Wind Turbine"/>
    <m/>
    <m/>
    <n v="300"/>
    <n v="300"/>
    <n v="0"/>
    <n v="0"/>
  </r>
  <r>
    <s v="J3911"/>
    <x v="2"/>
    <d v="2025-02-25T00:00:00"/>
    <m/>
    <m/>
    <d v="2030-06-01T00:00:00"/>
    <s v="MIDAMERICAN ENERGY CO. MEC"/>
    <s v="Louisa"/>
    <m/>
    <m/>
    <s v="IA"/>
    <s v="DPP-2025"/>
    <s v="West"/>
    <s v="Phase 1"/>
    <s v="NRIS"/>
    <s v="SUB 93 LOUISA - SUB T HASKINS 345.0kV"/>
    <n v="250"/>
    <n v="250"/>
    <x v="0"/>
    <s v="Photovoltaic"/>
    <m/>
    <m/>
    <n v="250"/>
    <n v="250"/>
    <n v="0"/>
    <n v="0"/>
  </r>
  <r>
    <s v="J3912"/>
    <x v="1"/>
    <d v="2025-02-21T00:00:00"/>
    <d v="2026-01-02T00:00:00"/>
    <m/>
    <d v="2030-06-01T00:00:00"/>
    <s v="NORTHERN STATES POWER COMPANY"/>
    <s v="Chippewa"/>
    <m/>
    <m/>
    <s v="WI"/>
    <s v="DPP-2025"/>
    <s v="West"/>
    <s v="Phase 1"/>
    <s v="NRIS"/>
    <s v="Red Cedar - Wheaton 56 161.0kV"/>
    <n v="150"/>
    <n v="150"/>
    <x v="0"/>
    <s v="Photovoltaic"/>
    <m/>
    <m/>
    <n v="0"/>
    <n v="0"/>
    <n v="0"/>
    <n v="0"/>
  </r>
  <r>
    <s v="J3913"/>
    <x v="1"/>
    <d v="2024-10-25T00:00:00"/>
    <d v="2026-04-15T00:00:00"/>
    <m/>
    <d v="2030-09-02T00:00:00"/>
    <s v="ENTERGY MISSISSIPPI, LLC."/>
    <s v="Amite"/>
    <m/>
    <m/>
    <s v="MS"/>
    <s v="DPP-2025"/>
    <s v="South"/>
    <s v="Phase 1"/>
    <s v="NRIS"/>
    <s v="GLOSTER - LIBERTY 115.0kV"/>
    <n v="140"/>
    <n v="140"/>
    <x v="0"/>
    <s v="Photovoltaic"/>
    <m/>
    <m/>
    <n v="0"/>
    <n v="0"/>
    <n v="0"/>
    <n v="0"/>
  </r>
  <r>
    <s v="J3914"/>
    <x v="1"/>
    <d v="2024-10-25T00:00:00"/>
    <d v="2026-04-15T00:00:00"/>
    <m/>
    <d v="2030-09-02T00:00:00"/>
    <s v="ENTERGY LOUISIANA, LLC"/>
    <s v="Jefferson Davis"/>
    <m/>
    <m/>
    <s v="LA"/>
    <s v="DPP-2025"/>
    <s v="South"/>
    <s v="Phase 1"/>
    <s v="NRIS"/>
    <s v="COMPTON CO"/>
    <n v="85"/>
    <n v="85"/>
    <x v="0"/>
    <s v="Photovoltaic"/>
    <m/>
    <m/>
    <n v="0"/>
    <n v="0"/>
    <n v="0"/>
    <n v="0"/>
  </r>
  <r>
    <s v="J3915"/>
    <x v="1"/>
    <d v="2024-10-25T00:00:00"/>
    <d v="2025-10-28T00:00:00"/>
    <m/>
    <d v="2030-09-02T00:00:00"/>
    <s v="COOPERATIVE ENERGY"/>
    <s v="Perry"/>
    <m/>
    <m/>
    <s v="MS"/>
    <s v="DPP-2025"/>
    <s v="South"/>
    <s v="Phase 1"/>
    <s v="E-NRIS"/>
    <s v="Purvis Bulk 161 - Hintonville 161 161.0kV"/>
    <n v="125"/>
    <n v="125"/>
    <x v="0"/>
    <s v="Photovoltaic"/>
    <m/>
    <m/>
    <n v="0"/>
    <n v="0"/>
    <n v="0"/>
    <n v="0"/>
  </r>
  <r>
    <s v="J3916"/>
    <x v="2"/>
    <d v="2024-10-25T00:00:00"/>
    <m/>
    <m/>
    <d v="2030-09-02T00:00:00"/>
    <s v="AMEREN ILLINOIS"/>
    <s v="Saline"/>
    <m/>
    <m/>
    <s v="IL"/>
    <s v="DPP-2025"/>
    <s v="Central"/>
    <s v="Phase 1"/>
    <s v="NRIS"/>
    <s v="4HARCO    - 4MUDDY    138.0kV"/>
    <n v="100"/>
    <n v="100"/>
    <x v="0"/>
    <s v="Photovoltaic"/>
    <m/>
    <m/>
    <n v="100"/>
    <n v="100"/>
    <n v="0"/>
    <n v="0"/>
  </r>
  <r>
    <s v="J3917"/>
    <x v="1"/>
    <d v="2024-11-20T00:00:00"/>
    <d v="2026-04-15T00:00:00"/>
    <m/>
    <d v="2029-06-01T00:00:00"/>
    <s v="ENTERGY ARKANSAS, LLC"/>
    <s v="Columbia"/>
    <m/>
    <m/>
    <s v="AR"/>
    <s v="DPP-2025"/>
    <s v="South"/>
    <s v="Phase 1"/>
    <s v="NRIS"/>
    <s v="SPRINGHILL - TAYLOR 115.0kV"/>
    <n v="100"/>
    <n v="100"/>
    <x v="0"/>
    <s v="Photovoltaic"/>
    <m/>
    <m/>
    <n v="0"/>
    <n v="0"/>
    <n v="0"/>
    <n v="0"/>
  </r>
  <r>
    <s v="J3918"/>
    <x v="2"/>
    <d v="2025-02-06T00:00:00"/>
    <m/>
    <m/>
    <d v="2028-06-01T00:00:00"/>
    <s v="AMEREN ILLINOIS"/>
    <s v="Champaign"/>
    <m/>
    <m/>
    <s v="IL"/>
    <s v="DPP-2025"/>
    <s v="Central"/>
    <s v="Phase 1"/>
    <s v="NRIS"/>
    <s v="4RANTOUL  - 4RISING   138.0kV"/>
    <n v="138.38"/>
    <n v="138.38"/>
    <x v="1"/>
    <s v="Wind Turbine"/>
    <m/>
    <m/>
    <n v="138.38"/>
    <n v="138.38"/>
    <n v="0"/>
    <n v="0"/>
  </r>
  <r>
    <s v="J3919"/>
    <x v="1"/>
    <d v="2025-03-07T00:00:00"/>
    <d v="2026-04-14T00:00:00"/>
    <m/>
    <d v="2030-11-01T00:00:00"/>
    <s v="AMEREN MISSOURI"/>
    <s v="Lincoln"/>
    <m/>
    <m/>
    <s v="MO"/>
    <s v="DPP-2025"/>
    <s v="Central"/>
    <s v="Phase 1"/>
    <s v="NRIS"/>
    <s v="Other_"/>
    <n v="200"/>
    <n v="200"/>
    <x v="0"/>
    <s v="Photovoltaic"/>
    <m/>
    <m/>
    <n v="0"/>
    <n v="0"/>
    <n v="0"/>
    <n v="0"/>
  </r>
  <r>
    <s v="J3920"/>
    <x v="1"/>
    <d v="2025-03-10T00:00:00"/>
    <d v="2026-01-05T00:00:00"/>
    <m/>
    <d v="2030-05-01T00:00:00"/>
    <s v="MIDAMERICAN ENERGY CO."/>
    <s v="Clay"/>
    <m/>
    <m/>
    <s v="IA"/>
    <s v="DPP-2025"/>
    <s v="West"/>
    <s v="Phase 1"/>
    <s v="ERIS"/>
    <s v="Other_"/>
    <n v="300"/>
    <n v="300"/>
    <x v="1"/>
    <s v="Wind Turbine"/>
    <m/>
    <m/>
    <n v="0"/>
    <n v="0"/>
    <n v="0"/>
    <n v="0"/>
  </r>
  <r>
    <s v="J3921"/>
    <x v="1"/>
    <d v="2025-03-07T00:00:00"/>
    <d v="2025-12-23T00:00:00"/>
    <m/>
    <d v="2027-09-01T00:00:00"/>
    <s v="MIDAMERICAN ENERGY CO."/>
    <s v="Jasper"/>
    <m/>
    <m/>
    <s v="IA"/>
    <s v="DPP-2025"/>
    <s v="West"/>
    <s v="Phase 1"/>
    <s v="NRIS"/>
    <s v="BONDURANT - MONTEZUMA 345.0kV"/>
    <n v="150"/>
    <n v="150"/>
    <x v="0"/>
    <s v="Photovoltaic"/>
    <m/>
    <m/>
    <n v="0"/>
    <n v="0"/>
    <n v="0"/>
    <n v="0"/>
  </r>
  <r>
    <s v="J3922"/>
    <x v="4"/>
    <d v="2025-03-04T00:00:00"/>
    <m/>
    <m/>
    <d v="2030-03-01T00:00:00"/>
    <s v="METC"/>
    <s v="Branch"/>
    <m/>
    <m/>
    <s v="MI"/>
    <s v="DPP-2025"/>
    <s v="East (ITC)"/>
    <s v="Phase 1"/>
    <s v="NRIS"/>
    <s v="HIPLE"/>
    <n v="1445"/>
    <n v="1445"/>
    <x v="3"/>
    <s v="Combined Cycle"/>
    <m/>
    <m/>
    <n v="1445"/>
    <n v="1445"/>
    <n v="0"/>
    <n v="0"/>
  </r>
  <r>
    <s v="J3923"/>
    <x v="2"/>
    <d v="2025-02-28T00:00:00"/>
    <m/>
    <m/>
    <d v="2030-03-01T00:00:00"/>
    <s v="ITC"/>
    <s v="Washtenaw"/>
    <m/>
    <m/>
    <s v="MI"/>
    <s v="DPP-2025"/>
    <s v="East (ITC)"/>
    <s v="Phase 1"/>
    <s v="NRIS"/>
    <s v="Majestic-Milan 345 kV Line"/>
    <n v="1414"/>
    <n v="1414"/>
    <x v="3"/>
    <s v="Combined Cycle"/>
    <m/>
    <m/>
    <n v="1414"/>
    <n v="1414"/>
    <n v="0"/>
    <n v="0"/>
  </r>
  <r>
    <s v="J3924"/>
    <x v="2"/>
    <d v="2025-03-05T00:00:00"/>
    <m/>
    <m/>
    <d v="2030-10-01T00:00:00"/>
    <s v="METC"/>
    <s v="Branch"/>
    <m/>
    <m/>
    <s v="MI"/>
    <s v="DPP-2026"/>
    <s v="East (ITC)"/>
    <m/>
    <s v="NRIS"/>
    <s v="COLDWATER - MOORE ROAD 138.0kV"/>
    <n v="80"/>
    <n v="80"/>
    <x v="2"/>
    <s v="Battery Storage"/>
    <m/>
    <m/>
    <n v="0"/>
    <n v="0"/>
    <n v="0"/>
    <n v="0"/>
  </r>
  <r>
    <s v="J3925"/>
    <x v="2"/>
    <d v="2025-02-07T00:00:00"/>
    <m/>
    <m/>
    <d v="2030-09-01T00:00:00"/>
    <s v="DUKE ENERGY INDIANA, LLC CIN"/>
    <s v="Knox"/>
    <m/>
    <m/>
    <s v="IN"/>
    <s v="DPP-2025"/>
    <s v="Central"/>
    <s v="Phase 1"/>
    <s v="NRIS"/>
    <s v="Gibson Sta - Bedford 345 345.0kV"/>
    <n v="70"/>
    <n v="70"/>
    <x v="0"/>
    <s v="Photovoltaic"/>
    <m/>
    <m/>
    <n v="70"/>
    <n v="70"/>
    <n v="0"/>
    <n v="0"/>
  </r>
  <r>
    <s v="J3926"/>
    <x v="2"/>
    <d v="2025-03-13T00:00:00"/>
    <m/>
    <m/>
    <d v="2030-05-01T00:00:00"/>
    <s v="MIDAMERICAN ENERGY CO. MEC"/>
    <s v="Webster"/>
    <m/>
    <m/>
    <s v="IA"/>
    <s v="DPP-2025"/>
    <s v="West"/>
    <s v="Phase 1"/>
    <s v="NRIS"/>
    <s v="Grimes - Lehigh 345kV"/>
    <n v="170"/>
    <n v="170"/>
    <x v="1"/>
    <s v="Wind Turbine"/>
    <m/>
    <m/>
    <n v="170"/>
    <n v="170"/>
    <n v="0"/>
    <n v="0"/>
  </r>
  <r>
    <s v="J3927"/>
    <x v="1"/>
    <d v="2025-02-24T00:00:00"/>
    <d v="2025-12-23T00:00:00"/>
    <m/>
    <d v="2028-09-01T00:00:00"/>
    <s v="AMERICAN TRANSMISSION COMPANY"/>
    <s v="Sheboygan"/>
    <m/>
    <m/>
    <s v="WI"/>
    <s v="DPP-2025"/>
    <s v="East (ATC)"/>
    <s v="Phase 1"/>
    <s v="NRIS"/>
    <s v="SHEBOYGAN FALLS STATION 138 KV"/>
    <n v="150"/>
    <n v="150"/>
    <x v="0"/>
    <s v="Photovoltaic"/>
    <m/>
    <m/>
    <n v="0"/>
    <n v="0"/>
    <n v="0"/>
    <n v="0"/>
  </r>
  <r>
    <s v="J3928"/>
    <x v="1"/>
    <d v="2025-01-31T00:00:00"/>
    <d v="2026-04-15T00:00:00"/>
    <m/>
    <d v="2030-10-30T00:00:00"/>
    <s v="METC"/>
    <s v="Bay"/>
    <m/>
    <m/>
    <s v="MI"/>
    <s v="DPP-2025"/>
    <s v="East (ITC)"/>
    <s v="Phase 1"/>
    <s v="NRIS"/>
    <s v="TITTABAWASSEE 345kV- GALLEGHER 345kV"/>
    <n v="200"/>
    <n v="200"/>
    <x v="1"/>
    <s v="Wind Turbine"/>
    <m/>
    <m/>
    <n v="0"/>
    <n v="0"/>
    <n v="0"/>
    <n v="0"/>
  </r>
  <r>
    <s v="J3929"/>
    <x v="1"/>
    <d v="2025-01-31T00:00:00"/>
    <d v="2026-04-14T00:00:00"/>
    <m/>
    <d v="2030-10-30T00:00:00"/>
    <s v="AMEREN MISSOURI"/>
    <s v="Audrain"/>
    <m/>
    <m/>
    <s v="MO"/>
    <s v="DPP-2025"/>
    <s v="Central"/>
    <s v="Phase 1"/>
    <s v="NRIS"/>
    <s v="SPENCER CREEK"/>
    <n v="250"/>
    <n v="250"/>
    <x v="1"/>
    <s v="Wind Turbine"/>
    <m/>
    <m/>
    <n v="0"/>
    <n v="0"/>
    <n v="0"/>
    <n v="0"/>
  </r>
  <r>
    <s v="J3930"/>
    <x v="1"/>
    <d v="2025-02-13T00:00:00"/>
    <d v="2026-04-17T00:00:00"/>
    <m/>
    <d v="2029-09-01T00:00:00"/>
    <s v="CLECO POWER LLC"/>
    <s v="Iberia"/>
    <m/>
    <m/>
    <s v="LA"/>
    <s v="DPP-2025"/>
    <s v="South"/>
    <s v="Phase 1"/>
    <s v="NRIS"/>
    <s v="Morbihan"/>
    <n v="120"/>
    <n v="120"/>
    <x v="2"/>
    <s v="Battery Storage"/>
    <m/>
    <m/>
    <n v="0"/>
    <n v="0"/>
    <n v="0"/>
    <n v="0"/>
  </r>
  <r>
    <s v="J3931"/>
    <x v="2"/>
    <d v="2025-02-07T00:00:00"/>
    <m/>
    <m/>
    <d v="2030-09-30T00:00:00"/>
    <s v="NORTHERN INDIANA PUBLIC SERVICE COMPANY LLC NIPS"/>
    <s v="Jasper"/>
    <m/>
    <m/>
    <s v="IN"/>
    <s v="DPP-2025"/>
    <s v="Central"/>
    <s v="Phase 1"/>
    <s v="NRIS"/>
    <s v="Other_"/>
    <n v="500"/>
    <n v="500"/>
    <x v="0"/>
    <s v="Photovoltaic"/>
    <m/>
    <m/>
    <n v="500"/>
    <n v="500"/>
    <n v="0"/>
    <n v="0"/>
  </r>
  <r>
    <s v="J3932"/>
    <x v="2"/>
    <d v="2025-03-14T00:00:00"/>
    <m/>
    <m/>
    <d v="2029-06-29T00:00:00"/>
    <s v="ITC MIDWEST"/>
    <s v="Linn"/>
    <m/>
    <m/>
    <s v="IA"/>
    <s v="DPP-2025"/>
    <s v="West"/>
    <s v="Phase 1"/>
    <s v="NRIS"/>
    <s v="Duane Arnold 161 kV"/>
    <n v="646"/>
    <n v="646"/>
    <x v="11"/>
    <s v="Nuclear"/>
    <m/>
    <m/>
    <n v="646"/>
    <n v="646"/>
    <n v="0"/>
    <n v="0"/>
  </r>
  <r>
    <s v="J3933"/>
    <x v="1"/>
    <d v="2025-02-24T00:00:00"/>
    <d v="2025-12-23T00:00:00"/>
    <m/>
    <d v="2028-09-01T00:00:00"/>
    <s v="ITC MIDWEST"/>
    <s v="Franklin"/>
    <m/>
    <m/>
    <s v="IA"/>
    <s v="DPP-2025"/>
    <s v="West"/>
    <s v="Phase 1"/>
    <s v="NRIS"/>
    <s v="Killdeer - Quinn 345kV"/>
    <n v="200"/>
    <n v="200"/>
    <x v="0"/>
    <s v="Photovoltaic"/>
    <m/>
    <m/>
    <n v="0"/>
    <n v="0"/>
    <n v="0"/>
    <n v="0"/>
  </r>
  <r>
    <s v="J3934"/>
    <x v="1"/>
    <d v="2025-02-19T00:00:00"/>
    <d v="2026-01-02T00:00:00"/>
    <m/>
    <d v="2029-03-30T00:00:00"/>
    <s v="NORTHERN STATES POWER COMPANY"/>
    <s v="McLeod"/>
    <m/>
    <m/>
    <s v="MN"/>
    <s v="DPP-2025"/>
    <s v="West"/>
    <s v="Phase 1"/>
    <s v="NRIS"/>
    <s v="Blue Lake - MCLEOD (GRE) 230.0kV"/>
    <n v="250"/>
    <n v="250"/>
    <x v="0"/>
    <s v="Photovoltaic"/>
    <m/>
    <m/>
    <n v="0"/>
    <n v="0"/>
    <n v="0"/>
    <n v="0"/>
  </r>
  <r>
    <s v="J3935"/>
    <x v="2"/>
    <d v="2025-02-28T00:00:00"/>
    <m/>
    <m/>
    <d v="2030-03-01T00:00:00"/>
    <s v="METC"/>
    <s v="Genesee"/>
    <m/>
    <m/>
    <s v="MI"/>
    <s v="DPP-2025"/>
    <s v="East (ITC)"/>
    <s v="Phase 1"/>
    <s v="NRIS"/>
    <s v="THETFORD"/>
    <n v="975.4"/>
    <n v="975.4"/>
    <x v="3"/>
    <s v="Combustion Turbine (Simple Cycle)"/>
    <m/>
    <m/>
    <n v="975.4"/>
    <n v="975.4"/>
    <n v="0"/>
    <n v="0"/>
  </r>
  <r>
    <s v="J3936"/>
    <x v="2"/>
    <d v="2025-02-12T00:00:00"/>
    <m/>
    <m/>
    <d v="2027-01-01T00:00:00"/>
    <s v="AMERICAN TRANSMISSION COMPANY"/>
    <s v="Kenosha"/>
    <m/>
    <m/>
    <s v="WI"/>
    <s v="DPP-2025"/>
    <s v="East (ATC)"/>
    <s v="Phase 1"/>
    <s v="NRIS"/>
    <s v="PARIS 345kV Substation"/>
    <n v="133"/>
    <n v="133"/>
    <x v="3"/>
    <s v="Combustion Turbine (Simple Cycle)"/>
    <m/>
    <m/>
    <n v="133"/>
    <n v="100"/>
    <n v="0"/>
    <n v="0"/>
  </r>
  <r>
    <s v="J3937"/>
    <x v="1"/>
    <d v="2025-04-01T00:00:00"/>
    <d v="2026-01-05T00:00:00"/>
    <m/>
    <d v="2030-09-30T00:00:00"/>
    <s v="ENTERGY ARKANSAS, LLC"/>
    <s v="Dallas"/>
    <m/>
    <m/>
    <s v="AR"/>
    <s v="DPP-2025"/>
    <s v="South"/>
    <s v="Phase 1"/>
    <s v="NRIS"/>
    <s v="SHERIDAN EHV - EL DORADO EHV 500.0kV"/>
    <n v="500"/>
    <n v="500"/>
    <x v="0"/>
    <s v="Photovoltaic"/>
    <m/>
    <m/>
    <n v="0"/>
    <n v="0"/>
    <n v="0"/>
    <n v="0"/>
  </r>
  <r>
    <s v="J3938"/>
    <x v="1"/>
    <d v="2025-04-01T00:00:00"/>
    <d v="2026-01-05T00:00:00"/>
    <m/>
    <d v="2030-09-30T00:00:00"/>
    <s v="NORTHERN INDIANA PUBLIC SERVICE COMPANY LLC"/>
    <s v="Marshall"/>
    <m/>
    <m/>
    <s v="IN"/>
    <s v="DPP-2025"/>
    <s v="Central"/>
    <s v="Phase 1"/>
    <s v="NRIS"/>
    <s v="BURR OAK - EAST WINAMAC 138.0 kV"/>
    <n v="123"/>
    <n v="123"/>
    <x v="0"/>
    <s v="Photovoltaic"/>
    <m/>
    <m/>
    <n v="0"/>
    <n v="0"/>
    <n v="0"/>
    <n v="0"/>
  </r>
  <r>
    <s v="J3939"/>
    <x v="1"/>
    <d v="2025-04-01T00:00:00"/>
    <d v="2026-04-15T00:00:00"/>
    <m/>
    <d v="2030-09-30T00:00:00"/>
    <s v="CLECO POWER LLC"/>
    <s v="Beauregard"/>
    <m/>
    <m/>
    <s v="LA"/>
    <s v="DPP-2025"/>
    <s v="South"/>
    <s v="Phase 1"/>
    <s v="NRIS"/>
    <s v="COLE to PENTON 230.0 kV"/>
    <n v="386"/>
    <n v="386"/>
    <x v="0"/>
    <s v="Photovoltaic"/>
    <m/>
    <m/>
    <n v="0"/>
    <n v="0"/>
    <n v="0"/>
    <n v="0"/>
  </r>
  <r>
    <s v="J3940"/>
    <x v="1"/>
    <d v="2025-02-14T00:00:00"/>
    <d v="2026-04-15T00:00:00"/>
    <m/>
    <d v="2030-06-01T00:00:00"/>
    <s v="METC"/>
    <s v="Isabella"/>
    <m/>
    <m/>
    <s v="MI"/>
    <s v="DPP-2025"/>
    <s v="East (ITC)"/>
    <s v="Phase 1"/>
    <s v="NRIS"/>
    <s v="SALT RIVER - WARREN 138.0kV"/>
    <n v="214"/>
    <n v="214"/>
    <x v="0"/>
    <s v="Photovoltaic"/>
    <m/>
    <m/>
    <n v="0"/>
    <n v="0"/>
    <n v="0"/>
    <n v="0"/>
  </r>
  <r>
    <s v="J3941"/>
    <x v="2"/>
    <d v="2025-03-26T00:00:00"/>
    <m/>
    <m/>
    <d v="2030-05-01T00:00:00"/>
    <s v="OTTER TAIL POWER COMPANY OTP"/>
    <s v="Deuel"/>
    <m/>
    <m/>
    <s v="SD"/>
    <s v="DPP-2025"/>
    <s v="West"/>
    <s v="Phase 1"/>
    <s v="NRIS"/>
    <s v="Astoria 345kV substation"/>
    <n v="1144"/>
    <n v="1144"/>
    <x v="3"/>
    <s v="Combustion Turbine (Simple Cycle)"/>
    <m/>
    <m/>
    <n v="1144"/>
    <n v="744"/>
    <n v="0"/>
    <n v="0"/>
  </r>
  <r>
    <s v="J3942"/>
    <x v="2"/>
    <d v="2025-02-20T00:00:00"/>
    <m/>
    <m/>
    <d v="2030-06-01T00:00:00"/>
    <s v="DUKE ENERGY INDIANA, LLC CIN"/>
    <s v="Vigo"/>
    <m/>
    <m/>
    <s v="IN"/>
    <s v="DPP-2025"/>
    <s v="Central"/>
    <s v="Phase 1"/>
    <s v="NRIS"/>
    <s v="Sandford"/>
    <n v="365"/>
    <n v="365"/>
    <x v="0"/>
    <s v="Photovoltaic"/>
    <m/>
    <m/>
    <n v="365"/>
    <n v="365"/>
    <n v="0"/>
    <n v="0"/>
  </r>
  <r>
    <s v="J3943"/>
    <x v="1"/>
    <d v="2025-02-21T00:00:00"/>
    <d v="2026-04-14T00:00:00"/>
    <m/>
    <d v="2030-06-01T00:00:00"/>
    <s v="DUKE ENERGY INDIANA, LLC"/>
    <s v="Vigo"/>
    <m/>
    <m/>
    <s v="IN"/>
    <s v="DPP-2025"/>
    <s v="Central"/>
    <s v="Phase 1"/>
    <s v="NRIS"/>
    <s v="Sandford"/>
    <n v="337"/>
    <n v="337"/>
    <x v="0"/>
    <s v="Photovoltaic"/>
    <m/>
    <m/>
    <n v="0"/>
    <n v="0"/>
    <n v="0"/>
    <n v="0"/>
  </r>
  <r>
    <s v="J3944"/>
    <x v="1"/>
    <d v="2025-02-20T00:00:00"/>
    <d v="2026-04-14T00:00:00"/>
    <m/>
    <d v="2030-06-01T00:00:00"/>
    <s v="AMEREN ILLINOIS"/>
    <s v="Bureau"/>
    <m/>
    <m/>
    <s v="IL"/>
    <s v="DPP-2025"/>
    <s v="Central"/>
    <s v="Phase 1"/>
    <s v="NRIS"/>
    <s v="4BUREAU - 4PRN_MUNI TP 138.0kV"/>
    <n v="200"/>
    <n v="200"/>
    <x v="0"/>
    <s v="Photovoltaic"/>
    <m/>
    <m/>
    <n v="0"/>
    <n v="0"/>
    <n v="0"/>
    <n v="0"/>
  </r>
  <r>
    <s v="J3945"/>
    <x v="2"/>
    <d v="2025-04-07T00:00:00"/>
    <m/>
    <m/>
    <d v="2030-01-31T00:00:00"/>
    <s v="ITC"/>
    <s v="Washtenaw"/>
    <m/>
    <m/>
    <s v="MI"/>
    <s v="DPP-2026"/>
    <s v="East (ITC)"/>
    <m/>
    <s v="NRIS"/>
    <s v="MAJESTIC - MILAN 345.0kV"/>
    <n v="245"/>
    <n v="245"/>
    <x v="0"/>
    <s v="Photovoltaic"/>
    <m/>
    <m/>
    <n v="0"/>
    <n v="0"/>
    <n v="0"/>
    <n v="0"/>
  </r>
  <r>
    <s v="J3946"/>
    <x v="2"/>
    <d v="2025-03-31T00:00:00"/>
    <m/>
    <m/>
    <d v="2030-06-01T00:00:00"/>
    <s v="AMEREN ILLINOIS"/>
    <s v="Tazewell"/>
    <m/>
    <m/>
    <s v="IL"/>
    <s v="DPP-2025"/>
    <s v="Central"/>
    <s v="Phase 1"/>
    <s v="NRIS"/>
    <s v="Tazewell"/>
    <n v="300"/>
    <n v="300"/>
    <x v="2"/>
    <s v="Battery Storage"/>
    <m/>
    <m/>
    <n v="300"/>
    <n v="300"/>
    <n v="0"/>
    <n v="0"/>
  </r>
  <r>
    <s v="J3947"/>
    <x v="2"/>
    <d v="2025-03-25T00:00:00"/>
    <m/>
    <m/>
    <d v="2030-09-30T00:00:00"/>
    <s v="AMEREN TRANSMISSION COMPANY OF ILLINOIS"/>
    <s v="Shelby"/>
    <m/>
    <m/>
    <s v="IL"/>
    <s v="DPP-2025"/>
    <s v="Central"/>
    <s v="Phase 1"/>
    <s v="NRIS"/>
    <s v="7FARADAY - 7PANA 345.0kV"/>
    <n v="200"/>
    <n v="200"/>
    <x v="2"/>
    <s v="Battery Storage"/>
    <m/>
    <m/>
    <n v="200"/>
    <n v="200"/>
    <n v="0"/>
    <n v="0"/>
  </r>
  <r>
    <s v="J3948"/>
    <x v="1"/>
    <d v="2025-03-25T00:00:00"/>
    <d v="2026-04-14T00:00:00"/>
    <m/>
    <d v="2030-09-30T00:00:00"/>
    <s v="SOUTHERN INDIANA GAS &amp; ELECTRIC COMPANY D/B/A CENTERPOINT ENERGY INDIANA SOUTH"/>
    <s v="Posey"/>
    <m/>
    <m/>
    <s v="IN"/>
    <s v="DPP-2025"/>
    <s v="Central"/>
    <s v="Phase 1"/>
    <s v="NRIS"/>
    <s v="AB Brown 345 - Gibson (Duke Terminal) 345.0kV"/>
    <n v="200"/>
    <n v="200"/>
    <x v="2"/>
    <s v="Battery Storage"/>
    <m/>
    <m/>
    <n v="0"/>
    <n v="0"/>
    <n v="0"/>
    <n v="0"/>
  </r>
  <r>
    <s v="J3949"/>
    <x v="2"/>
    <d v="2025-04-07T00:00:00"/>
    <m/>
    <m/>
    <d v="2030-01-31T00:00:00"/>
    <s v="AMEREN TRANSMISSION COMPANY OF ILLINOIS"/>
    <s v="Scott"/>
    <m/>
    <m/>
    <s v="IL"/>
    <s v="DPP-2025"/>
    <s v="Central"/>
    <s v="Phase 1"/>
    <s v="NRIS"/>
    <s v="7MEREDOSIA - 7TURNER 345.0kV"/>
    <n v="245"/>
    <n v="245"/>
    <x v="0"/>
    <s v="Photovoltaic"/>
    <m/>
    <m/>
    <n v="245"/>
    <n v="245"/>
    <n v="0"/>
    <n v="0"/>
  </r>
  <r>
    <s v="J3950"/>
    <x v="1"/>
    <d v="2025-02-20T00:00:00"/>
    <d v="2026-04-14T00:00:00"/>
    <m/>
    <d v="2030-06-01T00:00:00"/>
    <s v="AMEREN ILLINOIS"/>
    <s v="Clark"/>
    <m/>
    <m/>
    <s v="IL"/>
    <s v="DPP-2025"/>
    <s v="Central"/>
    <s v="Phase 1"/>
    <s v="NRIS"/>
    <s v="7CASEY - 7SNYDER  345.0kV"/>
    <n v="340"/>
    <n v="340"/>
    <x v="0"/>
    <s v="Photovoltaic"/>
    <m/>
    <m/>
    <n v="0"/>
    <n v="0"/>
    <n v="0"/>
    <n v="0"/>
  </r>
  <r>
    <s v="J3951"/>
    <x v="1"/>
    <d v="2025-02-26T00:00:00"/>
    <d v="2026-01-02T00:00:00"/>
    <m/>
    <d v="2030-06-01T00:00:00"/>
    <s v="OTTER TAIL POWER COMPANY"/>
    <s v="Polk"/>
    <m/>
    <m/>
    <s v="MN"/>
    <s v="DPP-2025"/>
    <s v="West"/>
    <s v="Phase 1"/>
    <s v="NRIS"/>
    <s v="Other_"/>
    <n v="218"/>
    <n v="218"/>
    <x v="0"/>
    <s v="Photovoltaic"/>
    <m/>
    <m/>
    <n v="0"/>
    <n v="0"/>
    <n v="0"/>
    <n v="0"/>
  </r>
  <r>
    <s v="J3952"/>
    <x v="1"/>
    <d v="2025-02-26T00:00:00"/>
    <d v="2026-01-02T00:00:00"/>
    <m/>
    <d v="2030-06-01T00:00:00"/>
    <s v="OTTER TAIL POWER COMPANY"/>
    <s v="Polk"/>
    <m/>
    <m/>
    <s v="MN"/>
    <s v="DPP-2025"/>
    <s v="West"/>
    <s v="Phase 1"/>
    <s v="NRIS"/>
    <s v="Other_"/>
    <n v="395"/>
    <n v="395"/>
    <x v="0"/>
    <s v="Photovoltaic"/>
    <m/>
    <m/>
    <n v="0"/>
    <n v="0"/>
    <n v="0"/>
    <n v="0"/>
  </r>
  <r>
    <s v="J3953"/>
    <x v="1"/>
    <d v="2024-11-05T00:00:00"/>
    <d v="2026-04-15T00:00:00"/>
    <m/>
    <d v="2028-12-15T00:00:00"/>
    <s v="ENTERGY ARKANSAS, LLC"/>
    <s v="Faulkner"/>
    <m/>
    <m/>
    <s v="AR"/>
    <s v="DPP-2025"/>
    <s v="South"/>
    <s v="Phase 1"/>
    <s v="NRIS"/>
    <s v="BONO - GREENBRIER 161.0kV"/>
    <n v="90"/>
    <n v="90"/>
    <x v="0"/>
    <s v="Photovoltaic"/>
    <m/>
    <m/>
    <n v="0"/>
    <n v="0"/>
    <n v="0"/>
    <n v="0"/>
  </r>
  <r>
    <s v="J3954"/>
    <x v="2"/>
    <d v="2025-04-09T00:00:00"/>
    <m/>
    <m/>
    <d v="2030-10-01T00:00:00"/>
    <s v="AMEREN TRANSMISSION COMPANY OF ILLINOIS"/>
    <s v="Christian"/>
    <m/>
    <m/>
    <s v="IL"/>
    <s v="DPP-2025"/>
    <s v="Central"/>
    <s v="Phase 1"/>
    <s v="ERIS"/>
    <s v="7AUSTIN - 7PANA 345.0kV"/>
    <n v="250"/>
    <n v="250"/>
    <x v="0"/>
    <s v="Photovoltaic"/>
    <m/>
    <m/>
    <n v="250"/>
    <n v="0"/>
    <n v="0"/>
    <n v="0"/>
  </r>
  <r>
    <s v="J3955"/>
    <x v="2"/>
    <d v="2025-04-08T00:00:00"/>
    <m/>
    <m/>
    <d v="2030-06-30T00:00:00"/>
    <s v="OTTER TAIL POWER COMPANY OTP"/>
    <s v="Lac qui Parle"/>
    <m/>
    <m/>
    <s v="MN"/>
    <s v="DPP-2025"/>
    <s v="West"/>
    <s v="Phase 1"/>
    <s v="NRIS"/>
    <s v="Big Stone South - Deuel County 345.0kV"/>
    <n v="200"/>
    <n v="200"/>
    <x v="1"/>
    <s v="Wind Turbine"/>
    <m/>
    <m/>
    <n v="200"/>
    <n v="200"/>
    <n v="0"/>
    <n v="0"/>
  </r>
  <r>
    <s v="J3956"/>
    <x v="1"/>
    <d v="2025-04-21T00:00:00"/>
    <d v="2025-12-19T00:00:00"/>
    <m/>
    <d v="2030-06-30T00:00:00"/>
    <s v="OTTER TAIL POWER COMPANY"/>
    <s v="Wilkin"/>
    <m/>
    <m/>
    <s v="MN"/>
    <s v="DPP-2025"/>
    <s v="West"/>
    <s v="Phase 1"/>
    <s v="NRIS"/>
    <s v="Hankinson 230 kV Substation"/>
    <n v="240"/>
    <n v="240"/>
    <x v="1"/>
    <s v="Wind Turbine"/>
    <m/>
    <m/>
    <n v="0"/>
    <n v="0"/>
    <n v="0"/>
    <n v="0"/>
  </r>
  <r>
    <s v="J3957"/>
    <x v="2"/>
    <d v="2025-04-17T00:00:00"/>
    <m/>
    <m/>
    <d v="2029-11-01T00:00:00"/>
    <s v="AMEREN TRANSMISSION COMPANY OF ILLINOIS"/>
    <s v="Sullivan"/>
    <m/>
    <m/>
    <s v="MO"/>
    <s v="DPP-2025"/>
    <s v="Central"/>
    <s v="Phase 1"/>
    <s v="NRIS"/>
    <s v="Other_"/>
    <n v="300"/>
    <n v="300"/>
    <x v="0"/>
    <s v="Photovoltaic"/>
    <m/>
    <m/>
    <n v="300"/>
    <n v="300"/>
    <n v="0"/>
    <n v="0"/>
  </r>
  <r>
    <s v="J3958"/>
    <x v="1"/>
    <d v="2025-04-17T00:00:00"/>
    <d v="2025-10-22T00:00:00"/>
    <m/>
    <d v="2029-11-01T00:00:00"/>
    <s v="AMEREN MISSOURI"/>
    <s v="Sullivan"/>
    <m/>
    <m/>
    <s v="MO"/>
    <s v="DPP-2025"/>
    <s v="Central"/>
    <s v="Phase 1"/>
    <s v="NRIS"/>
    <s v="Other_"/>
    <n v="300"/>
    <n v="300"/>
    <x v="0"/>
    <s v="Photovoltaic"/>
    <m/>
    <m/>
    <n v="0"/>
    <n v="0"/>
    <n v="0"/>
    <n v="0"/>
  </r>
  <r>
    <s v="J3959"/>
    <x v="2"/>
    <d v="2025-04-17T00:00:00"/>
    <m/>
    <m/>
    <d v="2029-11-01T00:00:00"/>
    <s v="AMEREN TRANSMISSION COMPANY OF ILLINOIS"/>
    <s v="Grundy"/>
    <m/>
    <m/>
    <s v="MO"/>
    <s v="DPP-2025"/>
    <s v="Central"/>
    <s v="Phase 1"/>
    <s v="NRIS"/>
    <s v="Other_"/>
    <n v="200"/>
    <n v="200"/>
    <x v="0"/>
    <s v="Photovoltaic"/>
    <m/>
    <m/>
    <n v="200"/>
    <n v="200"/>
    <n v="0"/>
    <n v="0"/>
  </r>
  <r>
    <s v="J3960"/>
    <x v="2"/>
    <d v="2025-04-08T00:00:00"/>
    <m/>
    <m/>
    <d v="2030-06-30T00:00:00"/>
    <s v="OTTER TAIL POWER COMPANY OTP"/>
    <s v="Lac qui Parle"/>
    <m/>
    <m/>
    <s v="MN"/>
    <s v="DPP-2025"/>
    <s v="West"/>
    <s v="Phase 1"/>
    <s v="NRIS"/>
    <s v="Big Stone South - Deuel County 345.0kV"/>
    <n v="300"/>
    <n v="300"/>
    <x v="1"/>
    <s v="Wind Turbine"/>
    <m/>
    <m/>
    <n v="300"/>
    <n v="300"/>
    <n v="0"/>
    <n v="0"/>
  </r>
  <r>
    <s v="J3961"/>
    <x v="1"/>
    <d v="2025-04-07T00:00:00"/>
    <d v="2026-04-15T00:00:00"/>
    <m/>
    <d v="2030-01-31T00:00:00"/>
    <s v="NORTHERN STATES POWER COMPANY"/>
    <s v="Lincoln"/>
    <m/>
    <m/>
    <s v="MN"/>
    <s v="DPP-2025"/>
    <s v="West"/>
    <s v="Phase 1"/>
    <s v="NRIS"/>
    <s v="YANKEE"/>
    <n v="245"/>
    <n v="245"/>
    <x v="0"/>
    <s v="Photovoltaic"/>
    <m/>
    <m/>
    <n v="0"/>
    <n v="0"/>
    <n v="0"/>
    <n v="0"/>
  </r>
  <r>
    <s v="J3962"/>
    <x v="2"/>
    <d v="2025-03-12T00:00:00"/>
    <m/>
    <m/>
    <d v="2030-05-01T00:00:00"/>
    <s v="METC"/>
    <s v="Bay"/>
    <m/>
    <m/>
    <s v="MI"/>
    <s v="DPP-2026"/>
    <s v="East (ITC)"/>
    <m/>
    <s v="NRIS"/>
    <s v="BAUER - HAMPTON 1 345.0kV"/>
    <n v="165"/>
    <n v="165"/>
    <x v="5"/>
    <s v="Wind/Battery"/>
    <m/>
    <m/>
    <n v="0"/>
    <n v="0"/>
    <n v="0"/>
    <n v="0"/>
  </r>
  <r>
    <s v="J3963"/>
    <x v="2"/>
    <d v="2025-04-07T00:00:00"/>
    <m/>
    <m/>
    <d v="2030-01-31T00:00:00"/>
    <s v="NORTHERN STATES POWER COMPANY"/>
    <s v="Brookings"/>
    <m/>
    <m/>
    <s v="SD"/>
    <s v="DPP-2025"/>
    <s v="West"/>
    <s v="Phase 1"/>
    <s v="NRIS"/>
    <s v="BROOKINGS COUNTY"/>
    <n v="490"/>
    <n v="490"/>
    <x v="0"/>
    <s v="Photovoltaic"/>
    <m/>
    <m/>
    <n v="490"/>
    <n v="490"/>
    <n v="0"/>
    <n v="0"/>
  </r>
  <r>
    <s v="J3964"/>
    <x v="2"/>
    <d v="2025-04-07T00:00:00"/>
    <m/>
    <m/>
    <d v="2030-01-31T00:00:00"/>
    <s v="NORTHERN STATES POWER COMPANY"/>
    <s v="Brookings"/>
    <m/>
    <m/>
    <s v="SD"/>
    <s v="DPP-2025"/>
    <s v="West"/>
    <s v="Phase 1"/>
    <s v="NRIS"/>
    <s v="Split Rock - White (WAPA) 345.0kV"/>
    <n v="490"/>
    <n v="490"/>
    <x v="0"/>
    <s v="Photovoltaic"/>
    <m/>
    <m/>
    <n v="490"/>
    <n v="490"/>
    <n v="0"/>
    <n v="0"/>
  </r>
  <r>
    <s v="J3965"/>
    <x v="1"/>
    <d v="2025-04-07T00:00:00"/>
    <d v="2025-12-22T00:00:00"/>
    <m/>
    <d v="2030-01-30T00:00:00"/>
    <s v="AMEREN ILLINOIS"/>
    <s v="Christian"/>
    <m/>
    <m/>
    <s v="IL"/>
    <s v="DPP-2025"/>
    <s v="Central"/>
    <s v="Phase 1"/>
    <s v="NRIS"/>
    <s v="7LATHAM - KINCAID  ; B 345.0kV"/>
    <n v="401.8"/>
    <n v="401.8"/>
    <x v="0"/>
    <s v="Photovoltaic"/>
    <m/>
    <m/>
    <n v="0"/>
    <n v="0"/>
    <n v="0"/>
    <n v="0"/>
  </r>
  <r>
    <s v="J3966"/>
    <x v="2"/>
    <d v="2025-04-01T00:00:00"/>
    <m/>
    <m/>
    <d v="2029-12-01T00:00:00"/>
    <s v="ITC"/>
    <s v="Huron"/>
    <m/>
    <m/>
    <s v="MI"/>
    <s v="DPP-2026"/>
    <s v="East (ITC)"/>
    <m/>
    <s v="NRIS"/>
    <s v="GRASSMERE"/>
    <n v="318"/>
    <n v="318"/>
    <x v="1"/>
    <s v="Wind Turbine"/>
    <m/>
    <m/>
    <n v="0"/>
    <n v="0"/>
    <n v="0"/>
    <n v="0"/>
  </r>
  <r>
    <s v="J3967"/>
    <x v="2"/>
    <d v="2025-04-01T00:00:00"/>
    <m/>
    <m/>
    <d v="2029-12-01T00:00:00"/>
    <s v="ITC"/>
    <s v="Huron"/>
    <m/>
    <m/>
    <s v="MI"/>
    <s v="DPP-2026"/>
    <s v="East (ITC)"/>
    <m/>
    <s v="NRIS"/>
    <s v="MINDEN"/>
    <n v="170"/>
    <n v="170"/>
    <x v="1"/>
    <s v="Wind Turbine"/>
    <m/>
    <m/>
    <n v="0"/>
    <n v="0"/>
    <n v="0"/>
    <n v="0"/>
  </r>
  <r>
    <s v="J3968"/>
    <x v="2"/>
    <d v="2025-03-14T00:00:00"/>
    <m/>
    <m/>
    <d v="2028-09-15T00:00:00"/>
    <s v="AMEREN ILLINOIS"/>
    <s v="Coles"/>
    <m/>
    <m/>
    <s v="IL"/>
    <s v="DPP-2025"/>
    <s v="Central"/>
    <s v="Phase 1"/>
    <s v="NRIS"/>
    <s v="Mattoon West"/>
    <n v="100"/>
    <n v="100"/>
    <x v="2"/>
    <s v="Battery Storage"/>
    <m/>
    <m/>
    <n v="100"/>
    <n v="100"/>
    <n v="0"/>
    <n v="0"/>
  </r>
  <r>
    <s v="J3969"/>
    <x v="1"/>
    <d v="2025-03-10T00:00:00"/>
    <d v="2026-01-02T00:00:00"/>
    <m/>
    <d v="2030-10-30T00:00:00"/>
    <s v="ENTERGY ARKANSAS, LLC"/>
    <s v="Poinsett"/>
    <m/>
    <m/>
    <s v="AR"/>
    <s v="DPP-2025"/>
    <s v="South"/>
    <s v="Phase 1"/>
    <s v="NRIS"/>
    <s v="HARRISBURG"/>
    <n v="196"/>
    <n v="196"/>
    <x v="0"/>
    <s v="Photovoltaic"/>
    <m/>
    <m/>
    <n v="0"/>
    <n v="0"/>
    <n v="0"/>
    <n v="0"/>
  </r>
  <r>
    <s v="J3970"/>
    <x v="2"/>
    <d v="2025-04-01T00:00:00"/>
    <m/>
    <m/>
    <d v="2029-12-01T00:00:00"/>
    <s v="ITC"/>
    <s v="Huron"/>
    <m/>
    <m/>
    <s v="MI"/>
    <s v="DPP-2026"/>
    <s v="East (ITC)"/>
    <m/>
    <s v="NRIS"/>
    <s v="MINDEN"/>
    <n v="70"/>
    <n v="70"/>
    <x v="1"/>
    <s v="Wind Turbine"/>
    <m/>
    <m/>
    <n v="0"/>
    <n v="0"/>
    <n v="0"/>
    <n v="0"/>
  </r>
  <r>
    <s v="J3971"/>
    <x v="2"/>
    <d v="2025-04-01T00:00:00"/>
    <m/>
    <m/>
    <d v="2029-12-01T00:00:00"/>
    <s v="ITC"/>
    <s v="Huron"/>
    <m/>
    <m/>
    <s v="MI"/>
    <s v="DPP-2026"/>
    <s v="East (ITC)"/>
    <m/>
    <s v="NRIS"/>
    <s v="STEIN"/>
    <n v="255"/>
    <n v="255"/>
    <x v="1"/>
    <s v="Wind Turbine"/>
    <m/>
    <m/>
    <n v="0"/>
    <n v="0"/>
    <n v="0"/>
    <n v="0"/>
  </r>
  <r>
    <s v="J3972"/>
    <x v="1"/>
    <d v="2025-03-26T00:00:00"/>
    <d v="2025-09-24T00:00:00"/>
    <m/>
    <d v="2029-03-18T00:00:00"/>
    <s v="ENTERGY TEXAS, INC."/>
    <s v="Liberty"/>
    <m/>
    <m/>
    <s v="TX"/>
    <s v="DPP-2025"/>
    <s v="South"/>
    <s v="Phase 1"/>
    <s v="NRIS"/>
    <s v="CHINA - STOWELL 230.0kV"/>
    <n v="200"/>
    <n v="200"/>
    <x v="1"/>
    <s v="Wind Turbine"/>
    <m/>
    <m/>
    <n v="0"/>
    <n v="0"/>
    <n v="0"/>
    <n v="0"/>
  </r>
  <r>
    <s v="J3973"/>
    <x v="2"/>
    <d v="2025-03-05T00:00:00"/>
    <m/>
    <m/>
    <d v="2030-10-01T00:00:00"/>
    <s v="METC"/>
    <s v="Branch"/>
    <m/>
    <m/>
    <s v="MI"/>
    <s v="DPP-2026"/>
    <s v="East (ITC)"/>
    <m/>
    <s v="NRIS"/>
    <s v="COLDWATER - MOORE ROAD 138.0kV"/>
    <n v="100"/>
    <n v="100"/>
    <x v="2"/>
    <s v="Battery Storage"/>
    <m/>
    <m/>
    <n v="0"/>
    <n v="0"/>
    <n v="0"/>
    <n v="0"/>
  </r>
  <r>
    <s v="J3974"/>
    <x v="1"/>
    <d v="2025-02-11T00:00:00"/>
    <d v="2026-04-15T00:00:00"/>
    <m/>
    <d v="2027-06-01T00:00:00"/>
    <s v="ENTERGY ARKANSAS, LLC"/>
    <s v="Jefferson"/>
    <m/>
    <m/>
    <s v="AR"/>
    <s v="DPP-2025"/>
    <s v="South"/>
    <s v="Phase 1"/>
    <s v="NRIS"/>
    <s v="STUTTGART RICUSKEY - WOODWARD 230 SUB 230.0kV"/>
    <n v="200"/>
    <n v="200"/>
    <x v="0"/>
    <s v="Photovoltaic"/>
    <m/>
    <m/>
    <n v="0"/>
    <n v="0"/>
    <n v="0"/>
    <n v="0"/>
  </r>
  <r>
    <s v="J3975"/>
    <x v="2"/>
    <d v="2025-03-10T00:00:00"/>
    <m/>
    <m/>
    <d v="2030-02-20T00:00:00"/>
    <s v="AMERICAN TRANSMISSION COMPANY"/>
    <s v="Rusk"/>
    <m/>
    <m/>
    <s v="WI"/>
    <s v="DPP-2025"/>
    <s v="East (ATC)"/>
    <s v="Phase 1"/>
    <s v="NRIS"/>
    <s v="Stone Lake - Gardner Park 345.0kV"/>
    <n v="416.5"/>
    <n v="416.5"/>
    <x v="0"/>
    <s v="Photovoltaic"/>
    <m/>
    <m/>
    <n v="416.5"/>
    <n v="416.5"/>
    <n v="0"/>
    <n v="0"/>
  </r>
  <r>
    <s v="J3976"/>
    <x v="2"/>
    <d v="2025-03-25T00:00:00"/>
    <m/>
    <m/>
    <d v="2028-12-15T00:00:00"/>
    <s v="AMEREN ILLINOIS"/>
    <s v="Fayette"/>
    <m/>
    <m/>
    <s v="IL"/>
    <s v="DPP-2025"/>
    <s v="Central"/>
    <s v="Phase 1"/>
    <s v="NRIS"/>
    <s v="7COFFEN N - 7RAMSEY   345.0kV"/>
    <n v="66.8"/>
    <n v="66.8"/>
    <x v="1"/>
    <s v="Wind Turbine"/>
    <m/>
    <m/>
    <n v="66.8"/>
    <n v="66.8"/>
    <n v="0"/>
    <n v="0"/>
  </r>
  <r>
    <s v="J3977"/>
    <x v="2"/>
    <d v="2025-03-31T00:00:00"/>
    <m/>
    <m/>
    <d v="2029-06-01T00:00:00"/>
    <s v="ITC"/>
    <s v="Sanilac"/>
    <m/>
    <m/>
    <s v="MI"/>
    <s v="DPP-2026"/>
    <s v="East (ITC)"/>
    <m/>
    <s v="NRIS"/>
    <s v="GREENWOOD - RAPSON 345.0kV"/>
    <n v="250"/>
    <n v="250"/>
    <x v="2"/>
    <s v="Battery Storage"/>
    <m/>
    <m/>
    <n v="0"/>
    <n v="0"/>
    <n v="0"/>
    <n v="0"/>
  </r>
  <r>
    <s v="J3978"/>
    <x v="2"/>
    <d v="2025-04-08T00:00:00"/>
    <m/>
    <m/>
    <d v="2029-10-01T00:00:00"/>
    <s v="HOOSIER ENERGY"/>
    <s v="Sullivan"/>
    <m/>
    <m/>
    <s v="IN"/>
    <s v="DPP-2025"/>
    <s v="Central"/>
    <s v="Phase 1"/>
    <s v="NRIS"/>
    <s v="Petersburg - Sullivan (AEP/PJM) 345.0kV"/>
    <n v="200"/>
    <n v="200"/>
    <x v="5"/>
    <s v="Solar/Battery"/>
    <m/>
    <m/>
    <n v="200"/>
    <n v="200"/>
    <n v="0"/>
    <n v="0"/>
  </r>
  <r>
    <s v="J3979"/>
    <x v="2"/>
    <d v="2025-04-08T00:00:00"/>
    <m/>
    <m/>
    <d v="2029-10-01T00:00:00"/>
    <s v="HOOSIER ENERGY"/>
    <s v="Sullivan"/>
    <m/>
    <m/>
    <s v="IN"/>
    <s v="DPP-2025"/>
    <s v="Central"/>
    <s v="Phase 1"/>
    <s v="NRIS"/>
    <s v="Petersburg - Sullivan (AEP/PJM) 345.0kV"/>
    <n v="200"/>
    <n v="200"/>
    <x v="5"/>
    <s v="Solar/Battery"/>
    <m/>
    <m/>
    <n v="200"/>
    <n v="200"/>
    <n v="0"/>
    <n v="0"/>
  </r>
  <r>
    <s v="J3980"/>
    <x v="2"/>
    <d v="2025-04-08T00:00:00"/>
    <m/>
    <m/>
    <d v="2029-10-01T00:00:00"/>
    <s v="DUKE ENERGY INDIANA, LLC CIN"/>
    <s v="Sullivan"/>
    <m/>
    <m/>
    <s v="IN"/>
    <s v="DPP-2025"/>
    <s v="Central"/>
    <s v="Phase 1"/>
    <s v="NRIS"/>
    <s v="Gibson Sta - Merom (HED) 345.0kV"/>
    <n v="200"/>
    <n v="200"/>
    <x v="5"/>
    <s v="Solar/Battery"/>
    <m/>
    <m/>
    <n v="200"/>
    <n v="200"/>
    <n v="0"/>
    <n v="0"/>
  </r>
  <r>
    <s v="J3981"/>
    <x v="2"/>
    <d v="2025-04-08T00:00:00"/>
    <m/>
    <m/>
    <d v="2029-10-01T00:00:00"/>
    <s v="DUKE ENERGY INDIANA, LLC CIN"/>
    <s v="Sullivan"/>
    <m/>
    <m/>
    <s v="IN"/>
    <s v="DPP-2025"/>
    <s v="Central"/>
    <s v="Phase 1"/>
    <s v="NRIS"/>
    <s v="Gibson Sta - Merom (HED) 345.0kV"/>
    <n v="200"/>
    <n v="200"/>
    <x v="5"/>
    <s v="Solar/Battery"/>
    <m/>
    <m/>
    <n v="200"/>
    <n v="200"/>
    <n v="0"/>
    <n v="0"/>
  </r>
  <r>
    <s v="J3982"/>
    <x v="2"/>
    <d v="2024-12-24T00:00:00"/>
    <m/>
    <m/>
    <d v="2030-04-01T00:00:00"/>
    <s v="ENTERGY ARKANSAS, LLC EATO"/>
    <s v="Lonoke"/>
    <m/>
    <m/>
    <s v="AR"/>
    <s v="DPP-2025"/>
    <s v="South"/>
    <s v="Phase 1"/>
    <s v="NRIS"/>
    <s v="WEST MEMPHIS EHV - KEO EHV 500.0kV"/>
    <n v="319.5"/>
    <n v="319.5"/>
    <x v="1"/>
    <s v="Wind Turbine"/>
    <m/>
    <m/>
    <n v="319.5"/>
    <n v="128"/>
    <n v="0"/>
    <n v="0"/>
  </r>
  <r>
    <s v="J3983"/>
    <x v="1"/>
    <d v="2024-10-30T00:00:00"/>
    <d v="2026-04-14T00:00:00"/>
    <m/>
    <d v="2030-09-02T00:00:00"/>
    <s v="DUKE ENERGY INDIANA, LLC"/>
    <s v="Gibson"/>
    <m/>
    <m/>
    <s v="IN"/>
    <s v="DPP-2025"/>
    <s v="Central"/>
    <s v="Phase 1"/>
    <s v="NRIS"/>
    <s v="MACKEY"/>
    <n v="100"/>
    <n v="100"/>
    <x v="5"/>
    <s v="Solar/Battery"/>
    <m/>
    <m/>
    <n v="0"/>
    <n v="0"/>
    <n v="0"/>
    <n v="0"/>
  </r>
  <r>
    <s v="J3984"/>
    <x v="1"/>
    <d v="2024-10-25T00:00:00"/>
    <d v="2026-04-15T00:00:00"/>
    <m/>
    <d v="2030-09-02T00:00:00"/>
    <s v="ENTERGY ARKANSAS, LLC"/>
    <s v="Jefferson"/>
    <m/>
    <m/>
    <s v="AR"/>
    <s v="DPP-2025"/>
    <s v="South"/>
    <s v="Phase 1"/>
    <s v="NRIS"/>
    <s v="STUTTGART RICUSKEY - WOODWARD 230 SUB 230.0kV"/>
    <n v="200"/>
    <n v="200"/>
    <x v="5"/>
    <s v="Solar/Battery"/>
    <m/>
    <m/>
    <n v="0"/>
    <n v="0"/>
    <n v="0"/>
    <n v="0"/>
  </r>
  <r>
    <s v="J3985"/>
    <x v="1"/>
    <d v="2024-11-18T00:00:00"/>
    <d v="2026-04-15T00:00:00"/>
    <m/>
    <d v="2030-09-02T00:00:00"/>
    <s v="SAM HOUSTON ELECTRIC COOPERATIVE, INC."/>
    <s v="Polk"/>
    <m/>
    <m/>
    <s v="TX"/>
    <s v="DPP-2025"/>
    <s v="South"/>
    <s v="Phase 1"/>
    <s v="NRIS"/>
    <s v="SHECO/ETEC, BUS#334130"/>
    <n v="240"/>
    <n v="240"/>
    <x v="5"/>
    <s v="Solar/Battery"/>
    <m/>
    <m/>
    <n v="0"/>
    <n v="0"/>
    <n v="0"/>
    <n v="0"/>
  </r>
  <r>
    <s v="J3986"/>
    <x v="1"/>
    <d v="2024-10-25T00:00:00"/>
    <d v="2026-04-15T00:00:00"/>
    <m/>
    <d v="2030-09-02T00:00:00"/>
    <s v="ENTERGY TEXAS, INC."/>
    <s v="Liberty"/>
    <m/>
    <m/>
    <s v="TX"/>
    <s v="DPP-2025"/>
    <s v="South"/>
    <s v="Phase 1"/>
    <s v="NRIS"/>
    <s v="JACINTO - PEACH CREEK 230.0kV"/>
    <n v="270"/>
    <n v="270"/>
    <x v="0"/>
    <s v="Photovoltaic"/>
    <m/>
    <m/>
    <n v="0"/>
    <n v="0"/>
    <n v="0"/>
    <n v="0"/>
  </r>
  <r>
    <s v="J3987"/>
    <x v="1"/>
    <d v="2024-10-25T00:00:00"/>
    <d v="2026-04-15T00:00:00"/>
    <m/>
    <d v="2030-09-02T00:00:00"/>
    <s v="ENTERGY MISSISSIPPI, LLC."/>
    <s v="Amite"/>
    <m/>
    <m/>
    <s v="MS"/>
    <s v="DPP-2025"/>
    <s v="South"/>
    <s v="Phase 1"/>
    <s v="NRIS"/>
    <s v="SMITHDALE SS (CE) - LIBERTY 115.0kV"/>
    <n v="165"/>
    <n v="165"/>
    <x v="0"/>
    <s v="Photovoltaic"/>
    <m/>
    <m/>
    <n v="0"/>
    <n v="0"/>
    <n v="0"/>
    <n v="0"/>
  </r>
  <r>
    <s v="J3988"/>
    <x v="1"/>
    <d v="2024-10-25T00:00:00"/>
    <d v="2026-04-15T00:00:00"/>
    <m/>
    <d v="2030-09-02T00:00:00"/>
    <s v="ENTERGY LOUISIANA, LLC"/>
    <s v="Morehouse"/>
    <m/>
    <m/>
    <s v="LA"/>
    <s v="DPP-2025"/>
    <s v="South"/>
    <s v="Phase 1"/>
    <s v="NRIS"/>
    <s v="NORTH BASTROP TAP - LOG CABIN (LAGEN) 115.0kV"/>
    <n v="85"/>
    <n v="85"/>
    <x v="0"/>
    <s v="Photovoltaic"/>
    <m/>
    <m/>
    <n v="0"/>
    <n v="0"/>
    <n v="0"/>
    <n v="0"/>
  </r>
  <r>
    <s v="J3989"/>
    <x v="1"/>
    <d v="2025-04-01T00:00:00"/>
    <d v="2026-01-05T00:00:00"/>
    <m/>
    <d v="2030-09-30T00:00:00"/>
    <s v="AMEREN ILLINOIS"/>
    <s v="Williamson"/>
    <m/>
    <m/>
    <s v="IL"/>
    <s v="DPP-2025"/>
    <s v="Central"/>
    <s v="Phase 1"/>
    <s v="NRIS"/>
    <s v="Marion North"/>
    <n v="200"/>
    <n v="200"/>
    <x v="2"/>
    <s v="Battery Storage"/>
    <m/>
    <m/>
    <n v="0"/>
    <n v="0"/>
    <n v="0"/>
    <n v="0"/>
  </r>
  <r>
    <s v="J3990"/>
    <x v="2"/>
    <d v="2025-04-17T00:00:00"/>
    <m/>
    <m/>
    <d v="2029-04-01T00:00:00"/>
    <s v="AMEREN ILLINOIS"/>
    <s v="McLean"/>
    <m/>
    <m/>
    <s v="IL"/>
    <s v="DPP-2025"/>
    <s v="Central"/>
    <s v="Phase 1"/>
    <s v="NRIS"/>
    <s v="Other_"/>
    <n v="100"/>
    <n v="100"/>
    <x v="1"/>
    <s v="Wind Turbine"/>
    <m/>
    <m/>
    <n v="100"/>
    <n v="100"/>
    <n v="0"/>
    <n v="0"/>
  </r>
  <r>
    <s v="J3991"/>
    <x v="2"/>
    <d v="2025-04-17T00:00:00"/>
    <m/>
    <m/>
    <d v="2029-04-01T00:00:00"/>
    <s v="AMEREN ILLINOIS"/>
    <s v="McLean"/>
    <m/>
    <m/>
    <s v="IL"/>
    <s v="DPP-2025"/>
    <s v="Central"/>
    <s v="Phase 1"/>
    <s v="NRIS"/>
    <s v="Other_"/>
    <n v="340"/>
    <n v="340"/>
    <x v="1"/>
    <s v="Wind Turbine"/>
    <m/>
    <m/>
    <n v="340"/>
    <n v="340"/>
    <n v="0"/>
    <n v="0"/>
  </r>
  <r>
    <s v="J3992"/>
    <x v="2"/>
    <d v="2025-04-17T00:00:00"/>
    <m/>
    <m/>
    <d v="2028-04-01T00:00:00"/>
    <s v="METC"/>
    <s v="Eaton"/>
    <m/>
    <m/>
    <s v="MI"/>
    <s v="DPP-2026"/>
    <s v="East (ITC)"/>
    <m/>
    <s v="NRIS"/>
    <s v="MAJESTIC - ONEIDA 345.0kV"/>
    <n v="400"/>
    <n v="400"/>
    <x v="2"/>
    <s v="Battery Storage"/>
    <m/>
    <m/>
    <n v="0"/>
    <n v="0"/>
    <n v="0"/>
    <n v="0"/>
  </r>
  <r>
    <s v="J3993"/>
    <x v="1"/>
    <d v="2025-04-29T00:00:00"/>
    <d v="2026-04-14T00:00:00"/>
    <m/>
    <d v="2027-02-01T00:00:00"/>
    <s v="HOOSIER ENERGY"/>
    <s v="Wayne"/>
    <m/>
    <m/>
    <s v="IL"/>
    <s v="DPP-2025"/>
    <s v="Central"/>
    <s v="Phase 1"/>
    <s v="NRIS"/>
    <s v="Geff"/>
    <n v="21.44"/>
    <n v="21.44"/>
    <x v="0"/>
    <s v="Photovoltaic"/>
    <m/>
    <m/>
    <n v="0"/>
    <n v="0"/>
    <n v="0"/>
    <n v="0"/>
  </r>
  <r>
    <s v="J3994"/>
    <x v="2"/>
    <d v="2025-04-17T00:00:00"/>
    <m/>
    <m/>
    <d v="2028-04-01T00:00:00"/>
    <s v="METC"/>
    <s v="Monroe"/>
    <m/>
    <m/>
    <s v="MI"/>
    <s v="DPP-2026"/>
    <s v="East (ITC)"/>
    <m/>
    <s v="NRIS"/>
    <s v="18MOROCCO 256583"/>
    <n v="360"/>
    <n v="360"/>
    <x v="2"/>
    <s v="Battery Storage"/>
    <m/>
    <m/>
    <n v="0"/>
    <n v="0"/>
    <n v="0"/>
    <n v="0"/>
  </r>
  <r>
    <s v="J3995"/>
    <x v="1"/>
    <d v="2025-04-23T00:00:00"/>
    <d v="2026-01-05T00:00:00"/>
    <m/>
    <d v="2030-07-01T00:00:00"/>
    <s v="AMEREN ILLINOIS"/>
    <s v="Jasper"/>
    <m/>
    <m/>
    <s v="IL"/>
    <s v="DPP-2025"/>
    <s v="Central"/>
    <s v="Phase 1"/>
    <s v="NRIS"/>
    <s v="7CASEY    - 7NEWTON   345.0kV"/>
    <n v="300"/>
    <n v="300"/>
    <x v="1"/>
    <s v="Wind Turbine"/>
    <m/>
    <m/>
    <n v="0"/>
    <n v="0"/>
    <n v="0"/>
    <n v="0"/>
  </r>
  <r>
    <s v="J3996"/>
    <x v="2"/>
    <d v="2025-04-29T00:00:00"/>
    <m/>
    <m/>
    <d v="2030-01-01T00:00:00"/>
    <s v="AMEREN MISSOURI"/>
    <s v="St. Charles"/>
    <m/>
    <m/>
    <s v="MO"/>
    <s v="DPP-2025"/>
    <s v="Central"/>
    <s v="Phase 1"/>
    <s v="NRIS"/>
    <s v="SIOUX"/>
    <n v="2220"/>
    <n v="2220"/>
    <x v="3"/>
    <s v="Combined Cycle"/>
    <m/>
    <m/>
    <n v="2200"/>
    <n v="2200"/>
    <n v="0"/>
    <n v="0"/>
  </r>
  <r>
    <s v="J3997"/>
    <x v="1"/>
    <d v="2025-05-01T00:00:00"/>
    <d v="2026-01-05T00:00:00"/>
    <m/>
    <d v="2028-02-10T00:00:00"/>
    <s v="DUKE ENERGY INDIANA, LLC"/>
    <s v="Pike"/>
    <m/>
    <m/>
    <s v="IN"/>
    <s v="DPP-2025"/>
    <s v="Central"/>
    <s v="Phase 1"/>
    <s v="NRIS"/>
    <s v="Gibson Sta  - Petersburg - (IP&amp;L) 345.0kV"/>
    <n v="200"/>
    <n v="200"/>
    <x v="0"/>
    <s v="Photovoltaic"/>
    <m/>
    <m/>
    <n v="0"/>
    <n v="0"/>
    <n v="0"/>
    <n v="0"/>
  </r>
  <r>
    <s v="J3998"/>
    <x v="1"/>
    <d v="2025-02-25T00:00:00"/>
    <d v="2025-11-14T00:00:00"/>
    <m/>
    <d v="2030-06-01T00:00:00"/>
    <s v="ITC MIDWEST"/>
    <s v="Cerro Gordo"/>
    <m/>
    <m/>
    <s v="IA"/>
    <s v="DPP-2025"/>
    <s v="West"/>
    <s v="Phase 1"/>
    <s v="NRIS"/>
    <s v="Killdeer - Quinn 345kV"/>
    <n v="450"/>
    <n v="450"/>
    <x v="0"/>
    <s v="Photovoltaic"/>
    <m/>
    <m/>
    <n v="0"/>
    <n v="0"/>
    <n v="0"/>
    <n v="0"/>
  </r>
  <r>
    <s v="J3999"/>
    <x v="2"/>
    <d v="2025-04-14T00:00:00"/>
    <m/>
    <m/>
    <d v="2030-01-02T00:00:00"/>
    <s v="DUKE ENERGY INDIANA, LLC CIN"/>
    <s v="Vermillion"/>
    <m/>
    <m/>
    <s v="IN"/>
    <s v="DPP-2025"/>
    <s v="Central"/>
    <s v="Phase 1"/>
    <s v="NRIS"/>
    <s v="Sugar Creek - Cayuga CT  345.0kV"/>
    <n v="1540"/>
    <n v="1540"/>
    <x v="3"/>
    <s v="Combined Cycle"/>
    <m/>
    <m/>
    <n v="1540"/>
    <n v="1540"/>
    <n v="0"/>
    <n v="0"/>
  </r>
  <r>
    <s v="J4000"/>
    <x v="2"/>
    <d v="2025-04-29T00:00:00"/>
    <m/>
    <m/>
    <d v="2030-01-28T00:00:00"/>
    <s v="AMEREN TRANSMISSION COMPANY OF ILLINOIS"/>
    <s v="Scott"/>
    <m/>
    <m/>
    <s v="IL"/>
    <s v="DPP-2025"/>
    <s v="Central"/>
    <s v="Phase 1"/>
    <s v="NRIS"/>
    <s v="7MEREDOSIA - 7TURNER 345.0kV"/>
    <n v="343"/>
    <n v="343"/>
    <x v="0"/>
    <s v="Photovoltaic"/>
    <m/>
    <m/>
    <n v="343"/>
    <n v="343"/>
    <n v="0"/>
    <n v="0"/>
  </r>
  <r>
    <s v="J4001"/>
    <x v="2"/>
    <d v="2025-04-29T00:00:00"/>
    <m/>
    <m/>
    <d v="2030-01-31T00:00:00"/>
    <s v="AMEREN MISSOURI"/>
    <s v="Marion"/>
    <m/>
    <m/>
    <s v="MO"/>
    <s v="DPP-2025"/>
    <s v="Central"/>
    <s v="Phase 1"/>
    <s v="NRIS"/>
    <s v="7MAYWOOD - 7PALMYRA  345.0kV"/>
    <n v="245"/>
    <n v="245"/>
    <x v="0"/>
    <s v="Photovoltaic"/>
    <m/>
    <m/>
    <n v="245"/>
    <n v="245"/>
    <n v="0"/>
    <n v="0"/>
  </r>
  <r>
    <s v="J4002"/>
    <x v="2"/>
    <d v="2025-04-30T00:00:00"/>
    <m/>
    <m/>
    <d v="2030-09-30T00:00:00"/>
    <s v="AMEREN TRANSMISSION COMPANY OF ILLINOIS"/>
    <s v="Edgar"/>
    <m/>
    <m/>
    <s v="IL"/>
    <s v="DPP-2025"/>
    <s v="Central"/>
    <s v="Phase 1"/>
    <s v="NRIS"/>
    <s v="7KANSAS   - 08SUGCRK 345.0kV"/>
    <n v="200"/>
    <n v="200"/>
    <x v="2"/>
    <s v="Battery Storage"/>
    <m/>
    <m/>
    <n v="200"/>
    <n v="200"/>
    <n v="0"/>
    <n v="0"/>
  </r>
  <r>
    <s v="J4003"/>
    <x v="2"/>
    <d v="2025-04-30T00:00:00"/>
    <m/>
    <m/>
    <d v="2030-09-30T00:00:00"/>
    <s v="AMEREN TRANSMISSION COMPANY OF ILLINOIS"/>
    <s v="Edgar"/>
    <m/>
    <m/>
    <s v="IL"/>
    <s v="DPP-2025"/>
    <s v="Central"/>
    <s v="Phase 1"/>
    <s v="NRIS"/>
    <s v="7KANSAS - 08SUGCRK 345.0kV"/>
    <n v="200"/>
    <n v="200"/>
    <x v="0"/>
    <s v="Photovoltaic"/>
    <m/>
    <m/>
    <n v="200"/>
    <n v="200"/>
    <n v="0"/>
    <n v="0"/>
  </r>
  <r>
    <s v="J4004"/>
    <x v="1"/>
    <d v="2025-05-03T00:00:00"/>
    <d v="2026-01-07T00:00:00"/>
    <m/>
    <d v="2032-10-31T00:00:00"/>
    <s v="AMEREN ILLINOIS"/>
    <s v="Peoria"/>
    <m/>
    <m/>
    <s v="IL"/>
    <s v="DPP-2025"/>
    <s v="Central"/>
    <s v="Phase 1"/>
    <s v="NRIS"/>
    <s v="Other_"/>
    <n v="392"/>
    <n v="392"/>
    <x v="0"/>
    <s v="Photovoltaic"/>
    <m/>
    <m/>
    <n v="0"/>
    <n v="0"/>
    <n v="0"/>
    <n v="0"/>
  </r>
  <r>
    <s v="J4005"/>
    <x v="2"/>
    <d v="2025-05-01T00:00:00"/>
    <m/>
    <m/>
    <d v="2028-02-29T00:00:00"/>
    <s v="HOOSIER ENERGY"/>
    <s v="Sullivan"/>
    <m/>
    <m/>
    <s v="IN"/>
    <s v="DPP-2025"/>
    <s v="Central"/>
    <s v="Phase 1"/>
    <s v="NRIS"/>
    <s v="Petersburg - Sullivan (AEP/PJM) 345.0kV"/>
    <n v="500"/>
    <n v="500"/>
    <x v="3"/>
    <s v="Combined Cycle"/>
    <m/>
    <m/>
    <n v="500"/>
    <n v="500"/>
    <n v="0"/>
    <n v="0"/>
  </r>
  <r>
    <s v="J4006"/>
    <x v="2"/>
    <d v="2025-05-07T00:00:00"/>
    <m/>
    <m/>
    <d v="2030-09-02T00:00:00"/>
    <s v="MIDAMERICAN ENERGY CO. MEC"/>
    <s v="Ringgold"/>
    <m/>
    <m/>
    <s v="IA"/>
    <s v="DPP-2025"/>
    <s v="West"/>
    <s v="Phase 1"/>
    <s v="ERIS"/>
    <s v="Orient - Denny 345kV"/>
    <n v="289.8"/>
    <n v="289.8"/>
    <x v="1"/>
    <s v="Wind Turbine"/>
    <m/>
    <m/>
    <n v="289.8"/>
    <n v="289.8"/>
    <n v="0"/>
    <n v="0"/>
  </r>
  <r>
    <s v="J4007"/>
    <x v="2"/>
    <d v="2025-05-15T00:00:00"/>
    <m/>
    <m/>
    <d v="2027-11-01T00:00:00"/>
    <s v="AMEREN TRANSMISSION COMPANY OF ILLINOIS"/>
    <s v="Peoria"/>
    <m/>
    <m/>
    <s v="IL"/>
    <s v="DPP-2025"/>
    <s v="Central"/>
    <s v="Phase 1"/>
    <s v="NRIS"/>
    <s v="7FARGO - 7SANDBURG 345.0kV"/>
    <n v="150"/>
    <n v="150"/>
    <x v="1"/>
    <s v="Wind Turbine"/>
    <m/>
    <m/>
    <n v="150"/>
    <n v="150"/>
    <n v="0"/>
    <n v="0"/>
  </r>
  <r>
    <s v="J4008"/>
    <x v="1"/>
    <d v="2025-05-02T00:00:00"/>
    <d v="2026-01-05T00:00:00"/>
    <m/>
    <d v="2027-08-01T00:00:00"/>
    <s v="DUKE ENERGY INDIANA, LLC"/>
    <s v="Henry"/>
    <m/>
    <m/>
    <s v="IN"/>
    <s v="DPP-2025"/>
    <s v="Central"/>
    <s v="Phase 1"/>
    <s v="NRIS"/>
    <s v="Greensboro  -  New Castle 138 138.0kV"/>
    <n v="150"/>
    <n v="150"/>
    <x v="0"/>
    <s v="Photovoltaic"/>
    <m/>
    <m/>
    <n v="0"/>
    <n v="0"/>
    <n v="0"/>
    <n v="0"/>
  </r>
  <r>
    <s v="J4009"/>
    <x v="2"/>
    <d v="2025-04-25T00:00:00"/>
    <m/>
    <m/>
    <d v="2030-08-30T00:00:00"/>
    <s v="OTTER TAIL POWER COMPANY OTP"/>
    <s v="Marshall"/>
    <m/>
    <m/>
    <s v="MN"/>
    <s v="DPP-2025"/>
    <s v="West"/>
    <s v="Phase 1"/>
    <s v="NRIS"/>
    <s v="Viking - Karlstad 115.0kV"/>
    <n v="80"/>
    <n v="80"/>
    <x v="0"/>
    <s v="Photovoltaic"/>
    <m/>
    <m/>
    <n v="80"/>
    <n v="80"/>
    <n v="0"/>
    <n v="0"/>
  </r>
  <r>
    <s v="J4010"/>
    <x v="2"/>
    <d v="2025-04-30T00:00:00"/>
    <m/>
    <m/>
    <d v="2027-09-30T00:00:00"/>
    <s v="AMEREN ILLINOIS"/>
    <s v="De Witt"/>
    <m/>
    <m/>
    <s v="IL"/>
    <s v="DPP-2025"/>
    <s v="Central"/>
    <s v="Phase 1"/>
    <s v="NRIS"/>
    <s v="Clinton 345kV Substation"/>
    <n v="21"/>
    <n v="21"/>
    <x v="11"/>
    <s v="Nuclear"/>
    <m/>
    <m/>
    <n v="21"/>
    <n v="21"/>
    <n v="0"/>
    <n v="0"/>
  </r>
  <r>
    <s v="J4011"/>
    <x v="1"/>
    <d v="2025-05-15T00:00:00"/>
    <d v="2026-04-15T00:00:00"/>
    <m/>
    <d v="2029-08-01T00:00:00"/>
    <s v="ENTERGY ARKANSAS, LLC"/>
    <s v="Miller"/>
    <m/>
    <m/>
    <s v="AR"/>
    <s v="DPP-2025"/>
    <s v="South"/>
    <s v="Phase 1"/>
    <s v="NRIS"/>
    <s v="AECC LEWISVILLE WEST"/>
    <n v="200"/>
    <n v="200"/>
    <x v="5"/>
    <s v="Solar/Battery"/>
    <m/>
    <m/>
    <n v="0"/>
    <n v="0"/>
    <n v="0"/>
    <n v="0"/>
  </r>
  <r>
    <s v="J4012"/>
    <x v="1"/>
    <d v="2025-05-15T00:00:00"/>
    <d v="2026-04-15T00:00:00"/>
    <m/>
    <d v="2029-09-04T00:00:00"/>
    <s v="ENTERGY ARKANSAS, LLC"/>
    <s v="Crittenden"/>
    <m/>
    <m/>
    <s v="AR"/>
    <s v="DPP-2025"/>
    <s v="South"/>
    <s v="Phase 1"/>
    <s v="NRIS"/>
    <s v="TWIST - PARKIN 161.0kV"/>
    <n v="300"/>
    <n v="300"/>
    <x v="5"/>
    <s v="Solar/Battery"/>
    <m/>
    <m/>
    <n v="0"/>
    <n v="0"/>
    <n v="0"/>
    <n v="0"/>
  </r>
  <r>
    <s v="J4014"/>
    <x v="3"/>
    <d v="2025-05-21T00:00:00"/>
    <m/>
    <m/>
    <d v="2030-05-01T00:00:00"/>
    <s v="AMERICAN TRANSMISSION COMPANY"/>
    <s v="Calumet"/>
    <m/>
    <m/>
    <s v="WI"/>
    <s v="DPP-2025"/>
    <s v="East (ATC)"/>
    <s v="Phase 1"/>
    <s v="NRIS"/>
    <s v="Forest Junction"/>
    <n v="650"/>
    <n v="650"/>
    <x v="3"/>
    <s v="Combustion Turbine (Simple Cycle)"/>
    <m/>
    <m/>
    <n v="650"/>
    <n v="650"/>
    <n v="0"/>
    <n v="0"/>
  </r>
  <r>
    <s v="J4015"/>
    <x v="1"/>
    <d v="2025-05-09T00:00:00"/>
    <d v="2026-01-02T00:00:00"/>
    <m/>
    <d v="2030-05-01T00:00:00"/>
    <s v="AMEREN ILLINOIS"/>
    <s v="Mason"/>
    <m/>
    <m/>
    <s v="IL"/>
    <s v="DPP-2025"/>
    <s v="Central"/>
    <s v="Phase 1"/>
    <s v="NRIS"/>
    <s v="Quiver"/>
    <n v="136"/>
    <n v="136"/>
    <x v="0"/>
    <s v="Photovoltaic"/>
    <m/>
    <m/>
    <n v="0"/>
    <n v="0"/>
    <n v="0"/>
    <n v="0"/>
  </r>
  <r>
    <s v="J4016"/>
    <x v="2"/>
    <d v="2025-05-20T00:00:00"/>
    <m/>
    <m/>
    <d v="2029-12-30T00:00:00"/>
    <s v="ITC"/>
    <s v="Tuscola"/>
    <m/>
    <m/>
    <s v="MI"/>
    <s v="DPP-2026"/>
    <s v="East (ITC)"/>
    <m/>
    <s v="NRIS"/>
    <s v="ATLANTA - THETFORD [KARN] 138.0kV"/>
    <n v="300"/>
    <n v="300"/>
    <x v="2"/>
    <s v="Battery Storage"/>
    <m/>
    <m/>
    <n v="0"/>
    <n v="0"/>
    <n v="0"/>
    <n v="0"/>
  </r>
  <r>
    <s v="J4017"/>
    <x v="2"/>
    <d v="2025-05-15T00:00:00"/>
    <m/>
    <m/>
    <d v="2030-05-01T00:00:00"/>
    <s v="NORTHERN STATES POWER COMPANY"/>
    <s v="Blue Earth"/>
    <m/>
    <m/>
    <s v="MN"/>
    <s v="DPP-2025"/>
    <s v="West"/>
    <s v="Phase 1"/>
    <s v="NRIS"/>
    <s v="Wilmarth - Fieldon 345.0kV"/>
    <n v="299"/>
    <n v="299"/>
    <x v="0"/>
    <s v="Photovoltaic"/>
    <m/>
    <m/>
    <n v="250"/>
    <n v="250"/>
    <n v="0"/>
    <n v="0"/>
  </r>
  <r>
    <s v="J4018"/>
    <x v="2"/>
    <d v="2025-05-02T00:00:00"/>
    <m/>
    <m/>
    <d v="2029-06-01T00:00:00"/>
    <s v="AMEREN ILLINOIS"/>
    <s v="Ford"/>
    <m/>
    <m/>
    <s v="IL"/>
    <s v="DPP-2025"/>
    <s v="Central"/>
    <s v="Phase 1"/>
    <s v="NRIS"/>
    <s v="Other_"/>
    <n v="250"/>
    <n v="250"/>
    <x v="1"/>
    <s v="Wind Turbine"/>
    <m/>
    <m/>
    <n v="250"/>
    <n v="250"/>
    <n v="0"/>
    <n v="0"/>
  </r>
  <r>
    <s v="J4019"/>
    <x v="2"/>
    <d v="2025-05-07T00:00:00"/>
    <m/>
    <m/>
    <d v="2030-07-01T00:00:00"/>
    <s v="METC"/>
    <s v="Calhoun"/>
    <m/>
    <m/>
    <s v="MI"/>
    <s v="DPP-2026"/>
    <s v="East (ITC)"/>
    <m/>
    <s v="NRIS"/>
    <s v="BATTLE CREEK - ONEIDA 345.0kV"/>
    <n v="200"/>
    <n v="200"/>
    <x v="2"/>
    <s v="Battery Storage"/>
    <m/>
    <m/>
    <n v="0"/>
    <n v="0"/>
    <n v="0"/>
    <n v="0"/>
  </r>
  <r>
    <s v="J4020"/>
    <x v="1"/>
    <d v="2025-05-12T00:00:00"/>
    <d v="2025-09-11T00:00:00"/>
    <m/>
    <d v="2030-05-01T00:00:00"/>
    <s v="AMERICAN TRANSMISSION COMPANY"/>
    <s v="Kenosha"/>
    <m/>
    <m/>
    <s v="WI"/>
    <s v="DPP-2025"/>
    <s v="East (ATC)"/>
    <s v="Phase 1"/>
    <s v="NRIS"/>
    <s v="Pleasant Prairie - Arcadian 345.0kV"/>
    <n v="481"/>
    <n v="481"/>
    <x v="3"/>
    <s v="Combustion Turbine (Simple Cycle)"/>
    <m/>
    <m/>
    <n v="0"/>
    <n v="0"/>
    <n v="0"/>
    <n v="0"/>
  </r>
  <r>
    <s v="J4021"/>
    <x v="2"/>
    <d v="2025-05-27T00:00:00"/>
    <m/>
    <m/>
    <d v="2028-12-31T00:00:00"/>
    <s v="INDIANAPOLIS POWER &amp; LIGHT COMPANY"/>
    <s v="Sullivan"/>
    <m/>
    <m/>
    <s v="IN"/>
    <s v="DPP-2026"/>
    <s v="Central"/>
    <m/>
    <s v="NRIS"/>
    <s v="Petersburg - Sullivan (AEP/PJM) 345.0kV"/>
    <n v="470"/>
    <n v="470"/>
    <x v="3"/>
    <s v="Combustion Turbine (Simple Cycle)"/>
    <m/>
    <m/>
    <n v="0"/>
    <n v="0"/>
    <n v="0"/>
    <n v="0"/>
  </r>
  <r>
    <s v="J4022"/>
    <x v="1"/>
    <d v="2025-05-22T00:00:00"/>
    <d v="2026-01-05T00:00:00"/>
    <m/>
    <d v="2030-01-02T00:00:00"/>
    <s v="ENTERGY LOUISIANA, LLC"/>
    <s v="Ouachita"/>
    <m/>
    <m/>
    <s v="LA"/>
    <s v="DPP-2025"/>
    <s v="South"/>
    <s v="Phase 1"/>
    <s v="NRIS"/>
    <s v="STERLINGTON 500 SWYD"/>
    <n v="1509"/>
    <n v="1509"/>
    <x v="3"/>
    <s v="Combined Cycle"/>
    <m/>
    <m/>
    <n v="0"/>
    <n v="0"/>
    <n v="0"/>
    <n v="0"/>
  </r>
  <r>
    <s v="J4023"/>
    <x v="1"/>
    <d v="2025-02-03T00:00:00"/>
    <d v="2026-04-14T00:00:00"/>
    <m/>
    <d v="2029-06-01T00:00:00"/>
    <s v="DUKE ENERGY INDIANA, LLC"/>
    <s v="Clay"/>
    <m/>
    <m/>
    <s v="IN"/>
    <s v="DPP-2025"/>
    <s v="Central"/>
    <s v="Phase 1"/>
    <s v="NRIS"/>
    <s v="Wabash River  -  Staunton 230.0kV"/>
    <n v="185"/>
    <n v="185"/>
    <x v="0"/>
    <s v="Photovoltaic"/>
    <m/>
    <m/>
    <n v="0"/>
    <n v="0"/>
    <n v="0"/>
    <n v="0"/>
  </r>
  <r>
    <s v="J4024"/>
    <x v="2"/>
    <d v="2025-05-05T00:00:00"/>
    <m/>
    <m/>
    <d v="2030-09-30T00:00:00"/>
    <s v="ITC"/>
    <s v="Monroe"/>
    <m/>
    <m/>
    <s v="MI"/>
    <s v="DPP-2026"/>
    <s v="East (ITC)"/>
    <m/>
    <s v="NRIS"/>
    <s v="Other_"/>
    <n v="1499"/>
    <n v="1499"/>
    <x v="3"/>
    <s v="Combined Cycle"/>
    <m/>
    <m/>
    <n v="0"/>
    <n v="0"/>
    <n v="0"/>
    <n v="0"/>
  </r>
  <r>
    <s v="J4025"/>
    <x v="2"/>
    <d v="2025-05-05T00:00:00"/>
    <m/>
    <m/>
    <d v="2030-09-30T00:00:00"/>
    <s v="ITC"/>
    <s v="Monroe"/>
    <m/>
    <m/>
    <s v="MI"/>
    <s v="DPP-2026"/>
    <s v="East (ITC)"/>
    <m/>
    <s v="NRIS"/>
    <s v="Other_"/>
    <n v="1499"/>
    <n v="1499"/>
    <x v="3"/>
    <s v="Combined Cycle"/>
    <m/>
    <m/>
    <n v="0"/>
    <n v="0"/>
    <n v="0"/>
    <n v="0"/>
  </r>
  <r>
    <s v="J4026"/>
    <x v="2"/>
    <d v="2025-05-21T00:00:00"/>
    <m/>
    <m/>
    <d v="2029-01-01T00:00:00"/>
    <s v="ITC"/>
    <s v="Lenawee"/>
    <m/>
    <m/>
    <s v="MI"/>
    <s v="DPP-2026"/>
    <s v="East (ITC)"/>
    <m/>
    <s v="NRIS"/>
    <s v="BEECHER - KNOWLES 138.0kV"/>
    <n v="250"/>
    <n v="250"/>
    <x v="2"/>
    <s v="Battery Storage"/>
    <m/>
    <m/>
    <n v="0"/>
    <n v="0"/>
    <n v="0"/>
    <n v="0"/>
  </r>
  <r>
    <s v="J4027"/>
    <x v="1"/>
    <d v="2025-05-28T00:00:00"/>
    <d v="2026-01-07T00:00:00"/>
    <m/>
    <d v="2030-04-01T00:00:00"/>
    <s v="ENTERGY ARKANSAS, LLC"/>
    <s v="Clay"/>
    <m/>
    <m/>
    <s v="AR"/>
    <s v="DPP-2025"/>
    <s v="South"/>
    <s v="Phase 1"/>
    <s v="NRIS"/>
    <s v="AECC MCDOUGAL - TEXAS EASTERN STA 8 161.0kV"/>
    <n v="250"/>
    <n v="250"/>
    <x v="1"/>
    <s v="Wind Turbine"/>
    <m/>
    <m/>
    <n v="0"/>
    <n v="0"/>
    <n v="0"/>
    <n v="0"/>
  </r>
  <r>
    <s v="J4028"/>
    <x v="2"/>
    <d v="2025-05-01T00:00:00"/>
    <m/>
    <m/>
    <d v="2027-05-01T00:00:00"/>
    <s v="AMERICAN TRANSMISSION COMPANY"/>
    <s v="Walworth"/>
    <m/>
    <m/>
    <s v="WI"/>
    <s v="DPP-2025"/>
    <s v="East (ATC)"/>
    <s v="Phase 1"/>
    <s v="NRIS"/>
    <s v="North Creek 138kV"/>
    <n v="324"/>
    <n v="324"/>
    <x v="3"/>
    <s v="Combustion Turbine (Simple Cycle)"/>
    <m/>
    <m/>
    <n v="324"/>
    <n v="163"/>
    <n v="0"/>
    <n v="0"/>
  </r>
  <r>
    <s v="J4029"/>
    <x v="2"/>
    <d v="2025-06-03T00:00:00"/>
    <m/>
    <m/>
    <d v="2025-08-31T00:00:00"/>
    <s v="ENTERGY ARKANSAS INC. EAI"/>
    <s v="Mississippi"/>
    <m/>
    <m/>
    <s v="AR"/>
    <s v="DPP-2025"/>
    <s v="South"/>
    <s v="Phase 1"/>
    <s v="NRIS"/>
    <s v="Hybar 230kV"/>
    <n v="85"/>
    <n v="85"/>
    <x v="5"/>
    <s v="Solar/Battery"/>
    <m/>
    <m/>
    <n v="85"/>
    <n v="85"/>
    <n v="0"/>
    <n v="0"/>
  </r>
  <r>
    <s v="J4030"/>
    <x v="1"/>
    <d v="2025-05-29T00:00:00"/>
    <d v="2026-04-15T00:00:00"/>
    <m/>
    <d v="2029-10-01T00:00:00"/>
    <s v="ENTERGY ARKANSAS, LLC"/>
    <s v="Faulkner"/>
    <m/>
    <m/>
    <s v="AR"/>
    <s v="DPP-2025"/>
    <s v="South"/>
    <s v="Phase 1"/>
    <s v="NRIS"/>
    <s v="MAYFLOWER115KV"/>
    <n v="200"/>
    <n v="200"/>
    <x v="2"/>
    <s v="Battery Storage"/>
    <m/>
    <m/>
    <n v="0"/>
    <n v="0"/>
    <n v="0"/>
    <n v="0"/>
  </r>
  <r>
    <s v="J4031"/>
    <x v="2"/>
    <d v="2025-05-12T00:00:00"/>
    <m/>
    <m/>
    <d v="2030-01-31T00:00:00"/>
    <s v="AMEREN TRANSMISSION COMPANY OF ILLINOIS"/>
    <s v="Scott"/>
    <m/>
    <m/>
    <s v="IL"/>
    <s v="DPP-2025"/>
    <s v="Central"/>
    <s v="Phase 1"/>
    <s v="NRIS"/>
    <s v="7MEREDOSIA - 7TURNER 345.0kV"/>
    <n v="245"/>
    <n v="245"/>
    <x v="0"/>
    <s v="Photovoltaic"/>
    <m/>
    <m/>
    <n v="245"/>
    <n v="245"/>
    <n v="0"/>
    <n v="0"/>
  </r>
  <r>
    <s v="J4032"/>
    <x v="1"/>
    <d v="2025-05-30T00:00:00"/>
    <d v="2025-12-26T00:00:00"/>
    <m/>
    <d v="2030-12-01T00:00:00"/>
    <s v="NORTHERN STATES POWER COMPANY"/>
    <s v="Deuel"/>
    <m/>
    <m/>
    <s v="SD"/>
    <s v="DPP-2025"/>
    <s v="West"/>
    <s v="Phase 1"/>
    <s v="NRIS"/>
    <s v="Astoria - Brookings County 345.0kV"/>
    <n v="442"/>
    <n v="442"/>
    <x v="3"/>
    <s v="Combustion Turbine (Simple Cycle)"/>
    <m/>
    <m/>
    <n v="0"/>
    <n v="0"/>
    <n v="0"/>
    <n v="0"/>
  </r>
  <r>
    <s v="J4033"/>
    <x v="1"/>
    <d v="2025-06-13T00:00:00"/>
    <d v="2025-12-22T00:00:00"/>
    <m/>
    <d v="2030-01-30T00:00:00"/>
    <s v="AMEREN ILLINOIS"/>
    <s v="Christian"/>
    <m/>
    <m/>
    <s v="IL"/>
    <s v="DPP-2026"/>
    <s v="Central"/>
    <m/>
    <s v="NRIS"/>
    <s v="7LATHAM - KINCAID  ; B 345.0kV"/>
    <n v="156.80000000000001"/>
    <n v="156.80000000000001"/>
    <x v="0"/>
    <s v="Photovoltaic"/>
    <m/>
    <m/>
    <n v="0"/>
    <n v="0"/>
    <n v="0"/>
    <n v="0"/>
  </r>
  <r>
    <s v="J4034"/>
    <x v="2"/>
    <d v="2025-06-13T00:00:00"/>
    <m/>
    <m/>
    <d v="2030-06-01T00:00:00"/>
    <s v="DUKE ENERGY INDIANA, LLC CIN"/>
    <s v="Vigo"/>
    <m/>
    <m/>
    <s v="IN"/>
    <s v="DPP-2026"/>
    <s v="Central"/>
    <m/>
    <s v="NRIS"/>
    <s v="Sandford 345 kV"/>
    <n v="70"/>
    <n v="70"/>
    <x v="0"/>
    <s v="Photovoltaic"/>
    <m/>
    <m/>
    <n v="0"/>
    <n v="0"/>
    <n v="0"/>
    <n v="0"/>
  </r>
  <r>
    <s v="J4035"/>
    <x v="1"/>
    <d v="2025-06-09T00:00:00"/>
    <d v="2026-01-05T00:00:00"/>
    <m/>
    <d v="2029-09-01T00:00:00"/>
    <s v="ENTERGY ARKANSAS, LLC"/>
    <s v="Greene"/>
    <m/>
    <m/>
    <s v="AR"/>
    <s v="DPP-2025"/>
    <s v="South"/>
    <s v="Phase 1"/>
    <s v="NRIS"/>
    <s v="SEDGEWICK SS - AECC LIGHT 115.0kV"/>
    <n v="113"/>
    <n v="113"/>
    <x v="0"/>
    <s v="Photovoltaic"/>
    <m/>
    <m/>
    <n v="0"/>
    <n v="0"/>
    <n v="0"/>
    <n v="0"/>
  </r>
  <r>
    <s v="J4036"/>
    <x v="1"/>
    <d v="2025-07-01T00:00:00"/>
    <d v="2025-12-31T00:00:00"/>
    <m/>
    <d v="2029-09-06T00:00:00"/>
    <s v="ENTERGY ARKANSAS, LLC"/>
    <s v="Cross"/>
    <m/>
    <m/>
    <s v="AR"/>
    <s v="DPP-2025"/>
    <s v="South"/>
    <s v="Phase 1"/>
    <s v="NRIS"/>
    <s v="WYNNE INDUSTRIAL"/>
    <n v="160"/>
    <n v="160"/>
    <x v="0"/>
    <s v="Photovoltaic"/>
    <m/>
    <m/>
    <n v="0"/>
    <n v="0"/>
    <n v="0"/>
    <n v="0"/>
  </r>
  <r>
    <s v="J4037"/>
    <x v="1"/>
    <d v="2025-06-30T00:00:00"/>
    <d v="2026-04-15T00:00:00"/>
    <m/>
    <d v="2030-10-01T00:00:00"/>
    <s v="MIDAMERICAN ENERGY CO."/>
    <s v="Franklin"/>
    <m/>
    <m/>
    <s v="IA"/>
    <s v="DPP-2025"/>
    <s v="West"/>
    <s v="Phase 1"/>
    <s v="NRIS"/>
    <s v="FRANKLIN - WALL LAKE 161.0kV"/>
    <n v="100"/>
    <n v="100"/>
    <x v="0"/>
    <s v="Photovoltaic"/>
    <m/>
    <m/>
    <n v="0"/>
    <n v="0"/>
    <n v="0"/>
    <n v="0"/>
  </r>
  <r>
    <s v="J4038"/>
    <x v="2"/>
    <d v="2025-06-18T00:00:00"/>
    <m/>
    <m/>
    <d v="2030-01-01T00:00:00"/>
    <s v="ENTERGY ARKANSAS, LLC EATO"/>
    <s v="St. Francis"/>
    <m/>
    <m/>
    <s v="AR"/>
    <s v="DPP-2025"/>
    <s v="South"/>
    <s v="Phase 1"/>
    <s v="NRIS"/>
    <s v="BRINKLEY EAST - AECC PALESTINE 161.0kV"/>
    <n v="80"/>
    <n v="80"/>
    <x v="5"/>
    <s v="Solar/Battery"/>
    <m/>
    <m/>
    <n v="80"/>
    <n v="80"/>
    <n v="0"/>
    <n v="0"/>
  </r>
  <r>
    <s v="J4039"/>
    <x v="1"/>
    <d v="2025-06-13T00:00:00"/>
    <d v="2026-07-22T00:00:00"/>
    <m/>
    <d v="2030-06-01T00:00:00"/>
    <s v="DUKE ENERGY INDIANA, LLC"/>
    <s v="Montgomery"/>
    <m/>
    <m/>
    <s v="IN"/>
    <s v="DPP-2026"/>
    <s v="Central"/>
    <m/>
    <s v="NRIS"/>
    <s v="Cayuga  -  Frankfort  230.0kV"/>
    <n v="200"/>
    <n v="200"/>
    <x v="0"/>
    <s v="Photovoltaic"/>
    <m/>
    <m/>
    <n v="0"/>
    <n v="0"/>
    <n v="0"/>
    <n v="0"/>
  </r>
  <r>
    <s v="J4040"/>
    <x v="2"/>
    <d v="2025-07-25T00:00:00"/>
    <m/>
    <m/>
    <d v="2029-10-01T00:00:00"/>
    <s v="METC"/>
    <s v="Van Buren"/>
    <m/>
    <m/>
    <s v="MI"/>
    <s v="DPP-2026"/>
    <s v="East (ITC)"/>
    <m/>
    <s v="NRIS"/>
    <s v="Palisades Switchyard"/>
    <n v="735"/>
    <n v="735"/>
    <x v="11"/>
    <s v="Nuclear"/>
    <m/>
    <m/>
    <n v="0"/>
    <n v="0"/>
    <n v="0"/>
    <n v="0"/>
  </r>
  <r>
    <s v="J4041"/>
    <x v="2"/>
    <d v="2025-06-12T00:00:00"/>
    <m/>
    <m/>
    <d v="2030-11-01T00:00:00"/>
    <m/>
    <s v="Menard"/>
    <m/>
    <m/>
    <s v="IL"/>
    <s v="DPP-2026"/>
    <s v="Central"/>
    <m/>
    <s v="NRIS"/>
    <s v="Shockey"/>
    <n v="220"/>
    <n v="220"/>
    <x v="0"/>
    <s v="Photovoltaic"/>
    <m/>
    <m/>
    <n v="0"/>
    <n v="0"/>
    <n v="0"/>
    <n v="0"/>
  </r>
  <r>
    <s v="J4043"/>
    <x v="2"/>
    <d v="2025-08-13T00:00:00"/>
    <m/>
    <m/>
    <d v="2028-04-01T00:00:00"/>
    <s v="METC"/>
    <s v="Eaton"/>
    <m/>
    <m/>
    <s v="MI"/>
    <s v="DPP-2026"/>
    <s v="East (ITC)"/>
    <m/>
    <s v="NRIS"/>
    <s v="Oneida"/>
    <n v="178"/>
    <n v="178"/>
    <x v="0"/>
    <s v="Photovoltaic"/>
    <m/>
    <m/>
    <n v="0"/>
    <n v="0"/>
    <n v="0"/>
    <n v="0"/>
  </r>
  <r>
    <s v="J4044"/>
    <x v="2"/>
    <d v="2025-08-13T00:00:00"/>
    <m/>
    <m/>
    <d v="2028-04-01T00:00:00"/>
    <s v="METC"/>
    <s v="Lenawee"/>
    <m/>
    <m/>
    <s v="MI"/>
    <s v="DPP-2026"/>
    <s v="East (ITC)"/>
    <m/>
    <s v="NRIS"/>
    <s v="BEECHER - SEEMLESS EAST 138.0kV"/>
    <n v="190"/>
    <n v="190"/>
    <x v="0"/>
    <s v="Photovoltaic"/>
    <m/>
    <m/>
    <n v="0"/>
    <n v="0"/>
    <n v="0"/>
    <n v="0"/>
  </r>
  <r>
    <s v="J4046"/>
    <x v="1"/>
    <d v="2025-07-17T00:00:00"/>
    <d v="2026-04-16T00:00:00"/>
    <m/>
    <d v="2030-01-01T00:00:00"/>
    <s v="ENTERGY MISSISSIPPI, LLC."/>
    <s v="Attala"/>
    <m/>
    <m/>
    <s v="MS"/>
    <s v="DPP-2025"/>
    <s v="South"/>
    <s v="Phase 1"/>
    <s v="NRIS"/>
    <s v="CONEHOMA CREEK - CARTHAGE (MS) 115.0kV"/>
    <n v="100"/>
    <n v="100"/>
    <x v="0"/>
    <s v="Photovoltaic"/>
    <m/>
    <m/>
    <n v="0"/>
    <n v="0"/>
    <n v="0"/>
    <n v="0"/>
  </r>
  <r>
    <s v="J4047"/>
    <x v="2"/>
    <d v="2025-08-13T00:00:00"/>
    <m/>
    <m/>
    <d v="2028-04-01T00:00:00"/>
    <s v="METC"/>
    <s v="Tuscola"/>
    <m/>
    <m/>
    <s v="MI"/>
    <s v="DPP-2026"/>
    <s v="East (ITC)"/>
    <m/>
    <s v="NRIS"/>
    <s v="KARN - THETFORD (ATLANTA) 138.0kV"/>
    <n v="160"/>
    <n v="160"/>
    <x v="0"/>
    <s v="Photovoltaic"/>
    <m/>
    <m/>
    <n v="0"/>
    <n v="0"/>
    <n v="0"/>
    <n v="0"/>
  </r>
  <r>
    <s v="J4048"/>
    <x v="2"/>
    <d v="2025-08-19T00:00:00"/>
    <m/>
    <m/>
    <d v="2028-04-01T00:00:00"/>
    <s v="METC"/>
    <s v="Oceana"/>
    <m/>
    <m/>
    <s v="MI"/>
    <s v="DPP-2026"/>
    <s v="East (ITC)"/>
    <m/>
    <s v="NRIS"/>
    <s v="MEYER - LUDINGTON 345.0kV"/>
    <n v="110"/>
    <n v="110"/>
    <x v="0"/>
    <s v="Photovoltaic"/>
    <m/>
    <m/>
    <n v="0"/>
    <n v="0"/>
    <n v="0"/>
    <n v="0"/>
  </r>
  <r>
    <s v="J4049"/>
    <x v="1"/>
    <d v="2025-08-28T00:00:00"/>
    <d v="2026-04-17T00:00:00"/>
    <m/>
    <d v="2029-06-01T00:00:00"/>
    <s v="ENTERGY LOUISIANA, LLC"/>
    <s v="Ouachita"/>
    <m/>
    <m/>
    <s v="LA"/>
    <s v="DPP-2025"/>
    <s v="South"/>
    <s v="Phase 1"/>
    <s v="NRIS"/>
    <s v="RILLA"/>
    <n v="75"/>
    <n v="75"/>
    <x v="0"/>
    <s v="Photovoltaic"/>
    <m/>
    <m/>
    <n v="0"/>
    <n v="0"/>
    <n v="0"/>
    <n v="0"/>
  </r>
  <r>
    <s v="J4050"/>
    <x v="4"/>
    <d v="2025-09-02T00:00:00"/>
    <m/>
    <m/>
    <d v="2030-06-01T00:00:00"/>
    <s v="ENTERGY LOUISIANA, LLC"/>
    <s v="Jefferson Davis"/>
    <m/>
    <m/>
    <s v="LA"/>
    <s v="DPP-2025"/>
    <s v="South"/>
    <s v="Phase 1"/>
    <s v="NRIS"/>
    <s v="NELSON 500 SWYD - RICHARD 500.0kV"/>
    <n v="220"/>
    <n v="220"/>
    <x v="0"/>
    <s v="Photovoltaic"/>
    <m/>
    <m/>
    <n v="220"/>
    <n v="0"/>
    <n v="0"/>
    <n v="0"/>
  </r>
  <r>
    <s v="J4051"/>
    <x v="4"/>
    <d v="2025-09-02T00:00:00"/>
    <m/>
    <m/>
    <d v="2030-06-01T00:00:00"/>
    <s v="ENTERGY LOUISIANA, LLC"/>
    <s v="Jefferson Davis"/>
    <m/>
    <m/>
    <s v="LA"/>
    <s v="DPP-2025"/>
    <s v="South"/>
    <s v="Phase 1"/>
    <s v="NRIS"/>
    <s v="NELSON 500 SWYD - RICHARD 500.0kV"/>
    <n v="220"/>
    <n v="220"/>
    <x v="0"/>
    <s v="Photovoltaic"/>
    <m/>
    <m/>
    <n v="220"/>
    <n v="0"/>
    <n v="0"/>
    <n v="0"/>
  </r>
  <r>
    <s v="J4052"/>
    <x v="1"/>
    <d v="2025-09-02T00:00:00"/>
    <d v="2026-04-17T00:00:00"/>
    <m/>
    <d v="2030-06-01T00:00:00"/>
    <s v="ENTERGY LOUISIANA, LLC"/>
    <s v="Jefferson Davis"/>
    <m/>
    <m/>
    <s v="LA"/>
    <s v="DPP-2025"/>
    <s v="South"/>
    <s v="Phase 1"/>
    <s v="NRIS"/>
    <s v="NELSON 500 SWYD - RICHARD 500.0kV"/>
    <n v="100"/>
    <n v="100"/>
    <x v="2"/>
    <s v="Battery Storage"/>
    <m/>
    <m/>
    <n v="0"/>
    <n v="0"/>
    <n v="0"/>
    <n v="0"/>
  </r>
  <r>
    <s v="J4053"/>
    <x v="2"/>
    <d v="2025-07-28T00:00:00"/>
    <m/>
    <m/>
    <d v="2028-06-01T00:00:00"/>
    <s v="METC"/>
    <s v="Grand Traverse"/>
    <m/>
    <m/>
    <s v="MI"/>
    <s v="DPP-2026"/>
    <s v="East (ITC)"/>
    <m/>
    <s v="NRIS"/>
    <s v="KEYSTONE - WEXFORD 138.0kV"/>
    <n v="200"/>
    <n v="200"/>
    <x v="2"/>
    <s v="Battery Storage"/>
    <m/>
    <m/>
    <n v="0"/>
    <n v="0"/>
    <n v="0"/>
    <n v="0"/>
  </r>
  <r>
    <s v="J4054"/>
    <x v="2"/>
    <d v="2025-09-18T00:00:00"/>
    <m/>
    <m/>
    <d v="2030-10-30T00:00:00"/>
    <s v="METC"/>
    <s v="Saginaw"/>
    <m/>
    <m/>
    <s v="MI"/>
    <s v="DPP-2026"/>
    <s v="East (ITC)"/>
    <m/>
    <s v="NRIS"/>
    <s v="CLAREMONT - LAYTON 138.0kV"/>
    <n v="146"/>
    <n v="146"/>
    <x v="1"/>
    <s v="Wind Turbine"/>
    <m/>
    <m/>
    <n v="0"/>
    <n v="0"/>
    <n v="0"/>
    <n v="0"/>
  </r>
  <r>
    <s v="J4055"/>
    <x v="2"/>
    <d v="2025-08-29T00:00:00"/>
    <m/>
    <m/>
    <d v="2027-09-01T00:00:00"/>
    <s v="ITC"/>
    <s v="Ionia"/>
    <m/>
    <m/>
    <s v="MI"/>
    <s v="DPP-2026"/>
    <s v="East (ITC)"/>
    <m/>
    <s v="NRIS-Only"/>
    <s v="Peddler"/>
    <n v="198"/>
    <n v="198"/>
    <x v="1"/>
    <s v="Wind Turbine"/>
    <m/>
    <m/>
    <n v="0"/>
    <n v="0"/>
    <n v="0"/>
    <n v="0"/>
  </r>
  <r>
    <s v="J4056"/>
    <x v="2"/>
    <d v="2025-08-27T00:00:00"/>
    <m/>
    <m/>
    <d v="2030-08-01T00:00:00"/>
    <s v="THE MUNICIPAL ELECTRIC UTILITY OF THE CITY OF CEDAR FALLS, IOWA"/>
    <s v="Marshall"/>
    <m/>
    <m/>
    <s v="IA"/>
    <s v="DPP-2025"/>
    <s v="West"/>
    <s v="Phase 1"/>
    <s v="NRIS"/>
    <s v="Lehigh - Marshalltown (Twinkle) 345kV"/>
    <n v="310"/>
    <n v="310"/>
    <x v="1"/>
    <s v="Wind Turbine"/>
    <m/>
    <m/>
    <n v="310"/>
    <n v="310"/>
    <n v="0"/>
    <n v="0"/>
  </r>
  <r>
    <s v="J4057"/>
    <x v="1"/>
    <d v="2025-08-22T00:00:00"/>
    <d v="2026-04-15T00:00:00"/>
    <m/>
    <d v="2030-05-30T00:00:00"/>
    <s v="NORTHERN STATES POWER COMPANY"/>
    <s v="Mower"/>
    <m/>
    <m/>
    <s v="MN"/>
    <s v="DPP-2025"/>
    <s v="West"/>
    <s v="Phase 1"/>
    <s v="NRIS"/>
    <s v="YANKEE"/>
    <n v="127.4"/>
    <n v="127.4"/>
    <x v="0"/>
    <s v="Photovoltaic"/>
    <m/>
    <m/>
    <n v="0"/>
    <n v="0"/>
    <n v="0"/>
    <n v="0"/>
  </r>
  <r>
    <s v="J4058"/>
    <x v="2"/>
    <d v="2025-08-22T00:00:00"/>
    <m/>
    <m/>
    <d v="2028-06-01T00:00:00"/>
    <s v="ITC"/>
    <s v="Huron"/>
    <m/>
    <m/>
    <s v="MI"/>
    <s v="DPP-2026"/>
    <s v="East (ITC)"/>
    <m/>
    <s v="NRIS"/>
    <s v="WYATT"/>
    <n v="250"/>
    <n v="250"/>
    <x v="2"/>
    <s v="Battery Storage"/>
    <m/>
    <m/>
    <n v="0"/>
    <n v="0"/>
    <n v="0"/>
    <n v="0"/>
  </r>
  <r>
    <s v="J4059"/>
    <x v="2"/>
    <d v="2025-08-20T00:00:00"/>
    <m/>
    <m/>
    <d v="2030-12-01T00:00:00"/>
    <s v="NORTHERN STATES POWER COMPANY"/>
    <s v="McLeod"/>
    <m/>
    <m/>
    <s v="MN"/>
    <s v="DPP-2025"/>
    <s v="West"/>
    <s v="Phase 1"/>
    <s v="NRIS"/>
    <s v="Blue Lake - MCLEOD (GRE) 230.0kV"/>
    <n v="129"/>
    <n v="129"/>
    <x v="0"/>
    <s v="Photovoltaic"/>
    <m/>
    <m/>
    <n v="129"/>
    <n v="129"/>
    <n v="0"/>
    <n v="0"/>
  </r>
  <r>
    <s v="J4060"/>
    <x v="1"/>
    <d v="2025-08-20T00:00:00"/>
    <d v="2026-01-02T00:00:00"/>
    <m/>
    <d v="2030-12-01T00:00:00"/>
    <s v="NORTHERN STATES POWER COMPANY"/>
    <s v="McLeod"/>
    <m/>
    <m/>
    <s v="MN"/>
    <s v="DPP-2025"/>
    <s v="West"/>
    <s v="Phase 1"/>
    <s v="NRIS"/>
    <s v="Blue Lake - MCLEOD (GRE) 230.0kV"/>
    <n v="129"/>
    <n v="129"/>
    <x v="2"/>
    <s v="Battery Storage"/>
    <m/>
    <m/>
    <n v="0"/>
    <n v="0"/>
    <n v="0"/>
    <n v="0"/>
  </r>
  <r>
    <s v="J4061"/>
    <x v="2"/>
    <d v="2025-08-07T00:00:00"/>
    <m/>
    <m/>
    <d v="2028-11-01T00:00:00"/>
    <s v="ITC"/>
    <s v="Lenawee"/>
    <m/>
    <m/>
    <s v="MI"/>
    <s v="DPP-2026"/>
    <s v="East (ITC)"/>
    <m/>
    <s v="NRIS"/>
    <s v="KNOWLES - MOORE ROAD 138.0kV"/>
    <n v="150"/>
    <n v="150"/>
    <x v="0"/>
    <s v="Photovoltaic"/>
    <m/>
    <m/>
    <n v="0"/>
    <n v="0"/>
    <n v="0"/>
    <n v="0"/>
  </r>
  <r>
    <s v="J4062"/>
    <x v="1"/>
    <d v="2025-06-17T00:00:00"/>
    <d v="2026-07-13T00:00:00"/>
    <m/>
    <d v="2025-05-12T00:00:00"/>
    <s v="ENTERGY TEXAS, INC."/>
    <s v="Jefferson"/>
    <m/>
    <m/>
    <s v="TX"/>
    <s v="0MW GIA"/>
    <s v="NA"/>
    <m/>
    <s v="ERIS"/>
    <s v="Rhodair"/>
    <n v="0"/>
    <n v="0"/>
    <x v="7"/>
    <s v="Co-gen"/>
    <m/>
    <m/>
    <n v="0"/>
    <n v="0"/>
    <n v="0"/>
    <n v="0"/>
  </r>
  <r>
    <s v="J4063"/>
    <x v="2"/>
    <d v="2025-09-04T00:00:00"/>
    <m/>
    <m/>
    <d v="2030-08-01T00:00:00"/>
    <s v="DUKE ENERGY INDIANA, LLC CIN"/>
    <s v="Knox"/>
    <m/>
    <m/>
    <s v="IN"/>
    <s v="DPP-2026"/>
    <s v="Central"/>
    <m/>
    <s v="NRIS"/>
    <s v="Gibson Sta - Bedford 345 345.0kV"/>
    <n v="300"/>
    <n v="300"/>
    <x v="1"/>
    <s v="Wind Turbine"/>
    <m/>
    <m/>
    <n v="0"/>
    <n v="0"/>
    <n v="0"/>
    <n v="0"/>
  </r>
  <r>
    <s v="J4064"/>
    <x v="1"/>
    <d v="2025-09-04T00:00:00"/>
    <d v="2025-12-22T00:00:00"/>
    <m/>
    <d v="2030-10-01T00:00:00"/>
    <s v="ENTERGY MISSISSIPPI, LLC."/>
    <s v="Tallahatchie"/>
    <m/>
    <m/>
    <s v="MS"/>
    <s v="DPP-2025"/>
    <s v="South"/>
    <s v="Phase 1"/>
    <s v="NRIS"/>
    <s v="WEBB"/>
    <n v="200"/>
    <n v="200"/>
    <x v="1"/>
    <s v="Wind Turbine"/>
    <m/>
    <m/>
    <n v="0"/>
    <n v="0"/>
    <n v="0"/>
    <n v="0"/>
  </r>
  <r>
    <s v="J4065"/>
    <x v="2"/>
    <d v="2025-09-22T00:00:00"/>
    <m/>
    <m/>
    <d v="2030-06-28T00:00:00"/>
    <s v="GREAT RIVER ENERGY"/>
    <s v="Dakota"/>
    <m/>
    <m/>
    <s v="MN"/>
    <s v="DPP-2025"/>
    <s v="West"/>
    <s v="Phase 1"/>
    <s v="NRIS"/>
    <s v="Nininger 115 kV"/>
    <n v="200"/>
    <n v="200"/>
    <x v="2"/>
    <s v="Battery Storage"/>
    <m/>
    <m/>
    <n v="200"/>
    <n v="200"/>
    <n v="0"/>
    <n v="0"/>
  </r>
  <r>
    <s v="J4066"/>
    <x v="1"/>
    <d v="2025-09-24T00:00:00"/>
    <d v="2026-02-19T00:00:00"/>
    <m/>
    <d v="2030-01-06T00:00:00"/>
    <s v="ITC"/>
    <s v="Isabella"/>
    <m/>
    <m/>
    <s v="MI"/>
    <s v="DPP-2026"/>
    <s v="East (ITC)"/>
    <m/>
    <s v="ERIS"/>
    <s v="Weidman - Deerfield 69.0kV"/>
    <n v="250"/>
    <n v="250"/>
    <x v="0"/>
    <s v="Photovoltaic"/>
    <m/>
    <m/>
    <n v="0"/>
    <n v="0"/>
    <n v="0"/>
    <n v="0"/>
  </r>
  <r>
    <s v="J4067"/>
    <x v="1"/>
    <d v="2025-09-25T00:00:00"/>
    <d v="2026-01-02T00:00:00"/>
    <m/>
    <d v="2029-02-01T00:00:00"/>
    <s v="ENTERGY MISSISSIPPI, LLC."/>
    <s v="Panola"/>
    <m/>
    <m/>
    <s v="MS"/>
    <s v="DPP-2025"/>
    <s v="South"/>
    <s v="Phase 1"/>
    <s v="NRIS"/>
    <s v="Batesville"/>
    <n v="180"/>
    <n v="180"/>
    <x v="2"/>
    <s v="Battery Storage"/>
    <m/>
    <m/>
    <n v="0"/>
    <n v="0"/>
    <n v="0"/>
    <n v="0"/>
  </r>
  <r>
    <s v="J4068"/>
    <x v="2"/>
    <d v="2025-10-03T00:00:00"/>
    <m/>
    <m/>
    <d v="2030-08-01T00:00:00"/>
    <s v="MIDAMERICAN ENERGY CO."/>
    <s v="Marshall"/>
    <m/>
    <m/>
    <s v="IA"/>
    <s v="DPP-2025"/>
    <s v="West"/>
    <s v="Phase 1"/>
    <s v="NRIS"/>
    <s v="Lehigh - Marshalltown (Twinkle) 345kV"/>
    <n v="232"/>
    <n v="232"/>
    <x v="1"/>
    <s v="Wind Turbine"/>
    <m/>
    <m/>
    <n v="232"/>
    <n v="232"/>
    <n v="0"/>
    <n v="0"/>
  </r>
  <r>
    <s v="J4069"/>
    <x v="2"/>
    <d v="2025-10-03T00:00:00"/>
    <m/>
    <m/>
    <d v="2030-01-31T00:00:00"/>
    <s v="AMERICAN TRANSMISSION COMPANY"/>
    <s v="Marathon"/>
    <m/>
    <m/>
    <s v="WI"/>
    <s v="DPP-2025"/>
    <s v="East (ATC)"/>
    <s v="Phase 1"/>
    <s v="NRIS"/>
    <s v="Kelly - Ackley 115.0kV"/>
    <n v="169.93"/>
    <n v="169.93"/>
    <x v="0"/>
    <s v="Photovoltaic"/>
    <m/>
    <m/>
    <n v="169.93"/>
    <n v="169.93"/>
    <n v="0"/>
    <n v="0"/>
  </r>
  <r>
    <s v="J4070"/>
    <x v="2"/>
    <d v="2025-10-07T00:00:00"/>
    <m/>
    <m/>
    <d v="2030-06-28T00:00:00"/>
    <s v="MONTANA-DAKOTA UTILITIES CO."/>
    <s v="Emmons"/>
    <m/>
    <m/>
    <s v="ND"/>
    <s v="DPP-2026"/>
    <s v="West"/>
    <m/>
    <s v="NRIS"/>
    <s v="Linton NW"/>
    <n v="40"/>
    <n v="40"/>
    <x v="0"/>
    <s v="Photovoltaic"/>
    <m/>
    <m/>
    <n v="0"/>
    <n v="0"/>
    <n v="0"/>
    <n v="0"/>
  </r>
  <r>
    <s v="J4071"/>
    <x v="1"/>
    <d v="2025-10-07T00:00:00"/>
    <d v="2026-01-20T00:00:00"/>
    <m/>
    <d v="2030-06-30T00:00:00"/>
    <s v="ENTERGY LOUISIANA, LLC"/>
    <s v="Livingston"/>
    <m/>
    <m/>
    <s v="LA"/>
    <s v="DPP-2026"/>
    <s v="South"/>
    <m/>
    <s v="NRIS"/>
    <s v="COLY"/>
    <n v="1500"/>
    <n v="1500"/>
    <x v="3"/>
    <s v="Combined Cycle"/>
    <m/>
    <m/>
    <n v="0"/>
    <n v="0"/>
    <n v="0"/>
    <n v="0"/>
  </r>
  <r>
    <s v="J4072"/>
    <x v="2"/>
    <d v="2025-10-06T00:00:00"/>
    <m/>
    <m/>
    <d v="2030-09-30T00:00:00"/>
    <s v="MINNESOTA MUNICIPAL POWER AGENCY M2PA"/>
    <s v="Redwood"/>
    <m/>
    <m/>
    <s v="MN"/>
    <s v="DPP-2026"/>
    <s v="West"/>
    <m/>
    <s v="NRIS"/>
    <s v="Cedar Mountain - Lyon County 345.0kV"/>
    <n v="500"/>
    <n v="500"/>
    <x v="2"/>
    <s v="Battery Storage"/>
    <m/>
    <m/>
    <n v="0"/>
    <n v="0"/>
    <n v="0"/>
    <n v="0"/>
  </r>
  <r>
    <s v="J4073"/>
    <x v="1"/>
    <d v="2025-09-29T00:00:00"/>
    <d v="2026-04-15T00:00:00"/>
    <m/>
    <d v="2029-06-30T00:00:00"/>
    <s v="ENTERGY MISSISSIPPI, LLC."/>
    <s v="Coahoma"/>
    <m/>
    <m/>
    <s v="MS"/>
    <s v="DPP-2025"/>
    <s v="South"/>
    <s v="Phase 1"/>
    <s v="NRIS"/>
    <s v="LULA - JONESTOWN SS 115.0kV"/>
    <n v="200"/>
    <n v="200"/>
    <x v="0"/>
    <s v="Photovoltaic"/>
    <m/>
    <m/>
    <n v="0"/>
    <n v="0"/>
    <n v="0"/>
    <n v="0"/>
  </r>
  <r>
    <s v="J4074"/>
    <x v="1"/>
    <d v="2025-09-29T00:00:00"/>
    <d v="2026-04-15T00:00:00"/>
    <m/>
    <d v="2029-06-30T00:00:00"/>
    <s v="ENTERGY ARKANSAS, LLC"/>
    <s v="Crittenden"/>
    <m/>
    <m/>
    <s v="AR"/>
    <s v="DPP-2025"/>
    <s v="South"/>
    <s v="Phase 1"/>
    <s v="NRIS"/>
    <s v="TWIST"/>
    <n v="300"/>
    <n v="300"/>
    <x v="0"/>
    <s v="Photovoltaic"/>
    <m/>
    <m/>
    <n v="0"/>
    <n v="0"/>
    <n v="0"/>
    <n v="0"/>
  </r>
  <r>
    <s v="J4075"/>
    <x v="1"/>
    <d v="2025-10-06T00:00:00"/>
    <d v="2026-04-15T00:00:00"/>
    <m/>
    <d v="2030-06-30T00:00:00"/>
    <s v="CLECO POWER LLC"/>
    <s v="St. Landry"/>
    <m/>
    <m/>
    <s v="LA"/>
    <s v="DPP-2025"/>
    <s v="South"/>
    <s v="Phase 1"/>
    <s v="NRIS"/>
    <s v="Ville Platte - West Fork 230.0kV"/>
    <n v="300"/>
    <n v="300"/>
    <x v="2"/>
    <s v="Battery Storage"/>
    <m/>
    <m/>
    <n v="0"/>
    <n v="0"/>
    <n v="0"/>
    <n v="0"/>
  </r>
  <r>
    <s v="J4076"/>
    <x v="1"/>
    <d v="2025-10-06T00:00:00"/>
    <d v="2026-04-15T00:00:00"/>
    <m/>
    <d v="2030-06-30T00:00:00"/>
    <s v="ENTERGY LOUISIANA, LLC"/>
    <s v="Jefferson Davis"/>
    <m/>
    <m/>
    <s v="LA"/>
    <s v="DPP-2025"/>
    <s v="South"/>
    <s v="Phase 1"/>
    <s v="NRIS"/>
    <s v="NELSON 500 SWYD - RICHARD 500.0kV"/>
    <n v="400"/>
    <n v="400"/>
    <x v="2"/>
    <s v="Battery Storage"/>
    <m/>
    <m/>
    <n v="0"/>
    <n v="0"/>
    <n v="0"/>
    <n v="0"/>
  </r>
  <r>
    <s v="J4077"/>
    <x v="2"/>
    <d v="2025-10-06T00:00:00"/>
    <m/>
    <m/>
    <d v="2030-06-28T00:00:00"/>
    <s v="MONTANA-DAKOTA UTILITIES CO."/>
    <s v="Emmons"/>
    <m/>
    <m/>
    <s v="ND"/>
    <s v="DPP-2026"/>
    <s v="West"/>
    <m/>
    <s v="NRIS"/>
    <s v="Linton NW"/>
    <n v="45"/>
    <n v="45"/>
    <x v="0"/>
    <s v="Photovoltaic"/>
    <m/>
    <m/>
    <n v="0"/>
    <n v="0"/>
    <n v="0"/>
    <n v="0"/>
  </r>
  <r>
    <s v="J4078"/>
    <x v="2"/>
    <d v="2025-10-06T00:00:00"/>
    <m/>
    <m/>
    <d v="2030-06-28T00:00:00"/>
    <s v="NORTHERN STATES POWER COMPANY"/>
    <s v="Mower"/>
    <m/>
    <m/>
    <s v="MN"/>
    <s v="DPP-2026"/>
    <s v="West"/>
    <m/>
    <s v="NRIS"/>
    <s v="ADAMS"/>
    <n v="500"/>
    <n v="500"/>
    <x v="2"/>
    <s v="Battery Storage"/>
    <m/>
    <m/>
    <n v="0"/>
    <n v="0"/>
    <n v="0"/>
    <n v="0"/>
  </r>
  <r>
    <s v="J4079"/>
    <x v="2"/>
    <d v="2025-10-07T00:00:00"/>
    <m/>
    <m/>
    <d v="2030-06-30T00:00:00"/>
    <s v="CLECO POWER LLC CLEC"/>
    <s v="Calcasieu"/>
    <m/>
    <m/>
    <s v="LA"/>
    <s v="DPP-2026"/>
    <s v="South"/>
    <m/>
    <s v="NRIS"/>
    <s v="NELSON 230 SWYD - PENTON ROAD (CLECO) 230.0kV"/>
    <n v="150"/>
    <n v="150"/>
    <x v="2"/>
    <s v="Battery Storage"/>
    <m/>
    <m/>
    <n v="0"/>
    <n v="0"/>
    <n v="0"/>
    <n v="0"/>
  </r>
  <r>
    <s v="J4080"/>
    <x v="1"/>
    <d v="2025-10-07T00:00:00"/>
    <d v="2026-05-19T00:00:00"/>
    <m/>
    <d v="2030-06-30T00:00:00"/>
    <s v="ENTERGY ARKANSAS, LLC"/>
    <s v="Jefferson"/>
    <m/>
    <m/>
    <s v="AR"/>
    <s v="DPP-2026"/>
    <s v="South"/>
    <m/>
    <s v="NRIS"/>
    <s v="STUTTGART RICUSKEY - WOODWARD 230 SUB 230.0kV"/>
    <n v="250"/>
    <n v="250"/>
    <x v="0"/>
    <s v="Photovoltaic"/>
    <m/>
    <m/>
    <n v="0"/>
    <n v="0"/>
    <n v="0"/>
    <n v="0"/>
  </r>
  <r>
    <s v="J4081"/>
    <x v="2"/>
    <d v="2025-10-07T00:00:00"/>
    <m/>
    <m/>
    <d v="2031-06-28T00:00:00"/>
    <s v="OTTER TAIL POWER COMPANY"/>
    <s v="Grant"/>
    <m/>
    <m/>
    <s v="SD"/>
    <s v="DPP-2026"/>
    <s v="West"/>
    <m/>
    <s v="NRIS"/>
    <s v="Big Stone South 345 kV substation"/>
    <n v="250"/>
    <n v="250"/>
    <x v="2"/>
    <s v="Battery Storage"/>
    <m/>
    <m/>
    <n v="0"/>
    <n v="0"/>
    <n v="0"/>
    <n v="0"/>
  </r>
  <r>
    <s v="J4082"/>
    <x v="2"/>
    <d v="2025-10-07T00:00:00"/>
    <m/>
    <m/>
    <d v="2030-06-30T00:00:00"/>
    <s v="ENTERGY ARKANSAS, LLC"/>
    <s v="Jefferson"/>
    <m/>
    <m/>
    <s v="AR"/>
    <s v="DPP-2026"/>
    <s v="South"/>
    <m/>
    <s v="NRIS"/>
    <s v="Other_"/>
    <n v="500"/>
    <n v="500"/>
    <x v="2"/>
    <s v="Battery Storage"/>
    <m/>
    <m/>
    <n v="0"/>
    <n v="0"/>
    <n v="0"/>
    <n v="0"/>
  </r>
  <r>
    <s v="J4083"/>
    <x v="2"/>
    <d v="2025-10-07T00:00:00"/>
    <m/>
    <m/>
    <d v="2030-06-30T00:00:00"/>
    <s v="COOPERATIVE ENERGY"/>
    <s v="Perry"/>
    <m/>
    <m/>
    <s v="MS"/>
    <s v="DPP-2026"/>
    <s v="South"/>
    <m/>
    <s v="NRIS"/>
    <s v="Purvis Bulk 161 - Hintonville 161 161.0kV"/>
    <n v="150"/>
    <n v="150"/>
    <x v="2"/>
    <s v="Battery Storage"/>
    <m/>
    <m/>
    <n v="0"/>
    <n v="0"/>
    <n v="0"/>
    <n v="0"/>
  </r>
  <r>
    <s v="J4084"/>
    <x v="2"/>
    <d v="2025-06-19T00:00:00"/>
    <m/>
    <m/>
    <d v="2025-11-01T00:00:00"/>
    <s v="ENTERGY TEXAS, INC."/>
    <s v="Jefferson"/>
    <m/>
    <m/>
    <s v="TX"/>
    <s v="0MW GIA"/>
    <s v="NA"/>
    <m/>
    <s v="ERIS"/>
    <s v="Rhodair"/>
    <n v="0"/>
    <n v="0"/>
    <x v="7"/>
    <s v="Co-gen"/>
    <m/>
    <m/>
    <n v="0"/>
    <n v="0"/>
    <n v="0"/>
    <n v="0"/>
  </r>
  <r>
    <s v="J4085"/>
    <x v="2"/>
    <d v="2025-10-07T00:00:00"/>
    <m/>
    <m/>
    <d v="2027-10-15T00:00:00"/>
    <s v="AMERICAN TRANSMISSION COMPANY"/>
    <s v="Dickinson"/>
    <m/>
    <m/>
    <s v="MI"/>
    <s v="DPP-2025"/>
    <s v="East (ATC)"/>
    <s v="Phase 1"/>
    <s v="NRIS"/>
    <s v="Nordic"/>
    <n v="42"/>
    <n v="42"/>
    <x v="0"/>
    <s v="Photovoltaic"/>
    <m/>
    <m/>
    <n v="42"/>
    <n v="42"/>
    <n v="0"/>
    <n v="0"/>
  </r>
  <r>
    <s v="J4086"/>
    <x v="2"/>
    <d v="2025-10-07T00:00:00"/>
    <m/>
    <m/>
    <d v="2029-06-01T00:00:00"/>
    <s v="ITC MIDWEST"/>
    <s v="Wapello"/>
    <m/>
    <m/>
    <s v="IA"/>
    <s v="DPP-2026"/>
    <s v="West"/>
    <m/>
    <s v="NRIS"/>
    <s v="Ottumwa Generation - Tri-County 161kV"/>
    <n v="120"/>
    <n v="120"/>
    <x v="0"/>
    <s v="Photovoltaic"/>
    <m/>
    <m/>
    <n v="0"/>
    <n v="0"/>
    <n v="0"/>
    <n v="0"/>
  </r>
  <r>
    <s v="J4087"/>
    <x v="1"/>
    <d v="2025-10-07T00:00:00"/>
    <d v="2026-06-11T00:00:00"/>
    <m/>
    <d v="2029-06-01T00:00:00"/>
    <s v="NORTHERN STATES POWER COMPANY"/>
    <s v="Blue Earth"/>
    <m/>
    <m/>
    <s v="MN"/>
    <s v="DPP-2026"/>
    <s v="West"/>
    <m/>
    <s v="NRIS"/>
    <s v="SOUTH BEND"/>
    <n v="183"/>
    <n v="183"/>
    <x v="2"/>
    <s v="Battery Storage"/>
    <m/>
    <m/>
    <n v="0"/>
    <n v="0"/>
    <n v="0"/>
    <n v="0"/>
  </r>
  <r>
    <s v="J4088"/>
    <x v="2"/>
    <d v="2025-10-06T00:00:00"/>
    <m/>
    <m/>
    <d v="2028-03-01T00:00:00"/>
    <s v="ENTERGY ARKANSAS, LLC"/>
    <s v="Lee"/>
    <m/>
    <m/>
    <s v="AR"/>
    <s v="DPP-2025"/>
    <s v="South"/>
    <s v="Phase 1"/>
    <s v="NRIS"/>
    <s v="Wheatley 500 kV Switching Station (being built by J1710 &amp; J1820)"/>
    <n v="340"/>
    <n v="340"/>
    <x v="5"/>
    <s v="Solar/Battery"/>
    <m/>
    <m/>
    <n v="340"/>
    <n v="170"/>
    <n v="0"/>
    <n v="0"/>
  </r>
  <r>
    <s v="J4089"/>
    <x v="1"/>
    <d v="2025-10-07T00:00:00"/>
    <d v="2026-06-11T00:00:00"/>
    <m/>
    <d v="2029-06-01T00:00:00"/>
    <s v="ITC MIDWEST"/>
    <s v="Freeborn"/>
    <m/>
    <m/>
    <s v="MN"/>
    <s v="DPP-2026"/>
    <s v="West"/>
    <m/>
    <s v="NRIS"/>
    <s v="Hayward"/>
    <n v="250"/>
    <n v="250"/>
    <x v="2"/>
    <s v="Battery Storage"/>
    <m/>
    <m/>
    <n v="0"/>
    <n v="0"/>
    <n v="0"/>
    <n v="0"/>
  </r>
  <r>
    <s v="J4090"/>
    <x v="1"/>
    <d v="2025-10-07T00:00:00"/>
    <d v="2026-03-17T00:00:00"/>
    <m/>
    <d v="2030-06-30T00:00:00"/>
    <s v="ITC MIDWEST"/>
    <s v="Schuyler"/>
    <m/>
    <m/>
    <s v="MO"/>
    <s v="DPP-2026"/>
    <s v="Central"/>
    <m/>
    <s v="NRIS"/>
    <s v="Other_"/>
    <n v="200"/>
    <n v="200"/>
    <x v="0"/>
    <s v="Photovoltaic"/>
    <m/>
    <m/>
    <n v="0"/>
    <n v="0"/>
    <n v="0"/>
    <n v="0"/>
  </r>
  <r>
    <s v="J4091"/>
    <x v="1"/>
    <d v="2025-10-06T00:00:00"/>
    <d v="2026-04-15T00:00:00"/>
    <m/>
    <d v="2030-06-30T00:00:00"/>
    <s v="GREAT RIVER ENERGY"/>
    <s v="Otter Tail"/>
    <m/>
    <m/>
    <s v="MN"/>
    <s v="DPP-2025"/>
    <s v="West"/>
    <s v="Phase 1"/>
    <s v="NRIS"/>
    <s v="ALEXANDRIA - BISON 345.0kV"/>
    <n v="295"/>
    <n v="295"/>
    <x v="0"/>
    <s v="Photovoltaic"/>
    <m/>
    <m/>
    <n v="0"/>
    <n v="0"/>
    <n v="0"/>
    <n v="0"/>
  </r>
  <r>
    <s v="J4092"/>
    <x v="2"/>
    <d v="2025-10-07T00:00:00"/>
    <m/>
    <m/>
    <d v="2030-01-01T00:00:00"/>
    <s v="CLECO POWER LLC"/>
    <s v="Beauregard"/>
    <m/>
    <m/>
    <s v="LA"/>
    <s v="DPP-2026"/>
    <s v="South"/>
    <m/>
    <s v="NRIS"/>
    <s v="Deridder - Longville 138.0kV"/>
    <n v="200"/>
    <n v="200"/>
    <x v="0"/>
    <s v="Photovoltaic"/>
    <m/>
    <m/>
    <n v="0"/>
    <n v="0"/>
    <n v="0"/>
    <n v="0"/>
  </r>
  <r>
    <s v="J4093"/>
    <x v="2"/>
    <d v="2025-10-06T00:00:00"/>
    <m/>
    <m/>
    <d v="2030-06-30T00:00:00"/>
    <s v="METC"/>
    <s v="Mason"/>
    <m/>
    <m/>
    <s v="MI"/>
    <s v="DPP-2026"/>
    <s v="East (ITC)"/>
    <m/>
    <s v="NRIS"/>
    <s v="PERE MARQUETTE"/>
    <n v="400"/>
    <n v="400"/>
    <x v="2"/>
    <s v="Battery Storage"/>
    <m/>
    <m/>
    <n v="0"/>
    <n v="0"/>
    <n v="0"/>
    <n v="0"/>
  </r>
  <r>
    <s v="J4094"/>
    <x v="2"/>
    <d v="2025-10-06T00:00:00"/>
    <m/>
    <m/>
    <d v="2030-06-30T00:00:00"/>
    <s v="ITC"/>
    <s v="Huron"/>
    <m/>
    <m/>
    <s v="MI"/>
    <s v="DPP-2026"/>
    <s v="East (ITC)"/>
    <m/>
    <s v="NRIS"/>
    <s v="GRASSMERE"/>
    <n v="300"/>
    <n v="300"/>
    <x v="2"/>
    <s v="Battery Storage"/>
    <m/>
    <m/>
    <n v="0"/>
    <n v="0"/>
    <n v="0"/>
    <n v="0"/>
  </r>
  <r>
    <s v="J4095"/>
    <x v="2"/>
    <d v="2025-10-06T00:00:00"/>
    <m/>
    <m/>
    <d v="2030-06-30T00:00:00"/>
    <s v="ITC"/>
    <s v="Huron"/>
    <m/>
    <m/>
    <s v="MI"/>
    <s v="DPP-2026"/>
    <s v="East (ITC)"/>
    <m/>
    <s v="NRIS"/>
    <s v="GRASSMERE"/>
    <n v="300"/>
    <n v="300"/>
    <x v="2"/>
    <s v="Battery Storage"/>
    <m/>
    <m/>
    <n v="0"/>
    <n v="0"/>
    <n v="0"/>
    <n v="0"/>
  </r>
  <r>
    <s v="J4096"/>
    <x v="2"/>
    <d v="2025-10-07T00:00:00"/>
    <m/>
    <m/>
    <d v="2030-01-30T00:00:00"/>
    <s v="NORTHERN STATES POWER COMPANY"/>
    <s v="Goodhue"/>
    <m/>
    <m/>
    <s v="MN"/>
    <s v="DPP-2026"/>
    <s v="West"/>
    <m/>
    <s v="NRIS"/>
    <s v="Other_"/>
    <n v="120"/>
    <n v="120"/>
    <x v="1"/>
    <s v="Wind Turbine"/>
    <m/>
    <m/>
    <n v="0"/>
    <n v="0"/>
    <n v="0"/>
    <n v="0"/>
  </r>
  <r>
    <s v="J4097"/>
    <x v="2"/>
    <d v="2025-10-06T00:00:00"/>
    <m/>
    <m/>
    <d v="2030-01-01T00:00:00"/>
    <s v="AMERICAN TRANSMISSION COMPANY"/>
    <s v="Rock"/>
    <m/>
    <m/>
    <s v="WI"/>
    <s v="DPP-2025"/>
    <s v="East (ATC)"/>
    <s v="Phase 1"/>
    <s v="NRIS"/>
    <s v="New J1377 ATC Switching Station"/>
    <n v="71.5"/>
    <n v="71.5"/>
    <x v="0"/>
    <s v="Photovoltaic"/>
    <m/>
    <m/>
    <n v="71.5"/>
    <n v="71.5"/>
    <n v="0"/>
    <n v="0"/>
  </r>
  <r>
    <s v="J4098"/>
    <x v="2"/>
    <d v="2025-10-06T00:00:00"/>
    <m/>
    <m/>
    <d v="2030-06-30T00:00:00"/>
    <s v="CLECO POWER LLC"/>
    <s v="Lafayette"/>
    <m/>
    <m/>
    <s v="LA"/>
    <s v="DPP-2025"/>
    <s v="South"/>
    <s v="Phase 1"/>
    <s v="NRIS"/>
    <s v="Rork - Sellers Road 230.0kV"/>
    <n v="300"/>
    <n v="300"/>
    <x v="2"/>
    <s v="Battery Storage"/>
    <m/>
    <m/>
    <n v="300"/>
    <n v="300"/>
    <n v="0"/>
    <n v="0"/>
  </r>
  <r>
    <s v="J4099"/>
    <x v="2"/>
    <d v="2025-10-07T00:00:00"/>
    <m/>
    <m/>
    <d v="2031-06-30T00:00:00"/>
    <s v="ITC MIDWEST"/>
    <s v="Jackson"/>
    <m/>
    <m/>
    <s v="MN"/>
    <s v="DPP-2026"/>
    <s v="West"/>
    <m/>
    <s v="NRIS"/>
    <s v="Fox Lake - Jackson North 161kV"/>
    <n v="200"/>
    <n v="200"/>
    <x v="1"/>
    <s v="Wind Turbine"/>
    <m/>
    <m/>
    <n v="0"/>
    <n v="0"/>
    <n v="0"/>
    <n v="0"/>
  </r>
  <r>
    <s v="J4100"/>
    <x v="1"/>
    <d v="2025-10-06T00:00:00"/>
    <d v="2026-04-15T00:00:00"/>
    <m/>
    <d v="2030-06-30T00:00:00"/>
    <s v="ENTERGY LOUISIANA, LLC"/>
    <s v="Livingston"/>
    <m/>
    <m/>
    <s v="LA"/>
    <s v="DPP-2025"/>
    <s v="South"/>
    <s v="Phase 1"/>
    <s v="NRIS"/>
    <s v="COLY - WILLOW GLEN 500 SWYD 500.0kV"/>
    <n v="500"/>
    <n v="500"/>
    <x v="2"/>
    <s v="Battery Storage"/>
    <m/>
    <m/>
    <n v="0"/>
    <n v="0"/>
    <n v="0"/>
    <n v="0"/>
  </r>
  <r>
    <s v="J4101"/>
    <x v="2"/>
    <d v="2025-10-07T00:00:00"/>
    <m/>
    <m/>
    <d v="2028-03-31T00:00:00"/>
    <s v="AMERICAN TRANSMISSION COMPANY"/>
    <s v="Jefferson"/>
    <m/>
    <m/>
    <s v="WI"/>
    <s v="DPP-2025"/>
    <s v="East (ATC)"/>
    <s v="Phase 1"/>
    <s v="NRIS"/>
    <s v="University (UWW)"/>
    <n v="71"/>
    <n v="71"/>
    <x v="0"/>
    <s v="Photovoltaic"/>
    <m/>
    <m/>
    <n v="71"/>
    <n v="35"/>
    <n v="0"/>
    <n v="0"/>
  </r>
  <r>
    <s v="J4102"/>
    <x v="2"/>
    <d v="2025-10-10T00:00:00"/>
    <m/>
    <m/>
    <d v="2029-08-31T00:00:00"/>
    <s v="METC"/>
    <s v="Cass"/>
    <m/>
    <m/>
    <s v="MI"/>
    <s v="DPP-2026"/>
    <s v="East (ITC)"/>
    <m/>
    <s v="NRIS"/>
    <s v="WEEDS LAKE - HIPLE 345.0kV"/>
    <n v="539"/>
    <n v="539"/>
    <x v="0"/>
    <s v="Photovoltaic"/>
    <m/>
    <m/>
    <n v="0"/>
    <n v="0"/>
    <n v="0"/>
    <n v="0"/>
  </r>
  <r>
    <s v="J4103"/>
    <x v="4"/>
    <d v="2025-10-06T00:00:00"/>
    <m/>
    <m/>
    <d v="2029-06-30T00:00:00"/>
    <s v="SAM HOUSTON ELECTRIC COOPERATIVE, INC."/>
    <s v="Trinity"/>
    <m/>
    <m/>
    <s v="TX"/>
    <s v="DPP-2025"/>
    <s v="South"/>
    <s v="Phase 1"/>
    <s v="NRIS"/>
    <s v="ONALASKA"/>
    <n v="150"/>
    <n v="150"/>
    <x v="2"/>
    <s v="Battery Storage"/>
    <m/>
    <m/>
    <n v="150"/>
    <n v="150"/>
    <n v="0"/>
    <n v="0"/>
  </r>
  <r>
    <s v="J4104"/>
    <x v="1"/>
    <d v="2025-10-06T00:00:00"/>
    <d v="2025-12-19T00:00:00"/>
    <m/>
    <d v="2030-06-30T00:00:00"/>
    <s v="ENTERGY TEXAS, INC."/>
    <s v="Houston"/>
    <m/>
    <m/>
    <s v="TX"/>
    <s v="DPP-2025"/>
    <s v="South"/>
    <s v="Phase 1"/>
    <s v="NRIS"/>
    <s v="ROCKY CREEK - CROCKETT (SWEPCO) 345.0kV"/>
    <n v="250"/>
    <n v="250"/>
    <x v="2"/>
    <s v="Battery Storage"/>
    <m/>
    <m/>
    <n v="0"/>
    <n v="0"/>
    <n v="0"/>
    <n v="0"/>
  </r>
  <r>
    <s v="J4105"/>
    <x v="1"/>
    <d v="2025-10-06T00:00:00"/>
    <d v="2026-04-16T00:00:00"/>
    <m/>
    <d v="2028-03-31T00:00:00"/>
    <s v="OTTER TAIL POWER COMPANY"/>
    <s v="Cass"/>
    <m/>
    <m/>
    <s v="ND"/>
    <s v="DPP-2025"/>
    <s v="West"/>
    <s v="Phase 1"/>
    <s v="NRIS"/>
    <s v="Buffalo 345 kV Substation"/>
    <n v="250"/>
    <n v="250"/>
    <x v="5"/>
    <s v="Solar/Battery"/>
    <m/>
    <m/>
    <n v="0"/>
    <n v="0"/>
    <n v="0"/>
    <n v="0"/>
  </r>
  <r>
    <s v="J4106"/>
    <x v="1"/>
    <d v="2025-10-06T00:00:00"/>
    <d v="2026-04-16T00:00:00"/>
    <m/>
    <d v="2027-02-15T00:00:00"/>
    <s v="OTTER TAIL POWER COMPANY"/>
    <s v="Cass"/>
    <m/>
    <m/>
    <s v="ND"/>
    <s v="DPP-2025"/>
    <s v="West"/>
    <s v="Phase 1"/>
    <s v="NRIS"/>
    <s v="Buffalo 345 kV Substation"/>
    <n v="250"/>
    <n v="250"/>
    <x v="5"/>
    <s v="Solar/Battery"/>
    <m/>
    <m/>
    <n v="0"/>
    <n v="0"/>
    <n v="0"/>
    <n v="0"/>
  </r>
  <r>
    <s v="J4107"/>
    <x v="1"/>
    <d v="2025-10-07T00:00:00"/>
    <d v="2025-12-26T00:00:00"/>
    <m/>
    <d v="2030-10-15T00:00:00"/>
    <s v="COOPERATIVE ENERGY"/>
    <s v="Covington"/>
    <m/>
    <m/>
    <s v="MS"/>
    <s v="DPP-2025"/>
    <s v="South"/>
    <s v="Phase 1"/>
    <s v="NRIS"/>
    <s v="Southwest Lone Star 161 - Mississippi Hub 161.0kV"/>
    <n v="150"/>
    <n v="150"/>
    <x v="2"/>
    <s v="Battery Storage"/>
    <m/>
    <m/>
    <n v="0"/>
    <n v="0"/>
    <n v="0"/>
    <n v="0"/>
  </r>
  <r>
    <s v="J4108"/>
    <x v="1"/>
    <d v="2025-10-07T00:00:00"/>
    <d v="2026-01-27T00:00:00"/>
    <m/>
    <d v="2030-09-30T00:00:00"/>
    <s v="ENTERGY LOUISIANA, LLC"/>
    <s v="Webster"/>
    <m/>
    <m/>
    <s v="LA"/>
    <s v="DPP-2025"/>
    <s v="South"/>
    <s v="Phase 1"/>
    <s v="NRIS"/>
    <s v="SAREPTA"/>
    <n v="150"/>
    <n v="150"/>
    <x v="2"/>
    <s v="Battery Storage"/>
    <m/>
    <m/>
    <n v="0"/>
    <n v="0"/>
    <n v="0"/>
    <n v="0"/>
  </r>
  <r>
    <s v="J4109"/>
    <x v="1"/>
    <d v="2025-10-07T00:00:00"/>
    <d v="2025-12-19T00:00:00"/>
    <m/>
    <d v="2030-06-30T00:00:00"/>
    <s v="ENTERGY LOUISIANA, LLC"/>
    <s v="Iberville"/>
    <m/>
    <m/>
    <s v="LA"/>
    <s v="DPP-2025"/>
    <s v="South"/>
    <s v="Phase 1"/>
    <s v="NRIS"/>
    <s v="DONALDSONVILLE - EVERGREEN 230.0kV"/>
    <n v="1300"/>
    <n v="1300"/>
    <x v="3"/>
    <s v="Combined Cycle"/>
    <m/>
    <m/>
    <n v="0"/>
    <n v="0"/>
    <n v="0"/>
    <n v="0"/>
  </r>
  <r>
    <s v="J4110"/>
    <x v="2"/>
    <d v="2025-10-07T00:00:00"/>
    <m/>
    <m/>
    <d v="2030-06-30T00:00:00"/>
    <s v="CLECO POWER LLC"/>
    <s v="Lafayette"/>
    <m/>
    <m/>
    <s v="LA"/>
    <s v="DPP-2026"/>
    <s v="South"/>
    <m/>
    <s v="NRIS"/>
    <s v="Rork - Sellers Road 230.0kV"/>
    <n v="400"/>
    <n v="400"/>
    <x v="3"/>
    <s v="Combustion Turbine (Simple Cycle)"/>
    <m/>
    <m/>
    <n v="0"/>
    <n v="0"/>
    <n v="0"/>
    <n v="0"/>
  </r>
  <r>
    <s v="J4111"/>
    <x v="1"/>
    <d v="2025-10-07T00:00:00"/>
    <d v="2025-12-19T00:00:00"/>
    <m/>
    <d v="2030-06-30T00:00:00"/>
    <s v="ENTERGY ARKANSAS, LLC"/>
    <s v="Hot Spring"/>
    <m/>
    <m/>
    <s v="AR"/>
    <s v="DPP-2025"/>
    <s v="South"/>
    <s v="Phase 1"/>
    <s v="NRIS"/>
    <s v="SHERIDAN EHV - MAGNET COVE 500.0kV"/>
    <n v="650"/>
    <n v="650"/>
    <x v="3"/>
    <s v="Combined Cycle"/>
    <m/>
    <m/>
    <n v="0"/>
    <n v="0"/>
    <n v="0"/>
    <n v="0"/>
  </r>
  <r>
    <s v="J4112"/>
    <x v="1"/>
    <d v="2025-10-07T00:00:00"/>
    <d v="2026-08-25T00:00:00"/>
    <m/>
    <d v="2030-10-15T00:00:00"/>
    <s v="MIDAMERICAN ENERGY CO. MEC"/>
    <s v="Rock Island"/>
    <m/>
    <m/>
    <s v="IL"/>
    <s v="DPP-2026"/>
    <s v="West"/>
    <m/>
    <s v="NRIS"/>
    <s v="OAK GROVE - SUB 93 LOUISA 345.0kV"/>
    <n v="300"/>
    <n v="300"/>
    <x v="1"/>
    <s v="Wind Turbine"/>
    <m/>
    <m/>
    <n v="0"/>
    <n v="0"/>
    <n v="0"/>
    <n v="0"/>
  </r>
  <r>
    <s v="J4113"/>
    <x v="2"/>
    <d v="2025-10-06T00:00:00"/>
    <m/>
    <m/>
    <d v="2028-06-30T00:00:00"/>
    <s v="ITC MIDWEST"/>
    <s v="Cerro Gordo"/>
    <m/>
    <m/>
    <s v="IA"/>
    <s v="DPP-2025"/>
    <s v="West"/>
    <s v="Phase 1"/>
    <s v="NRIS"/>
    <s v="Killdeer"/>
    <n v="787.4"/>
    <n v="787.4"/>
    <x v="3"/>
    <s v="Combustion Turbine (Simple Cycle)"/>
    <m/>
    <m/>
    <n v="525"/>
    <n v="525"/>
    <n v="0"/>
    <n v="0"/>
  </r>
  <r>
    <s v="J4114"/>
    <x v="2"/>
    <d v="2025-10-06T00:00:00"/>
    <m/>
    <m/>
    <d v="2030-07-31T00:00:00"/>
    <s v="MIDAMERICAN ENERGY CO. MEC"/>
    <s v="Washington"/>
    <m/>
    <m/>
    <s v="IA"/>
    <s v="DPP-2025"/>
    <s v="West"/>
    <s v="Phase 1"/>
    <s v="NRIS"/>
    <s v="SUB T HASKINS"/>
    <n v="525"/>
    <n v="525"/>
    <x v="3"/>
    <s v="Combustion Turbine (Simple Cycle)"/>
    <m/>
    <m/>
    <n v="525"/>
    <n v="525"/>
    <n v="0"/>
    <n v="0"/>
  </r>
  <r>
    <s v="J4115"/>
    <x v="2"/>
    <d v="2025-10-06T00:00:00"/>
    <m/>
    <m/>
    <d v="2028-06-30T00:00:00"/>
    <s v="AMERICAN TRANSMISSION COMPANY"/>
    <s v="Fond du Lac"/>
    <m/>
    <m/>
    <s v="WI"/>
    <s v="DPP-2025"/>
    <s v="East (ATC)"/>
    <s v="Phase 1"/>
    <s v="NRIS"/>
    <s v="South Fond du Lac - Fitzgerald 345.0kV"/>
    <n v="525"/>
    <n v="525"/>
    <x v="3"/>
    <s v="Combustion Turbine (Simple Cycle)"/>
    <m/>
    <m/>
    <n v="525"/>
    <n v="0"/>
    <n v="0"/>
    <n v="0"/>
  </r>
  <r>
    <s v="J4116"/>
    <x v="2"/>
    <d v="2025-10-06T00:00:00"/>
    <m/>
    <m/>
    <d v="2030-12-31T00:00:00"/>
    <s v="AMERICAN TRANSMISSION COMPANY"/>
    <s v="Walworth"/>
    <m/>
    <m/>
    <s v="WI"/>
    <s v="DPP-2025"/>
    <s v="East (ATC)"/>
    <s v="Phase 1"/>
    <s v="NRIS"/>
    <s v="Sugar Creek 345 kV"/>
    <n v="950"/>
    <n v="950"/>
    <x v="3"/>
    <s v="Combined Cycle"/>
    <m/>
    <m/>
    <n v="950"/>
    <n v="950"/>
    <n v="0"/>
    <n v="0"/>
  </r>
  <r>
    <s v="J4117"/>
    <x v="2"/>
    <d v="2025-09-26T00:00:00"/>
    <m/>
    <m/>
    <d v="2030-09-01T00:00:00"/>
    <s v="NORTHERN STATES POWER COMPANY"/>
    <s v="Goodhue"/>
    <m/>
    <m/>
    <s v="MN"/>
    <s v="DPP-2025"/>
    <s v="West"/>
    <s v="Phase 1"/>
    <s v="NRIS"/>
    <s v="North Rochester - Prairie Island 345.0kV"/>
    <n v="240"/>
    <n v="240"/>
    <x v="2"/>
    <s v="Battery Storage"/>
    <m/>
    <m/>
    <n v="240"/>
    <n v="240"/>
    <n v="0"/>
    <n v="0"/>
  </r>
  <r>
    <s v="J4118"/>
    <x v="2"/>
    <d v="2025-09-24T00:00:00"/>
    <m/>
    <m/>
    <d v="2030-09-30T00:00:00"/>
    <s v="AMEREN ILLINOIS"/>
    <s v="McLean"/>
    <m/>
    <m/>
    <s v="IL"/>
    <s v="DPP-2026"/>
    <s v="Central"/>
    <m/>
    <s v="NRIS"/>
    <s v="Radbourn 345kV (LRTP-41)"/>
    <n v="250"/>
    <n v="250"/>
    <x v="2"/>
    <s v="Battery Storage"/>
    <m/>
    <m/>
    <n v="0"/>
    <n v="0"/>
    <n v="0"/>
    <n v="0"/>
  </r>
  <r>
    <s v="J4119"/>
    <x v="1"/>
    <d v="2025-09-23T00:00:00"/>
    <d v="2026-04-15T00:00:00"/>
    <m/>
    <d v="2029-10-01T00:00:00"/>
    <s v="ENTERGY MISSISSIPPI, LLC."/>
    <s v="Rankin"/>
    <m/>
    <m/>
    <s v="MS"/>
    <s v="DPP-2025"/>
    <s v="South"/>
    <s v="Phase 1"/>
    <s v="NRIS"/>
    <s v="RANKIN"/>
    <n v="200"/>
    <n v="200"/>
    <x v="2"/>
    <s v="Battery Storage"/>
    <m/>
    <m/>
    <n v="0"/>
    <n v="0"/>
    <n v="0"/>
    <n v="0"/>
  </r>
  <r>
    <s v="J4120"/>
    <x v="2"/>
    <d v="2025-09-16T00:00:00"/>
    <m/>
    <m/>
    <d v="2030-10-30T00:00:00"/>
    <s v="METC"/>
    <s v="Lenawee"/>
    <m/>
    <m/>
    <s v="MI"/>
    <s v="DPP-2026"/>
    <s v="East (ITC)"/>
    <m/>
    <s v="NRIS"/>
    <s v="Other_"/>
    <n v="200"/>
    <n v="200"/>
    <x v="1"/>
    <s v="Wind Turbine"/>
    <m/>
    <m/>
    <n v="0"/>
    <n v="0"/>
    <n v="0"/>
    <n v="0"/>
  </r>
  <r>
    <s v="J4121"/>
    <x v="1"/>
    <d v="2025-09-19T00:00:00"/>
    <d v="2026-04-17T00:00:00"/>
    <m/>
    <d v="2030-06-01T00:00:00"/>
    <s v="ENTERGY MISSISSIPPI, LLC."/>
    <s v="Washington"/>
    <m/>
    <m/>
    <s v="MS"/>
    <s v="DPP-2025"/>
    <s v="South"/>
    <s v="Phase 1"/>
    <s v="NRIS"/>
    <s v="GERALD ANDRUS SES SWYD - INDIANOLA 230/115 SUB 230.0kV"/>
    <n v="300"/>
    <n v="300"/>
    <x v="0"/>
    <s v="Photovoltaic"/>
    <m/>
    <m/>
    <n v="0"/>
    <n v="0"/>
    <n v="0"/>
    <n v="0"/>
  </r>
  <r>
    <s v="J4122"/>
    <x v="2"/>
    <d v="2025-09-19T00:00:00"/>
    <m/>
    <m/>
    <d v="2030-08-15T00:00:00"/>
    <s v="METC"/>
    <s v="Shiawassee"/>
    <m/>
    <m/>
    <s v="MI"/>
    <s v="DPP-2026"/>
    <s v="East (ITC)"/>
    <m/>
    <s v="NRIS"/>
    <s v="Goss"/>
    <n v="150"/>
    <n v="150"/>
    <x v="2"/>
    <s v="Battery Storage"/>
    <m/>
    <m/>
    <n v="0"/>
    <n v="0"/>
    <n v="0"/>
    <n v="0"/>
  </r>
  <r>
    <s v="J4123"/>
    <x v="2"/>
    <d v="2025-09-19T00:00:00"/>
    <m/>
    <m/>
    <d v="2030-08-15T00:00:00"/>
    <s v="METC"/>
    <s v="Branch"/>
    <m/>
    <m/>
    <s v="MI"/>
    <s v="DPP-2026"/>
    <s v="East (ITC)"/>
    <m/>
    <s v="NRIS"/>
    <s v="WAGNER"/>
    <n v="200"/>
    <n v="200"/>
    <x v="2"/>
    <s v="Battery Storage"/>
    <m/>
    <m/>
    <n v="0"/>
    <n v="0"/>
    <n v="0"/>
    <n v="0"/>
  </r>
  <r>
    <s v="J4124"/>
    <x v="2"/>
    <d v="2025-08-25T00:00:00"/>
    <m/>
    <m/>
    <d v="2029-06-01T00:00:00"/>
    <s v="ENTERGY TEXAS, INC."/>
    <s v="Trinity"/>
    <m/>
    <m/>
    <s v="TX"/>
    <s v="DPP-2025"/>
    <s v="South"/>
    <s v="Phase 1"/>
    <s v="NRIS"/>
    <s v="MAGNOLIA GROVETON - KICKAPOO (L-111) TAP 138.0kV"/>
    <n v="100"/>
    <n v="100"/>
    <x v="0"/>
    <s v="Photovoltaic"/>
    <m/>
    <m/>
    <n v="100"/>
    <n v="100"/>
    <n v="0"/>
    <n v="0"/>
  </r>
  <r>
    <s v="J4125"/>
    <x v="2"/>
    <d v="2025-09-16T00:00:00"/>
    <m/>
    <m/>
    <d v="2030-10-30T00:00:00"/>
    <s v="METC"/>
    <s v="Bay"/>
    <m/>
    <m/>
    <s v="MI"/>
    <s v="DPP-2026"/>
    <s v="East (ITC)"/>
    <m/>
    <s v="NRIS"/>
    <s v="Other_"/>
    <n v="50"/>
    <n v="50"/>
    <x v="1"/>
    <s v="Wind Turbine"/>
    <m/>
    <m/>
    <n v="0"/>
    <n v="0"/>
    <n v="0"/>
    <n v="0"/>
  </r>
  <r>
    <s v="J4126"/>
    <x v="2"/>
    <d v="2025-09-16T00:00:00"/>
    <m/>
    <m/>
    <d v="2030-10-30T00:00:00"/>
    <s v="METC"/>
    <s v="Lenawee"/>
    <m/>
    <m/>
    <s v="MI"/>
    <s v="DPP-2026"/>
    <s v="East (ITC)"/>
    <m/>
    <s v="NRIS"/>
    <s v="MOROCCO  - ALLEN JUNCTION 345.0kV"/>
    <n v="112"/>
    <n v="112"/>
    <x v="1"/>
    <s v="Wind Turbine"/>
    <m/>
    <m/>
    <n v="0"/>
    <n v="0"/>
    <n v="0"/>
    <n v="0"/>
  </r>
  <r>
    <s v="J4127"/>
    <x v="2"/>
    <d v="2025-09-18T00:00:00"/>
    <m/>
    <m/>
    <d v="2029-01-19T00:00:00"/>
    <s v="NORTHERN STATES POWER COMPANY"/>
    <s v="Barron"/>
    <m/>
    <m/>
    <s v="WI"/>
    <s v="DPP-2025"/>
    <s v="West"/>
    <s v="Phase 1"/>
    <s v="NRIS"/>
    <s v="Ridgeland"/>
    <n v="100"/>
    <n v="100"/>
    <x v="0"/>
    <s v="Photovoltaic"/>
    <m/>
    <m/>
    <n v="90"/>
    <n v="90"/>
    <n v="0"/>
    <n v="0"/>
  </r>
  <r>
    <s v="J4128"/>
    <x v="2"/>
    <d v="2025-09-19T00:00:00"/>
    <m/>
    <m/>
    <d v="2030-02-28T00:00:00"/>
    <s v="ITC"/>
    <s v="Eaton"/>
    <m/>
    <m/>
    <s v="MI"/>
    <s v="DPP-2026"/>
    <s v="East (ITC)"/>
    <m/>
    <s v="NRIS"/>
    <s v="Clinton Interconnection"/>
    <n v="100"/>
    <n v="100"/>
    <x v="2"/>
    <s v="Battery Storage"/>
    <m/>
    <m/>
    <n v="0"/>
    <n v="0"/>
    <n v="0"/>
    <n v="0"/>
  </r>
  <r>
    <s v="J4129"/>
    <x v="2"/>
    <d v="2025-10-01T00:00:00"/>
    <m/>
    <m/>
    <d v="2029-04-12T00:00:00"/>
    <s v="GREAT RIVER ENERGY"/>
    <s v="Otter Tail"/>
    <m/>
    <m/>
    <s v="MN"/>
    <s v="DPP-2025"/>
    <s v="West"/>
    <s v="Phase 1"/>
    <s v="NRIS"/>
    <s v="ALEXANDRIA - BISON 345.0kV"/>
    <n v="200"/>
    <n v="200"/>
    <x v="1"/>
    <s v="Wind Turbine"/>
    <m/>
    <m/>
    <n v="200"/>
    <n v="200"/>
    <n v="0"/>
    <n v="0"/>
  </r>
  <r>
    <s v="J4130"/>
    <x v="2"/>
    <d v="2025-10-01T00:00:00"/>
    <m/>
    <m/>
    <d v="2030-12-01T00:00:00"/>
    <s v="DAIRYLAND POWER COOPERATIVE"/>
    <s v="Pepin"/>
    <m/>
    <m/>
    <s v="WI"/>
    <s v="DPP-2025"/>
    <s v="West"/>
    <s v="Phase 1"/>
    <s v="NRIS"/>
    <s v="ALMA  - ROCK ELM 161.0kV"/>
    <n v="110"/>
    <n v="110"/>
    <x v="0"/>
    <s v="Photovoltaic"/>
    <m/>
    <m/>
    <n v="110"/>
    <n v="110"/>
    <n v="0"/>
    <n v="0"/>
  </r>
  <r>
    <s v="J4131"/>
    <x v="2"/>
    <d v="2025-10-01T00:00:00"/>
    <m/>
    <m/>
    <d v="2030-06-01T00:00:00"/>
    <s v="ENTERGY MISSISSIPPI, LLC."/>
    <s v="Scott"/>
    <m/>
    <m/>
    <s v="MS"/>
    <s v="DPP-2025"/>
    <s v="South"/>
    <s v="Phase 1"/>
    <s v="NRIS"/>
    <s v="J1347 TO Switchyard (115kV Entergy MS Switchyard)"/>
    <n v="100"/>
    <n v="100"/>
    <x v="2"/>
    <s v="Battery Storage"/>
    <m/>
    <m/>
    <n v="100"/>
    <n v="100"/>
    <n v="0"/>
    <n v="0"/>
  </r>
  <r>
    <s v="J4132"/>
    <x v="1"/>
    <d v="2025-10-03T00:00:00"/>
    <d v="2026-04-15T00:00:00"/>
    <m/>
    <d v="2030-01-31T00:00:00"/>
    <s v="GREAT RIVER ENERGY"/>
    <s v="Benton"/>
    <m/>
    <m/>
    <s v="MN"/>
    <s v="DPP-2025"/>
    <s v="West"/>
    <s v="Phase 1"/>
    <s v="NRIS"/>
    <s v="Mud Lake - Benton County (GRE) 230kV"/>
    <n v="303.8"/>
    <n v="303.8"/>
    <x v="0"/>
    <s v="Photovoltaic"/>
    <m/>
    <m/>
    <n v="0"/>
    <n v="0"/>
    <n v="0"/>
    <n v="0"/>
  </r>
  <r>
    <s v="J4133"/>
    <x v="1"/>
    <d v="2025-10-03T00:00:00"/>
    <d v="2026-04-15T00:00:00"/>
    <m/>
    <d v="2030-06-01T00:00:00"/>
    <s v="CLECO POWER LLC"/>
    <s v="De Soto"/>
    <m/>
    <m/>
    <s v="LA"/>
    <s v="DPP-2025"/>
    <s v="South"/>
    <s v="Phase 1"/>
    <s v="NRIS"/>
    <s v="Dolet Hills Substation"/>
    <n v="756"/>
    <n v="756"/>
    <x v="3"/>
    <s v="Combined Cycle"/>
    <m/>
    <m/>
    <n v="0"/>
    <n v="0"/>
    <n v="0"/>
    <n v="0"/>
  </r>
  <r>
    <s v="J4134"/>
    <x v="1"/>
    <d v="2025-10-03T00:00:00"/>
    <d v="2026-04-15T00:00:00"/>
    <m/>
    <d v="2030-01-01T00:00:00"/>
    <s v="ENTERGY ARKANSAS, LLC"/>
    <s v="Ouachita"/>
    <m/>
    <m/>
    <s v="AR"/>
    <s v="DPP-2025"/>
    <s v="South"/>
    <s v="Phase 1"/>
    <s v="NRIS"/>
    <s v="AECC CAMDEN SOUTH - STEPHENS 115.0kV"/>
    <n v="200"/>
    <n v="200"/>
    <x v="5"/>
    <s v="Solar/Battery"/>
    <m/>
    <m/>
    <n v="0"/>
    <n v="0"/>
    <n v="0"/>
    <n v="0"/>
  </r>
  <r>
    <s v="J4135"/>
    <x v="1"/>
    <d v="2025-10-03T00:00:00"/>
    <d v="2025-12-26T00:00:00"/>
    <m/>
    <d v="2030-04-30T00:00:00"/>
    <s v="OTTER TAIL POWER COMPANY"/>
    <s v="Grant"/>
    <m/>
    <m/>
    <s v="SD"/>
    <s v="DPP-2025"/>
    <s v="West"/>
    <s v="Phase 1"/>
    <s v="NRIS"/>
    <s v="Big Stone South 345 kV substation"/>
    <n v="450"/>
    <n v="450"/>
    <x v="1"/>
    <s v="Wind Turbine"/>
    <m/>
    <m/>
    <n v="0"/>
    <n v="0"/>
    <n v="0"/>
    <n v="0"/>
  </r>
  <r>
    <s v="J4136"/>
    <x v="1"/>
    <d v="2025-10-03T00:00:00"/>
    <d v="2025-12-23T00:00:00"/>
    <m/>
    <d v="2030-04-30T00:00:00"/>
    <s v="OTTER TAIL POWER COMPANY"/>
    <s v="Grant"/>
    <m/>
    <m/>
    <s v="SD"/>
    <s v="DPP-2025"/>
    <s v="West"/>
    <s v="Phase 1"/>
    <s v="NRIS"/>
    <s v="Big Stone South 345kV"/>
    <n v="250"/>
    <n v="250"/>
    <x v="2"/>
    <s v="Battery Storage"/>
    <m/>
    <m/>
    <n v="0"/>
    <n v="0"/>
    <n v="0"/>
    <n v="0"/>
  </r>
  <r>
    <s v="J4137"/>
    <x v="2"/>
    <d v="2025-09-29T00:00:00"/>
    <m/>
    <m/>
    <d v="2030-08-30T00:00:00"/>
    <s v="AMEREN ILLINOIS"/>
    <s v="Pulaski"/>
    <m/>
    <m/>
    <s v="IL"/>
    <s v="DPP-2026"/>
    <s v="Central"/>
    <m/>
    <s v="NRIS"/>
    <s v="Other_"/>
    <n v="200"/>
    <n v="200"/>
    <x v="2"/>
    <s v="Battery Storage"/>
    <m/>
    <m/>
    <n v="0"/>
    <n v="0"/>
    <n v="0"/>
    <n v="0"/>
  </r>
  <r>
    <s v="J4138"/>
    <x v="2"/>
    <d v="2025-10-07T00:00:00"/>
    <m/>
    <m/>
    <d v="2030-01-02T00:00:00"/>
    <s v="ENTERGY ARKANSAS, LLC"/>
    <s v="Iberville"/>
    <m/>
    <m/>
    <s v="LA"/>
    <s v="DPP-2026"/>
    <s v="South"/>
    <m/>
    <s v="NRIS"/>
    <s v="WEBRE"/>
    <n v="755"/>
    <n v="805"/>
    <x v="3"/>
    <s v="Combined Cycle"/>
    <m/>
    <m/>
    <n v="0"/>
    <n v="0"/>
    <n v="0"/>
    <n v="0"/>
  </r>
  <r>
    <s v="J4139"/>
    <x v="1"/>
    <d v="2025-09-25T00:00:00"/>
    <d v="2026-04-15T00:00:00"/>
    <m/>
    <d v="2030-05-01T00:00:00"/>
    <s v="ENTERGY ARKANSAS, LLC"/>
    <s v="Nevada"/>
    <m/>
    <m/>
    <s v="AR"/>
    <s v="DPP-2025"/>
    <s v="South"/>
    <s v="Phase 1"/>
    <s v="NRIS"/>
    <s v="EMMET SS - HOPE EAST SS 115.0kV"/>
    <n v="115"/>
    <n v="115"/>
    <x v="5"/>
    <s v="Solar/Battery"/>
    <m/>
    <m/>
    <n v="0"/>
    <n v="0"/>
    <n v="0"/>
    <n v="0"/>
  </r>
  <r>
    <s v="J4140"/>
    <x v="1"/>
    <d v="2025-09-25T00:00:00"/>
    <d v="2026-04-16T00:00:00"/>
    <m/>
    <d v="2030-05-31T00:00:00"/>
    <s v="ENTERGY LOUISIANA, LLC"/>
    <s v="Ouachita"/>
    <m/>
    <m/>
    <s v="LA"/>
    <s v="DPP-2025"/>
    <s v="South"/>
    <s v="Phase 1"/>
    <s v="NRIS"/>
    <s v="Cotton"/>
    <n v="100"/>
    <n v="100"/>
    <x v="2"/>
    <s v="Battery Storage"/>
    <m/>
    <m/>
    <n v="0"/>
    <n v="0"/>
    <n v="0"/>
    <n v="0"/>
  </r>
  <r>
    <s v="J4141"/>
    <x v="1"/>
    <d v="2025-10-07T00:00:00"/>
    <d v="2025-12-19T00:00:00"/>
    <m/>
    <d v="2030-06-30T00:00:00"/>
    <s v="ENTERGY LOUISIANA, LLC"/>
    <s v="Morehouse"/>
    <m/>
    <m/>
    <s v="LA"/>
    <s v="DPP-2025"/>
    <s v="South"/>
    <s v="Phase 1"/>
    <s v="NRIS"/>
    <s v="BAXTER WILSON SES SWYD - PERRYVILLE 500 SWYD 500.0kV"/>
    <n v="650"/>
    <n v="650"/>
    <x v="3"/>
    <s v="Combined Cycle"/>
    <m/>
    <m/>
    <n v="0"/>
    <n v="0"/>
    <n v="0"/>
    <n v="0"/>
  </r>
  <r>
    <s v="J4142"/>
    <x v="1"/>
    <d v="2025-10-04T00:00:00"/>
    <d v="2026-03-11T00:00:00"/>
    <m/>
    <d v="2030-08-31T00:00:00"/>
    <s v="ENTERGY LOUISIANA, LLC"/>
    <s v="Franklin"/>
    <m/>
    <m/>
    <s v="LA"/>
    <s v="DPP-2025"/>
    <s v="South"/>
    <s v="Phase 1"/>
    <s v="NRIS"/>
    <s v="Gilbert 115 kV"/>
    <n v="115"/>
    <n v="115"/>
    <x v="0"/>
    <s v="Photovoltaic"/>
    <m/>
    <m/>
    <n v="0"/>
    <n v="0"/>
    <n v="0"/>
    <n v="0"/>
  </r>
  <r>
    <s v="J4143"/>
    <x v="1"/>
    <d v="2025-10-04T00:00:00"/>
    <d v="2026-04-15T00:00:00"/>
    <m/>
    <d v="2030-08-31T00:00:00"/>
    <s v="ENTERGY LOUISIANA, LLC"/>
    <s v="West Carroll"/>
    <m/>
    <m/>
    <s v="LA"/>
    <s v="DPP-2025"/>
    <s v="South"/>
    <s v="Phase 1"/>
    <s v="NRIS"/>
    <s v="DARNELL"/>
    <n v="150"/>
    <n v="150"/>
    <x v="0"/>
    <s v="Photovoltaic"/>
    <m/>
    <m/>
    <n v="0"/>
    <n v="0"/>
    <n v="0"/>
    <n v="0"/>
  </r>
  <r>
    <s v="J4144"/>
    <x v="1"/>
    <d v="2025-10-06T00:00:00"/>
    <d v="2026-04-15T00:00:00"/>
    <m/>
    <d v="2030-06-30T00:00:00"/>
    <s v="AMERICAN TRANSMISSION COMPANY"/>
    <s v="Columbia"/>
    <m/>
    <m/>
    <s v="WI"/>
    <s v="DPP-2025"/>
    <s v="East (ATC)"/>
    <s v="Phase 1"/>
    <s v="NRIS"/>
    <s v="Columbia"/>
    <n v="525"/>
    <n v="525"/>
    <x v="3"/>
    <s v="Combustion Turbine (Simple Cycle)"/>
    <m/>
    <m/>
    <n v="0"/>
    <n v="0"/>
    <n v="0"/>
    <n v="0"/>
  </r>
  <r>
    <s v="J4145"/>
    <x v="2"/>
    <d v="2025-10-06T00:00:00"/>
    <m/>
    <m/>
    <d v="2028-06-30T00:00:00"/>
    <s v="ITC MIDWEST"/>
    <s v="Cerro Gordo"/>
    <m/>
    <m/>
    <s v="IA"/>
    <s v="DPP-2026"/>
    <s v="West"/>
    <m/>
    <s v="NRIS"/>
    <s v="Emery"/>
    <n v="98"/>
    <n v="98"/>
    <x v="3"/>
    <s v="Combined Cycle"/>
    <m/>
    <m/>
    <n v="0"/>
    <n v="0"/>
    <n v="0"/>
    <n v="0"/>
  </r>
  <r>
    <s v="J4146"/>
    <x v="2"/>
    <d v="2025-09-06T00:00:00"/>
    <m/>
    <m/>
    <d v="2028-08-04T00:00:00"/>
    <s v="ENTERGY MISSISSIPPI, LLC."/>
    <m/>
    <m/>
    <m/>
    <m/>
    <s v="0MW GIA"/>
    <s v="NA"/>
    <m/>
    <s v="NRIS"/>
    <m/>
    <n v="0"/>
    <n v="0"/>
    <x v="8"/>
    <m/>
    <s v="Not Started"/>
    <d v="2028-08-04T00:00:00"/>
    <n v="0"/>
    <n v="0"/>
    <n v="0"/>
    <n v="0"/>
  </r>
  <r>
    <s v="J4147"/>
    <x v="2"/>
    <d v="2025-10-03T00:00:00"/>
    <m/>
    <m/>
    <d v="2030-01-31T00:00:00"/>
    <s v="GREAT RIVER ENERGY"/>
    <s v="Clay"/>
    <m/>
    <m/>
    <s v="MN"/>
    <s v="DPP-2025"/>
    <s v="West"/>
    <s v="Phase 1"/>
    <s v="ERIS"/>
    <s v="ALEXANDRIA - BISON 345.0kV"/>
    <n v="245"/>
    <n v="245"/>
    <x v="0"/>
    <s v="Photovoltaic"/>
    <m/>
    <m/>
    <n v="245"/>
    <n v="0"/>
    <n v="0"/>
    <n v="0"/>
  </r>
  <r>
    <s v="J4148"/>
    <x v="2"/>
    <d v="2025-10-03T00:00:00"/>
    <m/>
    <m/>
    <d v="2030-01-31T00:00:00"/>
    <s v="GREAT RIVER ENERGY"/>
    <s v="Clay"/>
    <m/>
    <m/>
    <s v="MN"/>
    <s v="DPP-2025"/>
    <s v="West"/>
    <s v="Phase 1"/>
    <s v="ERIS"/>
    <s v="ALEXANDRIA - BISON 345.0kV"/>
    <n v="245"/>
    <n v="245"/>
    <x v="0"/>
    <s v="Photovoltaic"/>
    <m/>
    <m/>
    <n v="245"/>
    <n v="0"/>
    <n v="0"/>
    <n v="0"/>
  </r>
  <r>
    <s v="J4149"/>
    <x v="1"/>
    <d v="2025-10-05T00:00:00"/>
    <d v="2025-12-24T00:00:00"/>
    <m/>
    <d v="2030-04-30T00:00:00"/>
    <s v="OTTER TAIL POWER COMPANY"/>
    <s v="Grant"/>
    <m/>
    <m/>
    <s v="SD"/>
    <s v="DPP-2025"/>
    <s v="West"/>
    <s v="Phase 1"/>
    <s v="NRIS"/>
    <s v="Big Stone South 345 kV substation"/>
    <n v="150"/>
    <n v="150"/>
    <x v="1"/>
    <s v="Wind Turbine"/>
    <m/>
    <m/>
    <n v="0"/>
    <n v="0"/>
    <n v="0"/>
    <n v="0"/>
  </r>
  <r>
    <s v="J4150"/>
    <x v="2"/>
    <d v="2025-10-06T00:00:00"/>
    <m/>
    <m/>
    <d v="2027-09-01T00:00:00"/>
    <s v="MIDAMERICAN ENERGY CO."/>
    <s v="Cass"/>
    <m/>
    <m/>
    <s v="IA"/>
    <s v="DPP-2025"/>
    <s v="West"/>
    <s v="Phase 1"/>
    <s v="NRIS"/>
    <s v="ATLANTIC - ADAIR 161.0kV"/>
    <n v="42.24"/>
    <n v="42.24"/>
    <x v="0"/>
    <s v="Photovoltaic"/>
    <m/>
    <m/>
    <n v="39"/>
    <n v="39"/>
    <n v="0"/>
    <n v="0"/>
  </r>
  <r>
    <s v="J4151"/>
    <x v="2"/>
    <d v="2025-10-06T00:00:00"/>
    <m/>
    <m/>
    <d v="2030-05-01T00:00:00"/>
    <s v="MINNESOTA MUNICIPAL POWER AGENCY"/>
    <s v="Redwood"/>
    <m/>
    <m/>
    <s v="MN"/>
    <s v="DPP-2025"/>
    <s v="West"/>
    <s v="Phase 1"/>
    <s v="NRIS"/>
    <s v="Cedar Mountain - Lyon County 345.0kV"/>
    <n v="225"/>
    <n v="225"/>
    <x v="0"/>
    <s v="Photovoltaic"/>
    <m/>
    <m/>
    <n v="225"/>
    <n v="225"/>
    <n v="0"/>
    <n v="0"/>
  </r>
  <r>
    <s v="J4152"/>
    <x v="2"/>
    <d v="2025-10-06T00:00:00"/>
    <m/>
    <m/>
    <d v="2030-09-30T00:00:00"/>
    <s v="MINNESOTA MUNICIPAL POWER AGENCY M2PA"/>
    <s v="Redwood"/>
    <m/>
    <m/>
    <s v="MN"/>
    <s v="DPP-2026"/>
    <s v="West"/>
    <m/>
    <s v="NRIS"/>
    <s v="Cedar Mountain - Lyon County 345.0kV"/>
    <n v="250"/>
    <n v="250"/>
    <x v="0"/>
    <s v="Photovoltaic"/>
    <m/>
    <m/>
    <n v="0"/>
    <n v="0"/>
    <n v="0"/>
    <n v="0"/>
  </r>
  <r>
    <s v="J4153"/>
    <x v="2"/>
    <d v="2025-10-07T00:00:00"/>
    <m/>
    <m/>
    <d v="2031-06-28T00:00:00"/>
    <s v="OTTER TAIL POWER COMPANY"/>
    <s v="Grant"/>
    <m/>
    <m/>
    <s v="SD"/>
    <s v="DPP-2026"/>
    <s v="West"/>
    <m/>
    <s v="NRIS"/>
    <s v="Big Stone South 345 kV substation"/>
    <n v="250"/>
    <n v="250"/>
    <x v="2"/>
    <s v="Battery Storage"/>
    <m/>
    <m/>
    <n v="0"/>
    <n v="0"/>
    <n v="0"/>
    <n v="0"/>
  </r>
  <r>
    <s v="J4154"/>
    <x v="2"/>
    <d v="2025-10-07T00:00:00"/>
    <m/>
    <m/>
    <d v="2028-08-01T00:00:00"/>
    <s v="GridUnity"/>
    <s v="Madison"/>
    <m/>
    <m/>
    <s v="MS"/>
    <s v="DPP-2026"/>
    <s v="South"/>
    <m/>
    <s v="NRIS"/>
    <s v="Andes Substation"/>
    <n v="200"/>
    <n v="200"/>
    <x v="2"/>
    <s v="Battery Storage"/>
    <m/>
    <m/>
    <n v="0"/>
    <n v="0"/>
    <n v="0"/>
    <n v="0"/>
  </r>
  <r>
    <s v="J4155"/>
    <x v="2"/>
    <d v="2025-10-06T00:00:00"/>
    <m/>
    <m/>
    <d v="2029-09-03T00:00:00"/>
    <s v="ITC MIDWEST"/>
    <s v="Linn"/>
    <m/>
    <m/>
    <s v="IA"/>
    <s v="DPP-2026"/>
    <s v="West"/>
    <m/>
    <s v="NRIS"/>
    <s v="Prairie Creek - Stony Point 115kV"/>
    <n v="195"/>
    <n v="195"/>
    <x v="2"/>
    <s v="Battery Storage"/>
    <m/>
    <m/>
    <n v="0"/>
    <n v="0"/>
    <n v="0"/>
    <n v="0"/>
  </r>
  <r>
    <s v="J4156"/>
    <x v="1"/>
    <d v="2025-10-06T00:00:00"/>
    <d v="2026-01-05T00:00:00"/>
    <m/>
    <d v="2029-09-01T00:00:00"/>
    <s v="ENTERGY LOUISIANA, LLC"/>
    <s v="Ouachita"/>
    <m/>
    <m/>
    <s v="LA"/>
    <s v="DPP-2025"/>
    <s v="South"/>
    <s v="Phase 1"/>
    <s v="NRIS"/>
    <s v="RILLA - RIVERTON 115.0kV"/>
    <n v="93"/>
    <n v="93"/>
    <x v="0"/>
    <s v="Photovoltaic"/>
    <m/>
    <m/>
    <n v="0"/>
    <n v="0"/>
    <n v="0"/>
    <n v="0"/>
  </r>
  <r>
    <s v="J4157"/>
    <x v="2"/>
    <d v="2025-10-03T00:00:00"/>
    <m/>
    <m/>
    <d v="2030-09-02T00:00:00"/>
    <s v="MINNESOTA POWER INC."/>
    <s v="Morrison"/>
    <m/>
    <m/>
    <s v="MN"/>
    <s v="DPP-2025"/>
    <s v="West"/>
    <s v="Phase 1"/>
    <s v="NRIS"/>
    <s v="Iron Ridge - Benton 345kV"/>
    <n v="150"/>
    <n v="150"/>
    <x v="1"/>
    <s v="Wind Turbine"/>
    <m/>
    <m/>
    <n v="150"/>
    <n v="97.5"/>
    <n v="0"/>
    <n v="0"/>
  </r>
  <r>
    <s v="J4158"/>
    <x v="2"/>
    <d v="2025-10-02T00:00:00"/>
    <m/>
    <m/>
    <d v="2030-01-01T00:00:00"/>
    <s v="AMEREN ILLINOIS"/>
    <s v="De Witt"/>
    <m/>
    <m/>
    <s v="IL"/>
    <s v="DPP-2026"/>
    <s v="Central"/>
    <m/>
    <s v="NRIS"/>
    <s v="4TABOR - 4SCLINTON TP 138.0kV"/>
    <n v="100"/>
    <n v="100"/>
    <x v="0"/>
    <s v="Photovoltaic"/>
    <m/>
    <m/>
    <n v="0"/>
    <n v="0"/>
    <n v="0"/>
    <n v="0"/>
  </r>
  <r>
    <s v="J4159"/>
    <x v="2"/>
    <d v="2025-08-13T00:00:00"/>
    <m/>
    <m/>
    <d v="2028-06-30T00:00:00"/>
    <s v="METC"/>
    <s v="Ottawa"/>
    <m/>
    <m/>
    <s v="MI"/>
    <s v="DPP-2026"/>
    <s v="East (ITC)"/>
    <m/>
    <s v="NRIS"/>
    <s v="ROOSEVELT"/>
    <n v="616"/>
    <n v="664"/>
    <x v="3"/>
    <s v="Combined Cycle"/>
    <m/>
    <m/>
    <n v="0"/>
    <n v="0"/>
    <n v="0"/>
    <n v="0"/>
  </r>
  <r>
    <s v="J4160"/>
    <x v="2"/>
    <d v="2025-08-13T00:00:00"/>
    <m/>
    <m/>
    <d v="2026-05-31T00:00:00"/>
    <s v="METC"/>
    <s v="Ottawa"/>
    <m/>
    <m/>
    <s v="MI"/>
    <s v="DPP-2025"/>
    <s v="East (ITC)"/>
    <s v="Phase 1"/>
    <s v="NRIS"/>
    <s v="ROOSEVELT"/>
    <n v="55"/>
    <n v="55"/>
    <x v="3"/>
    <s v="Combustion Turbine (Simple Cycle)"/>
    <m/>
    <d v="2026-08-15T00:00:00"/>
    <n v="55"/>
    <n v="55"/>
    <n v="0"/>
    <n v="0"/>
  </r>
  <r>
    <s v="J4161"/>
    <x v="1"/>
    <d v="2025-09-26T00:00:00"/>
    <d v="2026-04-15T00:00:00"/>
    <m/>
    <d v="2030-09-30T00:00:00"/>
    <s v="NORTHERN STATES POWER COMPANY"/>
    <s v="Watonwan"/>
    <m/>
    <m/>
    <s v="MN"/>
    <s v="DPP-2025"/>
    <s v="West"/>
    <s v="Phase 1"/>
    <s v="NRIS"/>
    <s v="Lakefield Generation SW - LAKEFIELD JCT 345.0kV"/>
    <n v="1000"/>
    <n v="1000"/>
    <x v="0"/>
    <s v="Photovoltaic"/>
    <m/>
    <m/>
    <n v="0"/>
    <n v="0"/>
    <n v="0"/>
    <n v="0"/>
  </r>
  <r>
    <s v="J4162"/>
    <x v="1"/>
    <d v="2025-09-29T00:00:00"/>
    <d v="2026-01-05T00:00:00"/>
    <m/>
    <d v="2028-04-03T00:00:00"/>
    <s v="NORTHERN STATES POWER COMPANY"/>
    <s v="Stearns"/>
    <m/>
    <m/>
    <s v="MN"/>
    <s v="DPP-2025"/>
    <s v="West"/>
    <s v="Phase 1"/>
    <s v="NRIS"/>
    <s v="Quarry - Alexandria 345.0kV"/>
    <n v="300"/>
    <n v="300"/>
    <x v="2"/>
    <s v="Battery Storage"/>
    <m/>
    <m/>
    <n v="0"/>
    <n v="0"/>
    <n v="0"/>
    <n v="0"/>
  </r>
  <r>
    <s v="J4163"/>
    <x v="2"/>
    <d v="2025-11-05T00:00:00"/>
    <m/>
    <m/>
    <d v="2026-08-03T00:00:00"/>
    <m/>
    <s v="Drew"/>
    <m/>
    <m/>
    <s v="AR"/>
    <s v="0MW GIA"/>
    <s v="NA"/>
    <m/>
    <s v="ERIS"/>
    <s v="Wilmar East"/>
    <n v="0"/>
    <n v="0"/>
    <x v="12"/>
    <s v="Co-gen"/>
    <m/>
    <m/>
    <n v="0"/>
    <n v="0"/>
    <n v="0"/>
    <n v="0"/>
  </r>
  <r>
    <s v="J4164"/>
    <x v="2"/>
    <d v="2025-09-29T00:00:00"/>
    <m/>
    <m/>
    <d v="2030-05-01T00:00:00"/>
    <s v="AMERICAN TRANSMISSION COMPANY"/>
    <s v="Dane"/>
    <m/>
    <m/>
    <s v="WI"/>
    <s v="DPP-2025"/>
    <s v="East (ATC)"/>
    <s v="Phase 1"/>
    <s v="NRIS"/>
    <s v="North Madison 345/138 kV"/>
    <n v="1203"/>
    <n v="1203"/>
    <x v="3"/>
    <s v="Combustion Turbine (Simple Cycle)"/>
    <m/>
    <m/>
    <n v="1203"/>
    <n v="1203"/>
    <n v="0"/>
    <n v="0"/>
  </r>
  <r>
    <s v="J4165"/>
    <x v="2"/>
    <d v="2025-09-29T00:00:00"/>
    <m/>
    <m/>
    <d v="2030-05-01T00:00:00"/>
    <s v="AMERICAN TRANSMISSION COMPANY"/>
    <s v="Kenosha"/>
    <m/>
    <m/>
    <s v="WI"/>
    <s v="DPP-2025"/>
    <s v="East (ATC)"/>
    <s v="Phase 1"/>
    <s v="NRIS"/>
    <s v="Other_"/>
    <n v="1203"/>
    <n v="1203"/>
    <x v="3"/>
    <s v="Combustion Turbine (Simple Cycle)"/>
    <m/>
    <m/>
    <n v="1203"/>
    <n v="1203"/>
    <n v="0"/>
    <n v="0"/>
  </r>
  <r>
    <s v="J4166"/>
    <x v="1"/>
    <d v="2025-09-24T00:00:00"/>
    <d v="2026-01-05T00:00:00"/>
    <m/>
    <d v="2029-11-15T00:00:00"/>
    <m/>
    <s v="Iberville"/>
    <m/>
    <m/>
    <s v="LA"/>
    <s v="DPP-2025"/>
    <s v="South"/>
    <s v="Phase 1"/>
    <s v="NRIS"/>
    <s v="Commodore 500 kV Substation,"/>
    <n v="710"/>
    <n v="710"/>
    <x v="3"/>
    <s v="Combined-Cycle ‚Äì Steam Plant"/>
    <m/>
    <m/>
    <n v="0"/>
    <n v="0"/>
    <n v="0"/>
    <n v="0"/>
  </r>
  <r>
    <s v="J4167"/>
    <x v="2"/>
    <d v="2025-09-17T00:00:00"/>
    <m/>
    <m/>
    <d v="2030-10-31T00:00:00"/>
    <s v="METC"/>
    <s v="Allegan"/>
    <m/>
    <m/>
    <s v="MI"/>
    <s v="DPP-2026"/>
    <s v="East (ITC)"/>
    <m/>
    <s v="NRIS"/>
    <s v="ARGENTA"/>
    <n v="250"/>
    <n v="250"/>
    <x v="2"/>
    <s v="Battery Storage"/>
    <m/>
    <m/>
    <n v="0"/>
    <n v="0"/>
    <n v="0"/>
    <n v="0"/>
  </r>
  <r>
    <s v="J4168"/>
    <x v="2"/>
    <d v="2025-10-03T00:00:00"/>
    <m/>
    <m/>
    <d v="2028-04-03T00:00:00"/>
    <s v="NORTHERN STATES POWER COMPANY"/>
    <s v="Goodhue"/>
    <m/>
    <m/>
    <s v="MN"/>
    <s v="DPP-2025"/>
    <s v="West"/>
    <s v="Phase 1"/>
    <s v="NRIS"/>
    <s v="NROC 3 (601039) to PR ISLD3 (601003) 345 kV line"/>
    <n v="330"/>
    <n v="330"/>
    <x v="2"/>
    <s v="Battery Storage"/>
    <m/>
    <m/>
    <n v="330"/>
    <n v="330"/>
    <n v="0"/>
    <n v="0"/>
  </r>
  <r>
    <s v="J4169"/>
    <x v="2"/>
    <d v="2025-10-06T00:00:00"/>
    <m/>
    <m/>
    <d v="2025-09-15T00:00:00"/>
    <s v="AMERICAN TRANSMISSION COMPANY"/>
    <s v="Dickinson"/>
    <m/>
    <m/>
    <s v="MI"/>
    <s v="DPP-2025"/>
    <s v="East (ATC)"/>
    <s v="Phase 1"/>
    <s v="NRIS"/>
    <s v="Nordic"/>
    <n v="5.99"/>
    <n v="5.99"/>
    <x v="0"/>
    <s v="Photovoltaic"/>
    <m/>
    <m/>
    <n v="0"/>
    <n v="5.99"/>
    <n v="0"/>
    <n v="0"/>
  </r>
  <r>
    <s v="J4170"/>
    <x v="2"/>
    <d v="2025-10-07T00:00:00"/>
    <m/>
    <m/>
    <d v="2029-08-31T00:00:00"/>
    <s v="OTTER TAIL POWER COMPANY"/>
    <s v="Richland"/>
    <m/>
    <m/>
    <s v="ND"/>
    <s v="DPP-2026"/>
    <s v="West"/>
    <m/>
    <s v="NRIS"/>
    <s v="Hankinson - Wahpeton 230.0kV"/>
    <n v="172"/>
    <n v="172"/>
    <x v="5"/>
    <s v="Solar/Battery"/>
    <m/>
    <m/>
    <n v="0"/>
    <n v="0"/>
    <n v="0"/>
    <n v="0"/>
  </r>
  <r>
    <s v="J4171"/>
    <x v="1"/>
    <d v="2025-10-07T00:00:00"/>
    <d v="2026-01-05T00:00:00"/>
    <m/>
    <d v="2029-04-30T00:00:00"/>
    <s v="AMERICAN TRANSMISSION COMPANY"/>
    <s v="Racine"/>
    <m/>
    <m/>
    <s v="WI"/>
    <s v="DPP-2025"/>
    <s v="East (ATC)"/>
    <s v="Phase 1"/>
    <s v="NRIS"/>
    <s v="138 kV Jupiter Substation (#50167)"/>
    <n v="300"/>
    <n v="300"/>
    <x v="2"/>
    <s v="Battery Storage"/>
    <m/>
    <m/>
    <n v="0"/>
    <n v="0"/>
    <n v="0"/>
    <n v="0"/>
  </r>
  <r>
    <s v="J4172"/>
    <x v="2"/>
    <d v="2025-10-07T00:00:00"/>
    <m/>
    <m/>
    <d v="2028-12-31T00:00:00"/>
    <s v="Alliant Energy West"/>
    <s v="Wapello"/>
    <m/>
    <m/>
    <s v="IA"/>
    <s v="DPP-2026"/>
    <s v="West"/>
    <m/>
    <s v="NRIS"/>
    <s v="Ottumwa Generating St. 161 kV"/>
    <n v="99"/>
    <n v="99"/>
    <x v="2"/>
    <s v="Battery Storage"/>
    <m/>
    <m/>
    <n v="0"/>
    <n v="0"/>
    <n v="0"/>
    <n v="0"/>
  </r>
  <r>
    <s v="J4173"/>
    <x v="2"/>
    <d v="2025-10-07T00:00:00"/>
    <m/>
    <m/>
    <d v="2028-12-31T00:00:00"/>
    <s v="ITC MIDWEST"/>
    <s v="Wapello"/>
    <m/>
    <m/>
    <s v="IA"/>
    <s v="DPP-2026"/>
    <s v="West"/>
    <m/>
    <s v="NRIS"/>
    <s v="Ottumwa Generating St. 161 kV"/>
    <n v="199"/>
    <n v="199"/>
    <x v="2"/>
    <s v="Battery Storage"/>
    <m/>
    <m/>
    <n v="0"/>
    <n v="0"/>
    <n v="0"/>
    <n v="0"/>
  </r>
  <r>
    <s v="J4174"/>
    <x v="2"/>
    <d v="2025-10-07T00:00:00"/>
    <m/>
    <m/>
    <d v="2030-06-30T00:00:00"/>
    <s v="ENTERGY ARKANSAS, LLC"/>
    <s v="Poinsett"/>
    <m/>
    <m/>
    <s v="AR"/>
    <s v="DPP-2026"/>
    <s v="South"/>
    <m/>
    <s v="NRIS"/>
    <s v="MARKED TREE"/>
    <n v="140"/>
    <n v="140"/>
    <x v="2"/>
    <s v="Battery Storage"/>
    <m/>
    <m/>
    <n v="0"/>
    <n v="0"/>
    <n v="0"/>
    <n v="0"/>
  </r>
  <r>
    <s v="J4175"/>
    <x v="2"/>
    <d v="2025-10-07T00:00:00"/>
    <m/>
    <m/>
    <d v="2029-09-01T00:00:00"/>
    <s v="ENTERGY LOUISIANA, LLC"/>
    <m/>
    <m/>
    <m/>
    <m/>
    <s v="DPP-2026"/>
    <s v="South"/>
    <m/>
    <s v="NRIS"/>
    <m/>
    <n v="770"/>
    <n v="770"/>
    <x v="8"/>
    <m/>
    <m/>
    <m/>
    <n v="0"/>
    <n v="0"/>
    <n v="0"/>
    <n v="0"/>
  </r>
  <r>
    <s v="J4176"/>
    <x v="1"/>
    <d v="2025-10-06T00:00:00"/>
    <d v="2026-01-02T00:00:00"/>
    <m/>
    <d v="2028-09-01T00:00:00"/>
    <s v="ENTERGY MISSISSIPPI, LLC."/>
    <m/>
    <m/>
    <m/>
    <m/>
    <s v="DPP-2025"/>
    <s v="South"/>
    <s v="Phase 1"/>
    <s v="NRIS"/>
    <m/>
    <n v="1750"/>
    <n v="1750"/>
    <x v="8"/>
    <m/>
    <m/>
    <m/>
    <n v="0"/>
    <n v="0"/>
    <n v="0"/>
    <n v="0"/>
  </r>
  <r>
    <s v="J4177"/>
    <x v="2"/>
    <d v="2025-10-07T00:00:00"/>
    <m/>
    <m/>
    <d v="2030-01-02T00:00:00"/>
    <s v="AMERICAN TRANSMISSION COMPANY"/>
    <m/>
    <m/>
    <m/>
    <m/>
    <s v="DPP-2026"/>
    <s v="East (ATC)"/>
    <m/>
    <s v="NRIS"/>
    <m/>
    <n v="735"/>
    <n v="735"/>
    <x v="8"/>
    <m/>
    <m/>
    <m/>
    <n v="0"/>
    <n v="0"/>
    <n v="0"/>
    <n v="0"/>
  </r>
  <r>
    <s v="J4178"/>
    <x v="2"/>
    <d v="2025-10-07T00:00:00"/>
    <m/>
    <m/>
    <d v="2030-01-02T00:00:00"/>
    <s v="ENTERGY LOUISIANA, LLC"/>
    <m/>
    <m/>
    <m/>
    <m/>
    <s v="DPP-2026"/>
    <s v="South"/>
    <m/>
    <s v="NRIS"/>
    <m/>
    <n v="755"/>
    <n v="755"/>
    <x v="8"/>
    <m/>
    <m/>
    <m/>
    <n v="0"/>
    <n v="0"/>
    <n v="0"/>
    <n v="0"/>
  </r>
  <r>
    <s v="J4179"/>
    <x v="2"/>
    <d v="2025-10-07T00:00:00"/>
    <m/>
    <m/>
    <d v="2030-01-02T00:00:00"/>
    <s v="AMERICAN TRANSMISSION COMPANY"/>
    <m/>
    <m/>
    <m/>
    <m/>
    <s v="DPP-2026"/>
    <s v="East (ATC)"/>
    <m/>
    <s v="NRIS"/>
    <m/>
    <n v="735"/>
    <n v="735"/>
    <x v="8"/>
    <m/>
    <m/>
    <m/>
    <n v="0"/>
    <n v="0"/>
    <n v="0"/>
    <n v="0"/>
  </r>
  <r>
    <s v="J418"/>
    <x v="1"/>
    <d v="2017-06-16T00:00:00"/>
    <d v="2019-01-07T00:00:00"/>
    <m/>
    <d v="2016-11-01T00:00:00"/>
    <s v="Entergy"/>
    <s v="Polk County"/>
    <m/>
    <m/>
    <s v="TX"/>
    <s v="DPP-2017-AUG"/>
    <s v="South"/>
    <s v="GIA"/>
    <s v="NRIS"/>
    <s v="Rich - Livingston 138kV Line"/>
    <n v="100"/>
    <n v="100"/>
    <x v="0"/>
    <s v="Photovoltaic"/>
    <s v="Not Started"/>
    <m/>
    <n v="0"/>
    <n v="0"/>
    <n v="0"/>
    <n v="0"/>
  </r>
  <r>
    <s v="J4180"/>
    <x v="2"/>
    <d v="2025-10-07T00:00:00"/>
    <m/>
    <m/>
    <d v="2030-01-02T00:00:00"/>
    <s v="NORTHERN STATES POWER COMPANY"/>
    <m/>
    <m/>
    <m/>
    <m/>
    <s v="DPP-2026"/>
    <s v="West"/>
    <m/>
    <s v="NRIS"/>
    <m/>
    <n v="755"/>
    <n v="755"/>
    <x v="8"/>
    <m/>
    <m/>
    <m/>
    <n v="0"/>
    <n v="0"/>
    <n v="0"/>
    <n v="0"/>
  </r>
  <r>
    <s v="J4181"/>
    <x v="1"/>
    <d v="2025-10-07T00:00:00"/>
    <d v="2026-04-28T00:00:00"/>
    <m/>
    <d v="2030-02-01T00:00:00"/>
    <s v="MINNESOTA POWER INC."/>
    <m/>
    <m/>
    <m/>
    <m/>
    <s v="DPP-2026"/>
    <s v="West"/>
    <m/>
    <s v="NRIS"/>
    <m/>
    <n v="755"/>
    <n v="755"/>
    <x v="8"/>
    <m/>
    <m/>
    <m/>
    <n v="0"/>
    <n v="0"/>
    <n v="0"/>
    <n v="0"/>
  </r>
  <r>
    <s v="J4182"/>
    <x v="2"/>
    <d v="2025-10-08T00:00:00"/>
    <m/>
    <m/>
    <d v="2028-11-01T00:00:00"/>
    <s v="ENTERGY ARKANSAS, LLC"/>
    <m/>
    <m/>
    <m/>
    <m/>
    <s v="ERAS Study Cycle 2"/>
    <s v="South"/>
    <m/>
    <s v="NRIS"/>
    <m/>
    <n v="0"/>
    <n v="0"/>
    <x v="8"/>
    <m/>
    <m/>
    <m/>
    <n v="0"/>
    <n v="0"/>
    <n v="0"/>
    <n v="0"/>
  </r>
  <r>
    <s v="J4183"/>
    <x v="2"/>
    <d v="2025-10-07T00:00:00"/>
    <m/>
    <m/>
    <d v="2027-04-28T00:00:00"/>
    <s v="ENTERGY MISSISSIPPI, LLC."/>
    <m/>
    <m/>
    <m/>
    <m/>
    <s v="DPP-2025"/>
    <s v="South"/>
    <s v="Phase 1"/>
    <s v="NRIS"/>
    <m/>
    <n v="99.9"/>
    <n v="99.9"/>
    <x v="8"/>
    <m/>
    <m/>
    <m/>
    <n v="23"/>
    <n v="23"/>
    <n v="0"/>
    <n v="0"/>
  </r>
  <r>
    <s v="J4184"/>
    <x v="2"/>
    <d v="2025-10-07T00:00:00"/>
    <m/>
    <m/>
    <d v="2030-02-01T00:00:00"/>
    <s v="AMERICAN TRANSMISSION COMPANY"/>
    <m/>
    <m/>
    <m/>
    <m/>
    <s v="DPP-2026"/>
    <s v="East (ATC)"/>
    <m/>
    <s v="NRIS"/>
    <m/>
    <n v="755"/>
    <n v="755"/>
    <x v="8"/>
    <m/>
    <m/>
    <m/>
    <n v="0"/>
    <n v="0"/>
    <n v="0"/>
    <n v="0"/>
  </r>
  <r>
    <s v="J4185"/>
    <x v="2"/>
    <d v="2025-10-07T00:00:00"/>
    <m/>
    <m/>
    <d v="2030-01-02T00:00:00"/>
    <s v="ENTERGY LOUISIANA, LLC"/>
    <m/>
    <m/>
    <m/>
    <m/>
    <s v="DPP-2026"/>
    <s v="South"/>
    <m/>
    <s v="NRIS"/>
    <m/>
    <n v="755"/>
    <n v="755"/>
    <x v="8"/>
    <m/>
    <m/>
    <m/>
    <n v="0"/>
    <n v="0"/>
    <n v="0"/>
    <n v="0"/>
  </r>
  <r>
    <s v="J4186"/>
    <x v="1"/>
    <d v="2025-10-07T00:00:00"/>
    <d v="2026-07-01T00:00:00"/>
    <m/>
    <d v="2029-09-01T00:00:00"/>
    <s v="ENTERGY LOUISIANA, LLC"/>
    <m/>
    <m/>
    <m/>
    <m/>
    <s v="DPP-2026"/>
    <s v="South"/>
    <m/>
    <s v="NRIS"/>
    <m/>
    <n v="1540"/>
    <n v="1540"/>
    <x v="8"/>
    <m/>
    <m/>
    <m/>
    <n v="0"/>
    <n v="0"/>
    <n v="0"/>
    <n v="0"/>
  </r>
  <r>
    <s v="J4187"/>
    <x v="2"/>
    <d v="2025-10-07T00:00:00"/>
    <m/>
    <m/>
    <d v="2030-01-02T00:00:00"/>
    <s v="NORTHERN STATES POWER COMPANY"/>
    <m/>
    <m/>
    <m/>
    <m/>
    <s v="DPP-2026"/>
    <s v="West"/>
    <m/>
    <s v="NRIS"/>
    <m/>
    <n v="755"/>
    <n v="755"/>
    <x v="8"/>
    <m/>
    <m/>
    <m/>
    <n v="0"/>
    <n v="0"/>
    <n v="0"/>
    <n v="0"/>
  </r>
  <r>
    <s v="J4188"/>
    <x v="2"/>
    <d v="2025-10-03T00:00:00"/>
    <m/>
    <m/>
    <d v="2029-09-06T00:00:00"/>
    <s v="CLECO POWER LLC"/>
    <s v="Beauregard"/>
    <m/>
    <m/>
    <s v="LA"/>
    <s v="DPP-2025"/>
    <s v="South"/>
    <s v="Phase 1"/>
    <s v="NRIS"/>
    <s v="Cole - Cooper 230.0kV"/>
    <n v="140"/>
    <n v="140"/>
    <x v="0"/>
    <s v="Photovoltaic"/>
    <m/>
    <m/>
    <n v="140"/>
    <n v="140"/>
    <n v="0"/>
    <n v="0"/>
  </r>
  <r>
    <s v="J4189"/>
    <x v="1"/>
    <d v="2025-10-06T00:00:00"/>
    <d v="2026-04-16T00:00:00"/>
    <m/>
    <d v="2030-04-01T00:00:00"/>
    <s v="ENTERGY MISSISSIPPI, LLC."/>
    <s v="Sunflower"/>
    <m/>
    <m/>
    <s v="MS"/>
    <s v="DPP-2025"/>
    <s v="South"/>
    <s v="Phase 1"/>
    <s v="NRIS"/>
    <s v="ROUNDAWAY SS (CE) - CLARKSDALE 115.0kV"/>
    <n v="200"/>
    <n v="200"/>
    <x v="0"/>
    <s v="Photovoltaic"/>
    <m/>
    <m/>
    <n v="0"/>
    <n v="0"/>
    <n v="0"/>
    <n v="0"/>
  </r>
  <r>
    <s v="J4190"/>
    <x v="1"/>
    <d v="2025-10-06T00:00:00"/>
    <d v="2026-04-14T00:00:00"/>
    <m/>
    <d v="2030-06-14T00:00:00"/>
    <s v="ENTERGY LOUISIANA, LLC"/>
    <s v="Iberville"/>
    <m/>
    <m/>
    <s v="LA"/>
    <s v="DPP-2025"/>
    <s v="South"/>
    <s v="Phase 1"/>
    <s v="NRIS"/>
    <s v="WILLOW GLEN 230 SWYD"/>
    <n v="707"/>
    <n v="707"/>
    <x v="3"/>
    <s v="Combined Cycle"/>
    <m/>
    <m/>
    <n v="0"/>
    <n v="0"/>
    <n v="0"/>
    <n v="0"/>
  </r>
  <r>
    <s v="J4191"/>
    <x v="2"/>
    <d v="2025-10-07T00:00:00"/>
    <m/>
    <m/>
    <d v="2030-01-02T00:00:00"/>
    <s v="ENTERGY ARKANSAS, LLC EATO"/>
    <s v="Iberville"/>
    <m/>
    <m/>
    <s v="LA"/>
    <s v="DPP-2026"/>
    <s v="South"/>
    <m/>
    <s v="NRIS"/>
    <s v="WEBRE"/>
    <n v="755"/>
    <n v="805"/>
    <x v="3"/>
    <s v="Combined Cycle"/>
    <m/>
    <m/>
    <n v="0"/>
    <n v="0"/>
    <n v="0"/>
    <n v="0"/>
  </r>
  <r>
    <s v="J4192"/>
    <x v="1"/>
    <d v="2025-10-07T00:00:00"/>
    <d v="2026-01-05T00:00:00"/>
    <m/>
    <d v="2029-04-30T00:00:00"/>
    <s v="AMERICAN TRANSMISSION COMPANY"/>
    <s v="Racine"/>
    <m/>
    <m/>
    <s v="WI"/>
    <s v="DPP-2025"/>
    <s v="East (ATC)"/>
    <s v="Phase 1"/>
    <s v="NRIS"/>
    <s v="Bain - State Line 138.0kV"/>
    <n v="200"/>
    <n v="200"/>
    <x v="2"/>
    <s v="Battery Storage"/>
    <m/>
    <m/>
    <n v="0"/>
    <n v="0"/>
    <n v="0"/>
    <n v="0"/>
  </r>
  <r>
    <s v="J4193"/>
    <x v="2"/>
    <d v="2025-10-07T00:00:00"/>
    <m/>
    <m/>
    <d v="2030-12-31T00:00:00"/>
    <s v="NORTHERN STATES POWER COMPANY"/>
    <s v="Meeker"/>
    <m/>
    <m/>
    <s v="MN"/>
    <s v="DPP-2026"/>
    <s v="West"/>
    <m/>
    <s v="NRIS"/>
    <s v="SHERBURNE CO"/>
    <n v="200"/>
    <n v="200"/>
    <x v="1"/>
    <s v="Wind Turbine"/>
    <m/>
    <m/>
    <n v="0"/>
    <n v="0"/>
    <n v="0"/>
    <n v="0"/>
  </r>
  <r>
    <s v="J4194"/>
    <x v="2"/>
    <d v="2025-10-07T00:00:00"/>
    <d v="2026-06-11T00:00:00"/>
    <m/>
    <d v="2028-12-31T00:00:00"/>
    <s v="NORTHERN STATES POWER COMPANY"/>
    <s v="Meeker"/>
    <m/>
    <m/>
    <s v="MN"/>
    <s v="DPP-2026"/>
    <s v="West"/>
    <m/>
    <s v="NRIS"/>
    <s v="SHERBURNE CO"/>
    <n v="500"/>
    <n v="500"/>
    <x v="2"/>
    <s v="Battery Storage"/>
    <m/>
    <m/>
    <n v="0"/>
    <n v="0"/>
    <n v="0"/>
    <n v="0"/>
  </r>
  <r>
    <s v="J4195"/>
    <x v="4"/>
    <d v="2025-10-09T00:00:00"/>
    <m/>
    <m/>
    <d v="2030-04-02T00:00:00"/>
    <s v="ITC"/>
    <s v="Clinton"/>
    <m/>
    <m/>
    <s v="MI"/>
    <s v="DPP-2026"/>
    <s v="East (ITC)"/>
    <m/>
    <s v="ERIS"/>
    <s v="GREENWOOD - RAPSON 345.0kV"/>
    <n v="300"/>
    <n v="300"/>
    <x v="1"/>
    <s v="Wind Turbine"/>
    <m/>
    <m/>
    <n v="0"/>
    <n v="0"/>
    <n v="0"/>
    <n v="0"/>
  </r>
  <r>
    <s v="J4196"/>
    <x v="1"/>
    <d v="2025-09-29T00:00:00"/>
    <d v="2026-04-15T00:00:00"/>
    <m/>
    <d v="2029-06-30T00:00:00"/>
    <s v="ENTERGY ARKANSAS, LLC"/>
    <s v="Phillips"/>
    <m/>
    <m/>
    <s v="AR"/>
    <s v="DPP-2025"/>
    <s v="South"/>
    <s v="Phase 1"/>
    <s v="NRIS"/>
    <s v="GILLETT - ELAINE 115.0kV"/>
    <n v="300"/>
    <n v="300"/>
    <x v="0"/>
    <s v="Photovoltaic"/>
    <m/>
    <m/>
    <n v="0"/>
    <n v="0"/>
    <n v="0"/>
    <n v="0"/>
  </r>
  <r>
    <s v="J4197"/>
    <x v="1"/>
    <d v="2025-09-05T00:00:00"/>
    <d v="2026-02-26T00:00:00"/>
    <m/>
    <d v="2030-10-30T00:00:00"/>
    <s v="ENTERGY ARKANSAS, LLC"/>
    <s v="Drew"/>
    <m/>
    <m/>
    <s v="AR"/>
    <s v="DPP-2025"/>
    <s v="South"/>
    <s v="Phase 1"/>
    <s v="NRIS"/>
    <s v="MONTICELLO EAST - REED SS 115.0kV"/>
    <n v="200"/>
    <n v="200"/>
    <x v="5"/>
    <s v="Photovoltaic"/>
    <m/>
    <m/>
    <n v="0"/>
    <n v="0"/>
    <n v="0"/>
    <n v="0"/>
  </r>
  <r>
    <s v="J4198"/>
    <x v="2"/>
    <d v="2025-09-03T00:00:00"/>
    <m/>
    <m/>
    <d v="2030-01-01T00:00:00"/>
    <s v="AMEREN TRANSMISSION COMPANY OF ILLINOIS"/>
    <s v="Christian"/>
    <m/>
    <m/>
    <s v="IL"/>
    <s v="DPP-2026"/>
    <s v="Central"/>
    <m/>
    <s v="NRIS"/>
    <s v="Pana 138 kV"/>
    <n v="250"/>
    <n v="250"/>
    <x v="2"/>
    <s v="Battery Storage"/>
    <m/>
    <m/>
    <n v="0"/>
    <n v="0"/>
    <n v="0"/>
    <n v="0"/>
  </r>
  <r>
    <s v="J4199"/>
    <x v="2"/>
    <d v="2025-09-29T00:00:00"/>
    <m/>
    <m/>
    <d v="2029-06-30T00:00:00"/>
    <s v="AMEREN ILLINOIS"/>
    <s v="Fulton"/>
    <m/>
    <m/>
    <s v="IL"/>
    <s v="DPP-2026"/>
    <s v="Central"/>
    <m/>
    <s v="NRIS"/>
    <s v="Canton South"/>
    <n v="200"/>
    <n v="200"/>
    <x v="2"/>
    <s v="Battery Storage"/>
    <m/>
    <m/>
    <n v="0"/>
    <n v="0"/>
    <n v="0"/>
    <n v="0"/>
  </r>
  <r>
    <s v="J4200"/>
    <x v="1"/>
    <d v="2025-09-30T00:00:00"/>
    <d v="2026-04-14T00:00:00"/>
    <m/>
    <d v="2008-03-31T00:00:00"/>
    <s v="NORTHERN STATES POWER COMPANY"/>
    <s v="Ramsey"/>
    <m/>
    <m/>
    <s v="MN"/>
    <s v="DPP-2025"/>
    <s v="West"/>
    <s v="Phase 1"/>
    <s v="E-NRIS"/>
    <s v="Merriam Park"/>
    <n v="16"/>
    <n v="16"/>
    <x v="6"/>
    <s v="Hydroelectric"/>
    <m/>
    <m/>
    <n v="0"/>
    <n v="0"/>
    <n v="0"/>
    <n v="0"/>
  </r>
  <r>
    <s v="J4201"/>
    <x v="1"/>
    <d v="2025-09-30T00:00:00"/>
    <d v="2026-04-16T00:00:00"/>
    <m/>
    <d v="2029-08-24T00:00:00"/>
    <s v="CLECO POWER LLC"/>
    <s v="Beauregard"/>
    <m/>
    <m/>
    <s v="LA"/>
    <s v="DPP-2025"/>
    <s v="South"/>
    <s v="Phase 1"/>
    <s v="NRIS"/>
    <s v="Cole"/>
    <n v="250"/>
    <n v="250"/>
    <x v="5"/>
    <s v="Solar/Battery"/>
    <m/>
    <m/>
    <n v="0"/>
    <n v="0"/>
    <n v="0"/>
    <n v="0"/>
  </r>
  <r>
    <s v="J4203"/>
    <x v="2"/>
    <d v="2025-06-06T00:00:00"/>
    <m/>
    <m/>
    <d v="2028-11-01T00:00:00"/>
    <s v="ITC"/>
    <s v="Huron"/>
    <m/>
    <m/>
    <s v="MI"/>
    <s v="DPP-2026"/>
    <s v="East (ITC)"/>
    <m/>
    <s v="NRIS"/>
    <s v="RAPSON - STEIN 345.0kV"/>
    <n v="350"/>
    <n v="350"/>
    <x v="1"/>
    <s v="Wind Turbine"/>
    <m/>
    <m/>
    <n v="0"/>
    <n v="0"/>
    <n v="0"/>
    <n v="0"/>
  </r>
  <r>
    <s v="J4204"/>
    <x v="2"/>
    <d v="2025-12-03T00:00:00"/>
    <m/>
    <m/>
    <d v="2031-06-01T00:00:00"/>
    <s v="AMEREN ILLINOIS"/>
    <s v="Marion"/>
    <m/>
    <m/>
    <s v="IL"/>
    <s v="DPP-2026"/>
    <s v="Central"/>
    <m/>
    <s v="NRIS"/>
    <s v="South Belleville"/>
    <n v="200"/>
    <n v="200"/>
    <x v="2"/>
    <s v="Battery Storage"/>
    <m/>
    <m/>
    <n v="0"/>
    <n v="0"/>
    <n v="0"/>
    <n v="0"/>
  </r>
  <r>
    <s v="J4205"/>
    <x v="2"/>
    <d v="2025-11-17T00:00:00"/>
    <m/>
    <m/>
    <d v="2025-06-16T00:00:00"/>
    <s v="ENTERGY NEW ORLEANS, LLC"/>
    <s v="Orleans"/>
    <m/>
    <m/>
    <s v="LA"/>
    <s v="0MW GIA"/>
    <s v="NA"/>
    <m/>
    <s v="ERIS"/>
    <s v="Suillivan Station (Entergy0"/>
    <n v="0"/>
    <n v="0"/>
    <x v="5"/>
    <s v="Combustion Turbine (Simple Cycle)"/>
    <m/>
    <m/>
    <n v="0"/>
    <n v="0"/>
    <n v="0"/>
    <n v="0"/>
  </r>
  <r>
    <s v="J4206"/>
    <x v="2"/>
    <d v="2025-12-20T00:00:00"/>
    <m/>
    <m/>
    <d v="2030-06-30T00:00:00"/>
    <s v="METC"/>
    <m/>
    <m/>
    <m/>
    <m/>
    <s v="DPP-2026"/>
    <s v="East (ITC)"/>
    <m/>
    <s v="NRIS"/>
    <m/>
    <n v="100"/>
    <n v="100"/>
    <x v="8"/>
    <m/>
    <m/>
    <m/>
    <n v="0"/>
    <n v="0"/>
    <n v="0"/>
    <n v="0"/>
  </r>
  <r>
    <s v="J4207"/>
    <x v="2"/>
    <d v="2025-12-20T00:00:00"/>
    <m/>
    <m/>
    <d v="2030-06-30T00:00:00"/>
    <s v="METC"/>
    <m/>
    <m/>
    <m/>
    <m/>
    <s v="DPP-2026"/>
    <s v="East (ITC)"/>
    <m/>
    <s v="NRIS"/>
    <m/>
    <n v="100"/>
    <n v="100"/>
    <x v="8"/>
    <m/>
    <m/>
    <m/>
    <n v="0"/>
    <n v="0"/>
    <n v="0"/>
    <n v="0"/>
  </r>
  <r>
    <s v="J4208"/>
    <x v="2"/>
    <d v="2025-12-20T00:00:00"/>
    <m/>
    <m/>
    <d v="2029-05-01T00:00:00"/>
    <s v="METC"/>
    <m/>
    <m/>
    <m/>
    <m/>
    <s v="DPP-2026"/>
    <s v="East (ITC)"/>
    <m/>
    <s v="NRIS"/>
    <m/>
    <n v="100"/>
    <n v="100"/>
    <x v="8"/>
    <m/>
    <m/>
    <m/>
    <n v="0"/>
    <n v="0"/>
    <n v="0"/>
    <n v="0"/>
  </r>
  <r>
    <s v="J4209"/>
    <x v="3"/>
    <d v="2025-12-20T00:00:00"/>
    <m/>
    <m/>
    <d v="2030-06-30T00:00:00"/>
    <s v="METC"/>
    <m/>
    <m/>
    <m/>
    <m/>
    <s v="DPP-2026"/>
    <s v="East (ITC)"/>
    <m/>
    <s v="NRIS"/>
    <m/>
    <n v="100"/>
    <n v="100"/>
    <x v="8"/>
    <m/>
    <m/>
    <m/>
    <n v="0"/>
    <n v="0"/>
    <n v="0"/>
    <n v="0"/>
  </r>
  <r>
    <s v="J4210"/>
    <x v="2"/>
    <d v="2026-02-06T00:00:00"/>
    <m/>
    <m/>
    <d v="2030-01-06T00:00:00"/>
    <s v="ITC"/>
    <m/>
    <m/>
    <m/>
    <m/>
    <s v="DPP-2026"/>
    <s v="East (ITC)"/>
    <m/>
    <s v="NRIS"/>
    <m/>
    <n v="250"/>
    <n v="250"/>
    <x v="8"/>
    <m/>
    <m/>
    <m/>
    <n v="0"/>
    <n v="0"/>
    <n v="0"/>
    <n v="0"/>
  </r>
  <r>
    <s v="J4211"/>
    <x v="2"/>
    <d v="2025-11-15T00:00:00"/>
    <m/>
    <m/>
    <d v="2027-08-01T00:00:00"/>
    <s v="ENTERGY ARKANSAS, LLC"/>
    <m/>
    <m/>
    <m/>
    <m/>
    <s v="0MW GIA"/>
    <s v="NA"/>
    <m/>
    <s v="ERIS"/>
    <m/>
    <n v="0"/>
    <n v="0"/>
    <x v="8"/>
    <m/>
    <m/>
    <m/>
    <n v="0"/>
    <n v="0"/>
    <n v="0"/>
    <n v="0"/>
  </r>
  <r>
    <s v="J4212"/>
    <x v="2"/>
    <d v="2026-02-18T00:00:00"/>
    <m/>
    <m/>
    <d v="2030-01-06T00:00:00"/>
    <s v="ITC"/>
    <m/>
    <m/>
    <m/>
    <m/>
    <s v="DPP-2026"/>
    <s v="East (ITC)"/>
    <m/>
    <s v="NRIS"/>
    <m/>
    <n v="150"/>
    <n v="150"/>
    <x v="8"/>
    <m/>
    <m/>
    <m/>
    <n v="0"/>
    <n v="0"/>
    <n v="0"/>
    <n v="0"/>
  </r>
  <r>
    <s v="J4213"/>
    <x v="2"/>
    <d v="2026-02-18T00:00:00"/>
    <m/>
    <m/>
    <d v="2031-06-30T00:00:00"/>
    <s v="ENTERGY ARKANSAS, LLC"/>
    <m/>
    <m/>
    <m/>
    <m/>
    <s v="DPP-2026"/>
    <s v="South"/>
    <m/>
    <s v="NRIS"/>
    <m/>
    <n v="350"/>
    <n v="350"/>
    <x v="8"/>
    <m/>
    <m/>
    <m/>
    <n v="0"/>
    <n v="0"/>
    <n v="0"/>
    <n v="0"/>
  </r>
  <r>
    <s v="J4214"/>
    <x v="2"/>
    <d v="2026-02-18T00:00:00"/>
    <m/>
    <m/>
    <d v="2031-06-30T00:00:00"/>
    <s v="ENTERGY ARKANSAS, LLC"/>
    <m/>
    <m/>
    <m/>
    <m/>
    <s v="DPP-2026"/>
    <s v="South"/>
    <m/>
    <s v="NRIS"/>
    <m/>
    <n v="500"/>
    <n v="500"/>
    <x v="8"/>
    <m/>
    <m/>
    <m/>
    <n v="0"/>
    <n v="0"/>
    <n v="0"/>
    <n v="0"/>
  </r>
  <r>
    <s v="J4215"/>
    <x v="2"/>
    <d v="2026-02-18T00:00:00"/>
    <m/>
    <m/>
    <d v="2031-06-30T00:00:00"/>
    <s v="ENTERGY ARKANSAS, LLC"/>
    <m/>
    <m/>
    <m/>
    <m/>
    <s v="DPP-2026"/>
    <s v="South"/>
    <m/>
    <s v="NRIS"/>
    <m/>
    <n v="500"/>
    <n v="500"/>
    <x v="8"/>
    <m/>
    <m/>
    <m/>
    <n v="0"/>
    <n v="0"/>
    <n v="0"/>
    <n v="0"/>
  </r>
  <r>
    <s v="J4216"/>
    <x v="2"/>
    <d v="2026-02-23T00:00:00"/>
    <m/>
    <m/>
    <d v="2031-06-30T00:00:00"/>
    <s v="ENTERGY SERVICES, LLC."/>
    <m/>
    <m/>
    <m/>
    <m/>
    <s v="DPP-2026"/>
    <s v="South"/>
    <m/>
    <s v="NRIS"/>
    <m/>
    <n v="1500"/>
    <n v="1500"/>
    <x v="8"/>
    <m/>
    <m/>
    <m/>
    <n v="0"/>
    <n v="0"/>
    <n v="0"/>
    <n v="0"/>
  </r>
  <r>
    <s v="J4217"/>
    <x v="2"/>
    <d v="2026-02-23T00:00:00"/>
    <m/>
    <m/>
    <d v="2031-06-01T00:00:00"/>
    <s v="ENTERGY SERVICES, LLC."/>
    <m/>
    <m/>
    <m/>
    <m/>
    <s v="DPP-2026"/>
    <s v="South"/>
    <m/>
    <s v="NRIS"/>
    <m/>
    <n v="800"/>
    <n v="800"/>
    <x v="8"/>
    <m/>
    <m/>
    <m/>
    <n v="0"/>
    <n v="0"/>
    <n v="0"/>
    <n v="0"/>
  </r>
  <r>
    <s v="J4218"/>
    <x v="2"/>
    <d v="2026-02-24T00:00:00"/>
    <m/>
    <m/>
    <d v="2031-06-01T00:00:00"/>
    <s v="ENTERGY SERVICES, LLC."/>
    <m/>
    <m/>
    <m/>
    <m/>
    <s v="DPP-2026"/>
    <s v="South"/>
    <m/>
    <s v="NRIS"/>
    <m/>
    <n v="800"/>
    <n v="800"/>
    <x v="8"/>
    <m/>
    <m/>
    <m/>
    <n v="0"/>
    <n v="0"/>
    <n v="0"/>
    <n v="0"/>
  </r>
  <r>
    <s v="J4219"/>
    <x v="2"/>
    <d v="2026-02-24T00:00:00"/>
    <m/>
    <m/>
    <d v="2031-06-30T00:00:00"/>
    <s v="ENTERGY LOUISIANA, LLC"/>
    <m/>
    <m/>
    <m/>
    <m/>
    <s v="DPP-2026"/>
    <s v="South"/>
    <m/>
    <s v="NRIS"/>
    <m/>
    <n v="1500"/>
    <n v="1500"/>
    <x v="8"/>
    <m/>
    <m/>
    <m/>
    <n v="0"/>
    <n v="0"/>
    <n v="0"/>
    <n v="0"/>
  </r>
  <r>
    <s v="J4220"/>
    <x v="1"/>
    <d v="2026-02-26T00:00:00"/>
    <d v="2026-05-28T00:00:00"/>
    <m/>
    <d v="2031-06-30T00:00:00"/>
    <s v="CLECO POWER LLC"/>
    <m/>
    <m/>
    <m/>
    <m/>
    <s v="DPP-2026"/>
    <s v="South"/>
    <m/>
    <s v="NRIS"/>
    <m/>
    <n v="1500"/>
    <n v="1500"/>
    <x v="8"/>
    <m/>
    <m/>
    <m/>
    <n v="0"/>
    <n v="0"/>
    <n v="0"/>
    <n v="0"/>
  </r>
  <r>
    <s v="J4221"/>
    <x v="2"/>
    <d v="2026-02-26T00:00:00"/>
    <m/>
    <m/>
    <d v="2031-06-30T00:00:00"/>
    <s v="ENTERGY ARKANSAS, LLC"/>
    <m/>
    <m/>
    <m/>
    <m/>
    <s v="DPP-2026"/>
    <s v="South"/>
    <m/>
    <s v="NRIS"/>
    <m/>
    <n v="1500"/>
    <n v="1500"/>
    <x v="8"/>
    <m/>
    <m/>
    <m/>
    <n v="0"/>
    <n v="0"/>
    <n v="0"/>
    <n v="0"/>
  </r>
  <r>
    <s v="J4222"/>
    <x v="2"/>
    <d v="2026-03-11T00:00:00"/>
    <m/>
    <m/>
    <d v="2029-04-03T00:00:00"/>
    <s v="DUKE ENERGY INDIANA, LLC"/>
    <m/>
    <m/>
    <m/>
    <m/>
    <s v="DPP-2026"/>
    <s v="Central"/>
    <m/>
    <s v="NRIS"/>
    <m/>
    <n v="300"/>
    <n v="300"/>
    <x v="8"/>
    <m/>
    <m/>
    <m/>
    <n v="0"/>
    <n v="0"/>
    <n v="0"/>
    <n v="0"/>
  </r>
  <r>
    <s v="J4223"/>
    <x v="2"/>
    <d v="2026-03-11T00:00:00"/>
    <m/>
    <m/>
    <d v="2029-04-03T00:00:00"/>
    <s v="NORTHERN STATES POWER COMPANY"/>
    <m/>
    <m/>
    <m/>
    <m/>
    <s v="DPP-2026"/>
    <s v="East (ITC)"/>
    <m/>
    <s v="NRIS"/>
    <m/>
    <n v="250"/>
    <n v="250"/>
    <x v="8"/>
    <m/>
    <m/>
    <m/>
    <n v="0"/>
    <n v="0"/>
    <n v="0"/>
    <n v="0"/>
  </r>
  <r>
    <s v="J4224"/>
    <x v="2"/>
    <d v="2026-03-20T00:00:00"/>
    <m/>
    <m/>
    <d v="2031-06-30T00:00:00"/>
    <s v="NORTHERN STATES POWER COMPANY"/>
    <m/>
    <m/>
    <m/>
    <m/>
    <s v="DPP-2026"/>
    <s v="West"/>
    <m/>
    <s v="NRIS"/>
    <m/>
    <n v="250"/>
    <n v="250"/>
    <x v="8"/>
    <m/>
    <m/>
    <m/>
    <n v="0"/>
    <n v="0"/>
    <n v="0"/>
    <n v="0"/>
  </r>
  <r>
    <s v="J4225"/>
    <x v="2"/>
    <d v="2026-03-20T00:00:00"/>
    <m/>
    <m/>
    <d v="2031-06-30T00:00:00"/>
    <s v="NORTHERN STATES POWER COMPANY"/>
    <m/>
    <m/>
    <m/>
    <m/>
    <s v="DPP-2026"/>
    <s v="West"/>
    <m/>
    <s v="NRIS"/>
    <m/>
    <n v="250"/>
    <n v="250"/>
    <x v="8"/>
    <m/>
    <m/>
    <m/>
    <n v="0"/>
    <n v="0"/>
    <n v="0"/>
    <n v="0"/>
  </r>
  <r>
    <s v="J4226"/>
    <x v="2"/>
    <d v="2026-03-21T00:00:00"/>
    <m/>
    <m/>
    <d v="2031-06-30T00:00:00"/>
    <s v="AMERICAN TRANSMISSION COMPANY"/>
    <s v="Story"/>
    <m/>
    <m/>
    <m/>
    <s v="DPP-2026"/>
    <s v="East (ATC)"/>
    <m/>
    <s v="NRIS"/>
    <s v="Story County"/>
    <n v="150"/>
    <n v="150"/>
    <x v="8"/>
    <m/>
    <m/>
    <m/>
    <n v="0"/>
    <n v="0"/>
    <n v="0"/>
    <n v="0"/>
  </r>
  <r>
    <s v="J4227"/>
    <x v="2"/>
    <d v="2026-03-21T00:00:00"/>
    <m/>
    <m/>
    <d v="2031-06-30T00:00:00"/>
    <s v="AMERICAN TRANSMISSION COMPANY"/>
    <s v="Story"/>
    <m/>
    <m/>
    <m/>
    <s v="DPP-2026"/>
    <s v="East (ATC)"/>
    <m/>
    <s v="NRIS"/>
    <s v="Story County"/>
    <n v="150"/>
    <n v="150"/>
    <x v="8"/>
    <m/>
    <m/>
    <m/>
    <n v="0"/>
    <n v="0"/>
    <n v="0"/>
    <n v="0"/>
  </r>
  <r>
    <s v="J4228"/>
    <x v="2"/>
    <d v="2026-03-19T00:00:00"/>
    <m/>
    <m/>
    <d v="2029-02-24T00:00:00"/>
    <s v="METC"/>
    <m/>
    <m/>
    <m/>
    <m/>
    <s v="DPP-2026"/>
    <s v="East (ITC)"/>
    <m/>
    <s v="NRIS"/>
    <m/>
    <n v="100"/>
    <n v="100"/>
    <x v="8"/>
    <m/>
    <m/>
    <m/>
    <n v="0"/>
    <n v="0"/>
    <n v="0"/>
    <n v="0"/>
  </r>
  <r>
    <s v="J4229"/>
    <x v="2"/>
    <d v="2026-03-20T00:00:00"/>
    <m/>
    <m/>
    <d v="2031-06-30T00:00:00"/>
    <s v="DAIRYLAND POWER COOPERATIVE"/>
    <m/>
    <m/>
    <m/>
    <m/>
    <s v="DPP-2026"/>
    <s v="West"/>
    <m/>
    <s v="NRIS"/>
    <m/>
    <n v="350"/>
    <n v="350"/>
    <x v="8"/>
    <m/>
    <m/>
    <m/>
    <n v="0"/>
    <n v="0"/>
    <n v="0"/>
    <n v="0"/>
  </r>
  <r>
    <s v="J4230"/>
    <x v="2"/>
    <d v="2026-03-20T00:00:00"/>
    <m/>
    <m/>
    <d v="2031-06-30T00:00:00"/>
    <s v="NORTHERN STATES POWER COMPANY"/>
    <m/>
    <m/>
    <m/>
    <m/>
    <s v="DPP-2026"/>
    <s v="West"/>
    <m/>
    <s v="NRIS"/>
    <m/>
    <n v="250"/>
    <n v="250"/>
    <x v="8"/>
    <m/>
    <m/>
    <m/>
    <n v="0"/>
    <n v="0"/>
    <n v="0"/>
    <n v="0"/>
  </r>
  <r>
    <s v="J4231"/>
    <x v="2"/>
    <d v="2026-03-20T00:00:00"/>
    <m/>
    <m/>
    <d v="2031-06-30T00:00:00"/>
    <s v="INDIANAPOLIS POWER &amp; LIGHT COMPANY"/>
    <s v="Pike"/>
    <m/>
    <m/>
    <m/>
    <s v="DPP-2026"/>
    <s v="Central"/>
    <m/>
    <s v="NRIS"/>
    <m/>
    <n v="400"/>
    <n v="400"/>
    <x v="8"/>
    <m/>
    <m/>
    <m/>
    <n v="0"/>
    <n v="0"/>
    <n v="0"/>
    <n v="0"/>
  </r>
  <r>
    <s v="J4232"/>
    <x v="2"/>
    <d v="2026-03-20T00:00:00"/>
    <m/>
    <m/>
    <d v="2031-06-30T00:00:00"/>
    <s v="AMEREN ILLINOIS"/>
    <m/>
    <m/>
    <m/>
    <m/>
    <s v="DPP-2026"/>
    <s v="Central"/>
    <m/>
    <s v="NRIS"/>
    <m/>
    <n v="200"/>
    <n v="200"/>
    <x v="8"/>
    <m/>
    <m/>
    <m/>
    <n v="0"/>
    <n v="0"/>
    <n v="0"/>
    <n v="0"/>
  </r>
  <r>
    <s v="J4233"/>
    <x v="2"/>
    <d v="2026-03-21T00:00:00"/>
    <m/>
    <m/>
    <d v="2031-06-30T00:00:00"/>
    <s v="ITC"/>
    <m/>
    <m/>
    <m/>
    <m/>
    <s v="DPP-2026"/>
    <s v="East (ITC)"/>
    <m/>
    <s v="NRIS"/>
    <m/>
    <n v="300"/>
    <n v="300"/>
    <x v="8"/>
    <m/>
    <m/>
    <m/>
    <n v="0"/>
    <n v="0"/>
    <n v="0"/>
    <n v="0"/>
  </r>
  <r>
    <s v="J4234"/>
    <x v="2"/>
    <d v="2026-03-21T00:00:00"/>
    <m/>
    <m/>
    <d v="2031-06-30T00:00:00"/>
    <s v="ITC"/>
    <m/>
    <m/>
    <m/>
    <m/>
    <s v="DPP-2026"/>
    <s v="East (ITC)"/>
    <m/>
    <s v="NRIS"/>
    <m/>
    <n v="300"/>
    <n v="300"/>
    <x v="8"/>
    <m/>
    <m/>
    <m/>
    <n v="0"/>
    <n v="0"/>
    <n v="0"/>
    <n v="0"/>
  </r>
  <r>
    <s v="J4235"/>
    <x v="2"/>
    <d v="2026-03-21T00:00:00"/>
    <m/>
    <m/>
    <d v="2031-06-30T00:00:00"/>
    <s v="ITC MIDWEST"/>
    <s v="Linn"/>
    <m/>
    <m/>
    <m/>
    <s v="DPP-2026"/>
    <s v="West"/>
    <m/>
    <s v="NRIS"/>
    <s v="Duane Arnold"/>
    <n v="400"/>
    <n v="400"/>
    <x v="8"/>
    <m/>
    <m/>
    <m/>
    <n v="0"/>
    <n v="0"/>
    <n v="0"/>
    <n v="0"/>
  </r>
  <r>
    <s v="J4236"/>
    <x v="2"/>
    <d v="2026-03-20T00:00:00"/>
    <m/>
    <m/>
    <d v="2031-06-30T00:00:00"/>
    <s v="CLECO POWER LLC"/>
    <m/>
    <m/>
    <m/>
    <m/>
    <s v="DPP-2026"/>
    <s v="South"/>
    <m/>
    <s v="NRIS"/>
    <m/>
    <n v="400"/>
    <n v="400"/>
    <x v="8"/>
    <m/>
    <m/>
    <m/>
    <n v="0"/>
    <n v="0"/>
    <n v="0"/>
    <n v="0"/>
  </r>
  <r>
    <s v="J4237"/>
    <x v="2"/>
    <d v="2026-03-24T00:00:00"/>
    <m/>
    <m/>
    <d v="2031-06-30T00:00:00"/>
    <s v="METC"/>
    <m/>
    <m/>
    <m/>
    <m/>
    <s v="DPP-2026"/>
    <s v="East (ITC)"/>
    <m/>
    <s v="NRIS"/>
    <m/>
    <n v="200"/>
    <n v="200"/>
    <x v="8"/>
    <m/>
    <m/>
    <m/>
    <n v="0"/>
    <n v="0"/>
    <n v="0"/>
    <n v="0"/>
  </r>
  <r>
    <s v="J4238"/>
    <x v="2"/>
    <d v="2026-04-10T00:00:00"/>
    <m/>
    <m/>
    <d v="2029-12-30T00:00:00"/>
    <s v="AMEREN ILLINOIS"/>
    <m/>
    <m/>
    <m/>
    <m/>
    <s v="DPP-2026"/>
    <s v="Central"/>
    <m/>
    <s v="NRIS"/>
    <m/>
    <n v="125"/>
    <n v="125"/>
    <x v="8"/>
    <m/>
    <m/>
    <m/>
    <n v="0"/>
    <n v="0"/>
    <n v="0"/>
    <n v="0"/>
  </r>
  <r>
    <s v="J4239"/>
    <x v="2"/>
    <d v="2026-04-23T00:00:00"/>
    <m/>
    <m/>
    <d v="2029-09-01T00:00:00"/>
    <s v="ENTERGY TEXAS, INC."/>
    <m/>
    <m/>
    <m/>
    <m/>
    <s v="DPP-2026"/>
    <s v="South"/>
    <m/>
    <s v="NRIS"/>
    <m/>
    <n v="770"/>
    <n v="770"/>
    <x v="8"/>
    <m/>
    <m/>
    <m/>
    <n v="0"/>
    <n v="0"/>
    <n v="0"/>
    <n v="0"/>
  </r>
  <r>
    <s v="J4240"/>
    <x v="2"/>
    <d v="2026-05-13T00:00:00"/>
    <m/>
    <m/>
    <d v="2031-06-28T00:00:00"/>
    <s v="OTTER TAIL POWER COMPANY"/>
    <s v="Grant"/>
    <m/>
    <m/>
    <m/>
    <s v="DPP-2026"/>
    <s v="West"/>
    <m/>
    <s v="NRIS"/>
    <s v="Big Stone South 345 kV substation"/>
    <n v="250"/>
    <n v="250"/>
    <x v="8"/>
    <m/>
    <m/>
    <m/>
    <n v="0"/>
    <n v="0"/>
    <n v="0"/>
    <n v="0"/>
  </r>
  <r>
    <s v="J4241"/>
    <x v="2"/>
    <d v="2026-05-28T00:00:00"/>
    <m/>
    <m/>
    <d v="2030-12-01T00:00:00"/>
    <s v="AMEREN MISSOURI"/>
    <s v="St. Charles"/>
    <m/>
    <m/>
    <m/>
    <s v="DPP-2026"/>
    <s v="Central"/>
    <m/>
    <s v="NRIS"/>
    <s v="SIOUX"/>
    <n v="2220"/>
    <n v="2220"/>
    <x v="8"/>
    <m/>
    <m/>
    <m/>
    <n v="0"/>
    <n v="0"/>
    <n v="0"/>
    <n v="0"/>
  </r>
  <r>
    <s v="J4242"/>
    <x v="2"/>
    <d v="2026-05-22T00:00:00"/>
    <m/>
    <m/>
    <d v="2031-05-01T00:00:00"/>
    <s v="ENTERGY ARKANSAS, LLC"/>
    <m/>
    <m/>
    <m/>
    <m/>
    <s v="DPP-2026"/>
    <s v="South"/>
    <m/>
    <s v="NRIS"/>
    <m/>
    <n v="115"/>
    <n v="115"/>
    <x v="8"/>
    <m/>
    <m/>
    <m/>
    <n v="0"/>
    <n v="0"/>
    <n v="0"/>
    <n v="0"/>
  </r>
  <r>
    <s v="J4243"/>
    <x v="2"/>
    <d v="2026-06-08T00:00:00"/>
    <m/>
    <m/>
    <d v="2031-10-01T00:00:00"/>
    <s v="ENTERGY MISSISSIPPI, LLC. EMTO"/>
    <m/>
    <m/>
    <m/>
    <m/>
    <s v="DPP-2026"/>
    <s v="South"/>
    <m/>
    <s v="NRIS"/>
    <m/>
    <n v="100"/>
    <n v="100"/>
    <x v="8"/>
    <m/>
    <m/>
    <m/>
    <n v="0"/>
    <n v="0"/>
    <n v="0"/>
    <n v="0"/>
  </r>
  <r>
    <s v="J4244"/>
    <x v="2"/>
    <d v="2026-06-06T00:00:00"/>
    <m/>
    <m/>
    <d v="2031-10-01T00:00:00"/>
    <s v="ENTERGY MISSISSIPPI, LLC."/>
    <m/>
    <m/>
    <m/>
    <m/>
    <s v="DPP-2026"/>
    <s v="South"/>
    <m/>
    <s v="NRIS"/>
    <m/>
    <n v="100"/>
    <n v="100"/>
    <x v="8"/>
    <m/>
    <m/>
    <m/>
    <n v="0"/>
    <n v="0"/>
    <n v="0"/>
    <n v="0"/>
  </r>
  <r>
    <s v="J4245"/>
    <x v="2"/>
    <d v="2026-06-25T00:00:00"/>
    <m/>
    <m/>
    <d v="2031-07-31T00:00:00"/>
    <s v="ENTERGY MISSISSIPPI, LLC."/>
    <m/>
    <m/>
    <m/>
    <m/>
    <s v="DPP-2026"/>
    <s v="South"/>
    <m/>
    <s v="NRIS"/>
    <m/>
    <n v="770"/>
    <n v="770"/>
    <x v="8"/>
    <m/>
    <m/>
    <m/>
    <n v="0"/>
    <n v="0"/>
    <n v="0"/>
    <n v="0"/>
  </r>
  <r>
    <s v="J4246"/>
    <x v="2"/>
    <d v="2026-06-25T00:00:00"/>
    <m/>
    <m/>
    <d v="2030-05-01T00:00:00"/>
    <s v="ENTERGY TEXAS, INC. ETTO"/>
    <m/>
    <m/>
    <m/>
    <m/>
    <s v="DPP-2026"/>
    <s v="South"/>
    <m/>
    <s v="NRIS"/>
    <m/>
    <n v="560"/>
    <n v="560"/>
    <x v="8"/>
    <m/>
    <m/>
    <m/>
    <n v="0"/>
    <n v="0"/>
    <n v="0"/>
    <n v="0"/>
  </r>
  <r>
    <s v="J4247"/>
    <x v="2"/>
    <d v="2026-06-24T00:00:00"/>
    <m/>
    <m/>
    <d v="2031-10-01T00:00:00"/>
    <s v="AMEREN ILLINOIS"/>
    <m/>
    <m/>
    <m/>
    <m/>
    <s v="DPP-2026"/>
    <s v="Central"/>
    <m/>
    <s v="NRIS"/>
    <m/>
    <n v="120"/>
    <n v="120"/>
    <x v="8"/>
    <m/>
    <m/>
    <m/>
    <n v="0"/>
    <n v="0"/>
    <n v="0"/>
    <n v="0"/>
  </r>
  <r>
    <s v="J4248"/>
    <x v="2"/>
    <d v="2026-06-25T00:00:00"/>
    <m/>
    <m/>
    <d v="2031-11-30T00:00:00"/>
    <s v="ENTERGY ARKANSAS, LLC"/>
    <m/>
    <m/>
    <m/>
    <m/>
    <s v="DPP-2026"/>
    <s v="South"/>
    <m/>
    <s v="NRIS"/>
    <m/>
    <n v="770"/>
    <n v="770"/>
    <x v="8"/>
    <m/>
    <m/>
    <m/>
    <n v="0"/>
    <n v="0"/>
    <n v="0"/>
    <n v="0"/>
  </r>
  <r>
    <s v="J4249"/>
    <x v="2"/>
    <d v="2026-06-03T00:00:00"/>
    <m/>
    <m/>
    <d v="2031-05-01T00:00:00"/>
    <s v="AMERICAN TRANSMISSION COMPANY"/>
    <m/>
    <m/>
    <m/>
    <m/>
    <s v="DPP-2026"/>
    <s v="East (ATC)"/>
    <m/>
    <s v="NRIS"/>
    <m/>
    <n v="100"/>
    <n v="100"/>
    <x v="8"/>
    <m/>
    <m/>
    <m/>
    <n v="0"/>
    <n v="0"/>
    <n v="0"/>
    <n v="0"/>
  </r>
  <r>
    <s v="J4250"/>
    <x v="2"/>
    <d v="2026-07-15T00:00:00"/>
    <m/>
    <m/>
    <d v="2029-12-31T00:00:00"/>
    <s v="GREAT RIVER ENERGY"/>
    <m/>
    <m/>
    <m/>
    <m/>
    <s v="DPP-2026"/>
    <s v="West"/>
    <m/>
    <s v="NRIS"/>
    <m/>
    <n v="200"/>
    <n v="200"/>
    <x v="8"/>
    <m/>
    <m/>
    <m/>
    <n v="0"/>
    <n v="0"/>
    <n v="0"/>
    <n v="0"/>
  </r>
  <r>
    <s v="J4251"/>
    <x v="2"/>
    <d v="2026-07-15T00:00:00"/>
    <m/>
    <m/>
    <d v="2029-12-31T00:00:00"/>
    <s v="SOUTHERN MINNESOTA MUNICIPAL POWER AGENCY"/>
    <m/>
    <m/>
    <m/>
    <m/>
    <s v="DPP-2026"/>
    <s v="West"/>
    <m/>
    <s v="NRIS"/>
    <m/>
    <n v="200"/>
    <n v="200"/>
    <x v="8"/>
    <m/>
    <m/>
    <m/>
    <n v="0"/>
    <n v="0"/>
    <n v="0"/>
    <n v="0"/>
  </r>
  <r>
    <s v="J4252"/>
    <x v="2"/>
    <d v="2026-07-15T00:00:00"/>
    <m/>
    <m/>
    <d v="2029-12-31T00:00:00"/>
    <s v="GREAT RIVER ENERGY"/>
    <m/>
    <m/>
    <m/>
    <m/>
    <s v="DPP-2026"/>
    <s v="West"/>
    <m/>
    <s v="NRIS"/>
    <m/>
    <n v="250"/>
    <n v="250"/>
    <x v="8"/>
    <m/>
    <m/>
    <m/>
    <n v="0"/>
    <n v="0"/>
    <n v="0"/>
    <n v="0"/>
  </r>
  <r>
    <s v="J4253"/>
    <x v="2"/>
    <d v="2026-07-30T00:00:00"/>
    <m/>
    <m/>
    <d v="2029-04-01T00:00:00"/>
    <s v="AMEREN MISSOURI"/>
    <m/>
    <m/>
    <m/>
    <m/>
    <s v="DPP-2026"/>
    <s v="Central"/>
    <m/>
    <s v="NRIS"/>
    <m/>
    <n v="86"/>
    <n v="86"/>
    <x v="8"/>
    <m/>
    <m/>
    <m/>
    <n v="0"/>
    <n v="0"/>
    <n v="0"/>
    <n v="0"/>
  </r>
  <r>
    <s v="J4254"/>
    <x v="2"/>
    <d v="2026-08-08T00:00:00"/>
    <m/>
    <m/>
    <d v="2031-04-01T00:00:00"/>
    <s v="AMEREN ILLINOIS"/>
    <m/>
    <m/>
    <m/>
    <m/>
    <s v="DPP-2026"/>
    <s v="Central"/>
    <m/>
    <s v="NRIS"/>
    <m/>
    <n v="250"/>
    <n v="250"/>
    <x v="8"/>
    <m/>
    <m/>
    <m/>
    <n v="0"/>
    <n v="0"/>
    <n v="0"/>
    <n v="0"/>
  </r>
  <r>
    <s v="J4255"/>
    <x v="2"/>
    <d v="2026-07-24T00:00:00"/>
    <m/>
    <m/>
    <d v="2031-01-14T00:00:00"/>
    <s v="DUKE ENERGY INDIANA, LLC CIN"/>
    <m/>
    <m/>
    <m/>
    <m/>
    <s v="DPP-2026"/>
    <s v="Central"/>
    <m/>
    <s v="NRIS"/>
    <m/>
    <n v="300"/>
    <n v="300"/>
    <x v="8"/>
    <m/>
    <m/>
    <m/>
    <n v="0"/>
    <n v="0"/>
    <n v="0"/>
    <n v="0"/>
  </r>
  <r>
    <s v="J4256"/>
    <x v="2"/>
    <d v="2026-08-10T00:00:00"/>
    <m/>
    <m/>
    <d v="2031-06-30T00:00:00"/>
    <m/>
    <m/>
    <m/>
    <m/>
    <m/>
    <s v="DPP-2026"/>
    <s v="Central"/>
    <m/>
    <s v="NRIS"/>
    <m/>
    <n v="2015"/>
    <n v="2015"/>
    <x v="8"/>
    <m/>
    <m/>
    <m/>
    <n v="0"/>
    <n v="0"/>
    <n v="0"/>
    <n v="0"/>
  </r>
  <r>
    <s v="J4257"/>
    <x v="2"/>
    <d v="2026-08-17T00:00:00"/>
    <m/>
    <m/>
    <d v="2031-10-01T00:00:00"/>
    <s v="AMEREN ILLINOIS"/>
    <m/>
    <m/>
    <m/>
    <m/>
    <s v="DPP-2026"/>
    <s v="Central"/>
    <m/>
    <s v="NRIS"/>
    <m/>
    <n v="80"/>
    <n v="80"/>
    <x v="8"/>
    <m/>
    <m/>
    <m/>
    <n v="0"/>
    <n v="0"/>
    <n v="0"/>
    <n v="0"/>
  </r>
  <r>
    <s v="J4258"/>
    <x v="2"/>
    <d v="2026-08-06T00:00:00"/>
    <m/>
    <m/>
    <d v="2031-02-22T00:00:00"/>
    <s v="ENTERGY TEXAS, INC. ETTO"/>
    <m/>
    <m/>
    <m/>
    <m/>
    <s v="DPP-2026"/>
    <s v="South"/>
    <m/>
    <s v="NRIS"/>
    <m/>
    <n v="787.3"/>
    <n v="787.3"/>
    <x v="8"/>
    <m/>
    <m/>
    <m/>
    <n v="0"/>
    <n v="0"/>
    <n v="0"/>
    <n v="0"/>
  </r>
  <r>
    <s v="J441"/>
    <x v="1"/>
    <d v="2015-04-15T00:00:00"/>
    <d v="2019-08-09T00:00:00"/>
    <m/>
    <d v="2018-09-01T00:00:00"/>
    <s v="NORTHERN STATES POWER COMPANY"/>
    <s v="Dodge County"/>
    <m/>
    <m/>
    <s v="MN"/>
    <s v="DPP-2017-FEB"/>
    <s v="West"/>
    <s v="GIA"/>
    <s v="NRIS"/>
    <s v="Byron 345 kV Substation"/>
    <n v="170"/>
    <n v="170"/>
    <x v="1"/>
    <s v="Wind Turbine"/>
    <s v="Withdrawn"/>
    <d v="2019-09-18T00:00:00"/>
    <n v="170"/>
    <n v="170"/>
    <n v="170"/>
    <n v="170"/>
  </r>
  <r>
    <s v="J444"/>
    <x v="1"/>
    <d v="2015-05-07T00:00:00"/>
    <d v="2018-04-12T00:00:00"/>
    <m/>
    <d v="2017-01-31T00:00:00"/>
    <s v="ITC MIDWEST"/>
    <s v="Wayne County"/>
    <m/>
    <m/>
    <s v="MI"/>
    <s v="DPP-2017-FEB"/>
    <s v="East (ITC)"/>
    <s v="GIA"/>
    <s v="NRIS"/>
    <s v="Waterman/Navarre 230kV"/>
    <n v="235"/>
    <n v="235"/>
    <x v="3"/>
    <s v="Combined Cycle"/>
    <s v="Not Started"/>
    <m/>
    <n v="0"/>
    <n v="0"/>
    <n v="0"/>
    <n v="0"/>
  </r>
  <r>
    <s v="J446"/>
    <x v="1"/>
    <m/>
    <d v="2023-02-21T00:00:00"/>
    <m/>
    <m/>
    <m/>
    <m/>
    <m/>
    <m/>
    <s v="IN"/>
    <m/>
    <m/>
    <m/>
    <m/>
    <m/>
    <n v="0"/>
    <n v="0"/>
    <x v="8"/>
    <m/>
    <m/>
    <m/>
    <n v="0"/>
    <n v="0"/>
    <n v="0"/>
    <n v="0"/>
  </r>
  <r>
    <s v="J447"/>
    <x v="1"/>
    <d v="2017-06-16T00:00:00"/>
    <d v="2019-10-24T00:00:00"/>
    <m/>
    <d v="2021-07-01T00:00:00"/>
    <s v="ITC MIDWEST"/>
    <s v="Cerro Gordo County"/>
    <m/>
    <m/>
    <s v="IA"/>
    <s v="DPP-2017-AUG"/>
    <s v="West"/>
    <s v="GIA"/>
    <s v="NRIS"/>
    <s v="Emery 161 kV Substation"/>
    <n v="150"/>
    <n v="150"/>
    <x v="1"/>
    <s v="Wind Turbine"/>
    <s v="Not Started"/>
    <m/>
    <n v="0"/>
    <n v="0"/>
    <n v="0"/>
    <n v="0"/>
  </r>
  <r>
    <s v="J458"/>
    <x v="1"/>
    <d v="2015-05-18T00:00:00"/>
    <d v="2019-04-09T00:00:00"/>
    <m/>
    <d v="2019-09-30T00:00:00"/>
    <s v="OTTER TAIL POWER COMPANY"/>
    <s v="Clark County"/>
    <m/>
    <m/>
    <s v="SD"/>
    <s v="DPP-2017-FEB"/>
    <s v="West"/>
    <s v="GIA"/>
    <s v="NRIS"/>
    <s v="On proposed Big Stone-Ellendale 345 kV line approx. 76 miles west of Big Stone"/>
    <n v="200"/>
    <n v="200"/>
    <x v="1"/>
    <s v="Wind Turbine"/>
    <s v="Not Started"/>
    <m/>
    <n v="0"/>
    <n v="0"/>
    <n v="0"/>
    <n v="0"/>
  </r>
  <r>
    <s v="J467"/>
    <x v="1"/>
    <d v="2017-06-16T00:00:00"/>
    <d v="2019-01-08T00:00:00"/>
    <m/>
    <d v="2017-11-15T00:00:00"/>
    <s v="AMEREN ILLINOIS"/>
    <s v="Douglas County"/>
    <m/>
    <m/>
    <s v="IL"/>
    <s v="DPP-2017-AUG"/>
    <s v="Central"/>
    <s v="GIA"/>
    <s v="NRIS"/>
    <s v="Sidnay-Kansas 345kV Line"/>
    <n v="102"/>
    <n v="102"/>
    <x v="1"/>
    <s v="Wind Turbine"/>
    <s v="Not Started"/>
    <m/>
    <n v="0"/>
    <n v="0"/>
    <n v="0"/>
    <n v="0"/>
  </r>
  <r>
    <s v="J478"/>
    <x v="1"/>
    <d v="2017-06-16T00:00:00"/>
    <d v="2019-04-17T00:00:00"/>
    <m/>
    <d v="2018-07-01T00:00:00"/>
    <s v="Duke Energy Corporation"/>
    <s v="Clinton County"/>
    <m/>
    <m/>
    <s v="IN"/>
    <s v="DPP-2017-AUG"/>
    <s v="Central"/>
    <s v="GIA"/>
    <s v="NRIS"/>
    <s v="Thorntown - New London - Kokomo 230kV Line"/>
    <n v="200"/>
    <n v="200"/>
    <x v="1"/>
    <s v="Wind Turbine"/>
    <s v="Not Started"/>
    <m/>
    <n v="200"/>
    <n v="200"/>
    <n v="0"/>
    <n v="0"/>
  </r>
  <r>
    <s v="J502"/>
    <x v="1"/>
    <d v="2017-06-16T00:00:00"/>
    <d v="2019-01-07T00:00:00"/>
    <m/>
    <d v="2019-09-01T00:00:00"/>
    <s v="Entergy"/>
    <s v="Orange County"/>
    <m/>
    <m/>
    <s v="TX"/>
    <s v="DPP-2017-AUG"/>
    <s v="South"/>
    <s v="GIA"/>
    <s v="NRIS"/>
    <s v="McLewis 230 kV Substation"/>
    <n v="100"/>
    <n v="100"/>
    <x v="0"/>
    <s v="Photovoltaic"/>
    <s v="Not Started"/>
    <m/>
    <n v="0"/>
    <n v="0"/>
    <n v="0"/>
    <n v="0"/>
  </r>
  <r>
    <s v="J508"/>
    <x v="1"/>
    <d v="2015-11-16T00:00:00"/>
    <d v="2017-07-17T00:00:00"/>
    <m/>
    <d v="2017-04-01T00:00:00"/>
    <s v="Entergy"/>
    <s v="Clark County"/>
    <m/>
    <m/>
    <s v="AR"/>
    <s v="DPP-2017-FEB"/>
    <s v="South"/>
    <s v="GIA"/>
    <s v="NRIS"/>
    <s v="tap 115 kV line betwwen W Arkadelphia sub and Delarc sub at 3.85 miles from West Arkadelphia substat"/>
    <n v="42.7"/>
    <n v="42.7"/>
    <x v="3"/>
    <s v="Combined Cycle"/>
    <s v="Not Started"/>
    <m/>
    <n v="0"/>
    <n v="0"/>
    <n v="0"/>
    <n v="0"/>
  </r>
  <r>
    <s v="J522"/>
    <x v="1"/>
    <d v="2015-11-16T00:00:00"/>
    <d v="2019-04-09T00:00:00"/>
    <m/>
    <d v="2019-09-15T00:00:00"/>
    <s v="ITC MIDWEST"/>
    <s v="Mower County"/>
    <m/>
    <m/>
    <s v="MN"/>
    <s v="DPP-2017-FEB"/>
    <s v="West"/>
    <s v="GIA"/>
    <s v="NRIS"/>
    <s v="Adams substation at 69 kV"/>
    <n v="20"/>
    <n v="20"/>
    <x v="2"/>
    <s v="Battery Storage"/>
    <s v="Not Started"/>
    <m/>
    <n v="0"/>
    <n v="0"/>
    <n v="0"/>
    <n v="0"/>
  </r>
  <r>
    <s v="J544"/>
    <x v="0"/>
    <m/>
    <m/>
    <m/>
    <d v="2018-09-01T00:00:00"/>
    <m/>
    <m/>
    <m/>
    <m/>
    <s v="LA"/>
    <m/>
    <m/>
    <m/>
    <m/>
    <m/>
    <n v="0"/>
    <n v="0"/>
    <x v="8"/>
    <m/>
    <s v="In Service"/>
    <d v="2021-09-15T00:00:00"/>
    <n v="98.1"/>
    <n v="98.1"/>
    <n v="98.1"/>
    <n v="98.1"/>
  </r>
  <r>
    <s v="J545"/>
    <x v="0"/>
    <d v="2017-06-16T00:00:00"/>
    <m/>
    <d v="2021-05-19T00:00:00"/>
    <d v="2020-08-31T00:00:00"/>
    <s v="NORTHERN STATES POWER COMPANY"/>
    <s v="Lincoln County"/>
    <m/>
    <m/>
    <s v="MN"/>
    <s v="DPP-2017-AUG"/>
    <s v="West"/>
    <s v="GIA"/>
    <s v="ERIS"/>
    <s v="Buffalo 115kV Substation"/>
    <n v="110"/>
    <n v="110"/>
    <x v="1"/>
    <s v="Wind Turbine"/>
    <s v="In Service"/>
    <d v="2022-12-15T00:00:00"/>
    <n v="110"/>
    <n v="0"/>
    <n v="110"/>
    <n v="0"/>
  </r>
  <r>
    <s v="J556"/>
    <x v="1"/>
    <d v="2016-04-04T00:00:00"/>
    <d v="2019-04-09T00:00:00"/>
    <m/>
    <d v="2019-12-31T00:00:00"/>
    <s v="GREAT RIVER ENERGY"/>
    <s v="Renville County"/>
    <m/>
    <m/>
    <s v="MN"/>
    <s v="DPP-2017-FEB"/>
    <s v="West"/>
    <s v="GIA"/>
    <s v="NRIS"/>
    <s v="Panther 230kV Substation"/>
    <n v="102"/>
    <n v="102"/>
    <x v="1"/>
    <s v="Wind Turbine"/>
    <s v="Not Started"/>
    <m/>
    <n v="0"/>
    <n v="0"/>
    <n v="0"/>
    <n v="0"/>
  </r>
  <r>
    <s v="J570"/>
    <x v="1"/>
    <d v="2016-05-06T00:00:00"/>
    <d v="2019-08-05T00:00:00"/>
    <m/>
    <d v="2018-09-15T00:00:00"/>
    <s v="MIDAMERICAN ENERGY COMPANY"/>
    <s v="Atchison County"/>
    <m/>
    <m/>
    <s v="MO"/>
    <s v="DPP-2017-FEB"/>
    <s v="West"/>
    <s v="GIA"/>
    <s v="NRIS"/>
    <s v="Cooper - Atchison 345kV Line"/>
    <n v="150"/>
    <n v="150"/>
    <x v="1"/>
    <s v="Wind Turbine"/>
    <s v="Not Started"/>
    <m/>
    <n v="150"/>
    <n v="150"/>
    <n v="0"/>
    <n v="0"/>
  </r>
  <r>
    <s v="J579"/>
    <x v="1"/>
    <d v="2017-06-16T00:00:00"/>
    <d v="2019-01-09T00:00:00"/>
    <m/>
    <d v="2018-10-01T00:00:00"/>
    <s v="METC"/>
    <s v="Allegan County"/>
    <m/>
    <m/>
    <s v="MI"/>
    <s v="DPP-2017-AUG"/>
    <s v="East (ITC)"/>
    <s v="GIA"/>
    <s v="NRIS"/>
    <s v="Argenta 345kV Substation"/>
    <n v="200"/>
    <n v="200"/>
    <x v="1"/>
    <s v="Wind Turbine"/>
    <s v="Not Started"/>
    <m/>
    <n v="0"/>
    <n v="0"/>
    <n v="0"/>
    <n v="0"/>
  </r>
  <r>
    <s v="J580"/>
    <x v="1"/>
    <d v="2017-06-16T00:00:00"/>
    <d v="2021-01-29T00:00:00"/>
    <m/>
    <d v="2021-09-15T00:00:00"/>
    <s v="MONTANA-DAKOTA UTILITIES CO."/>
    <s v="Burleigh County"/>
    <m/>
    <m/>
    <s v="ND"/>
    <s v="DPP-2017-AUG"/>
    <s v="West"/>
    <s v="GIA"/>
    <s v="ERIS"/>
    <s v="Nepoleon Sub 230kV"/>
    <n v="298"/>
    <n v="298"/>
    <x v="1"/>
    <s v="Wind Turbine"/>
    <s v="Not Started"/>
    <m/>
    <n v="298"/>
    <n v="0"/>
    <n v="0"/>
    <n v="0"/>
  </r>
  <r>
    <s v="J584"/>
    <x v="1"/>
    <d v="2016-05-09T00:00:00"/>
    <d v="2020-09-29T00:00:00"/>
    <d v="2019-03-26T00:00:00"/>
    <d v="2018-09-15T00:00:00"/>
    <s v="American Transmission Co. LLC"/>
    <s v="Green County"/>
    <m/>
    <m/>
    <s v="WI"/>
    <s v="DPP-2017-FEB"/>
    <s v="East (ATC)"/>
    <s v="GIA"/>
    <s v="NRIS"/>
    <s v="Blacksmith Tap - Spring Grove 69kV Line"/>
    <n v="60"/>
    <n v="60"/>
    <x v="1"/>
    <s v="Wind Turbine"/>
    <s v="Withdrawn"/>
    <d v="2021-05-15T00:00:00"/>
    <n v="60"/>
    <n v="60"/>
    <n v="60"/>
    <n v="60"/>
  </r>
  <r>
    <s v="J625"/>
    <x v="1"/>
    <d v="2017-06-16T00:00:00"/>
    <d v="2019-02-04T00:00:00"/>
    <m/>
    <d v="2019-09-15T00:00:00"/>
    <s v="NORTHERN STATES POWER COMPANY"/>
    <s v="Meeker County"/>
    <s v="Renville County"/>
    <m/>
    <s v="MN"/>
    <s v="DPP-2017-AUG"/>
    <s v="West"/>
    <s v="GIA"/>
    <s v="NRIS"/>
    <s v="Blue Lake 345kV Substation"/>
    <n v="400"/>
    <n v="400"/>
    <x v="1"/>
    <s v="Wind Turbine"/>
    <s v="Not Started"/>
    <m/>
    <n v="0"/>
    <n v="0"/>
    <n v="0"/>
    <n v="0"/>
  </r>
  <r>
    <s v="J628"/>
    <x v="1"/>
    <d v="2017-06-16T00:00:00"/>
    <d v="2021-11-09T00:00:00"/>
    <d v="2021-09-12T00:00:00"/>
    <d v="2022-07-01T00:00:00"/>
    <s v="GREAT RIVER ENERGY"/>
    <s v="Grand Forks County"/>
    <s v="Nelson County"/>
    <m/>
    <s v="ND"/>
    <s v="DPP-2017-AUG"/>
    <s v="West"/>
    <s v="GIA"/>
    <s v="ERIS"/>
    <s v="Ramsey - Prairie 230kV Line Tap"/>
    <n v="400"/>
    <n v="400"/>
    <x v="1"/>
    <s v="Wind Turbine"/>
    <s v="Not Started"/>
    <m/>
    <n v="400"/>
    <n v="400"/>
    <n v="400"/>
    <n v="0"/>
  </r>
  <r>
    <s v="J632"/>
    <x v="1"/>
    <d v="2017-06-16T00:00:00"/>
    <d v="2019-01-09T00:00:00"/>
    <m/>
    <d v="2018-09-15T00:00:00"/>
    <s v="METC"/>
    <s v="Berrien County"/>
    <s v="Van Buren County"/>
    <m/>
    <s v="MI"/>
    <s v="DPP-2017-AUG"/>
    <s v="East (ITC)"/>
    <s v="GIA"/>
    <s v="NRIS"/>
    <s v="Argenta - Plaisades 345kV Line"/>
    <n v="200"/>
    <n v="200"/>
    <x v="1"/>
    <s v="Wind Turbine"/>
    <s v="Not Started"/>
    <m/>
    <n v="0"/>
    <n v="0"/>
    <n v="0"/>
    <n v="0"/>
  </r>
  <r>
    <s v="J635"/>
    <x v="1"/>
    <d v="2016-05-09T00:00:00"/>
    <d v="2017-06-15T00:00:00"/>
    <m/>
    <d v="2018-02-28T00:00:00"/>
    <s v="Entergy"/>
    <s v="Concordia Parish"/>
    <m/>
    <m/>
    <s v="LA"/>
    <s v="DPP-2017-FEB"/>
    <s v="South"/>
    <s v="GIA"/>
    <s v="NRIS"/>
    <s v="Tap - Entergy 115kV T-line Natchez/South Plantation (ID:668) 1mile from Plantation Sub"/>
    <n v="35"/>
    <n v="35"/>
    <x v="0"/>
    <s v="Photovoltaic"/>
    <s v="Not Started"/>
    <m/>
    <n v="0"/>
    <n v="0"/>
    <n v="0"/>
    <n v="0"/>
  </r>
  <r>
    <s v="J636"/>
    <x v="1"/>
    <d v="2016-05-09T00:00:00"/>
    <d v="2017-06-20T00:00:00"/>
    <m/>
    <d v="2016-05-31T00:00:00"/>
    <s v="CLECO POWER LLC"/>
    <s v="Rapides Parish"/>
    <m/>
    <m/>
    <s v="LA"/>
    <s v="DPP-2017-FEB"/>
    <s v="South"/>
    <s v="GIA"/>
    <s v="NRIS"/>
    <s v="Shady Oaks - Coughlin 138kV Line"/>
    <n v="52"/>
    <n v="52"/>
    <x v="8"/>
    <m/>
    <s v="Not Started"/>
    <m/>
    <n v="0"/>
    <n v="0"/>
    <n v="0"/>
    <n v="0"/>
  </r>
  <r>
    <s v="J639"/>
    <x v="1"/>
    <d v="2017-06-16T00:00:00"/>
    <d v="2022-10-31T00:00:00"/>
    <d v="2019-12-02T00:00:00"/>
    <d v="2019-04-01T00:00:00"/>
    <s v="Entergy"/>
    <s v="West Baton Rouge Parish"/>
    <m/>
    <m/>
    <s v="LA"/>
    <s v="DPP-2017-AUG"/>
    <s v="South"/>
    <s v="GIA"/>
    <s v="NRIS"/>
    <s v="Addis - Big Cajun 230kV Line"/>
    <n v="50"/>
    <n v="50"/>
    <x v="0"/>
    <s v="Photovoltaic"/>
    <s v="Withdrawn"/>
    <d v="2020-11-25T00:00:00"/>
    <n v="50"/>
    <n v="50"/>
    <n v="50"/>
    <n v="50"/>
  </r>
  <r>
    <s v="J640"/>
    <x v="1"/>
    <d v="2017-06-16T00:00:00"/>
    <d v="2019-01-07T00:00:00"/>
    <m/>
    <d v="2019-04-01T00:00:00"/>
    <s v="Entergy"/>
    <s v="St. Helena Parish"/>
    <m/>
    <m/>
    <s v="LA"/>
    <s v="DPP-2017-AUG"/>
    <s v="South"/>
    <s v="GIA"/>
    <s v="NRIS"/>
    <s v="Amite - Liberty 115kV Line"/>
    <n v="50"/>
    <n v="50"/>
    <x v="0"/>
    <s v="Photovoltaic"/>
    <s v="Not Started"/>
    <m/>
    <n v="0"/>
    <n v="0"/>
    <n v="0"/>
    <n v="0"/>
  </r>
  <r>
    <s v="J646"/>
    <x v="0"/>
    <d v="2016-06-16T00:00:00"/>
    <m/>
    <d v="2019-04-26T00:00:00"/>
    <d v="2010-07-01T00:00:00"/>
    <s v="ITC MIDWEST"/>
    <s v="Macomb County"/>
    <m/>
    <m/>
    <s v="MI"/>
    <s v="DPP-2017-FEB"/>
    <s v="East (ITC)"/>
    <s v="GIA"/>
    <s v="ERIS"/>
    <s v="Carbon - connecting to ITC at Jewel, St-Clair and Spokane substations"/>
    <n v="1.6"/>
    <n v="0"/>
    <x v="8"/>
    <m/>
    <s v="Under Construction"/>
    <d v="2010-07-01T00:00:00"/>
    <n v="1.6"/>
    <n v="0"/>
    <n v="1.6"/>
    <n v="0"/>
  </r>
  <r>
    <s v="J647"/>
    <x v="1"/>
    <d v="2016-06-20T00:00:00"/>
    <d v="2018-09-06T00:00:00"/>
    <m/>
    <d v="2021-09-01T00:00:00"/>
    <s v="METC"/>
    <s v="Muskegon County"/>
    <m/>
    <m/>
    <s v="MI"/>
    <s v="DPP-2017-FEB"/>
    <s v="East (ITC)"/>
    <s v="GIA"/>
    <s v="NRIS"/>
    <s v="BC Cobb - Four Mile 138kV Line"/>
    <n v="147.4"/>
    <n v="147.4"/>
    <x v="0"/>
    <s v="Photovoltaic"/>
    <s v="Not Started"/>
    <m/>
    <n v="124.95"/>
    <n v="124.95"/>
    <n v="0"/>
    <n v="0"/>
  </r>
  <r>
    <s v="J657"/>
    <x v="1"/>
    <d v="2016-07-08T00:00:00"/>
    <d v="2018-04-10T00:00:00"/>
    <m/>
    <d v="2019-09-01T00:00:00"/>
    <s v="American Transmission Co. LLC"/>
    <s v="Manitowoc County"/>
    <m/>
    <m/>
    <s v="WI"/>
    <s v="DPP-2017-FEB"/>
    <s v="East (ATC)"/>
    <s v="GIA"/>
    <s v="NRIS"/>
    <s v="Kewaunee - Shoto 138kV Line (at the existing Mishicot Tap)"/>
    <n v="100.8"/>
    <n v="100.8"/>
    <x v="1"/>
    <s v="Wind Turbine"/>
    <s v="Not Started"/>
    <m/>
    <n v="0"/>
    <n v="0"/>
    <n v="0"/>
    <n v="0"/>
  </r>
  <r>
    <s v="J658"/>
    <x v="1"/>
    <d v="2016-07-07T00:00:00"/>
    <d v="2017-06-21T00:00:00"/>
    <m/>
    <d v="2018-09-15T00:00:00"/>
    <s v="Ameren Missouri"/>
    <s v="Audrain County"/>
    <m/>
    <m/>
    <s v="MO"/>
    <s v="DPP-2017-FEB"/>
    <s v="Central"/>
    <s v="GIA"/>
    <s v="NRIS"/>
    <s v="Spencer Creek 345 kV Substation"/>
    <n v="100.05"/>
    <n v="100.05"/>
    <x v="1"/>
    <s v="Wind Turbine"/>
    <s v="Not Started"/>
    <m/>
    <n v="0"/>
    <n v="0"/>
    <n v="0"/>
    <n v="0"/>
  </r>
  <r>
    <s v="J659"/>
    <x v="1"/>
    <d v="2017-06-16T00:00:00"/>
    <d v="2019-01-07T00:00:00"/>
    <m/>
    <d v="2019-04-01T00:00:00"/>
    <s v="Entergy"/>
    <s v="Franklin Parish"/>
    <m/>
    <m/>
    <s v="LA"/>
    <s v="DPP-2017-AUG"/>
    <s v="South"/>
    <s v="GIA"/>
    <s v="NRIS"/>
    <s v="Winnsboro to Gilbert 115 kV line"/>
    <n v="50"/>
    <n v="50"/>
    <x v="0"/>
    <s v="Photovoltaic"/>
    <s v="Not Started"/>
    <m/>
    <n v="0"/>
    <n v="0"/>
    <n v="0"/>
    <n v="0"/>
  </r>
  <r>
    <s v="J662"/>
    <x v="1"/>
    <d v="2016-07-11T00:00:00"/>
    <d v="2019-01-03T00:00:00"/>
    <d v="2018-10-09T00:00:00"/>
    <d v="2018-10-15T00:00:00"/>
    <s v="Entergy"/>
    <s v="Crittenden County"/>
    <m/>
    <m/>
    <s v="AR"/>
    <s v="DPP-2017-FEB"/>
    <s v="South"/>
    <s v="GIA"/>
    <s v="NRIS"/>
    <s v="Marked Tree - Marion 161kV Line"/>
    <n v="100.05"/>
    <n v="100.05"/>
    <x v="1"/>
    <s v="Wind Turbine"/>
    <s v="Withdrawn"/>
    <d v="2020-07-31T00:00:00"/>
    <n v="100.05"/>
    <n v="100.05"/>
    <n v="100.05"/>
    <n v="100.05"/>
  </r>
  <r>
    <s v="J663"/>
    <x v="0"/>
    <d v="2017-06-16T00:00:00"/>
    <m/>
    <d v="2020-03-20T00:00:00"/>
    <d v="2018-10-01T00:00:00"/>
    <s v="Entergy"/>
    <s v="Phillips County"/>
    <m/>
    <m/>
    <s v="AR"/>
    <s v="DPP-2017-AUG"/>
    <s v="South"/>
    <s v="GIA"/>
    <s v="NRIS"/>
    <s v="Robert E Ritchie 230kV Substation"/>
    <n v="100"/>
    <n v="100"/>
    <x v="0"/>
    <s v="Photovoltaic"/>
    <s v="In Service"/>
    <d v="2022-05-01T00:00:00"/>
    <n v="100"/>
    <n v="100"/>
    <n v="100"/>
    <n v="100"/>
  </r>
  <r>
    <s v="J679"/>
    <x v="0"/>
    <d v="2016-07-11T00:00:00"/>
    <m/>
    <d v="2018-10-12T00:00:00"/>
    <d v="2018-05-15T00:00:00"/>
    <s v="Entergy"/>
    <s v="Carroll County"/>
    <m/>
    <m/>
    <s v="MS"/>
    <s v="DPP-2017-FEB"/>
    <s v="South"/>
    <s v="GIA"/>
    <s v="NRIS"/>
    <s v="Greenwood - Winona 115kV"/>
    <n v="100"/>
    <n v="100"/>
    <x v="0"/>
    <s v="Photovoltaic"/>
    <s v="In Service"/>
    <d v="2021-04-15T00:00:00"/>
    <n v="100"/>
    <n v="100"/>
    <n v="100"/>
    <n v="100"/>
  </r>
  <r>
    <s v="J680"/>
    <x v="0"/>
    <d v="2016-07-11T00:00:00"/>
    <m/>
    <d v="2018-10-09T00:00:00"/>
    <d v="2018-04-15T00:00:00"/>
    <s v="Entergy"/>
    <s v="Ashley County"/>
    <m/>
    <m/>
    <s v="AR"/>
    <s v="DPP-2017-FEB"/>
    <s v="South"/>
    <s v="GIA"/>
    <s v="NRIS"/>
    <s v="Crosset West 115kV Substation"/>
    <n v="100"/>
    <n v="100"/>
    <x v="0"/>
    <s v="Photovoltaic"/>
    <s v="Under Construction"/>
    <d v="2021-04-15T00:00:00"/>
    <n v="100"/>
    <n v="100"/>
    <n v="100"/>
    <n v="100"/>
  </r>
  <r>
    <s v="J683"/>
    <x v="0"/>
    <d v="2016-07-11T00:00:00"/>
    <m/>
    <d v="2018-09-11T00:00:00"/>
    <d v="2018-02-28T00:00:00"/>
    <s v="Entergy"/>
    <s v="West Baton Rouge Parish"/>
    <m/>
    <m/>
    <s v="LA"/>
    <s v="DPP-2017-FEB"/>
    <s v="South"/>
    <s v="GIA"/>
    <s v="NRIS"/>
    <s v="Wilbert - Livonia 138kV Substation (~1.5 mi from Wilbert)"/>
    <n v="50"/>
    <n v="50"/>
    <x v="0"/>
    <s v="Photovoltaic"/>
    <s v="In Service"/>
    <d v="2020-01-31T00:00:00"/>
    <n v="50"/>
    <n v="50"/>
    <n v="50"/>
    <n v="50"/>
  </r>
  <r>
    <s v="J687"/>
    <x v="1"/>
    <d v="2016-07-11T00:00:00"/>
    <d v="2017-02-17T00:00:00"/>
    <m/>
    <d v="2019-06-01T00:00:00"/>
    <s v="Entergy"/>
    <s v="Orleans Parish"/>
    <m/>
    <m/>
    <s v="LA"/>
    <s v="DPP-2017-FEB"/>
    <s v="South"/>
    <s v="GIA"/>
    <s v="NRIS"/>
    <s v="Nasa 115kV Substation"/>
    <n v="20"/>
    <n v="20"/>
    <x v="0"/>
    <s v="Photovoltaic"/>
    <s v="Not Started"/>
    <m/>
    <n v="0"/>
    <n v="0"/>
    <n v="0"/>
    <n v="0"/>
  </r>
  <r>
    <s v="J697"/>
    <x v="0"/>
    <d v="2017-06-16T00:00:00"/>
    <m/>
    <d v="2019-11-25T00:00:00"/>
    <d v="2022-10-15T00:00:00"/>
    <s v="Entergy"/>
    <s v="Morehouse Parish"/>
    <m/>
    <m/>
    <s v="LA"/>
    <s v="DPP-2017-AUG"/>
    <s v="South"/>
    <s v="GIA"/>
    <s v="NRIS"/>
    <s v="Oak Ridge 115 kV Substation"/>
    <n v="150"/>
    <n v="150"/>
    <x v="0"/>
    <s v="Photovoltaic"/>
    <s v="In Service"/>
    <d v="2022-10-15T00:00:00"/>
    <n v="150"/>
    <n v="150"/>
    <n v="150"/>
    <n v="150"/>
  </r>
  <r>
    <s v="J698"/>
    <x v="1"/>
    <d v="2017-06-16T00:00:00"/>
    <d v="2019-01-07T00:00:00"/>
    <m/>
    <d v="2015-11-01T00:00:00"/>
    <s v="Entergy"/>
    <s v="Chicot County"/>
    <m/>
    <m/>
    <s v="AR"/>
    <s v="DPP-2017-AUG"/>
    <s v="South"/>
    <s v="GIA"/>
    <s v="NRIS"/>
    <s v="Lake Village Bagby 115 kV Substation"/>
    <n v="150"/>
    <n v="150"/>
    <x v="0"/>
    <s v="Photovoltaic"/>
    <s v="Not Started"/>
    <m/>
    <n v="0"/>
    <n v="0"/>
    <n v="0"/>
    <n v="0"/>
  </r>
  <r>
    <s v="J701"/>
    <x v="0"/>
    <d v="2017-06-16T00:00:00"/>
    <m/>
    <d v="2020-05-06T00:00:00"/>
    <d v="2017-09-15T00:00:00"/>
    <s v="ITC MIDWEST"/>
    <s v="Tuscola County"/>
    <m/>
    <m/>
    <s v="MI"/>
    <s v="DPP-2017-AUG"/>
    <s v="East (ITC)"/>
    <s v="GIA"/>
    <s v="NRIS"/>
    <s v="Rapson - Grasssmere - Bauer 345kV Line Tap (Kirk 345 kV Sub)"/>
    <n v="49"/>
    <n v="49"/>
    <x v="1"/>
    <s v="Wind Turbine"/>
    <s v="In Service"/>
    <d v="2018-10-01T00:00:00"/>
    <n v="49"/>
    <n v="49"/>
    <n v="49"/>
    <n v="49"/>
  </r>
  <r>
    <s v="J703"/>
    <x v="0"/>
    <d v="2016-09-08T00:00:00"/>
    <m/>
    <m/>
    <d v="2019-03-01T00:00:00"/>
    <s v="American Transmission Co. LLC"/>
    <s v="Marquette County"/>
    <m/>
    <m/>
    <s v="MI"/>
    <s v="DPP-2016 AUG/2017-FEB"/>
    <s v="East (ITC)"/>
    <s v="GIA"/>
    <s v="NRIS"/>
    <s v="Huron 138kV Substation -looping Lines FREG11 (National to Freeman) &amp; Goose Lake (PI to Empire)"/>
    <n v="128.1"/>
    <n v="128.1"/>
    <x v="3"/>
    <s v="Piston (Engine), Internal Combustion (Diesel)"/>
    <s v="In Service"/>
    <d v="2018-12-01T00:00:00"/>
    <n v="128.1"/>
    <n v="128.1"/>
    <n v="128.1"/>
    <n v="128.1"/>
  </r>
  <r>
    <s v="J704"/>
    <x v="0"/>
    <d v="2016-09-08T00:00:00"/>
    <m/>
    <m/>
    <d v="2019-03-01T00:00:00"/>
    <s v="American Transmission Co. LLC"/>
    <s v="Baraga County"/>
    <m/>
    <m/>
    <s v="MI"/>
    <s v="DPP-2016 AUG/2017-FEB"/>
    <s v="East (ITC)"/>
    <s v="GIA"/>
    <s v="NRIS"/>
    <s v="M38 Substation 138kV"/>
    <n v="54.9"/>
    <n v="54.9"/>
    <x v="3"/>
    <s v="Piston (Engine), Internal Combustion (Diesel)"/>
    <s v="In Service"/>
    <d v="2018-12-01T00:00:00"/>
    <n v="54.9"/>
    <n v="54.9"/>
    <n v="54.9"/>
    <n v="54.9"/>
  </r>
  <r>
    <s v="J705"/>
    <x v="1"/>
    <d v="2017-06-16T00:00:00"/>
    <d v="2021-01-29T00:00:00"/>
    <m/>
    <d v="2021-10-01T00:00:00"/>
    <s v="MINNESOTA POWER INC."/>
    <s v="Morton County"/>
    <m/>
    <m/>
    <s v="ND"/>
    <s v="DPP-2017-AUG"/>
    <s v="West"/>
    <s v="GIA"/>
    <s v="NRIS"/>
    <s v="Tri-county 230 kV substation"/>
    <n v="100"/>
    <n v="100"/>
    <x v="1"/>
    <s v="Wind Turbine"/>
    <s v="Not Started"/>
    <m/>
    <n v="100"/>
    <n v="100"/>
    <n v="0"/>
    <n v="0"/>
  </r>
  <r>
    <s v="J706"/>
    <x v="1"/>
    <d v="2017-06-16T00:00:00"/>
    <d v="2021-01-29T00:00:00"/>
    <m/>
    <d v="2021-10-01T00:00:00"/>
    <s v="MINNESOTA POWER INC."/>
    <s v="Morton County"/>
    <m/>
    <m/>
    <s v="ND"/>
    <s v="DPP-2017-AUG"/>
    <s v="West"/>
    <s v="GIA"/>
    <s v="NRIS"/>
    <s v="Tri-county 230kV sub"/>
    <n v="100"/>
    <n v="100"/>
    <x v="1"/>
    <s v="Wind Turbine"/>
    <s v="Not Started"/>
    <m/>
    <n v="100"/>
    <n v="100"/>
    <n v="0"/>
    <n v="0"/>
  </r>
  <r>
    <s v="J707"/>
    <x v="1"/>
    <d v="2016-09-09T00:00:00"/>
    <d v="2019-04-09T00:00:00"/>
    <m/>
    <d v="2020-09-23T00:00:00"/>
    <s v="OTTER TAIL POWER COMPANY"/>
    <s v="Barnes County"/>
    <m/>
    <m/>
    <s v="ND"/>
    <s v="DPP-2017-FEB"/>
    <s v="West"/>
    <s v="GIA"/>
    <s v="ERIS"/>
    <s v="Buffalo 345kV"/>
    <n v="300"/>
    <n v="300"/>
    <x v="1"/>
    <s v="Wind Turbine"/>
    <s v="Not Started"/>
    <m/>
    <n v="0"/>
    <n v="0"/>
    <n v="0"/>
    <n v="0"/>
  </r>
  <r>
    <s v="J708"/>
    <x v="1"/>
    <d v="2016-09-09T00:00:00"/>
    <d v="2019-05-02T00:00:00"/>
    <m/>
    <d v="2022-06-01T00:00:00"/>
    <s v="Southern Indiana Gas &amp; Electric Company d/b/a Vectren Energy Delivery of Indiana, Inc."/>
    <s v="Posey County"/>
    <m/>
    <m/>
    <s v="IN"/>
    <s v="DPP-2017-FEB"/>
    <s v="Central"/>
    <s v="GIA"/>
    <s v="NRIS"/>
    <s v="AB Brown 138 kV sub"/>
    <n v="847"/>
    <n v="847"/>
    <x v="13"/>
    <s v="Combined Cycle"/>
    <s v="Not Started"/>
    <d v="2019-07-01T00:00:00"/>
    <n v="847"/>
    <n v="847"/>
    <n v="847"/>
    <n v="847"/>
  </r>
  <r>
    <s v="J709"/>
    <x v="1"/>
    <d v="2016-09-09T00:00:00"/>
    <d v="2019-01-11T00:00:00"/>
    <d v="2018-10-17T00:00:00"/>
    <d v="2020-04-01T00:00:00"/>
    <s v="COOPERATIVE ENERGY"/>
    <s v="Greene County"/>
    <m/>
    <m/>
    <s v="MS"/>
    <s v="DPP-2017-FEB"/>
    <s v="South"/>
    <s v="GIA"/>
    <s v="NRIS"/>
    <s v="Green Substation 230kV"/>
    <n v="100"/>
    <n v="100"/>
    <x v="0"/>
    <s v="Photovoltaic"/>
    <s v="Withdrawn"/>
    <d v="2020-04-01T00:00:00"/>
    <n v="60"/>
    <n v="60"/>
    <n v="60"/>
    <n v="60"/>
  </r>
  <r>
    <s v="J710"/>
    <x v="1"/>
    <d v="2016-09-09T00:00:00"/>
    <d v="2018-01-24T00:00:00"/>
    <d v="2018-01-24T00:00:00"/>
    <d v="2018-06-01T00:00:00"/>
    <s v="Entergy"/>
    <s v="Lafayette Parish"/>
    <m/>
    <m/>
    <s v="LA"/>
    <s v="DPP-2017-FEB"/>
    <s v="South"/>
    <s v="GIA"/>
    <s v="NRIS"/>
    <s v="Duson - Scott line 69kV"/>
    <n v="20"/>
    <n v="20"/>
    <x v="0"/>
    <s v="Photovoltaic"/>
    <s v="Not Started"/>
    <d v="2018-11-01T00:00:00"/>
    <n v="20"/>
    <n v="20"/>
    <n v="0"/>
    <n v="0"/>
  </r>
  <r>
    <s v="J711"/>
    <x v="1"/>
    <d v="2016-09-09T00:00:00"/>
    <d v="2018-12-10T00:00:00"/>
    <m/>
    <d v="2020-09-23T00:00:00"/>
    <s v="American Transmission Co. LLC"/>
    <s v="Baraga County"/>
    <m/>
    <m/>
    <s v="MI"/>
    <s v="DPP-2016 AUG/2017-FEB"/>
    <s v="East (ITC)"/>
    <s v="GIA"/>
    <s v="NRIS"/>
    <s v="Silver River 138kV"/>
    <n v="130"/>
    <n v="130"/>
    <x v="1"/>
    <s v="Wind Turbine"/>
    <s v="Withdrawn"/>
    <d v="2020-09-23T00:00:00"/>
    <n v="130"/>
    <n v="130"/>
    <n v="130"/>
    <n v="130"/>
  </r>
  <r>
    <s v="J712"/>
    <x v="1"/>
    <d v="2016-09-09T00:00:00"/>
    <d v="2018-04-10T00:00:00"/>
    <m/>
    <d v="2020-09-20T00:00:00"/>
    <s v="American Transmission Co. LLC"/>
    <s v="Iowa County"/>
    <m/>
    <m/>
    <s v="WI"/>
    <s v="DPP-2017-FEB"/>
    <s v="East (ATC)"/>
    <s v="GIA"/>
    <s v="NRIS"/>
    <s v="Hill Valley 138kV Substation"/>
    <n v="200"/>
    <n v="200"/>
    <x v="1"/>
    <s v="Wind Turbine"/>
    <s v="Not Started"/>
    <m/>
    <n v="0"/>
    <n v="0"/>
    <n v="0"/>
    <n v="0"/>
  </r>
  <r>
    <s v="J713"/>
    <x v="1"/>
    <d v="2017-06-16T00:00:00"/>
    <d v="2021-01-29T00:00:00"/>
    <m/>
    <d v="2020-09-15T00:00:00"/>
    <s v="MINNESOTA POWER INC."/>
    <s v="Oliver County"/>
    <m/>
    <m/>
    <s v="ND"/>
    <s v="DPP-2017-AUG"/>
    <s v="West"/>
    <s v="GIA"/>
    <s v="NRIS"/>
    <s v="Square Butte East 230kV Substation"/>
    <n v="300"/>
    <n v="300"/>
    <x v="1"/>
    <s v="Wind Turbine"/>
    <s v="Not Started"/>
    <m/>
    <n v="300"/>
    <n v="300"/>
    <n v="0"/>
    <n v="0"/>
  </r>
  <r>
    <s v="J714"/>
    <x v="1"/>
    <d v="2017-06-16T00:00:00"/>
    <d v="2019-04-17T00:00:00"/>
    <m/>
    <d v="2019-08-31T00:00:00"/>
    <s v="Duke Energy Corporation"/>
    <s v="Montgomery County"/>
    <m/>
    <m/>
    <s v="IN"/>
    <s v="DPP-2017-AUG"/>
    <s v="Central"/>
    <s v="GIA"/>
    <s v="NRIS"/>
    <s v="Frankfurt - Cayuga 230kV line"/>
    <n v="200"/>
    <n v="200"/>
    <x v="1"/>
    <s v="Wind Turbine"/>
    <s v="Not Started"/>
    <m/>
    <n v="192"/>
    <n v="192"/>
    <n v="0"/>
    <n v="0"/>
  </r>
  <r>
    <s v="J715"/>
    <x v="0"/>
    <d v="2017-06-16T00:00:00"/>
    <m/>
    <d v="2019-12-09T00:00:00"/>
    <d v="2019-08-31T00:00:00"/>
    <s v="AMEREN ILLINOIS"/>
    <s v="Marshall County"/>
    <m/>
    <m/>
    <s v="IL"/>
    <s v="DPP-2017-AUG"/>
    <s v="Central"/>
    <s v="GIA"/>
    <s v="NRIS"/>
    <s v="McLean County-Oglesby 138kV Line 1382"/>
    <n v="100"/>
    <n v="100"/>
    <x v="1"/>
    <s v="Wind Turbine"/>
    <s v="In Service"/>
    <d v="2021-05-01T00:00:00"/>
    <n v="98"/>
    <n v="98"/>
    <n v="98"/>
    <n v="98"/>
  </r>
  <r>
    <s v="J717"/>
    <x v="0"/>
    <d v="2016-09-12T00:00:00"/>
    <m/>
    <d v="2019-10-08T00:00:00"/>
    <d v="2019-09-03T00:00:00"/>
    <s v="METC"/>
    <s v="Isabella County"/>
    <m/>
    <m/>
    <s v="MI"/>
    <s v="DPP-2017-FEB"/>
    <s v="East (ITC)"/>
    <s v="GIA"/>
    <s v="NRIS"/>
    <s v="Edenville Junction to Warren 138 kV Line"/>
    <n v="200.1"/>
    <n v="200.1"/>
    <x v="1"/>
    <s v="Wind Turbine"/>
    <s v="In Service"/>
    <d v="2020-06-30T00:00:00"/>
    <n v="200.1"/>
    <n v="200.1"/>
    <n v="200.1"/>
    <n v="200.1"/>
  </r>
  <r>
    <s v="J718"/>
    <x v="0"/>
    <d v="2016-09-13T00:00:00"/>
    <m/>
    <d v="2020-04-21T00:00:00"/>
    <d v="2020-12-31T00:00:00"/>
    <s v="DAIRYLAND POWER COOPERATIVE"/>
    <s v="Fillmore County"/>
    <m/>
    <m/>
    <s v="MN"/>
    <s v="DPP-2017-FEB"/>
    <s v="West"/>
    <s v="GIA"/>
    <s v="NRIS"/>
    <s v="Cherry Grove 69kV Substation"/>
    <n v="49.98"/>
    <n v="49.98"/>
    <x v="0"/>
    <s v="Photovoltaic"/>
    <s v="Under Construction"/>
    <d v="2023-09-01T00:00:00"/>
    <n v="49.98"/>
    <n v="49.98"/>
    <n v="45"/>
    <n v="45"/>
  </r>
  <r>
    <s v="J720"/>
    <x v="1"/>
    <d v="2017-06-16T00:00:00"/>
    <d v="2021-01-29T00:00:00"/>
    <m/>
    <d v="2020-09-01T00:00:00"/>
    <s v="ITC MIDWEST"/>
    <s v="Jackson County"/>
    <m/>
    <m/>
    <s v="MN"/>
    <s v="DPP-2017-AUG"/>
    <s v="West"/>
    <s v="GIA"/>
    <s v="NRIS"/>
    <s v="Lakefield - Raun 345 kV line"/>
    <n v="200"/>
    <n v="200"/>
    <x v="1"/>
    <s v="Wind Turbine"/>
    <s v="Under Construction"/>
    <d v="2021-09-01T00:00:00"/>
    <n v="200"/>
    <n v="200"/>
    <n v="0"/>
    <n v="0"/>
  </r>
  <r>
    <s v="J721"/>
    <x v="1"/>
    <d v="2016-10-24T00:00:00"/>
    <d v="2019-08-09T00:00:00"/>
    <m/>
    <d v="2019-09-15T00:00:00"/>
    <s v="OTTER TAIL POWER COMPANY"/>
    <s v="Codington County"/>
    <s v="Deuel County"/>
    <m/>
    <s v="SD"/>
    <s v="DPP-2017-FEB"/>
    <s v="West"/>
    <s v="GIA"/>
    <s v="NRIS"/>
    <s v="Big Stone South substation, Big Stone City"/>
    <n v="200"/>
    <n v="200"/>
    <x v="1"/>
    <s v="Wind Turbine"/>
    <s v="Not Started"/>
    <m/>
    <n v="200"/>
    <n v="200"/>
    <n v="0"/>
    <n v="0"/>
  </r>
  <r>
    <s v="J722"/>
    <x v="0"/>
    <d v="2017-06-16T00:00:00"/>
    <m/>
    <d v="2021-10-04T00:00:00"/>
    <d v="2021-09-15T00:00:00"/>
    <s v="OTTER TAIL POWER COMPANY"/>
    <s v="Codington County"/>
    <s v="Deuel County"/>
    <m/>
    <s v="SD"/>
    <s v="DPP-2017-AUG"/>
    <s v="West"/>
    <s v="GIA"/>
    <s v="ERIS"/>
    <s v="Big Stone South 230kV Substation"/>
    <n v="200"/>
    <n v="200"/>
    <x v="1"/>
    <s v="Wind Turbine"/>
    <s v="Under Construction"/>
    <d v="2023-09-01T00:00:00"/>
    <n v="200"/>
    <n v="200"/>
    <n v="200"/>
    <n v="0"/>
  </r>
  <r>
    <s v="J725"/>
    <x v="1"/>
    <d v="2017-06-16T00:00:00"/>
    <d v="2019-02-15T00:00:00"/>
    <m/>
    <d v="2020-09-15T00:00:00"/>
    <s v="GREAT RIVER ENERGY"/>
    <s v="Murray County"/>
    <m/>
    <m/>
    <s v="MN"/>
    <s v="DPP-2017-AUG"/>
    <s v="West"/>
    <s v="GIA"/>
    <s v="NRIS"/>
    <s v="Cedar Mountain 345 kV Substation"/>
    <n v="200"/>
    <n v="200"/>
    <x v="1"/>
    <s v="Wind Turbine"/>
    <s v="Not Started"/>
    <m/>
    <n v="0"/>
    <n v="0"/>
    <n v="0"/>
    <n v="0"/>
  </r>
  <r>
    <s v="J726"/>
    <x v="1"/>
    <d v="2017-06-16T00:00:00"/>
    <d v="2018-11-19T00:00:00"/>
    <m/>
    <d v="2019-09-15T00:00:00"/>
    <s v="GREAT RIVER ENERGY"/>
    <s v="Cottonwood County"/>
    <m/>
    <m/>
    <s v="MN"/>
    <s v="DPP-2017-AUG"/>
    <s v="West"/>
    <s v="GIA"/>
    <s v="NRIS"/>
    <s v="Cedar Mountain 345kV Substation"/>
    <n v="200"/>
    <n v="200"/>
    <x v="1"/>
    <s v="Wind Turbine"/>
    <s v="Not Started"/>
    <m/>
    <n v="0"/>
    <n v="0"/>
    <n v="0"/>
    <n v="0"/>
  </r>
  <r>
    <s v="J728"/>
    <x v="0"/>
    <d v="2016-11-02T00:00:00"/>
    <m/>
    <d v="2019-10-08T00:00:00"/>
    <d v="2019-09-03T00:00:00"/>
    <s v="METC"/>
    <s v="Isabella County"/>
    <m/>
    <m/>
    <s v="MI"/>
    <s v="DPP-2017-FEB"/>
    <s v="East (ITC)"/>
    <s v="GIA"/>
    <s v="NRIS"/>
    <s v="Edenville Junction to Warren 138 kV Line"/>
    <n v="200.1"/>
    <n v="200.1"/>
    <x v="1"/>
    <s v="Wind Turbine"/>
    <s v="In Service"/>
    <d v="2020-06-30T00:00:00"/>
    <n v="200.1"/>
    <n v="200.1"/>
    <n v="186.3"/>
    <n v="186.3"/>
  </r>
  <r>
    <s v="J731"/>
    <x v="1"/>
    <d v="2016-11-08T00:00:00"/>
    <d v="2019-04-09T00:00:00"/>
    <m/>
    <d v="2020-09-23T00:00:00"/>
    <s v="MIDAMERICAN ENERGY COMPANY"/>
    <s v="Palo Alto County"/>
    <m/>
    <m/>
    <s v="IA"/>
    <s v="DPP-2017-FEB"/>
    <s v="West"/>
    <s v="GIA"/>
    <s v="ERIS"/>
    <s v="Kossuth-O'Brien 345kV"/>
    <n v="200"/>
    <n v="200"/>
    <x v="1"/>
    <s v="Wind Turbine"/>
    <s v="Not Started"/>
    <m/>
    <n v="0"/>
    <n v="0"/>
    <n v="0"/>
    <n v="0"/>
  </r>
  <r>
    <s v="J732"/>
    <x v="0"/>
    <d v="2017-06-16T00:00:00"/>
    <m/>
    <d v="2020-07-29T00:00:00"/>
    <d v="2021-06-08T00:00:00"/>
    <s v="American Transmission Co. LLC"/>
    <s v="Douglas County"/>
    <m/>
    <m/>
    <s v="WI"/>
    <s v="DPP-2017-AUG"/>
    <s v="East (ATC)"/>
    <s v="GIA"/>
    <s v="NRIS"/>
    <s v="Arrowhead - Stone Lake 345kV Line"/>
    <n v="527.79999999999995"/>
    <n v="561.5"/>
    <x v="13"/>
    <s v="Combined Cycle"/>
    <s v="Under Construction"/>
    <d v="2023-11-10T00:00:00"/>
    <n v="561.5"/>
    <n v="561.5"/>
    <n v="561.5"/>
    <n v="561.5"/>
  </r>
  <r>
    <s v="J733"/>
    <x v="1"/>
    <d v="2016-11-08T00:00:00"/>
    <d v="2019-04-09T00:00:00"/>
    <m/>
    <d v="2020-09-23T00:00:00"/>
    <s v="ITC MIDWEST"/>
    <s v="Franklin County"/>
    <m/>
    <m/>
    <s v="IA"/>
    <s v="DPP-2017-FEB"/>
    <s v="West"/>
    <s v="GIA"/>
    <s v="ERIS"/>
    <s v="J416 345 kV Interconnection Facilitities to be Owned by ITCM"/>
    <n v="200"/>
    <n v="200"/>
    <x v="1"/>
    <s v="Wind Turbine"/>
    <s v="Not Started"/>
    <m/>
    <n v="0"/>
    <n v="0"/>
    <n v="0"/>
    <n v="0"/>
  </r>
  <r>
    <s v="J734"/>
    <x v="0"/>
    <d v="2016-11-10T00:00:00"/>
    <m/>
    <d v="2019-02-19T00:00:00"/>
    <d v="2017-06-01T00:00:00"/>
    <s v="AMEREN ILLINOIS"/>
    <s v="Ford County"/>
    <m/>
    <m/>
    <s v="IL"/>
    <s v="DPP-2017-FEB"/>
    <s v="Central"/>
    <s v="GIA"/>
    <s v="NRIS-Only"/>
    <s v="Gibson City South Substation"/>
    <n v="57.1"/>
    <n v="57.1"/>
    <x v="3"/>
    <s v="Combustion Turbine (Simple Cycle)"/>
    <s v="In Service"/>
    <d v="2017-09-01T00:00:00"/>
    <n v="11.5"/>
    <n v="11.5"/>
    <n v="11.5"/>
    <n v="11.5"/>
  </r>
  <r>
    <s v="J739"/>
    <x v="1"/>
    <d v="2016-11-11T00:00:00"/>
    <d v="2019-08-09T00:00:00"/>
    <m/>
    <d v="2020-09-15T00:00:00"/>
    <s v="NORTHERN STATES POWER COMPANY"/>
    <s v="Lyon County"/>
    <m/>
    <m/>
    <s v="MN"/>
    <s v="DPP-2017-FEB"/>
    <s v="West"/>
    <s v="GIA"/>
    <s v="NRIS"/>
    <s v="Lyon County 345kV Substation"/>
    <n v="200"/>
    <n v="200"/>
    <x v="1"/>
    <s v="Wind Turbine"/>
    <s v="Not Started"/>
    <m/>
    <n v="200"/>
    <n v="200"/>
    <n v="0"/>
    <n v="0"/>
  </r>
  <r>
    <s v="J740"/>
    <x v="1"/>
    <d v="2016-11-11T00:00:00"/>
    <d v="2020-08-10T00:00:00"/>
    <d v="2019-03-15T00:00:00"/>
    <d v="2020-09-23T00:00:00"/>
    <s v="NORTHERN INDIANA PUBLIC SERVICE COMPANY LLC"/>
    <s v="Jasper County"/>
    <s v="Pulaski County"/>
    <m/>
    <s v="IN"/>
    <s v="DPP-2017-FEB"/>
    <s v="Central"/>
    <s v="GIA"/>
    <s v="NRIS"/>
    <s v="Reynold 345kV substation"/>
    <n v="200"/>
    <n v="200"/>
    <x v="1"/>
    <s v="Wind Turbine"/>
    <s v="Withdrawn"/>
    <d v="2020-10-15T00:00:00"/>
    <n v="200"/>
    <n v="200"/>
    <n v="200"/>
    <n v="200"/>
  </r>
  <r>
    <s v="J741"/>
    <x v="1"/>
    <d v="2016-11-14T00:00:00"/>
    <d v="2019-08-09T00:00:00"/>
    <m/>
    <d v="2019-09-01T00:00:00"/>
    <s v="MONTANA-DAKOTA UTILITIES CO."/>
    <s v="Emmons County"/>
    <s v="Logan County"/>
    <m/>
    <s v="ND"/>
    <s v="DPP-2017-FEB"/>
    <s v="West"/>
    <s v="GIA"/>
    <s v="NRIS"/>
    <s v="Wishek - Linton 115kV"/>
    <n v="51"/>
    <n v="51"/>
    <x v="1"/>
    <s v="Wind Turbine"/>
    <s v="Not Started"/>
    <m/>
    <n v="50.4"/>
    <n v="50.4"/>
    <n v="0"/>
    <n v="0"/>
  </r>
  <r>
    <s v="J743"/>
    <x v="1"/>
    <d v="2017-06-16T00:00:00"/>
    <d v="2019-10-24T00:00:00"/>
    <m/>
    <d v="2020-07-31T00:00:00"/>
    <s v="NORTHERN STATES POWER COMPANY"/>
    <s v="Cass County"/>
    <m/>
    <m/>
    <s v="ND"/>
    <s v="DPP-2017-AUG"/>
    <s v="West"/>
    <s v="GIA"/>
    <s v="NRIS"/>
    <s v="Bison 345kV Substation"/>
    <n v="200"/>
    <n v="200"/>
    <x v="1"/>
    <s v="Wind Turbine"/>
    <s v="Not Started"/>
    <m/>
    <n v="0"/>
    <n v="0"/>
    <n v="0"/>
    <n v="0"/>
  </r>
  <r>
    <s v="J745"/>
    <x v="1"/>
    <d v="2016-11-14T00:00:00"/>
    <d v="2019-04-09T00:00:00"/>
    <m/>
    <d v="2021-06-01T00:00:00"/>
    <s v="NORTHERN STATES POWER COMPANY"/>
    <s v="Nobles County"/>
    <m/>
    <m/>
    <s v="MN"/>
    <s v="DPP-2017-FEB"/>
    <s v="West"/>
    <s v="GIA"/>
    <s v="NRIS"/>
    <s v="Nobles-Fenton 115kV"/>
    <n v="100"/>
    <n v="100"/>
    <x v="1"/>
    <s v="Wind Turbine"/>
    <s v="Not Started"/>
    <m/>
    <n v="0"/>
    <n v="0"/>
    <n v="0"/>
    <n v="0"/>
  </r>
  <r>
    <s v="J746"/>
    <x v="1"/>
    <d v="2016-11-14T00:00:00"/>
    <d v="2019-08-09T00:00:00"/>
    <m/>
    <d v="2020-08-01T00:00:00"/>
    <s v="GREAT RIVER ENERGY"/>
    <s v="McHenry County"/>
    <s v="McLean County"/>
    <s v="Ward County"/>
    <s v="ND"/>
    <s v="DPP-2017-FEB"/>
    <s v="West"/>
    <s v="GIA"/>
    <s v="NRIS"/>
    <s v="Stanton-McHenry 230kV"/>
    <n v="200"/>
    <n v="200"/>
    <x v="1"/>
    <s v="Wind Turbine"/>
    <s v="Not Started"/>
    <m/>
    <n v="200"/>
    <n v="200"/>
    <n v="0"/>
    <n v="0"/>
  </r>
  <r>
    <s v="J747"/>
    <x v="1"/>
    <d v="2016-11-14T00:00:00"/>
    <d v="2019-04-09T00:00:00"/>
    <m/>
    <d v="2017-10-01T00:00:00"/>
    <s v="OTTER TAIL POWER COMPANY"/>
    <s v="Deuel County"/>
    <m/>
    <m/>
    <s v="SD"/>
    <s v="DPP-2017-FEB"/>
    <s v="West"/>
    <s v="GIA"/>
    <s v="NRIS"/>
    <s v="Brooking County - Big Stone South (J510 Tap - J630 Tap) 345kV Line"/>
    <n v="200"/>
    <n v="200"/>
    <x v="1"/>
    <s v="Wind Turbine"/>
    <s v="Not Started"/>
    <m/>
    <n v="0"/>
    <n v="0"/>
    <n v="0"/>
    <n v="0"/>
  </r>
  <r>
    <s v="J748"/>
    <x v="0"/>
    <d v="2016-11-14T00:00:00"/>
    <m/>
    <d v="2020-03-20T00:00:00"/>
    <d v="2020-10-01T00:00:00"/>
    <s v="MIDAMERICAN ENERGY COMPANY"/>
    <s v="Plymouth County"/>
    <m/>
    <m/>
    <s v="IA"/>
    <s v="DPP-2017-FEB"/>
    <s v="West"/>
    <s v="GIA"/>
    <s v="NRIS"/>
    <s v="Highland - Raun 345kV Line Tap"/>
    <n v="200"/>
    <n v="200"/>
    <x v="1"/>
    <s v="Wind Turbine"/>
    <s v="In Service"/>
    <d v="2021-10-01T00:00:00"/>
    <n v="200"/>
    <n v="200"/>
    <n v="200"/>
    <n v="175"/>
  </r>
  <r>
    <s v="J749"/>
    <x v="1"/>
    <d v="2016-11-14T00:00:00"/>
    <d v="2018-05-01T00:00:00"/>
    <m/>
    <d v="2018-09-01T00:00:00"/>
    <s v="METC"/>
    <s v="Gratiot County"/>
    <m/>
    <m/>
    <s v="MI"/>
    <s v="DPP-2017-FEB"/>
    <s v="East (ITC)"/>
    <s v="GIA"/>
    <s v="NRIS"/>
    <s v="Redstone 138 kV Substation"/>
    <n v="20"/>
    <n v="20"/>
    <x v="2"/>
    <m/>
    <s v="Not Started"/>
    <m/>
    <n v="0"/>
    <n v="0"/>
    <n v="0"/>
    <n v="0"/>
  </r>
  <r>
    <s v="J750"/>
    <x v="1"/>
    <d v="2017-06-16T00:00:00"/>
    <d v="2025-07-07T00:00:00"/>
    <d v="2020-01-14T00:00:00"/>
    <d v="2019-08-15T00:00:00"/>
    <s v="City of Springfield, IL - CWLP"/>
    <s v="Morgan County"/>
    <m/>
    <m/>
    <s v="IL"/>
    <s v="DPP-2017-AUG"/>
    <s v="Central"/>
    <s v="GIA"/>
    <s v="NRIS"/>
    <s v="Westchester 138kV Substation"/>
    <n v="150"/>
    <n v="150"/>
    <x v="1"/>
    <s v="Wind Turbine"/>
    <s v="Withdrawn"/>
    <d v="2022-05-15T00:00:00"/>
    <n v="150"/>
    <n v="150"/>
    <n v="150"/>
    <n v="150"/>
  </r>
  <r>
    <s v="J752"/>
    <x v="0"/>
    <d v="2016-11-14T00:00:00"/>
    <m/>
    <d v="2019-10-10T00:00:00"/>
    <d v="2020-01-02T00:00:00"/>
    <s v="ITC MIDWEST"/>
    <s v="Tuscola County"/>
    <m/>
    <m/>
    <s v="MI"/>
    <s v="DPP-2017-FEB"/>
    <s v="East (ITC)"/>
    <s v="GIA"/>
    <s v="NRIS"/>
    <s v="Ringle 345kV Switchyard"/>
    <n v="100"/>
    <n v="100"/>
    <x v="1"/>
    <s v="Wind Turbine"/>
    <s v="In Service"/>
    <d v="2019-10-04T00:00:00"/>
    <n v="100"/>
    <n v="100"/>
    <n v="100"/>
    <n v="100"/>
  </r>
  <r>
    <s v="J753"/>
    <x v="1"/>
    <d v="2016-11-14T00:00:00"/>
    <d v="2025-10-31T00:00:00"/>
    <d v="2019-03-08T00:00:00"/>
    <d v="2021-04-01T00:00:00"/>
    <s v="BIG RIVERS ELECTRIC CORPORATION"/>
    <s v="Breckinridge County"/>
    <m/>
    <m/>
    <s v="KY"/>
    <s v="DPP-2017-FEB"/>
    <s v="Central"/>
    <s v="GIA"/>
    <s v="NRIS"/>
    <s v="Hardinsburg Sub 161kV"/>
    <n v="100"/>
    <n v="100"/>
    <x v="0"/>
    <s v="Photovoltaic"/>
    <s v="Under Construction"/>
    <d v="2021-04-01T00:00:00"/>
    <n v="100"/>
    <n v="100"/>
    <n v="100"/>
    <n v="100"/>
  </r>
  <r>
    <s v="J754"/>
    <x v="1"/>
    <d v="2016-11-14T00:00:00"/>
    <d v="2020-09-30T00:00:00"/>
    <d v="2019-04-11T00:00:00"/>
    <d v="2019-03-08T00:00:00"/>
    <s v="Duke Energy Corporation"/>
    <s v="Montgomery County"/>
    <m/>
    <m/>
    <s v="IN"/>
    <s v="DPP-2017-FEB"/>
    <s v="Central"/>
    <s v="GIA"/>
    <s v="NRIS"/>
    <s v="Cayuga - Nucor 345kV"/>
    <n v="303.60000000000002"/>
    <n v="303.60000000000002"/>
    <x v="1"/>
    <s v="Wind Turbine"/>
    <s v="Withdrawn"/>
    <d v="2020-04-30T00:00:00"/>
    <n v="303.60000000000002"/>
    <n v="303.60000000000002"/>
    <n v="303.60000000000002"/>
    <n v="303.60000000000002"/>
  </r>
  <r>
    <s v="J756"/>
    <x v="0"/>
    <d v="2016-11-14T00:00:00"/>
    <m/>
    <d v="2019-03-26T00:00:00"/>
    <d v="2019-08-15T00:00:00"/>
    <s v="AMEREN ILLINOIS"/>
    <s v="Logan County"/>
    <m/>
    <m/>
    <s v="IL"/>
    <s v="DPP-2017-FEB"/>
    <s v="Central"/>
    <s v="GIA"/>
    <s v="NRIS"/>
    <s v="Mason City to Fogarty 138kV"/>
    <n v="202.4"/>
    <n v="202.4"/>
    <x v="1"/>
    <s v="Wind Turbine"/>
    <s v="In Service"/>
    <d v="2020-04-23T00:00:00"/>
    <n v="202.4"/>
    <n v="202.4"/>
    <n v="202.4"/>
    <n v="202.4"/>
  </r>
  <r>
    <s v="J757"/>
    <x v="0"/>
    <d v="2016-11-14T00:00:00"/>
    <m/>
    <d v="2019-05-31T00:00:00"/>
    <d v="2020-08-14T00:00:00"/>
    <s v="AMEREN TRANSMISSION COMPANY OF ILLINOIS"/>
    <s v="Morgan County"/>
    <s v="Sangamon County"/>
    <m/>
    <s v="IL"/>
    <s v="DPP-2017-FEB"/>
    <s v="Central"/>
    <s v="GIA"/>
    <s v="NRIS"/>
    <s v="Austin-Meredosia 345kV line"/>
    <n v="303.60000000000002"/>
    <n v="303.60000000000002"/>
    <x v="1"/>
    <s v="Wind Turbine"/>
    <s v="In Service"/>
    <d v="2021-10-31T00:00:00"/>
    <n v="303.60000000000002"/>
    <n v="303.60000000000002"/>
    <n v="303.60000000000002"/>
    <n v="303.60000000000002"/>
  </r>
  <r>
    <s v="J758"/>
    <x v="0"/>
    <d v="2016-11-14T00:00:00"/>
    <m/>
    <d v="2019-10-25T00:00:00"/>
    <d v="2018-10-01T00:00:00"/>
    <s v="METC"/>
    <s v="Calhoun County"/>
    <m/>
    <m/>
    <s v="MI"/>
    <s v="DPP-2017-FEB"/>
    <s v="East (ITC)"/>
    <s v="GIA"/>
    <s v="NRIS"/>
    <s v="Verona-Foundry 138kV"/>
    <n v="200"/>
    <n v="200"/>
    <x v="0"/>
    <s v="Photovoltaic"/>
    <s v="In Service"/>
    <d v="2022-04-08T00:00:00"/>
    <n v="200"/>
    <n v="200"/>
    <n v="200"/>
    <n v="200"/>
  </r>
  <r>
    <s v="J759"/>
    <x v="0"/>
    <d v="2016-11-14T00:00:00"/>
    <m/>
    <d v="2019-02-15T00:00:00"/>
    <d v="2021-04-01T00:00:00"/>
    <s v="HOOSIER ENERGY REC, INC"/>
    <s v="Spencer County"/>
    <m/>
    <m/>
    <s v="IN"/>
    <s v="DPP-2017-FEB"/>
    <s v="Central"/>
    <s v="GIA"/>
    <s v="NRIS"/>
    <s v="Troy 161kV Sub"/>
    <n v="70"/>
    <n v="70"/>
    <x v="0"/>
    <s v="Photovoltaic"/>
    <s v="In Service"/>
    <d v="2020-07-02T00:00:00"/>
    <n v="70"/>
    <n v="69.900000000000006"/>
    <n v="70"/>
    <n v="69.900000000000006"/>
  </r>
  <r>
    <s v="J760"/>
    <x v="0"/>
    <d v="2016-11-14T00:00:00"/>
    <m/>
    <d v="2019-03-27T00:00:00"/>
    <d v="2019-04-08T00:00:00"/>
    <s v="American Transmission Co. LLC"/>
    <s v="Rock County"/>
    <m/>
    <m/>
    <s v="WI"/>
    <s v="DPP-2017-FEB"/>
    <s v="East (ATC)"/>
    <s v="GIA"/>
    <s v="NRIS"/>
    <s v="New Kitty Hawk 345kV substation"/>
    <n v="30"/>
    <n v="30"/>
    <x v="3"/>
    <s v="Combustion Turbine (Simple Cycle)"/>
    <s v="In Service"/>
    <d v="2019-04-15T00:00:00"/>
    <n v="30"/>
    <n v="30"/>
    <n v="30"/>
    <n v="30"/>
  </r>
  <r>
    <s v="J761"/>
    <x v="1"/>
    <d v="2016-11-14T00:00:00"/>
    <d v="2019-04-09T00:00:00"/>
    <m/>
    <d v="2020-09-15T00:00:00"/>
    <s v="ITC MIDWEST"/>
    <s v="Faribault County"/>
    <m/>
    <m/>
    <s v="MN"/>
    <s v="DPP-2017-FEB"/>
    <s v="West"/>
    <s v="GIA"/>
    <s v="NRIS"/>
    <s v="Huntley 345 kV sub"/>
    <n v="200"/>
    <n v="200"/>
    <x v="1"/>
    <s v="Wind Turbine"/>
    <s v="Not Started"/>
    <m/>
    <n v="0"/>
    <n v="0"/>
    <n v="0"/>
    <n v="0"/>
  </r>
  <r>
    <s v="J762"/>
    <x v="0"/>
    <d v="2016-11-14T00:00:00"/>
    <m/>
    <d v="2019-03-08T00:00:00"/>
    <d v="2021-04-01T00:00:00"/>
    <s v="BIG RIVERS ELECTRIC CORPORATION"/>
    <s v="Meade County"/>
    <m/>
    <m/>
    <s v="KY"/>
    <s v="DPP-2017-FEB"/>
    <s v="Central"/>
    <s v="GIA"/>
    <s v="NRIS"/>
    <s v="Meade Sub 161kV"/>
    <n v="200"/>
    <n v="200"/>
    <x v="0"/>
    <s v="Photovoltaic"/>
    <s v="Under Construction"/>
    <d v="2021-04-01T00:00:00"/>
    <n v="200"/>
    <n v="200"/>
    <n v="200"/>
    <n v="200"/>
  </r>
  <r>
    <s v="J766"/>
    <x v="1"/>
    <d v="2016-11-14T00:00:00"/>
    <d v="2019-04-09T00:00:00"/>
    <m/>
    <d v="2018-01-01T00:00:00"/>
    <s v="MINNESOTA POWER INC."/>
    <s v="Oliver County"/>
    <m/>
    <m/>
    <s v="ND"/>
    <s v="DPP-2017-FEB"/>
    <s v="West"/>
    <s v="GIA"/>
    <s v="NRIS"/>
    <s v="Square Butte 230kV Substation"/>
    <n v="3.84"/>
    <n v="3.84"/>
    <x v="1"/>
    <s v="Wind Turbine"/>
    <s v="Not Started"/>
    <m/>
    <n v="0"/>
    <n v="0"/>
    <n v="0"/>
    <n v="0"/>
  </r>
  <r>
    <s v="J767"/>
    <x v="1"/>
    <d v="2016-11-14T00:00:00"/>
    <d v="2019-08-09T00:00:00"/>
    <m/>
    <d v="2019-01-01T00:00:00"/>
    <s v="ITC MIDWEST"/>
    <s v="Hancock County"/>
    <m/>
    <m/>
    <s v="IA"/>
    <s v="DPP-2017-FEB"/>
    <s v="West"/>
    <s v="GIA"/>
    <s v="NRIS"/>
    <s v="Lime Creek 161 kV substation"/>
    <n v="12"/>
    <n v="12"/>
    <x v="1"/>
    <s v="Wind Turbine"/>
    <s v="Not Started"/>
    <m/>
    <n v="12"/>
    <n v="12"/>
    <n v="0"/>
    <n v="0"/>
  </r>
  <r>
    <s v="J768"/>
    <x v="1"/>
    <d v="2016-11-14T00:00:00"/>
    <d v="2019-08-09T00:00:00"/>
    <m/>
    <d v="2019-01-01T00:00:00"/>
    <s v="ITC MIDWEST"/>
    <s v="Story County"/>
    <m/>
    <m/>
    <s v="IA"/>
    <s v="DPP-2017-FEB"/>
    <s v="West"/>
    <s v="GIA"/>
    <s v="NRIS"/>
    <s v="Story County Substation"/>
    <n v="12"/>
    <n v="12"/>
    <x v="1"/>
    <s v="Wind Turbine"/>
    <s v="Not Started"/>
    <m/>
    <n v="12"/>
    <n v="12"/>
    <n v="0"/>
    <n v="0"/>
  </r>
  <r>
    <s v="J769"/>
    <x v="1"/>
    <d v="2016-11-14T00:00:00"/>
    <d v="2019-04-09T00:00:00"/>
    <m/>
    <d v="2019-07-31T00:00:00"/>
    <s v="NORTHERN STATES POWER COMPANY"/>
    <s v="Renville County"/>
    <m/>
    <m/>
    <s v="MN"/>
    <s v="DPP-2017-FEB"/>
    <s v="West"/>
    <s v="GIA"/>
    <s v="NRIS"/>
    <s v="Kingman Run-Bird Island 69kV"/>
    <n v="33"/>
    <n v="33"/>
    <x v="0"/>
    <s v="Photovoltaic"/>
    <s v="Not Started"/>
    <m/>
    <n v="0"/>
    <n v="0"/>
    <n v="0"/>
    <n v="0"/>
  </r>
  <r>
    <s v="J770"/>
    <x v="1"/>
    <d v="2016-11-14T00:00:00"/>
    <d v="2019-04-09T00:00:00"/>
    <m/>
    <d v="2019-07-31T00:00:00"/>
    <s v="NORTHERN STATES POWER COMPANY"/>
    <s v="Renville County"/>
    <m/>
    <m/>
    <s v="MN"/>
    <s v="DPP-2017-FEB"/>
    <s v="West"/>
    <s v="GIA"/>
    <s v="NRIS"/>
    <s v="Bird Island to Henryville Tap 69kV Line"/>
    <n v="90"/>
    <n v="90"/>
    <x v="0"/>
    <s v="Photovoltaic"/>
    <s v="Not Started"/>
    <m/>
    <n v="0"/>
    <n v="0"/>
    <n v="0"/>
    <n v="0"/>
  </r>
  <r>
    <s v="J771"/>
    <x v="1"/>
    <d v="2016-11-14T00:00:00"/>
    <d v="2019-04-09T00:00:00"/>
    <m/>
    <d v="2019-07-31T00:00:00"/>
    <s v="GREAT RIVER ENERGY"/>
    <s v="Stearns County"/>
    <m/>
    <m/>
    <s v="MN"/>
    <s v="DPP-2017-FEB"/>
    <s v="West"/>
    <s v="GIA"/>
    <s v="NRIS"/>
    <s v="Lake Koronis-Paynesville 69kV"/>
    <n v="50"/>
    <n v="50"/>
    <x v="0"/>
    <s v="Photovoltaic"/>
    <s v="Not Started"/>
    <m/>
    <n v="0"/>
    <n v="0"/>
    <n v="0"/>
    <n v="0"/>
  </r>
  <r>
    <s v="J776"/>
    <x v="1"/>
    <d v="2016-11-14T00:00:00"/>
    <d v="2019-04-09T00:00:00"/>
    <m/>
    <d v="2019-11-01T00:00:00"/>
    <s v="MIDAMERICAN ENERGY COMPANY"/>
    <s v="Franklin County"/>
    <m/>
    <m/>
    <s v="IA"/>
    <s v="DPP-2017-FEB"/>
    <s v="West"/>
    <s v="GIA"/>
    <s v="NRIS"/>
    <s v="Black Hawk-Killdeer 345kV"/>
    <n v="99"/>
    <n v="99"/>
    <x v="1"/>
    <s v="Wind Turbine"/>
    <s v="Not Started"/>
    <m/>
    <n v="0"/>
    <n v="0"/>
    <n v="0"/>
    <n v="0"/>
  </r>
  <r>
    <s v="J777"/>
    <x v="1"/>
    <d v="2016-11-14T00:00:00"/>
    <d v="2019-08-09T00:00:00"/>
    <m/>
    <d v="2019-11-01T00:00:00"/>
    <s v="ITC MIDWEST"/>
    <s v="Franklin County"/>
    <m/>
    <m/>
    <s v="IA"/>
    <s v="DPP-2017-FEB"/>
    <s v="West"/>
    <s v="GIA"/>
    <s v="NRIS"/>
    <s v="Whispering Willow 161kV substation"/>
    <n v="99"/>
    <n v="99"/>
    <x v="1"/>
    <s v="Wind Turbine"/>
    <s v="Not Started"/>
    <m/>
    <n v="99"/>
    <n v="99"/>
    <n v="0"/>
    <n v="0"/>
  </r>
  <r>
    <s v="J779"/>
    <x v="1"/>
    <d v="2016-11-14T00:00:00"/>
    <d v="2019-08-09T00:00:00"/>
    <m/>
    <d v="2019-09-01T00:00:00"/>
    <s v="MONTANA-DAKOTA UTILITIES CO."/>
    <s v="Emmons County"/>
    <s v="Logan County"/>
    <m/>
    <s v="ND"/>
    <s v="DPP-2017-FEB"/>
    <s v="West"/>
    <s v="GIA"/>
    <s v="NRIS"/>
    <s v="Bismarck-Linton 115kV"/>
    <n v="51"/>
    <n v="51"/>
    <x v="1"/>
    <s v="Wind Turbine"/>
    <s v="Not Started"/>
    <m/>
    <n v="50.4"/>
    <n v="50.4"/>
    <n v="0"/>
    <n v="0"/>
  </r>
  <r>
    <s v="J780"/>
    <x v="1"/>
    <d v="2016-11-14T00:00:00"/>
    <d v="2019-04-09T00:00:00"/>
    <m/>
    <d v="2020-12-15T00:00:00"/>
    <s v="OTTER TAIL POWER COMPANY"/>
    <s v="Sheridan County"/>
    <m/>
    <m/>
    <s v="ND"/>
    <s v="DPP-2017-FEB"/>
    <s v="West"/>
    <s v="GIA"/>
    <s v="NRIS"/>
    <s v="Harvey - Underwood 230kV Line"/>
    <n v="200"/>
    <n v="200"/>
    <x v="1"/>
    <s v="Wind Turbine"/>
    <s v="Not Started"/>
    <m/>
    <n v="0"/>
    <n v="0"/>
    <n v="0"/>
    <n v="0"/>
  </r>
  <r>
    <s v="J782"/>
    <x v="1"/>
    <d v="2016-11-14T00:00:00"/>
    <d v="2018-05-31T00:00:00"/>
    <m/>
    <d v="2021-04-01T00:00:00"/>
    <s v="Ameren Missouri"/>
    <s v="Stoddard County"/>
    <m/>
    <m/>
    <s v="MO"/>
    <s v="DPP-2017-FEB"/>
    <s v="Central"/>
    <s v="GIA"/>
    <s v="NRIS"/>
    <s v="Stoddart sub 161kV"/>
    <n v="100"/>
    <n v="100"/>
    <x v="0"/>
    <s v="Photovoltaic"/>
    <s v="Not Started"/>
    <m/>
    <n v="0"/>
    <n v="0"/>
    <n v="0"/>
    <n v="0"/>
  </r>
  <r>
    <s v="J783"/>
    <x v="0"/>
    <d v="2016-11-14T00:00:00"/>
    <m/>
    <d v="2019-07-24T00:00:00"/>
    <d v="2021-04-01T00:00:00"/>
    <s v="Southern Indiana Gas &amp; Electric Company d/b/a Vectren Energy Delivery of Indiana, Inc."/>
    <s v="Spencer County"/>
    <m/>
    <m/>
    <s v="IN"/>
    <s v="DPP-2017-FEB"/>
    <s v="Central"/>
    <s v="GIA"/>
    <s v="NRIS"/>
    <s v="Grandview Sub"/>
    <n v="70"/>
    <n v="70"/>
    <x v="0"/>
    <s v="Photovoltaic"/>
    <s v="Under Construction"/>
    <d v="2021-04-01T00:00:00"/>
    <n v="70"/>
    <n v="69.900000000000006"/>
    <n v="70"/>
    <n v="69.900000000000006"/>
  </r>
  <r>
    <s v="J785"/>
    <x v="1"/>
    <d v="2017-06-16T00:00:00"/>
    <d v="2021-01-29T00:00:00"/>
    <m/>
    <d v="2021-09-15T00:00:00"/>
    <s v="ITC MIDWEST"/>
    <s v="Jackson County"/>
    <s v="Martin County"/>
    <m/>
    <s v="MN"/>
    <s v="DPP-2017-AUG"/>
    <s v="West"/>
    <s v="GIA"/>
    <s v="NRIS"/>
    <s v="Lakefield Junction - Huntley 345 kV line (Tap)"/>
    <n v="105"/>
    <n v="105"/>
    <x v="1"/>
    <s v="Wind Turbine"/>
    <s v="Not Started"/>
    <m/>
    <n v="105"/>
    <n v="105"/>
    <n v="0"/>
    <n v="0"/>
  </r>
  <r>
    <s v="J793"/>
    <x v="0"/>
    <d v="2017-06-16T00:00:00"/>
    <m/>
    <d v="2020-10-26T00:00:00"/>
    <d v="2021-05-14T00:00:00"/>
    <s v="ITC MIDWEST"/>
    <s v="St. Clair County"/>
    <m/>
    <m/>
    <s v="MI"/>
    <s v="DPP-2017-AUG"/>
    <s v="East (ITC)"/>
    <s v="GIA"/>
    <s v="NRIS"/>
    <s v="Belle River - Fitz #2 345 kV Line Tap"/>
    <n v="1175"/>
    <n v="1175"/>
    <x v="13"/>
    <s v="Combined Cycle"/>
    <s v="In Service"/>
    <d v="2021-05-14T00:00:00"/>
    <n v="1209"/>
    <n v="1209"/>
    <n v="1209"/>
    <n v="1175"/>
  </r>
  <r>
    <s v="J794"/>
    <x v="0"/>
    <d v="2017-06-16T00:00:00"/>
    <m/>
    <d v="2020-06-18T00:00:00"/>
    <d v="2018-09-10T00:00:00"/>
    <s v="METC"/>
    <s v="Gratiot County"/>
    <m/>
    <m/>
    <s v="MI"/>
    <s v="DPP-2017-AUG"/>
    <s v="East (ITC)"/>
    <s v="GIA"/>
    <s v="NRIS"/>
    <s v="J589 138kV Substation (Regal - Summerton 138kV Line)"/>
    <n v="12.5"/>
    <n v="12.5"/>
    <x v="1"/>
    <s v="Wind Turbine"/>
    <s v="In Service"/>
    <d v="2018-10-26T00:00:00"/>
    <n v="12.5"/>
    <n v="12.5"/>
    <n v="12.5"/>
    <n v="12.5"/>
  </r>
  <r>
    <s v="J795"/>
    <x v="1"/>
    <d v="2017-06-16T00:00:00"/>
    <d v="2019-01-08T00:00:00"/>
    <m/>
    <d v="2019-09-01T00:00:00"/>
    <s v="Southern Illinois Power Cooperative"/>
    <s v="Gallatin County"/>
    <m/>
    <m/>
    <s v="IL"/>
    <s v="DPP-2017-AUG"/>
    <s v="Central"/>
    <s v="GIA"/>
    <s v="NRIS"/>
    <s v="Gallatin Junction 161 kV Substation"/>
    <n v="69"/>
    <n v="69"/>
    <x v="0"/>
    <s v="Photovoltaic"/>
    <s v="Not Started"/>
    <m/>
    <n v="0"/>
    <n v="0"/>
    <n v="0"/>
    <n v="0"/>
  </r>
  <r>
    <s v="J796"/>
    <x v="0"/>
    <d v="2017-06-16T00:00:00"/>
    <m/>
    <d v="2020-06-12T00:00:00"/>
    <d v="2019-09-01T00:00:00"/>
    <s v="METC"/>
    <s v="Shiawassee County"/>
    <m/>
    <m/>
    <s v="MI"/>
    <s v="DPP-2017-AUG"/>
    <s v="East (ITC)"/>
    <s v="GIA"/>
    <s v="NRIS"/>
    <s v="Goss 138kV Substation"/>
    <n v="239"/>
    <n v="239"/>
    <x v="0"/>
    <s v="Photovoltaic"/>
    <s v="In Service"/>
    <d v="2020-11-20T00:00:00"/>
    <n v="239"/>
    <n v="239"/>
    <n v="239"/>
    <n v="239"/>
  </r>
  <r>
    <s v="J797"/>
    <x v="1"/>
    <d v="2017-06-16T00:00:00"/>
    <d v="2018-05-30T00:00:00"/>
    <m/>
    <d v="2019-09-01T00:00:00"/>
    <s v="AMEREN ILLINOIS"/>
    <s v="Washington County"/>
    <m/>
    <m/>
    <s v="IL"/>
    <s v="DPP-2017-AUG"/>
    <s v="Central"/>
    <s v="GIA"/>
    <s v="NRIS"/>
    <s v="Ashley 138 kV Substation"/>
    <n v="70"/>
    <n v="70"/>
    <x v="0"/>
    <s v="Photovoltaic"/>
    <s v="Not Started"/>
    <m/>
    <n v="0"/>
    <n v="0"/>
    <n v="0"/>
    <n v="0"/>
  </r>
  <r>
    <s v="J798"/>
    <x v="1"/>
    <d v="2017-06-16T00:00:00"/>
    <d v="2019-01-08T00:00:00"/>
    <m/>
    <d v="2019-09-01T00:00:00"/>
    <s v="American Transmission Co. LLC"/>
    <s v="Walworth County"/>
    <m/>
    <m/>
    <s v="WI"/>
    <s v="DPP-2017-AUG"/>
    <s v="East (ATC)"/>
    <s v="GIA"/>
    <s v="NRIS"/>
    <s v="University - Mukwanago UNIG52 Line Tap"/>
    <n v="124"/>
    <n v="124"/>
    <x v="0"/>
    <s v="Photovoltaic"/>
    <s v="Not Started"/>
    <m/>
    <n v="0"/>
    <n v="0"/>
    <n v="0"/>
    <n v="0"/>
  </r>
  <r>
    <s v="J799"/>
    <x v="0"/>
    <d v="2017-06-16T00:00:00"/>
    <m/>
    <d v="2020-05-13T00:00:00"/>
    <d v="2019-09-01T00:00:00"/>
    <s v="ITC MIDWEST"/>
    <s v="Washtenaw County"/>
    <m/>
    <m/>
    <s v="MI"/>
    <s v="DPP-2017-AUG"/>
    <s v="East (ITC)"/>
    <s v="GIA"/>
    <s v="NRIS"/>
    <s v="Milan - Pioneer 120kV Line Tap"/>
    <n v="189"/>
    <n v="189"/>
    <x v="0"/>
    <s v="Photovoltaic"/>
    <s v="Under Construction"/>
    <d v="2021-11-11T00:00:00"/>
    <n v="189"/>
    <n v="189"/>
    <n v="189"/>
    <n v="189"/>
  </r>
  <r>
    <s v="J800"/>
    <x v="0"/>
    <d v="2017-06-16T00:00:00"/>
    <m/>
    <d v="2020-04-22T00:00:00"/>
    <d v="2020-09-30T00:00:00"/>
    <s v="AMEREN ILLINOIS"/>
    <s v="White County"/>
    <m/>
    <m/>
    <s v="IL"/>
    <s v="DPP-2017-AUG"/>
    <s v="Central"/>
    <s v="GIA"/>
    <s v="NRIS"/>
    <s v="Crossville West Substation 138kV Bus - Albion South - Norris City 138 kV Line"/>
    <n v="250"/>
    <n v="250"/>
    <x v="0"/>
    <s v="Photovoltaic"/>
    <s v="Under Construction"/>
    <d v="2022-10-01T00:00:00"/>
    <n v="250"/>
    <n v="250"/>
    <n v="250"/>
    <n v="250"/>
  </r>
  <r>
    <s v="J801"/>
    <x v="1"/>
    <d v="2017-06-16T00:00:00"/>
    <d v="2024-07-22T00:00:00"/>
    <d v="2021-05-19T00:00:00"/>
    <d v="2020-09-01T00:00:00"/>
    <s v="DAIRYLAND POWER COOPERATIVE"/>
    <s v="Pierce County"/>
    <m/>
    <m/>
    <s v="WI"/>
    <s v="DPP-2017-AUG"/>
    <s v="West"/>
    <s v="GIA"/>
    <s v="ERIS"/>
    <s v="Crystal Cave-Rock Elm 161kV line tap"/>
    <n v="74"/>
    <n v="74"/>
    <x v="0"/>
    <s v="Photovoltaic"/>
    <s v="Withdrawn"/>
    <d v="2023-11-10T00:00:00"/>
    <n v="74"/>
    <n v="74"/>
    <n v="74"/>
    <n v="0"/>
  </r>
  <r>
    <s v="J802"/>
    <x v="1"/>
    <d v="2017-06-16T00:00:00"/>
    <d v="2018-05-22T00:00:00"/>
    <m/>
    <d v="2020-09-01T00:00:00"/>
    <s v="Duke Energy Corporation"/>
    <s v="Vermillion County"/>
    <m/>
    <m/>
    <s v="IN"/>
    <s v="DPP-2017-AUG"/>
    <s v="Central"/>
    <s v="GIA"/>
    <s v="NRIS"/>
    <s v="Cayuga 345 kV Substation"/>
    <n v="1244"/>
    <n v="1244"/>
    <x v="13"/>
    <s v="Combined Cycle"/>
    <s v="Not Started"/>
    <m/>
    <n v="0"/>
    <n v="0"/>
    <n v="0"/>
    <n v="0"/>
  </r>
  <r>
    <s v="J803"/>
    <x v="1"/>
    <d v="2017-06-16T00:00:00"/>
    <d v="2023-04-25T00:00:00"/>
    <d v="2021-05-19T00:00:00"/>
    <d v="2019-10-01T00:00:00"/>
    <s v="NORTHERN STATES POWER COMPANY"/>
    <s v="Lyon County"/>
    <m/>
    <m/>
    <s v="MN"/>
    <s v="DPP-2017-AUG"/>
    <s v="West"/>
    <s v="GIA"/>
    <s v="ERIS"/>
    <s v="Tracy 69 kV line"/>
    <n v="32.5"/>
    <n v="32.5"/>
    <x v="0"/>
    <s v="Photovoltaic"/>
    <s v="Withdrawn"/>
    <d v="2023-11-01T00:00:00"/>
    <n v="32.5"/>
    <n v="0"/>
    <n v="32.5"/>
    <n v="0"/>
  </r>
  <r>
    <s v="J804"/>
    <x v="1"/>
    <d v="2017-06-16T00:00:00"/>
    <d v="2018-04-16T00:00:00"/>
    <m/>
    <d v="2019-09-01T00:00:00"/>
    <s v="HOOSIER ENERGY REC, INC"/>
    <s v="Decatur County"/>
    <m/>
    <m/>
    <s v="IN"/>
    <s v="DPP-2017-AUG"/>
    <s v="Central"/>
    <s v="GIA"/>
    <s v="NRIS"/>
    <s v="Decatur 138kV Substation"/>
    <n v="119"/>
    <n v="119"/>
    <x v="0"/>
    <s v="Photovoltaic"/>
    <s v="Not Started"/>
    <m/>
    <n v="0"/>
    <n v="0"/>
    <n v="0"/>
    <n v="0"/>
  </r>
  <r>
    <s v="J805"/>
    <x v="0"/>
    <d v="2017-06-16T00:00:00"/>
    <m/>
    <d v="2020-05-08T00:00:00"/>
    <d v="2019-09-01T00:00:00"/>
    <s v="Duke Energy Corporation"/>
    <s v="Shelby County"/>
    <m/>
    <m/>
    <s v="IN"/>
    <s v="DPP-2017-AUG"/>
    <s v="Central"/>
    <s v="GIA"/>
    <s v="NRIS"/>
    <s v="Gwynneville 345kV Substation"/>
    <n v="199"/>
    <n v="199"/>
    <x v="0"/>
    <s v="Photovoltaic"/>
    <s v="Under Construction"/>
    <d v="2022-05-01T00:00:00"/>
    <n v="199"/>
    <n v="199"/>
    <n v="199"/>
    <n v="199"/>
  </r>
  <r>
    <s v="J806"/>
    <x v="0"/>
    <d v="2017-06-16T00:00:00"/>
    <m/>
    <d v="2020-05-11T00:00:00"/>
    <d v="2019-09-01T00:00:00"/>
    <s v="METC"/>
    <s v="Calhoun County"/>
    <m/>
    <m/>
    <s v="MI"/>
    <s v="DPP-2017-AUG"/>
    <s v="East (ITC)"/>
    <s v="GIA"/>
    <s v="NRIS"/>
    <s v="Rice Creek - Vrooman 138kV Line Tap"/>
    <n v="149"/>
    <n v="149"/>
    <x v="0"/>
    <s v="Photovoltaic"/>
    <s v="In Service"/>
    <d v="2021-06-01T00:00:00"/>
    <n v="149"/>
    <n v="149"/>
    <n v="149"/>
    <n v="149"/>
  </r>
  <r>
    <s v="J807"/>
    <x v="1"/>
    <d v="2017-06-16T00:00:00"/>
    <d v="2020-05-26T00:00:00"/>
    <d v="2019-10-17T00:00:00"/>
    <d v="2020-09-15T00:00:00"/>
    <s v="American Transmission Co. LLC"/>
    <s v="Lafayette County"/>
    <m/>
    <m/>
    <s v="WI"/>
    <s v="DPP-2017-AUG"/>
    <s v="East (ATC)"/>
    <s v="GIA"/>
    <s v="NRIS"/>
    <s v="Darlington - Hillman 138kV Line (Falcon Substation J395)"/>
    <n v="41.4"/>
    <n v="41.4"/>
    <x v="1"/>
    <s v="Wind Turbine"/>
    <s v="Withdrawn"/>
    <d v="2021-08-27T00:00:00"/>
    <n v="41.4"/>
    <n v="41.4"/>
    <n v="41.4"/>
    <n v="41.4"/>
  </r>
  <r>
    <s v="J808"/>
    <x v="0"/>
    <d v="2017-06-16T00:00:00"/>
    <m/>
    <d v="2020-05-06T00:00:00"/>
    <d v="2019-09-01T00:00:00"/>
    <s v="AMEREN ILLINOIS"/>
    <s v="Randolph County"/>
    <m/>
    <m/>
    <s v="IL"/>
    <s v="DPP-2017-AUG"/>
    <s v="Central"/>
    <s v="GIA"/>
    <s v="NRIS"/>
    <s v="Aster Substation 138kV Bus"/>
    <n v="99"/>
    <n v="99"/>
    <x v="0"/>
    <s v="Photovoltaic"/>
    <s v="In Service"/>
    <d v="2020-07-01T00:00:00"/>
    <n v="99"/>
    <n v="99"/>
    <n v="99"/>
    <n v="99"/>
  </r>
  <r>
    <s v="J809"/>
    <x v="1"/>
    <d v="2017-06-16T00:00:00"/>
    <d v="2019-01-09T00:00:00"/>
    <m/>
    <d v="2019-09-01T00:00:00"/>
    <s v="METC"/>
    <s v="Ottawa County"/>
    <m/>
    <m/>
    <s v="MI"/>
    <s v="DPP-2017-AUG"/>
    <s v="East (ITC)"/>
    <s v="GIA"/>
    <s v="NRIS"/>
    <s v="Bass Creek - Black River 138 kV Line Tap"/>
    <n v="99"/>
    <n v="99"/>
    <x v="0"/>
    <s v="Photovoltaic"/>
    <s v="Not Started"/>
    <m/>
    <n v="0"/>
    <n v="0"/>
    <n v="0"/>
    <n v="0"/>
  </r>
  <r>
    <s v="J810"/>
    <x v="1"/>
    <d v="2017-06-16T00:00:00"/>
    <d v="2018-08-31T00:00:00"/>
    <m/>
    <d v="2023-04-01T00:00:00"/>
    <s v="MIDAMERICAN ENERGY COMPANY"/>
    <s v="Audubon County"/>
    <m/>
    <m/>
    <s v="IA"/>
    <s v="DPP-2017-AUG"/>
    <s v="West"/>
    <s v="GIA"/>
    <s v="NRIS"/>
    <s v="Atlantic to Adair 161 kV line"/>
    <n v="139.6"/>
    <n v="145.5"/>
    <x v="3"/>
    <s v="Combustion Turbine (Simple Cycle)"/>
    <s v="Not Started"/>
    <m/>
    <n v="0"/>
    <n v="0"/>
    <n v="0"/>
    <n v="0"/>
  </r>
  <r>
    <s v="J811"/>
    <x v="0"/>
    <d v="2017-06-16T00:00:00"/>
    <m/>
    <d v="2020-03-25T00:00:00"/>
    <d v="2019-09-01T00:00:00"/>
    <s v="AMEREN ILLINOIS"/>
    <s v="Fayette County"/>
    <m/>
    <m/>
    <s v="IL"/>
    <s v="DPP-2017-AUG"/>
    <s v="Central"/>
    <s v="GIA"/>
    <s v="NRIS"/>
    <s v="Ramsey East 138kV Substation"/>
    <n v="99"/>
    <n v="99"/>
    <x v="0"/>
    <s v="Photovoltaic"/>
    <s v="In Service"/>
    <d v="2021-05-28T00:00:00"/>
    <n v="99"/>
    <n v="99"/>
    <n v="99"/>
    <n v="99"/>
  </r>
  <r>
    <s v="J812"/>
    <x v="1"/>
    <d v="2017-06-16T00:00:00"/>
    <d v="2017-10-26T00:00:00"/>
    <m/>
    <d v="2017-06-16T00:00:00"/>
    <s v="METC"/>
    <s v="Van Buren County"/>
    <m/>
    <m/>
    <s v="MI"/>
    <s v="DPP-2017-AUG"/>
    <s v="East (ITC)"/>
    <s v="GIA"/>
    <s v="NRIS"/>
    <s v="Covert - Palisades 345kV Line"/>
    <n v="1108"/>
    <n v="1217"/>
    <x v="13"/>
    <s v="Combined Cycle"/>
    <s v="Not Started"/>
    <m/>
    <n v="0"/>
    <n v="0"/>
    <n v="0"/>
    <n v="0"/>
  </r>
  <r>
    <s v="J813"/>
    <x v="0"/>
    <d v="2017-06-16T00:00:00"/>
    <m/>
    <d v="2019-12-16T00:00:00"/>
    <d v="2020-09-30T00:00:00"/>
    <s v="AMEREN ILLINOIS"/>
    <s v="Clay County"/>
    <m/>
    <m/>
    <s v="IL"/>
    <s v="DPP-2017-AUG"/>
    <s v="Central"/>
    <s v="GIA"/>
    <s v="NRIS"/>
    <s v="Louisville South Substation 138kV Line"/>
    <n v="275"/>
    <n v="275"/>
    <x v="0"/>
    <s v="Photovoltaic"/>
    <s v="Under Construction"/>
    <d v="2021-10-29T00:00:00"/>
    <n v="250"/>
    <n v="250"/>
    <n v="250"/>
    <n v="250"/>
  </r>
  <r>
    <s v="J814"/>
    <x v="1"/>
    <d v="2017-06-16T00:00:00"/>
    <d v="2019-02-04T00:00:00"/>
    <m/>
    <d v="2020-09-15T00:00:00"/>
    <s v="NORTHERN STATES POWER COMPANY"/>
    <s v="Clark County"/>
    <m/>
    <m/>
    <s v="WI"/>
    <s v="DPP-2017-AUG"/>
    <s v="West"/>
    <s v="GIA"/>
    <s v="NRIS"/>
    <s v="Eau Claire - Arpin 345kV Line"/>
    <n v="99.9"/>
    <n v="99.9"/>
    <x v="1"/>
    <s v="Wind Turbine"/>
    <s v="Not Started"/>
    <m/>
    <n v="0"/>
    <n v="0"/>
    <n v="0"/>
    <n v="0"/>
  </r>
  <r>
    <s v="J815"/>
    <x v="1"/>
    <d v="2017-06-16T00:00:00"/>
    <d v="2026-03-02T00:00:00"/>
    <d v="2020-04-16T00:00:00"/>
    <d v="2020-09-30T00:00:00"/>
    <s v="AMEREN ILLINOIS"/>
    <s v="Christian County"/>
    <m/>
    <m/>
    <s v="IL"/>
    <s v="DPP-2017-AUG"/>
    <s v="Central"/>
    <s v="GIA"/>
    <s v="NRIS"/>
    <s v="Taylorville South-Austin (formerly Pawnee)138kV Line"/>
    <n v="250"/>
    <n v="250"/>
    <x v="0"/>
    <s v="Photovoltaic"/>
    <s v="Under Construction"/>
    <d v="2022-10-28T00:00:00"/>
    <n v="250"/>
    <n v="250"/>
    <n v="250"/>
    <n v="250"/>
  </r>
  <r>
    <s v="J816"/>
    <x v="1"/>
    <d v="2017-06-16T00:00:00"/>
    <d v="2021-01-29T00:00:00"/>
    <m/>
    <d v="2022-09-15T00:00:00"/>
    <s v="OTTER TAIL POWER COMPANY"/>
    <s v="Cass County"/>
    <m/>
    <m/>
    <s v="ND"/>
    <s v="DPP-2017-AUG"/>
    <s v="West"/>
    <s v="GIA"/>
    <s v="NRIS"/>
    <s v="Buffalo 115kV Substation"/>
    <n v="60"/>
    <n v="60"/>
    <x v="0"/>
    <s v="Photovoltaic"/>
    <s v="Not Started"/>
    <m/>
    <n v="60"/>
    <n v="60"/>
    <n v="0"/>
    <n v="0"/>
  </r>
  <r>
    <s v="J817"/>
    <x v="0"/>
    <d v="2017-06-16T00:00:00"/>
    <m/>
    <d v="2019-12-17T00:00:00"/>
    <d v="2019-09-01T00:00:00"/>
    <s v="Ameren Missouri"/>
    <s v="Warren County"/>
    <m/>
    <m/>
    <s v="MO"/>
    <s v="DPP-2017-AUG"/>
    <s v="Central"/>
    <s v="GIA"/>
    <s v="NRIS"/>
    <s v="Warrenton 161kV Substation"/>
    <n v="139"/>
    <n v="139"/>
    <x v="0"/>
    <s v="Photovoltaic"/>
    <s v="In Service"/>
    <d v="2021-10-29T00:00:00"/>
    <n v="139"/>
    <n v="139"/>
    <n v="139"/>
    <n v="139"/>
  </r>
  <r>
    <s v="J818"/>
    <x v="0"/>
    <d v="2017-06-16T00:00:00"/>
    <m/>
    <d v="2020-05-06T00:00:00"/>
    <d v="2019-09-01T00:00:00"/>
    <s v="American Transmission Co. LLC"/>
    <s v="Jefferson County"/>
    <m/>
    <m/>
    <s v="WI"/>
    <s v="DPP-2017-AUG"/>
    <s v="East (ATC)"/>
    <s v="GIA"/>
    <s v="NRIS"/>
    <s v="Jefferson 138kV Substation"/>
    <n v="149"/>
    <n v="149"/>
    <x v="0"/>
    <s v="Photovoltaic"/>
    <s v="Under Construction"/>
    <d v="2022-04-01T00:00:00"/>
    <n v="149"/>
    <n v="149"/>
    <n v="149"/>
    <n v="149"/>
  </r>
  <r>
    <s v="J819"/>
    <x v="1"/>
    <d v="2017-06-16T00:00:00"/>
    <d v="2020-05-26T00:00:00"/>
    <d v="2020-05-20T00:00:00"/>
    <d v="2020-09-15T00:00:00"/>
    <s v="American Transmission Co. LLC"/>
    <s v="Lafayette County"/>
    <m/>
    <m/>
    <s v="WI"/>
    <s v="DPP-2017-AUG"/>
    <s v="East (ATC)"/>
    <s v="GIA"/>
    <s v="NRIS"/>
    <s v="Darlington 138kV Substation"/>
    <n v="99.9"/>
    <n v="99.9"/>
    <x v="1"/>
    <s v="Wind Turbine"/>
    <s v="Withdrawn"/>
    <d v="2021-09-01T00:00:00"/>
    <n v="99.9"/>
    <n v="99.9"/>
    <n v="99.9"/>
    <n v="99.9"/>
  </r>
  <r>
    <s v="J820"/>
    <x v="1"/>
    <d v="2017-06-16T00:00:00"/>
    <d v="2017-08-03T00:00:00"/>
    <m/>
    <d v="2020-09-15T00:00:00"/>
    <s v="METC"/>
    <s v="Eaton County"/>
    <m/>
    <m/>
    <s v="MI"/>
    <s v="DPP-2017-AUG"/>
    <s v="East (ITC)"/>
    <s v="GIA"/>
    <s v="NRIS"/>
    <s v="Oneida 345kV Substation"/>
    <n v="100.05"/>
    <n v="100.05"/>
    <x v="1"/>
    <s v="Wind Turbine"/>
    <s v="Not Started"/>
    <m/>
    <n v="0"/>
    <n v="0"/>
    <n v="0"/>
    <n v="0"/>
  </r>
  <r>
    <s v="J821"/>
    <x v="1"/>
    <d v="2017-06-16T00:00:00"/>
    <d v="2020-05-26T00:00:00"/>
    <d v="2019-10-17T00:00:00"/>
    <d v="2020-09-15T00:00:00"/>
    <s v="American Transmission Co. LLC"/>
    <s v="Marathon County"/>
    <m/>
    <m/>
    <s v="WI"/>
    <s v="DPP-2017-AUG"/>
    <s v="East (ATC)"/>
    <s v="GIA"/>
    <s v="NRIS"/>
    <s v="Wein - Stratford 115 kV Line Tap"/>
    <n v="99.9"/>
    <n v="99.9"/>
    <x v="1"/>
    <s v="Wind Turbine"/>
    <s v="Withdrawn"/>
    <d v="2021-08-27T00:00:00"/>
    <n v="99.9"/>
    <n v="99.9"/>
    <n v="99.9"/>
    <n v="99.9"/>
  </r>
  <r>
    <s v="J822"/>
    <x v="1"/>
    <d v="2017-06-16T00:00:00"/>
    <d v="2019-01-08T00:00:00"/>
    <m/>
    <d v="2019-01-30T00:00:00"/>
    <s v="Entergy"/>
    <s v="Lonoke County"/>
    <m/>
    <m/>
    <s v="AR"/>
    <s v="DPP-2017-AUG"/>
    <s v="South"/>
    <s v="GIA"/>
    <s v="NRIS"/>
    <s v="Lynch SES Switchyard - Carlisle 115kV Line"/>
    <n v="100"/>
    <n v="100"/>
    <x v="0"/>
    <s v="Photovoltaic"/>
    <s v="Not Started"/>
    <m/>
    <n v="0"/>
    <n v="0"/>
    <n v="0"/>
    <n v="0"/>
  </r>
  <r>
    <s v="J823"/>
    <x v="1"/>
    <d v="2017-06-16T00:00:00"/>
    <d v="2019-02-06T00:00:00"/>
    <m/>
    <d v="2020-09-15T00:00:00"/>
    <s v="ITC MIDWEST"/>
    <s v="Clark County"/>
    <m/>
    <m/>
    <s v="MO"/>
    <s v="DPP-2017-AUG"/>
    <s v="West"/>
    <s v="GIA"/>
    <s v="NRIS"/>
    <s v="Twin Rivers - Twin Rivers Tap - Palmyra 161kV Line"/>
    <n v="50"/>
    <n v="50"/>
    <x v="0"/>
    <s v="Photovoltaic"/>
    <s v="Not Started"/>
    <m/>
    <n v="0"/>
    <n v="0"/>
    <n v="0"/>
    <n v="0"/>
  </r>
  <r>
    <s v="J824"/>
    <x v="1"/>
    <d v="2017-06-16T00:00:00"/>
    <d v="2019-04-17T00:00:00"/>
    <m/>
    <d v="2020-09-30T00:00:00"/>
    <s v="Duke Energy Corporation"/>
    <s v="Sullivan County"/>
    <s v="Vigo County"/>
    <m/>
    <s v="IN"/>
    <s v="DPP-2017-AUG"/>
    <s v="Central"/>
    <s v="GIA"/>
    <s v="NRIS"/>
    <s v="Vigo-Farmersburg Junction 138kV Line"/>
    <n v="245"/>
    <n v="245"/>
    <x v="0"/>
    <s v="Photovoltaic"/>
    <s v="Not Started"/>
    <m/>
    <n v="150"/>
    <n v="150"/>
    <n v="0"/>
    <n v="0"/>
  </r>
  <r>
    <s v="J825"/>
    <x v="1"/>
    <d v="2017-06-16T00:00:00"/>
    <d v="2019-01-08T00:00:00"/>
    <m/>
    <d v="2020-09-15T00:00:00"/>
    <s v="American Transmission Co. LLC"/>
    <s v="Green County"/>
    <m/>
    <m/>
    <s v="WI"/>
    <s v="DPP-2017-AUG"/>
    <s v="East (ATC)"/>
    <s v="GIA"/>
    <s v="NRIS"/>
    <s v="North Monroe - Albany 138kV Line"/>
    <n v="99.9"/>
    <n v="99.9"/>
    <x v="1"/>
    <s v="Wind Turbine"/>
    <s v="Not Started"/>
    <m/>
    <n v="0"/>
    <n v="0"/>
    <n v="0"/>
    <n v="0"/>
  </r>
  <r>
    <s v="J826"/>
    <x v="0"/>
    <d v="2017-06-16T00:00:00"/>
    <m/>
    <d v="2019-12-17T00:00:00"/>
    <d v="2020-09-01T00:00:00"/>
    <s v="AMEREN ILLINOIS"/>
    <s v="McLean County"/>
    <m/>
    <m/>
    <s v="IL"/>
    <s v="DPP-2017-AUG"/>
    <s v="Central"/>
    <s v="GIA"/>
    <s v="NRIS"/>
    <s v="Weedman Substation 138kV Bus"/>
    <n v="100"/>
    <n v="100"/>
    <x v="1"/>
    <s v="Wind Turbine"/>
    <s v="In Service"/>
    <d v="2021-05-28T00:00:00"/>
    <n v="100"/>
    <n v="100"/>
    <n v="100"/>
    <n v="100"/>
  </r>
  <r>
    <s v="J827"/>
    <x v="1"/>
    <d v="2017-06-16T00:00:00"/>
    <d v="2019-01-08T00:00:00"/>
    <m/>
    <d v="2020-09-30T00:00:00"/>
    <s v="Duke Energy Corporation"/>
    <s v="Fountain County"/>
    <s v="Montgomery County"/>
    <s v="Tippecanoe County"/>
    <s v="IN"/>
    <s v="DPP-2017-AUG"/>
    <s v="Central"/>
    <s v="GIA"/>
    <s v="NRIS"/>
    <s v="Lafayette - Veedsburg West - Attica 230kV Line"/>
    <n v="300"/>
    <n v="300"/>
    <x v="1"/>
    <s v="Wind Turbine"/>
    <s v="Not Started"/>
    <m/>
    <n v="0"/>
    <n v="0"/>
    <n v="0"/>
    <n v="0"/>
  </r>
  <r>
    <s v="J828"/>
    <x v="1"/>
    <d v="2017-06-16T00:00:00"/>
    <d v="2018-02-07T00:00:00"/>
    <m/>
    <d v="2020-08-01T00:00:00"/>
    <s v="Duke Energy Corporation"/>
    <s v="Montgomery County"/>
    <m/>
    <m/>
    <s v="IN"/>
    <s v="DPP-2017-AUG"/>
    <s v="Central"/>
    <s v="GIA"/>
    <s v="NRIS"/>
    <s v="Crawfordsville - Linden Tap 138kV Line"/>
    <n v="151.80000000000001"/>
    <n v="151.80000000000001"/>
    <x v="1"/>
    <s v="Wind Turbine"/>
    <s v="Not Started"/>
    <m/>
    <n v="0"/>
    <n v="0"/>
    <n v="0"/>
    <n v="0"/>
  </r>
  <r>
    <s v="J829"/>
    <x v="0"/>
    <d v="2017-06-16T00:00:00"/>
    <m/>
    <d v="2020-05-26T00:00:00"/>
    <d v="2020-09-30T00:00:00"/>
    <s v="Duke Energy Corporation"/>
    <s v="Sullivan County"/>
    <m/>
    <m/>
    <s v="IN"/>
    <s v="DPP-2017-AUG"/>
    <s v="Central"/>
    <s v="GIA"/>
    <s v="NRIS"/>
    <s v="Dresser - Merom 345kV Line"/>
    <n v="250"/>
    <n v="250"/>
    <x v="0"/>
    <s v="Photovoltaic"/>
    <s v="Under Construction"/>
    <d v="2022-09-01T00:00:00"/>
    <n v="250"/>
    <n v="250"/>
    <n v="250"/>
    <n v="250"/>
  </r>
  <r>
    <s v="J830"/>
    <x v="0"/>
    <d v="2017-06-16T00:00:00"/>
    <m/>
    <d v="2020-03-05T00:00:00"/>
    <d v="2020-06-01T00:00:00"/>
    <s v="Entergy"/>
    <s v="Madison County"/>
    <m/>
    <m/>
    <s v="MS"/>
    <s v="DPP-2017-AUG"/>
    <s v="South"/>
    <s v="GIA"/>
    <s v="NRIS"/>
    <s v="Canton South to Hoy Road 230 kV Line"/>
    <n v="100"/>
    <n v="100"/>
    <x v="0"/>
    <s v="Photovoltaic"/>
    <s v="In Service"/>
    <d v="2021-11-15T00:00:00"/>
    <n v="100"/>
    <n v="100"/>
    <n v="100"/>
    <n v="100"/>
  </r>
  <r>
    <s v="J831"/>
    <x v="0"/>
    <d v="2017-06-16T00:00:00"/>
    <m/>
    <d v="2019-11-12T00:00:00"/>
    <d v="2017-06-16T00:00:00"/>
    <s v="American Transmission Co. LLC"/>
    <s v="Ozaukee County"/>
    <m/>
    <m/>
    <s v="WI"/>
    <s v="DPP-2017-AUG"/>
    <s v="East (ATC)"/>
    <s v="GIA"/>
    <s v="NRIS"/>
    <s v="Port Washington Generating Switchyard 138 kV"/>
    <n v="40"/>
    <n v="48"/>
    <x v="13"/>
    <s v="Combined Cycle"/>
    <s v="In Service"/>
    <d v="2019-10-28T00:00:00"/>
    <n v="48"/>
    <n v="48"/>
    <n v="48"/>
    <n v="48"/>
  </r>
  <r>
    <s v="J832"/>
    <x v="1"/>
    <d v="2017-06-16T00:00:00"/>
    <d v="2021-06-02T00:00:00"/>
    <d v="2020-06-12T00:00:00"/>
    <d v="2020-04-01T00:00:00"/>
    <s v="METC"/>
    <s v="Cheboygan County"/>
    <m/>
    <m/>
    <s v="MI"/>
    <s v="DPP-2017-AUG"/>
    <s v="East (ITC)"/>
    <s v="GIA"/>
    <s v="NRIS"/>
    <s v="Port Calcite - Riggsville 138kV Line"/>
    <n v="100"/>
    <n v="100"/>
    <x v="0"/>
    <s v="Photovoltaic"/>
    <s v="Withdrawn"/>
    <d v="2022-12-31T00:00:00"/>
    <n v="91"/>
    <n v="91"/>
    <n v="91"/>
    <n v="91"/>
  </r>
  <r>
    <s v="J833"/>
    <x v="1"/>
    <d v="2017-06-16T00:00:00"/>
    <d v="2021-10-22T00:00:00"/>
    <d v="2020-06-17T00:00:00"/>
    <d v="2020-04-01T00:00:00"/>
    <s v="ITC MIDWEST"/>
    <s v="Washtenaw County"/>
    <m/>
    <m/>
    <s v="MI"/>
    <s v="DPP-2017-AUG"/>
    <s v="East (ITC)"/>
    <s v="GIA"/>
    <s v="NRIS"/>
    <s v="Milan-Pioneer 120kV line tap"/>
    <n v="100"/>
    <n v="100"/>
    <x v="0"/>
    <s v="Photovoltaic"/>
    <s v="Withdrawn"/>
    <d v="2022-04-29T00:00:00"/>
    <n v="50"/>
    <n v="50"/>
    <n v="50"/>
    <n v="50"/>
  </r>
  <r>
    <s v="J834"/>
    <x v="0"/>
    <d v="2017-06-16T00:00:00"/>
    <m/>
    <d v="2020-03-06T00:00:00"/>
    <d v="2020-09-01T00:00:00"/>
    <s v="Entergy"/>
    <s v="Phillips County"/>
    <m/>
    <m/>
    <s v="AR"/>
    <s v="DPP-2017-AUG"/>
    <s v="South"/>
    <s v="GIA"/>
    <s v="NRIS"/>
    <s v="Robert E Ritchie 230kV Substation"/>
    <n v="100"/>
    <n v="100"/>
    <x v="0"/>
    <s v="Photovoltaic"/>
    <s v="In Service"/>
    <d v="2021-11-15T00:00:00"/>
    <n v="100"/>
    <n v="100"/>
    <n v="100"/>
    <n v="100"/>
  </r>
  <r>
    <s v="J835"/>
    <x v="1"/>
    <d v="2017-06-16T00:00:00"/>
    <d v="2019-04-17T00:00:00"/>
    <m/>
    <d v="2020-07-01T00:00:00"/>
    <s v="AMEREN ILLINOIS"/>
    <s v="Morgan County"/>
    <m/>
    <m/>
    <s v="IL"/>
    <s v="DPP-2017-AUG"/>
    <s v="Central"/>
    <s v="GIA"/>
    <s v="NRIS"/>
    <s v="Meredosia - Austin 345kV Line"/>
    <n v="200"/>
    <n v="200"/>
    <x v="1"/>
    <s v="Wind Turbine"/>
    <s v="Not Started"/>
    <m/>
    <n v="200"/>
    <n v="200"/>
    <n v="0"/>
    <n v="0"/>
  </r>
  <r>
    <s v="J836"/>
    <x v="0"/>
    <d v="2017-06-16T00:00:00"/>
    <m/>
    <d v="2021-05-19T00:00:00"/>
    <d v="2021-11-01T00:00:00"/>
    <s v="ITC MIDWEST"/>
    <s v="Kossuth County"/>
    <m/>
    <m/>
    <s v="IA"/>
    <s v="DPP-2017-AUG"/>
    <s v="West"/>
    <s v="GIA"/>
    <s v="ERIS"/>
    <s v="Ledyard 345kV Substation"/>
    <n v="200"/>
    <n v="200"/>
    <x v="1"/>
    <s v="Wind Turbine"/>
    <s v="In Service"/>
    <d v="2022-09-30T00:00:00"/>
    <n v="200"/>
    <n v="0"/>
    <n v="200"/>
    <n v="0"/>
  </r>
  <r>
    <s v="J837"/>
    <x v="0"/>
    <d v="2017-06-16T00:00:00"/>
    <m/>
    <d v="2019-10-21T00:00:00"/>
    <d v="2020-08-01T00:00:00"/>
    <s v="NORTHERN INDIANA PUBLIC SERVICE COMPANY LLC"/>
    <s v="White County"/>
    <m/>
    <m/>
    <s v="IN"/>
    <s v="DPP-2017-AUG"/>
    <s v="Central"/>
    <s v="GIA"/>
    <s v="NRIS"/>
    <s v="Reynolds 345kV Substation"/>
    <n v="200.1"/>
    <n v="200.1"/>
    <x v="1"/>
    <s v="Wind Turbine"/>
    <s v="In Service"/>
    <d v="2021-08-15T00:00:00"/>
    <n v="200.1"/>
    <n v="80"/>
    <n v="200.1"/>
    <n v="80"/>
  </r>
  <r>
    <s v="J838"/>
    <x v="0"/>
    <d v="2017-06-16T00:00:00"/>
    <m/>
    <d v="2019-10-21T00:00:00"/>
    <d v="2020-08-01T00:00:00"/>
    <s v="NORTHERN INDIANA PUBLIC SERVICE COMPANY LLC"/>
    <s v="White County"/>
    <m/>
    <m/>
    <s v="IN"/>
    <s v="DPP-2017-AUG"/>
    <s v="Central"/>
    <s v="GIA"/>
    <s v="NRIS"/>
    <s v="Reynolds 345kV Substation"/>
    <n v="200.1"/>
    <n v="200.1"/>
    <x v="1"/>
    <s v="Wind Turbine"/>
    <s v="In Service"/>
    <d v="2021-08-15T00:00:00"/>
    <n v="100"/>
    <n v="40"/>
    <n v="100"/>
    <n v="40"/>
  </r>
  <r>
    <s v="J839"/>
    <x v="1"/>
    <d v="2017-06-16T00:00:00"/>
    <d v="2020-05-27T00:00:00"/>
    <m/>
    <d v="2020-04-01T00:00:00"/>
    <s v="ITC MIDWEST"/>
    <s v="Lapeer County"/>
    <m/>
    <m/>
    <s v="MI"/>
    <s v="DPP-2017-AUG"/>
    <s v="East (ITC)"/>
    <s v="GIA"/>
    <s v="NRIS"/>
    <s v="Otsego Tap - Otsego 120 kV Line Tap"/>
    <n v="100"/>
    <n v="100"/>
    <x v="0"/>
    <s v="Photovoltaic"/>
    <s v="Withdrawn"/>
    <d v="2023-03-31T00:00:00"/>
    <n v="58"/>
    <n v="58"/>
    <n v="58"/>
    <n v="58"/>
  </r>
  <r>
    <s v="J840"/>
    <x v="1"/>
    <d v="2017-06-16T00:00:00"/>
    <d v="2021-01-29T00:00:00"/>
    <m/>
    <d v="2021-07-01T00:00:00"/>
    <s v="MIDAMERICAN ENERGY COMPANY"/>
    <s v="Humboldt County"/>
    <m/>
    <m/>
    <s v="IA"/>
    <s v="DPP-2017-AUG"/>
    <s v="West"/>
    <s v="GIA"/>
    <s v="NRIS"/>
    <s v="Kossuth - Webster 345 kV Line"/>
    <n v="150"/>
    <n v="150"/>
    <x v="1"/>
    <s v="Wind Turbine"/>
    <s v="Not Started"/>
    <m/>
    <n v="150"/>
    <n v="150"/>
    <n v="0"/>
    <n v="0"/>
  </r>
  <r>
    <s v="J841"/>
    <x v="1"/>
    <d v="2017-06-16T00:00:00"/>
    <d v="2020-01-24T00:00:00"/>
    <m/>
    <d v="2020-04-01T00:00:00"/>
    <s v="METC"/>
    <s v="Saginaw County"/>
    <m/>
    <m/>
    <s v="MI"/>
    <s v="DPP-2017-AUG"/>
    <s v="East (ITC)"/>
    <s v="GIA"/>
    <s v="NRIS"/>
    <s v="Orr RD 138 kV Substation"/>
    <n v="702"/>
    <n v="725"/>
    <x v="13"/>
    <s v="Combined Cycle"/>
    <s v="Not Started"/>
    <m/>
    <n v="725"/>
    <n v="725"/>
    <n v="725"/>
    <n v="702"/>
  </r>
  <r>
    <s v="J842"/>
    <x v="1"/>
    <d v="2017-06-16T00:00:00"/>
    <d v="2020-02-10T00:00:00"/>
    <m/>
    <d v="2020-07-01T00:00:00"/>
    <s v="Southern Indiana Gas &amp; Electric Company d/b/a Vectren Energy Delivery of Indiana, Inc."/>
    <s v="Gibson County"/>
    <m/>
    <m/>
    <s v="IN"/>
    <s v="DPP-2017-AUG"/>
    <s v="Central"/>
    <s v="GIA"/>
    <s v="NRIS"/>
    <s v="Gibson - Brown 345kV Line"/>
    <n v="200"/>
    <n v="200"/>
    <x v="1"/>
    <s v="Wind Turbine"/>
    <s v="Not Started"/>
    <d v="2022-09-14T00:00:00"/>
    <n v="200"/>
    <n v="200"/>
    <n v="200"/>
    <n v="200"/>
  </r>
  <r>
    <s v="J843"/>
    <x v="1"/>
    <d v="2017-06-16T00:00:00"/>
    <d v="2020-02-10T00:00:00"/>
    <m/>
    <d v="2020-07-01T00:00:00"/>
    <s v="Duke Energy Corporation"/>
    <s v="Gibson County"/>
    <m/>
    <m/>
    <s v="IN"/>
    <s v="DPP-2017-AUG"/>
    <s v="Central"/>
    <s v="GIA"/>
    <s v="NRIS"/>
    <s v="Gibson - Francisco 345kV Line"/>
    <n v="200"/>
    <n v="200"/>
    <x v="1"/>
    <s v="Wind Turbine"/>
    <s v="Not Started"/>
    <d v="2021-09-01T00:00:00"/>
    <n v="200"/>
    <n v="200"/>
    <n v="200"/>
    <n v="200"/>
  </r>
  <r>
    <s v="J844"/>
    <x v="0"/>
    <d v="2017-06-16T00:00:00"/>
    <m/>
    <d v="2019-12-10T00:00:00"/>
    <d v="2020-09-01T00:00:00"/>
    <s v="AMEREN TRANSMISSION COMPANY OF ILLINOIS"/>
    <s v="Knox County"/>
    <m/>
    <m/>
    <s v="IL"/>
    <s v="DPP-2017-AUG"/>
    <s v="Central"/>
    <s v="GIA"/>
    <s v="ERIS"/>
    <s v="Sandburg Substation 138kV Bus"/>
    <n v="300"/>
    <n v="300"/>
    <x v="1"/>
    <s v="Wind Turbine"/>
    <s v="Under Construction"/>
    <d v="2021-05-28T00:00:00"/>
    <n v="147"/>
    <n v="0"/>
    <n v="147"/>
    <n v="0"/>
  </r>
  <r>
    <s v="J845"/>
    <x v="0"/>
    <d v="2017-06-16T00:00:00"/>
    <m/>
    <d v="2019-12-06T00:00:00"/>
    <d v="2020-09-01T00:00:00"/>
    <s v="AMEREN ILLINOIS"/>
    <s v="Ford County"/>
    <m/>
    <m/>
    <s v="IL"/>
    <s v="DPP-2017-AUG"/>
    <s v="Central"/>
    <s v="GIA"/>
    <s v="NRIS"/>
    <s v="Gibson City South - Paxton East 138kV Line"/>
    <n v="120"/>
    <n v="120"/>
    <x v="1"/>
    <s v="Wind Turbine"/>
    <s v="In Service"/>
    <d v="2021-06-01T00:00:00"/>
    <n v="120"/>
    <n v="52"/>
    <n v="120"/>
    <n v="52"/>
  </r>
  <r>
    <s v="J846"/>
    <x v="1"/>
    <d v="2017-06-16T00:00:00"/>
    <d v="2019-01-09T00:00:00"/>
    <m/>
    <d v="2020-04-01T00:00:00"/>
    <s v="METC"/>
    <s v="Hillsdale County"/>
    <m/>
    <m/>
    <s v="MI"/>
    <s v="DPP-2017-AUG"/>
    <s v="East (ITC)"/>
    <s v="GIA"/>
    <s v="NRIS"/>
    <s v="Moore Roadtyd - Coldwater Creek 138 kV Line Tap"/>
    <n v="140"/>
    <n v="140"/>
    <x v="0"/>
    <s v="Photovoltaic"/>
    <s v="Not Started"/>
    <m/>
    <n v="0"/>
    <n v="0"/>
    <n v="0"/>
    <n v="0"/>
  </r>
  <r>
    <s v="J847"/>
    <x v="0"/>
    <d v="2017-06-16T00:00:00"/>
    <m/>
    <d v="2019-09-17T00:00:00"/>
    <d v="2020-04-01T00:00:00"/>
    <s v="NORTHERN INDIANA PUBLIC SERVICE COMPANY LLC"/>
    <s v="Jasper County"/>
    <m/>
    <m/>
    <s v="IN"/>
    <s v="DPP-2017-AUG"/>
    <s v="Central"/>
    <s v="GIA"/>
    <s v="NRIS"/>
    <s v="Schahfer Tap 138kV Substation"/>
    <n v="90"/>
    <n v="90"/>
    <x v="0"/>
    <s v="Photovoltaic"/>
    <s v="Under Construction"/>
    <d v="2021-04-01T00:00:00"/>
    <n v="90"/>
    <n v="90"/>
    <n v="90"/>
    <n v="90"/>
  </r>
  <r>
    <s v="J848"/>
    <x v="1"/>
    <d v="2017-06-16T00:00:00"/>
    <d v="2026-01-20T00:00:00"/>
    <d v="2020-04-17T00:00:00"/>
    <d v="2020-09-30T00:00:00"/>
    <s v="AMEREN TRANSMISSION COMPANY OF ILLINOIS"/>
    <s v="Christian County"/>
    <m/>
    <m/>
    <s v="IL"/>
    <s v="DPP-2017-AUG"/>
    <s v="Central"/>
    <s v="GIA"/>
    <s v="NRIS"/>
    <s v="Pana Substation 138kV Bus"/>
    <n v="250"/>
    <n v="250"/>
    <x v="1"/>
    <s v="Wind Turbine"/>
    <s v="Under Construction"/>
    <d v="2021-05-28T00:00:00"/>
    <n v="250"/>
    <n v="250"/>
    <n v="235"/>
    <n v="235"/>
  </r>
  <r>
    <s v="J849"/>
    <x v="1"/>
    <d v="2017-06-16T00:00:00"/>
    <d v="2022-04-19T00:00:00"/>
    <d v="2019-06-26T00:00:00"/>
    <d v="2020-04-01T00:00:00"/>
    <s v="American Transmission Co. LLC"/>
    <s v="Delta County"/>
    <m/>
    <m/>
    <s v="MI"/>
    <s v="DPP-2017-AUG"/>
    <s v="East (ITC)"/>
    <s v="GIA"/>
    <s v="NRIS"/>
    <s v="Chandler 138 kV Substation"/>
    <n v="125"/>
    <n v="125"/>
    <x v="0"/>
    <s v="Photovoltaic"/>
    <s v="Withdrawn"/>
    <d v="2022-04-01T00:00:00"/>
    <n v="125"/>
    <n v="125"/>
    <n v="125"/>
    <n v="125"/>
  </r>
  <r>
    <s v="J850"/>
    <x v="0"/>
    <d v="2017-06-16T00:00:00"/>
    <m/>
    <d v="2020-04-24T00:00:00"/>
    <d v="2021-09-30T00:00:00"/>
    <s v="American Transmission Co. LLC"/>
    <s v="Rock County"/>
    <m/>
    <m/>
    <s v="WI"/>
    <s v="DPP-2017-AUG"/>
    <s v="East (ATC)"/>
    <s v="GIA"/>
    <s v="NRIS"/>
    <s v="RCEC Bradford - W. Darien 138kV Line"/>
    <n v="250"/>
    <n v="250"/>
    <x v="0"/>
    <s v="Photovoltaic"/>
    <s v="In Service"/>
    <d v="2022-09-24T00:00:00"/>
    <n v="250"/>
    <n v="250"/>
    <n v="250"/>
    <n v="250"/>
  </r>
  <r>
    <s v="J851"/>
    <x v="1"/>
    <d v="2017-06-16T00:00:00"/>
    <d v="2019-01-08T00:00:00"/>
    <m/>
    <d v="2019-10-01T00:00:00"/>
    <s v="Duke Energy Corporation"/>
    <s v="Henry County"/>
    <m/>
    <m/>
    <s v="IN"/>
    <s v="DPP-2017-AUG"/>
    <s v="Central"/>
    <s v="GIA"/>
    <s v="NRIS"/>
    <s v="Fall Creek - New Castle 138kV Line"/>
    <n v="50"/>
    <n v="50"/>
    <x v="1"/>
    <s v="Wind Turbine"/>
    <s v="Not Started"/>
    <m/>
    <n v="0"/>
    <n v="0"/>
    <n v="0"/>
    <n v="0"/>
  </r>
  <r>
    <s v="J852"/>
    <x v="1"/>
    <d v="2017-06-16T00:00:00"/>
    <d v="2019-01-07T00:00:00"/>
    <m/>
    <d v="2019-07-01T00:00:00"/>
    <s v="Entergy"/>
    <s v="Ouachita Parish"/>
    <m/>
    <m/>
    <s v="LA"/>
    <s v="DPP-2017-AUG"/>
    <s v="South"/>
    <s v="GIA"/>
    <s v="NRIS"/>
    <s v="Rilla - Riverton 115kV Line Tap"/>
    <n v="100"/>
    <n v="100"/>
    <x v="0"/>
    <s v="Photovoltaic"/>
    <s v="Not Started"/>
    <m/>
    <n v="0"/>
    <n v="0"/>
    <n v="0"/>
    <n v="0"/>
  </r>
  <r>
    <s v="J853"/>
    <x v="0"/>
    <d v="2017-06-16T00:00:00"/>
    <m/>
    <d v="2019-12-20T00:00:00"/>
    <d v="2019-09-01T00:00:00"/>
    <s v="AMEREN ILLINOIS"/>
    <s v="White County"/>
    <m/>
    <m/>
    <s v="IL"/>
    <s v="DPP-2017-AUG"/>
    <s v="Central"/>
    <s v="GIA"/>
    <s v="NRIS"/>
    <s v="Norris City North Substation 138kV Bus"/>
    <n v="149"/>
    <n v="149"/>
    <x v="0"/>
    <s v="Photovoltaic"/>
    <s v="In Service"/>
    <d v="2021-05-28T00:00:00"/>
    <n v="149"/>
    <n v="149"/>
    <n v="149"/>
    <n v="149"/>
  </r>
  <r>
    <s v="J854"/>
    <x v="1"/>
    <d v="2017-06-16T00:00:00"/>
    <d v="2017-08-08T00:00:00"/>
    <m/>
    <d v="2019-04-01T00:00:00"/>
    <s v="AMEREN ILLINOIS"/>
    <s v="Randolph County"/>
    <m/>
    <m/>
    <s v="IL"/>
    <s v="DPP-2017-AUG"/>
    <s v="Central"/>
    <s v="GIA"/>
    <s v="ERIS"/>
    <s v="Baldwin 138KV Substation"/>
    <n v="30"/>
    <n v="30"/>
    <x v="0"/>
    <s v="Photovoltaic"/>
    <s v="Not Started"/>
    <m/>
    <n v="0"/>
    <n v="0"/>
    <n v="0"/>
    <n v="0"/>
  </r>
  <r>
    <s v="J855"/>
    <x v="0"/>
    <d v="2017-06-16T00:00:00"/>
    <m/>
    <d v="2019-11-14T00:00:00"/>
    <d v="2019-08-01T00:00:00"/>
    <s v="American Transmission Co. LLC"/>
    <s v="Grant County"/>
    <s v="Iowa County"/>
    <m/>
    <s v="WI"/>
    <s v="DPP-2017-AUG"/>
    <s v="East (ATC)"/>
    <s v="GIA"/>
    <s v="NRIS"/>
    <s v="Lancaster - Eden 138 kV Line Tap"/>
    <n v="100"/>
    <n v="100"/>
    <x v="1"/>
    <s v="Wind Turbine"/>
    <s v="Under Construction"/>
    <d v="2020-11-06T00:00:00"/>
    <n v="100"/>
    <n v="100"/>
    <n v="99.99"/>
    <n v="99.99"/>
  </r>
  <r>
    <s v="J856"/>
    <x v="1"/>
    <d v="2017-06-16T00:00:00"/>
    <d v="2023-03-07T00:00:00"/>
    <d v="2019-11-15T00:00:00"/>
    <d v="2021-04-01T00:00:00"/>
    <s v="Southern Indiana Gas &amp; Electric Company d/b/a Vectren Energy Delivery of Indiana, Inc."/>
    <s v="Vanderburgh County"/>
    <m/>
    <m/>
    <s v="IN"/>
    <s v="DPP-2017-AUG"/>
    <s v="Central"/>
    <s v="GIA"/>
    <s v="NRIS"/>
    <s v="Scott (TWP 138/69) 138 kV Substation"/>
    <n v="80"/>
    <n v="80"/>
    <x v="0"/>
    <s v="Photovoltaic"/>
    <s v="Withdrawn"/>
    <d v="2021-03-15T00:00:00"/>
    <n v="80"/>
    <n v="80"/>
    <n v="80"/>
    <n v="80"/>
  </r>
  <r>
    <s v="J857"/>
    <x v="0"/>
    <d v="2017-06-16T00:00:00"/>
    <m/>
    <d v="2020-06-10T00:00:00"/>
    <d v="2019-09-01T00:00:00"/>
    <s v="METC"/>
    <s v="Calhoun County"/>
    <m/>
    <m/>
    <s v="MI"/>
    <s v="DPP-2017-AUG"/>
    <s v="East (ITC)"/>
    <s v="GIA"/>
    <s v="NRIS"/>
    <s v="Verona - Foundry 138 kV Line Tap"/>
    <n v="124.95"/>
    <n v="124.95"/>
    <x v="0"/>
    <s v="Photovoltaic"/>
    <s v="Under Construction"/>
    <d v="2022-02-07T00:00:00"/>
    <n v="124.95"/>
    <n v="124.95"/>
    <n v="124.95"/>
    <n v="124.95"/>
  </r>
  <r>
    <s v="J858"/>
    <x v="1"/>
    <d v="2017-06-16T00:00:00"/>
    <d v="2017-09-01T00:00:00"/>
    <m/>
    <d v="2019-09-29T00:00:00"/>
    <s v="Entergy"/>
    <s v="Bradley County"/>
    <m/>
    <m/>
    <s v="AR"/>
    <s v="DPP-2017-AUG"/>
    <s v="South"/>
    <s v="GIA"/>
    <s v="NRIS"/>
    <s v="Hilo 115 kV Switch"/>
    <n v="140"/>
    <n v="140"/>
    <x v="0"/>
    <s v="Photovoltaic"/>
    <s v="Not Started"/>
    <m/>
    <n v="0"/>
    <n v="0"/>
    <n v="0"/>
    <n v="0"/>
  </r>
  <r>
    <s v="J859"/>
    <x v="0"/>
    <d v="2017-06-16T00:00:00"/>
    <m/>
    <d v="2020-01-23T00:00:00"/>
    <d v="2019-09-01T00:00:00"/>
    <s v="AMEREN ILLINOIS"/>
    <s v="Cass County"/>
    <m/>
    <m/>
    <s v="IL"/>
    <s v="DPP-2017-AUG"/>
    <s v="Central"/>
    <s v="GIA"/>
    <s v="NRIS"/>
    <s v="Frederick North - Meredosia East 138kV Line"/>
    <n v="149.94"/>
    <n v="149.94"/>
    <x v="0"/>
    <s v="Photovoltaic"/>
    <s v="Under Construction"/>
    <d v="2022-05-31T00:00:00"/>
    <n v="149.94"/>
    <n v="149.94"/>
    <n v="149.94"/>
    <n v="149.94"/>
  </r>
  <r>
    <s v="J860"/>
    <x v="1"/>
    <d v="2017-06-16T00:00:00"/>
    <d v="2019-01-07T00:00:00"/>
    <m/>
    <d v="2020-03-30T00:00:00"/>
    <s v="Entergy"/>
    <s v="Jefferson Davis Parish"/>
    <m/>
    <m/>
    <s v="LA"/>
    <s v="DPP-2017-AUG"/>
    <s v="South"/>
    <s v="GIA"/>
    <s v="NRIS"/>
    <s v="New Jefferson Davis 138 kV Substation"/>
    <n v="200"/>
    <n v="200"/>
    <x v="1"/>
    <s v="Wind Turbine"/>
    <s v="Not Started"/>
    <m/>
    <n v="0"/>
    <n v="0"/>
    <n v="0"/>
    <n v="0"/>
  </r>
  <r>
    <s v="J861"/>
    <x v="1"/>
    <d v="2017-06-16T00:00:00"/>
    <d v="2018-05-22T00:00:00"/>
    <m/>
    <d v="2020-09-01T00:00:00"/>
    <s v="American Transmission Co. LLC"/>
    <s v="Marquette County"/>
    <m/>
    <m/>
    <s v="MI"/>
    <s v="DPP-2017-AUG"/>
    <s v="East (ITC)"/>
    <s v="GIA"/>
    <s v="NRIS"/>
    <s v="Dead River - Arnold 345 kV Line"/>
    <n v="99.96"/>
    <n v="99.96"/>
    <x v="0"/>
    <s v="Photovoltaic"/>
    <s v="Not Started"/>
    <m/>
    <n v="0"/>
    <n v="0"/>
    <n v="0"/>
    <n v="0"/>
  </r>
  <r>
    <s v="J862"/>
    <x v="1"/>
    <d v="2017-06-16T00:00:00"/>
    <d v="2019-03-25T00:00:00"/>
    <m/>
    <d v="2019-05-31T00:00:00"/>
    <s v="Entergy"/>
    <s v="Orleans Parish"/>
    <m/>
    <m/>
    <s v="LA"/>
    <s v="DPP-2017-AUG"/>
    <s v="South"/>
    <s v="GIA"/>
    <s v="NRIS"/>
    <s v="NASA-Michoud 115 kV Line"/>
    <n v="20"/>
    <n v="20"/>
    <x v="0"/>
    <s v="Photovoltaic"/>
    <s v="Not Started"/>
    <m/>
    <n v="20"/>
    <n v="20"/>
    <n v="0"/>
    <n v="0"/>
  </r>
  <r>
    <s v="J863"/>
    <x v="1"/>
    <d v="2017-06-16T00:00:00"/>
    <d v="2018-12-18T00:00:00"/>
    <m/>
    <d v="2021-01-01T00:00:00"/>
    <s v="NORTHERN STATES POWER COMPANY"/>
    <s v="Dakota County"/>
    <m/>
    <m/>
    <s v="MN"/>
    <s v="DPP-2017-AUG"/>
    <s v="West"/>
    <s v="GIA"/>
    <s v="NRIS"/>
    <s v="Rosemount  - Nininger 115kV Line"/>
    <n v="220"/>
    <n v="220"/>
    <x v="3"/>
    <s v="Combustion Turbine (Simple Cycle)"/>
    <s v="Not Started"/>
    <m/>
    <n v="0"/>
    <n v="0"/>
    <n v="0"/>
    <n v="0"/>
  </r>
  <r>
    <s v="J864"/>
    <x v="0"/>
    <d v="2017-06-16T00:00:00"/>
    <m/>
    <d v="2020-04-27T00:00:00"/>
    <d v="2021-09-01T00:00:00"/>
    <s v="American Transmission Co. LLC"/>
    <s v="Richland County"/>
    <m/>
    <m/>
    <s v="WI"/>
    <s v="DPP-2017-AUG"/>
    <s v="East (ATC)"/>
    <s v="GIA"/>
    <s v="NRIS"/>
    <s v="Lone Rock 69kV Substation"/>
    <n v="49.98"/>
    <n v="49.98"/>
    <x v="0"/>
    <s v="Photovoltaic"/>
    <s v="In Service"/>
    <d v="2022-09-01T00:00:00"/>
    <n v="49.98"/>
    <n v="49.98"/>
    <n v="49.98"/>
    <n v="49.98"/>
  </r>
  <r>
    <s v="J865"/>
    <x v="1"/>
    <d v="2017-06-16T00:00:00"/>
    <d v="2019-01-09T00:00:00"/>
    <m/>
    <d v="2020-09-01T00:00:00"/>
    <s v="ITC MIDWEST"/>
    <s v="St. Clair County"/>
    <m/>
    <m/>
    <s v="MI"/>
    <s v="DPP-2017-AUG"/>
    <s v="East (ITC)"/>
    <s v="GIA"/>
    <s v="NRIS"/>
    <s v="Lee - Menlo 120kV Line"/>
    <n v="79.97"/>
    <n v="79.97"/>
    <x v="0"/>
    <s v="Photovoltaic"/>
    <s v="Not Started"/>
    <m/>
    <n v="0"/>
    <n v="0"/>
    <n v="0"/>
    <n v="0"/>
  </r>
  <r>
    <s v="J866"/>
    <x v="0"/>
    <d v="2017-06-16T00:00:00"/>
    <m/>
    <d v="2020-04-06T00:00:00"/>
    <d v="2020-03-30T00:00:00"/>
    <s v="Entergy"/>
    <s v="Tunica County"/>
    <m/>
    <m/>
    <s v="MS"/>
    <s v="DPP-2017-AUG"/>
    <s v="South"/>
    <s v="GIA"/>
    <s v="NRIS"/>
    <s v="Batesville - Robert E. Ritchie 230 kV line"/>
    <n v="200"/>
    <n v="200"/>
    <x v="1"/>
    <s v="Wind Turbine"/>
    <s v="Under Construction"/>
    <d v="2021-07-01T00:00:00"/>
    <n v="200"/>
    <n v="200"/>
    <n v="200"/>
    <n v="200"/>
  </r>
  <r>
    <s v="J867"/>
    <x v="1"/>
    <d v="2017-06-16T00:00:00"/>
    <d v="2019-01-07T00:00:00"/>
    <m/>
    <d v="2019-09-29T00:00:00"/>
    <s v="Entergy"/>
    <s v="Polk County"/>
    <m/>
    <m/>
    <s v="TX"/>
    <s v="DPP-2017-AUG"/>
    <s v="South"/>
    <s v="GIA"/>
    <s v="NRIS"/>
    <s v="Gulf Livingston - SHECO Menard"/>
    <n v="200"/>
    <n v="200"/>
    <x v="0"/>
    <s v="Photovoltaic"/>
    <s v="Not Started"/>
    <m/>
    <n v="0"/>
    <n v="0"/>
    <n v="0"/>
    <n v="0"/>
  </r>
  <r>
    <s v="J868"/>
    <x v="0"/>
    <d v="2017-06-16T00:00:00"/>
    <m/>
    <d v="2020-03-05T00:00:00"/>
    <m/>
    <s v="Entergy"/>
    <s v="Concordia Parish"/>
    <m/>
    <m/>
    <s v="LA"/>
    <s v="DPP-2017-AUG"/>
    <s v="South"/>
    <s v="GIA"/>
    <s v="NRIS"/>
    <s v="Plantation 115 kV Substation"/>
    <n v="37.200000000000003"/>
    <n v="37.200000000000003"/>
    <x v="8"/>
    <m/>
    <s v="Under Construction"/>
    <d v="1990-12-03T00:00:00"/>
    <n v="0"/>
    <n v="25.33"/>
    <n v="0"/>
    <n v="23.5"/>
  </r>
  <r>
    <s v="J869"/>
    <x v="1"/>
    <d v="2017-06-16T00:00:00"/>
    <d v="2019-10-24T00:00:00"/>
    <m/>
    <d v="2022-09-01T00:00:00"/>
    <s v="GREAT RIVER ENERGY"/>
    <s v="Sherburne County"/>
    <m/>
    <m/>
    <s v="MN"/>
    <s v="DPP-2017-AUG"/>
    <s v="West"/>
    <s v="GIA"/>
    <s v="NRIS"/>
    <s v="Cable - Cable Tap 69kV Substation"/>
    <n v="49.98"/>
    <n v="49.98"/>
    <x v="0"/>
    <s v="Photovoltaic"/>
    <s v="Not Started"/>
    <m/>
    <n v="0"/>
    <n v="0"/>
    <n v="0"/>
    <n v="0"/>
  </r>
  <r>
    <s v="J870"/>
    <x v="0"/>
    <d v="2017-06-16T00:00:00"/>
    <m/>
    <d v="2020-02-21T00:00:00"/>
    <d v="2021-09-10T00:00:00"/>
    <s v="American Transmission Co. LLC"/>
    <s v="Grant County"/>
    <s v="Iowa County"/>
    <m/>
    <s v="WI"/>
    <s v="DPP-2017-AUG"/>
    <s v="East (ATC)"/>
    <s v="GIA"/>
    <s v="NRIS"/>
    <s v="Eden - Wyoming Valley 138kV Line Tap"/>
    <n v="200"/>
    <n v="200"/>
    <x v="0"/>
    <s v="Photovoltaic"/>
    <s v="In Service"/>
    <d v="2020-08-01T00:00:00"/>
    <n v="200"/>
    <n v="200"/>
    <n v="200"/>
    <n v="200"/>
  </r>
  <r>
    <s v="J871"/>
    <x v="0"/>
    <d v="2017-06-16T00:00:00"/>
    <m/>
    <d v="2020-02-21T00:00:00"/>
    <d v="2021-09-10T00:00:00"/>
    <s v="American Transmission Co. LLC"/>
    <s v="Grant County"/>
    <s v="Iowa County"/>
    <m/>
    <s v="WI"/>
    <s v="DPP-2017-AUG"/>
    <s v="East (ATC)"/>
    <s v="GIA"/>
    <s v="NRIS"/>
    <s v="Eden - Wyoming Valley 138kV Line Tap"/>
    <n v="100"/>
    <n v="100"/>
    <x v="0"/>
    <s v="Photovoltaic"/>
    <s v="Under Construction"/>
    <d v="2021-08-01T00:00:00"/>
    <n v="100"/>
    <n v="100"/>
    <n v="100"/>
    <n v="100"/>
  </r>
  <r>
    <s v="J872"/>
    <x v="1"/>
    <d v="2017-06-16T00:00:00"/>
    <d v="2019-01-08T00:00:00"/>
    <m/>
    <d v="2020-09-01T00:00:00"/>
    <s v="AMEREN ILLINOIS"/>
    <s v="Macon County"/>
    <m/>
    <m/>
    <s v="IL"/>
    <s v="DPP-2017-AUG"/>
    <s v="Central"/>
    <s v="GIA"/>
    <s v="NRIS"/>
    <s v="Blue Mount tap on the Pana-Route 51D-1462 138kV line"/>
    <n v="200"/>
    <n v="200"/>
    <x v="1"/>
    <s v="Wind Turbine"/>
    <s v="Not Started"/>
    <m/>
    <n v="0"/>
    <n v="0"/>
    <n v="0"/>
    <n v="0"/>
  </r>
  <r>
    <s v="J873"/>
    <x v="1"/>
    <d v="2017-06-16T00:00:00"/>
    <d v="2021-01-29T00:00:00"/>
    <m/>
    <d v="2021-07-01T00:00:00"/>
    <s v="ITC MIDWEST"/>
    <s v="Hardin County"/>
    <m/>
    <m/>
    <s v="IA"/>
    <s v="DPP-2017-AUG"/>
    <s v="West"/>
    <s v="GIA"/>
    <s v="NRIS"/>
    <s v="Killdeer- Blackhawk 345kV Line"/>
    <n v="200"/>
    <n v="200"/>
    <x v="1"/>
    <s v="Wind Turbine"/>
    <s v="Not Started"/>
    <m/>
    <n v="200"/>
    <n v="200"/>
    <n v="0"/>
    <n v="0"/>
  </r>
  <r>
    <s v="J874"/>
    <x v="0"/>
    <d v="2017-06-16T00:00:00"/>
    <m/>
    <d v="2021-05-19T00:00:00"/>
    <d v="2021-09-30T00:00:00"/>
    <s v="NORTHERN STATES POWER COMPANY"/>
    <s v="Murray County"/>
    <m/>
    <m/>
    <s v="MN"/>
    <s v="DPP-2017-AUG"/>
    <s v="West"/>
    <s v="GIA"/>
    <s v="NRIS"/>
    <s v="Fenton - Chanarambie 115kV Line"/>
    <n v="150"/>
    <n v="150"/>
    <x v="0"/>
    <s v="Photovoltaic"/>
    <s v="Under Construction"/>
    <d v="2024-07-30T00:00:00"/>
    <n v="150"/>
    <n v="150"/>
    <n v="150"/>
    <n v="150"/>
  </r>
  <r>
    <s v="J875"/>
    <x v="0"/>
    <d v="2017-06-16T00:00:00"/>
    <m/>
    <d v="2020-08-06T00:00:00"/>
    <d v="2020-09-10T00:00:00"/>
    <s v="METC"/>
    <s v="Lenawee County"/>
    <m/>
    <m/>
    <s v="MI"/>
    <s v="DPP-2017-AUG"/>
    <s v="East (ITC)"/>
    <s v="GIA"/>
    <s v="NRIS"/>
    <s v="Par - Raisin Road 138kV Line"/>
    <n v="150"/>
    <n v="150"/>
    <x v="0"/>
    <s v="Photovoltaic"/>
    <s v="Under Construction"/>
    <d v="2022-11-18T00:00:00"/>
    <n v="150"/>
    <n v="150"/>
    <n v="150"/>
    <n v="150"/>
  </r>
  <r>
    <s v="J876"/>
    <x v="1"/>
    <d v="2017-06-16T00:00:00"/>
    <d v="2019-07-23T00:00:00"/>
    <m/>
    <d v="2020-09-15T00:00:00"/>
    <s v="ITC MIDWEST"/>
    <s v="Faribault County"/>
    <m/>
    <m/>
    <s v="MN"/>
    <s v="DPP-2017-AUG"/>
    <s v="West"/>
    <s v="GIA"/>
    <s v="NRIS"/>
    <s v="Huntley 345kV sub"/>
    <n v="200"/>
    <n v="200"/>
    <x v="1"/>
    <s v="Wind Turbine"/>
    <s v="Not Started"/>
    <m/>
    <n v="0"/>
    <n v="0"/>
    <n v="0"/>
    <n v="0"/>
  </r>
  <r>
    <s v="J877"/>
    <x v="0"/>
    <d v="2017-06-16T00:00:00"/>
    <m/>
    <d v="2021-05-19T00:00:00"/>
    <d v="2021-09-30T00:00:00"/>
    <s v="MIDAMERICAN ENERGY COMPANY"/>
    <s v="Palo Alto County"/>
    <m/>
    <m/>
    <s v="IA"/>
    <s v="DPP-2017-AUG"/>
    <s v="West"/>
    <s v="GIA"/>
    <s v="NRIS"/>
    <s v="Obrien - Kossuth 345kV Line (J529 &amp; J590 New Substation)"/>
    <n v="250"/>
    <n v="250"/>
    <x v="0"/>
    <s v="Photovoltaic"/>
    <s v="Under Construction"/>
    <d v="2023-07-01T00:00:00"/>
    <n v="250"/>
    <n v="250"/>
    <n v="250"/>
    <n v="250"/>
  </r>
  <r>
    <s v="J878"/>
    <x v="0"/>
    <d v="2017-06-16T00:00:00"/>
    <m/>
    <d v="2020-04-28T00:00:00"/>
    <d v="2021-09-10T00:00:00"/>
    <s v="American Transmission Co. LLC"/>
    <s v="Kenosha County"/>
    <m/>
    <m/>
    <s v="WI"/>
    <s v="DPP-2017-AUG"/>
    <s v="East (ATC)"/>
    <s v="GIA"/>
    <s v="NRIS"/>
    <s v="Paris 138kV Substation"/>
    <n v="200"/>
    <n v="200"/>
    <x v="0"/>
    <s v="Photovoltaic"/>
    <s v="Under Construction"/>
    <d v="2022-09-01T00:00:00"/>
    <n v="200"/>
    <n v="200"/>
    <n v="200"/>
    <n v="200"/>
  </r>
  <r>
    <s v="J879"/>
    <x v="1"/>
    <d v="2017-06-16T00:00:00"/>
    <d v="2018-05-11T00:00:00"/>
    <m/>
    <d v="2020-09-23T00:00:00"/>
    <s v="American Transmission Co. LLC"/>
    <s v="Baraga County"/>
    <m/>
    <m/>
    <s v="MI"/>
    <s v="DPP-2017-AUG"/>
    <s v="East (ITC)"/>
    <s v="GIA"/>
    <s v="NRIS"/>
    <s v="North Lake 138 kV Substation"/>
    <n v="70"/>
    <n v="70"/>
    <x v="1"/>
    <s v="Wind Turbine"/>
    <s v="Not Started"/>
    <m/>
    <n v="0"/>
    <n v="0"/>
    <n v="0"/>
    <n v="0"/>
  </r>
  <r>
    <s v="J880"/>
    <x v="1"/>
    <d v="2017-06-16T00:00:00"/>
    <d v="2019-10-24T00:00:00"/>
    <m/>
    <d v="2020-09-15T00:00:00"/>
    <s v="NORTHERN STATES POWER COMPANY"/>
    <s v="Ward County"/>
    <m/>
    <m/>
    <s v="ND"/>
    <s v="DPP-2017-AUG"/>
    <s v="West"/>
    <s v="GIA"/>
    <s v="NRIS"/>
    <s v="Magic City 230kV sub"/>
    <n v="150"/>
    <n v="150"/>
    <x v="1"/>
    <s v="Wind Turbine"/>
    <s v="Not Started"/>
    <m/>
    <n v="0"/>
    <n v="0"/>
    <n v="0"/>
    <n v="0"/>
  </r>
  <r>
    <s v="J881"/>
    <x v="1"/>
    <d v="2017-06-16T00:00:00"/>
    <d v="2017-07-17T00:00:00"/>
    <m/>
    <d v="2019-04-01T00:00:00"/>
    <s v="AMEREN ILLINOIS"/>
    <s v="Jasper County"/>
    <m/>
    <m/>
    <s v="IL"/>
    <s v="DPP-2017-AUG"/>
    <s v="Central"/>
    <s v="GIA"/>
    <s v="ERIS"/>
    <s v="Newton 138kV Substation"/>
    <n v="45"/>
    <n v="45"/>
    <x v="0"/>
    <s v="Photovoltaic"/>
    <s v="Not Started"/>
    <m/>
    <n v="0"/>
    <n v="0"/>
    <n v="0"/>
    <n v="0"/>
  </r>
  <r>
    <s v="J882"/>
    <x v="1"/>
    <d v="2017-06-16T00:00:00"/>
    <d v="2017-08-08T00:00:00"/>
    <m/>
    <d v="2019-04-01T00:00:00"/>
    <s v="AMEREN ILLINOIS"/>
    <s v="Montgomery County"/>
    <m/>
    <m/>
    <s v="IL"/>
    <s v="DPP-2017-AUG"/>
    <s v="Central"/>
    <s v="GIA"/>
    <s v="ERIS"/>
    <s v="Coffeen North 138kV Substation"/>
    <n v="15"/>
    <n v="15"/>
    <x v="0"/>
    <s v="Photovoltaic"/>
    <s v="Not Started"/>
    <m/>
    <n v="0"/>
    <n v="0"/>
    <n v="0"/>
    <n v="0"/>
  </r>
  <r>
    <s v="J883"/>
    <x v="1"/>
    <d v="2017-06-16T00:00:00"/>
    <d v="2020-12-04T00:00:00"/>
    <d v="2019-12-04T00:00:00"/>
    <d v="2020-10-01T00:00:00"/>
    <s v="NORTHERN INDIANA PUBLIC SERVICE COMPANY LLC"/>
    <s v="Pulaski County"/>
    <m/>
    <m/>
    <s v="IN"/>
    <s v="DPP-2017-AUG"/>
    <s v="Central"/>
    <s v="GIA"/>
    <s v="NRIS"/>
    <s v="Monticello-East Winamac"/>
    <n v="80"/>
    <n v="80"/>
    <x v="1"/>
    <s v="Wind Turbine"/>
    <s v="Withdrawn"/>
    <d v="2022-05-01T00:00:00"/>
    <n v="80"/>
    <n v="80"/>
    <n v="80"/>
    <n v="80"/>
  </r>
  <r>
    <s v="J884"/>
    <x v="1"/>
    <d v="2017-06-16T00:00:00"/>
    <d v="2019-12-18T00:00:00"/>
    <m/>
    <d v="2020-09-15T00:00:00"/>
    <s v="AMEREN ILLINOIS"/>
    <s v="McLean County"/>
    <m/>
    <m/>
    <s v="IL"/>
    <s v="DPP-2017-AUG"/>
    <s v="Central"/>
    <s v="GIA"/>
    <s v="NRIS"/>
    <s v="Brokaw - Gibson City South 138 kV Line"/>
    <n v="100"/>
    <n v="100"/>
    <x v="0"/>
    <s v="Photovoltaic"/>
    <s v="Not Started"/>
    <d v="2021-05-28T00:00:00"/>
    <n v="100"/>
    <n v="100"/>
    <n v="100"/>
    <n v="100"/>
  </r>
  <r>
    <s v="J885"/>
    <x v="1"/>
    <d v="2017-06-16T00:00:00"/>
    <d v="2021-01-29T00:00:00"/>
    <m/>
    <d v="2020-09-30T00:00:00"/>
    <s v="ITC MIDWEST"/>
    <s v="Worth County"/>
    <m/>
    <m/>
    <s v="IA"/>
    <s v="DPP-2017-AUG"/>
    <s v="West"/>
    <s v="GIA"/>
    <s v="NRIS"/>
    <s v="J407 Glenworth 161kV Substation"/>
    <n v="64"/>
    <n v="64"/>
    <x v="1"/>
    <s v="Wind Turbine"/>
    <s v="Not Started"/>
    <m/>
    <n v="64"/>
    <n v="64"/>
    <n v="0"/>
    <n v="0"/>
  </r>
  <r>
    <s v="J886"/>
    <x v="0"/>
    <d v="2017-06-16T00:00:00"/>
    <m/>
    <d v="2019-11-25T00:00:00"/>
    <d v="2020-09-15T00:00:00"/>
    <s v="American Transmission Co. LLC"/>
    <s v="Manitowoc County"/>
    <m/>
    <m/>
    <s v="WI"/>
    <s v="DPP-2017-AUG"/>
    <s v="East (ATC)"/>
    <s v="GIA"/>
    <s v="NRIS"/>
    <s v="Kewaunee 138 kV Substation"/>
    <n v="150"/>
    <n v="150"/>
    <x v="0"/>
    <s v="Photovoltaic"/>
    <s v="In Service"/>
    <d v="2020-08-01T00:00:00"/>
    <n v="150"/>
    <n v="150"/>
    <n v="150"/>
    <n v="150"/>
  </r>
  <r>
    <s v="J887"/>
    <x v="1"/>
    <d v="2017-06-16T00:00:00"/>
    <d v="2019-01-08T00:00:00"/>
    <m/>
    <d v="2020-09-30T00:00:00"/>
    <s v="AMEREN ILLINOIS"/>
    <s v="Knox County"/>
    <m/>
    <m/>
    <s v="IL"/>
    <s v="DPP-2017-AUG"/>
    <s v="Central"/>
    <s v="GIA"/>
    <s v="NRIS"/>
    <s v="G545 138kV Substation"/>
    <n v="75"/>
    <n v="75"/>
    <x v="1"/>
    <s v="Wind Turbine"/>
    <s v="Not Started"/>
    <d v="2019-09-15T00:00:00"/>
    <n v="0"/>
    <n v="0"/>
    <n v="0"/>
    <n v="0"/>
  </r>
  <r>
    <s v="J888"/>
    <x v="0"/>
    <d v="2017-06-16T00:00:00"/>
    <m/>
    <d v="2019-08-19T00:00:00"/>
    <d v="2019-01-01T00:00:00"/>
    <s v="COOPERATIVE ENERGY"/>
    <s v="George County"/>
    <m/>
    <m/>
    <s v="MS"/>
    <s v="DPP-2017-AUG"/>
    <s v="South"/>
    <s v="GIA"/>
    <s v="NRIS"/>
    <s v="Benndale 69kV Substation"/>
    <n v="25"/>
    <n v="25"/>
    <x v="3"/>
    <s v="Combustion Turbine (Simple Cycle)"/>
    <s v="In Service"/>
    <d v="2019-07-22T00:00:00"/>
    <n v="25"/>
    <n v="25"/>
    <n v="25"/>
    <n v="25"/>
  </r>
  <r>
    <s v="J889"/>
    <x v="1"/>
    <d v="2017-06-16T00:00:00"/>
    <d v="2019-10-24T00:00:00"/>
    <m/>
    <d v="2020-09-15T00:00:00"/>
    <s v="GREAT RIVER ENERGY"/>
    <s v="Nelson County"/>
    <m/>
    <m/>
    <s v="ND"/>
    <s v="DPP-2017-AUG"/>
    <s v="West"/>
    <s v="GIA"/>
    <s v="NRIS"/>
    <s v="Ramsey - Prairie 230KV Line Tap"/>
    <n v="150"/>
    <n v="150"/>
    <x v="1"/>
    <s v="Wind Turbine"/>
    <s v="Not Started"/>
    <m/>
    <n v="0"/>
    <n v="0"/>
    <n v="0"/>
    <n v="0"/>
  </r>
  <r>
    <s v="J890"/>
    <x v="1"/>
    <d v="2017-06-16T00:00:00"/>
    <d v="2019-01-09T00:00:00"/>
    <m/>
    <d v="2020-09-15T00:00:00"/>
    <s v="METC"/>
    <s v="Presque Isle County"/>
    <m/>
    <m/>
    <s v="MI"/>
    <s v="DPP-2017-AUG"/>
    <s v="East (ITC)"/>
    <s v="GIA"/>
    <s v="NRIS"/>
    <s v="Port Calcite - Riggsville 138kV Line"/>
    <n v="100"/>
    <n v="100"/>
    <x v="1"/>
    <s v="Wind Turbine"/>
    <s v="Not Started"/>
    <m/>
    <n v="0"/>
    <n v="0"/>
    <n v="0"/>
    <n v="0"/>
  </r>
  <r>
    <s v="J891"/>
    <x v="1"/>
    <d v="2017-06-16T00:00:00"/>
    <d v="2019-07-23T00:00:00"/>
    <m/>
    <d v="2020-09-15T00:00:00"/>
    <s v="NORTHERN STATES POWER COMPANY"/>
    <s v="Pipestone County"/>
    <m/>
    <m/>
    <s v="MN"/>
    <s v="DPP-2017-AUG"/>
    <s v="West"/>
    <s v="GIA"/>
    <s v="NRIS"/>
    <s v="Buffalo Ridge - Pipestone 115kV Line Tap"/>
    <n v="300"/>
    <n v="300"/>
    <x v="1"/>
    <s v="Wind Turbine"/>
    <s v="Not Started"/>
    <m/>
    <n v="0"/>
    <n v="0"/>
    <n v="0"/>
    <n v="0"/>
  </r>
  <r>
    <s v="J892"/>
    <x v="1"/>
    <d v="2017-06-16T00:00:00"/>
    <d v="2018-03-12T00:00:00"/>
    <m/>
    <d v="2019-09-01T00:00:00"/>
    <s v="American Transmission Co. LLC"/>
    <s v="Walworth County"/>
    <m/>
    <m/>
    <s v="WI"/>
    <s v="DPP-2017-AUG"/>
    <s v="East (ATC)"/>
    <s v="GIA"/>
    <s v="NRIS"/>
    <s v="Bluff Creek (Tap) to Sugar Creek 138 kV line tap"/>
    <n v="74.97"/>
    <n v="74.97"/>
    <x v="0"/>
    <s v="Photovoltaic"/>
    <s v="Not Started"/>
    <m/>
    <n v="0"/>
    <n v="0"/>
    <n v="0"/>
    <n v="0"/>
  </r>
  <r>
    <s v="J893"/>
    <x v="0"/>
    <d v="2017-06-16T00:00:00"/>
    <m/>
    <d v="2019-11-20T00:00:00"/>
    <d v="2021-08-01T00:00:00"/>
    <s v="Entergy"/>
    <s v="White County"/>
    <m/>
    <m/>
    <s v="AR"/>
    <s v="DPP-2017-AUG"/>
    <s v="South"/>
    <s v="GIA"/>
    <s v="NRIS"/>
    <s v="Searcy Price Sub 161kV"/>
    <n v="100"/>
    <n v="100"/>
    <x v="0"/>
    <s v="Photovoltaic"/>
    <s v="In Service"/>
    <d v="2021-08-01T00:00:00"/>
    <n v="100"/>
    <n v="100"/>
    <n v="100"/>
    <n v="100"/>
  </r>
  <r>
    <s v="J894"/>
    <x v="1"/>
    <d v="2017-06-16T00:00:00"/>
    <d v="2019-01-07T00:00:00"/>
    <m/>
    <d v="2020-04-01T00:00:00"/>
    <s v="Entergy"/>
    <s v="Woodruff County"/>
    <m/>
    <m/>
    <s v="AR"/>
    <s v="DPP-2017-AUG"/>
    <s v="South"/>
    <s v="GIA"/>
    <s v="ERIS"/>
    <s v="McCrory - Moses 161kV Substation"/>
    <n v="45"/>
    <n v="45"/>
    <x v="0"/>
    <s v="Photovoltaic"/>
    <s v="Not Started"/>
    <m/>
    <n v="0"/>
    <n v="0"/>
    <n v="0"/>
    <n v="0"/>
  </r>
  <r>
    <s v="J895"/>
    <x v="1"/>
    <d v="2017-06-16T00:00:00"/>
    <d v="2019-01-07T00:00:00"/>
    <m/>
    <d v="2020-04-01T00:00:00"/>
    <s v="Entergy"/>
    <s v="Lonoke County"/>
    <m/>
    <m/>
    <s v="AR"/>
    <s v="DPP-2017-AUG"/>
    <s v="South"/>
    <s v="GIA"/>
    <s v="ERIS"/>
    <s v="Carlisle - Lonoke East 115kV Line Tap"/>
    <n v="33"/>
    <n v="33"/>
    <x v="0"/>
    <s v="Photovoltaic"/>
    <s v="Not Started"/>
    <m/>
    <n v="0"/>
    <n v="0"/>
    <n v="0"/>
    <n v="0"/>
  </r>
  <r>
    <s v="J896"/>
    <x v="1"/>
    <d v="2017-06-16T00:00:00"/>
    <d v="2018-06-18T00:00:00"/>
    <m/>
    <d v="2019-10-15T00:00:00"/>
    <s v="MIDAMERICAN ENERGY COMPANY"/>
    <s v="Crawford County"/>
    <m/>
    <m/>
    <s v="IA"/>
    <s v="DPP-2017-AUG"/>
    <s v="West"/>
    <s v="GIA"/>
    <s v="NRIS"/>
    <s v="Victory 161 kV Substation"/>
    <n v="150"/>
    <n v="150"/>
    <x v="1"/>
    <s v="Wind Turbine"/>
    <s v="Not Started"/>
    <m/>
    <n v="0"/>
    <n v="0"/>
    <n v="0"/>
    <n v="0"/>
  </r>
  <r>
    <s v="J897"/>
    <x v="1"/>
    <d v="2017-06-16T00:00:00"/>
    <d v="2023-07-17T00:00:00"/>
    <d v="2022-08-03T00:00:00"/>
    <d v="2021-10-01T00:00:00"/>
    <s v="GREAT RIVER ENERGY"/>
    <s v="Grand Forks County"/>
    <m/>
    <m/>
    <s v="ND"/>
    <s v="DPP-2017-AUG"/>
    <s v="West"/>
    <s v="GIA"/>
    <s v="ERIS"/>
    <s v="Prairie - Ramsey 230 kV line"/>
    <n v="190"/>
    <n v="190"/>
    <x v="1"/>
    <s v="Wind Turbine"/>
    <s v="Withdrawn"/>
    <d v="2024-10-01T00:00:00"/>
    <n v="190"/>
    <n v="190"/>
    <n v="190"/>
    <n v="0"/>
  </r>
  <r>
    <s v="J898"/>
    <x v="0"/>
    <d v="2017-06-16T00:00:00"/>
    <m/>
    <d v="2021-09-26T00:00:00"/>
    <d v="2021-10-01T00:00:00"/>
    <s v="DAIRYLAND POWER COOPERATIVE"/>
    <s v="Howard County"/>
    <m/>
    <m/>
    <s v="IA"/>
    <s v="DPP-2017-AUG"/>
    <s v="West"/>
    <s v="GIA"/>
    <s v="ERIS"/>
    <s v="Rice - Beaver Creek 161kV line tap"/>
    <n v="100"/>
    <n v="100"/>
    <x v="1"/>
    <s v="Wind Turbine"/>
    <s v="Under Construction"/>
    <d v="2023-11-30T00:00:00"/>
    <n v="100"/>
    <n v="100"/>
    <n v="100"/>
    <n v="0"/>
  </r>
  <r>
    <s v="J899"/>
    <x v="1"/>
    <d v="2017-06-16T00:00:00"/>
    <d v="2019-03-25T00:00:00"/>
    <m/>
    <d v="2019-10-15T00:00:00"/>
    <s v="Entergy"/>
    <s v="Carroll County"/>
    <m/>
    <m/>
    <s v="AR"/>
    <s v="DPP-2017-AUG"/>
    <s v="South"/>
    <s v="GIA"/>
    <s v="NRIS"/>
    <s v="Green Forest South - Harrison West 161kV"/>
    <n v="180"/>
    <n v="180"/>
    <x v="1"/>
    <s v="Wind Turbine"/>
    <s v="Not Started"/>
    <m/>
    <n v="180"/>
    <n v="180"/>
    <n v="0"/>
    <n v="0"/>
  </r>
  <r>
    <s v="J900"/>
    <x v="1"/>
    <d v="2017-06-16T00:00:00"/>
    <d v="2019-01-07T00:00:00"/>
    <m/>
    <d v="2020-09-15T00:00:00"/>
    <s v="Entergy"/>
    <s v="Livingston Parish"/>
    <m/>
    <m/>
    <s v="LA"/>
    <s v="DPP-2017-AUG"/>
    <s v="South"/>
    <s v="GIA"/>
    <s v="NRIS"/>
    <s v="Coly - Vignes 230kV Line"/>
    <n v="200"/>
    <n v="200"/>
    <x v="0"/>
    <s v="Photovoltaic"/>
    <s v="Not Started"/>
    <m/>
    <n v="0"/>
    <n v="0"/>
    <n v="0"/>
    <n v="0"/>
  </r>
  <r>
    <s v="J901"/>
    <x v="1"/>
    <d v="2017-06-16T00:00:00"/>
    <d v="2021-05-26T00:00:00"/>
    <m/>
    <d v="2021-10-01T00:00:00"/>
    <s v="NORTHERN STATES POWER COMPANY"/>
    <s v="Redwood County"/>
    <m/>
    <m/>
    <s v="MN"/>
    <s v="DPP-2017-AUG"/>
    <s v="West"/>
    <s v="GIA"/>
    <s v="ERIS"/>
    <s v="Lyon County - Cedar Mountain Line"/>
    <n v="200"/>
    <n v="200"/>
    <x v="1"/>
    <s v="Wind Turbine"/>
    <s v="Not Started"/>
    <m/>
    <n v="200"/>
    <n v="200"/>
    <n v="200"/>
    <n v="0"/>
  </r>
  <r>
    <s v="J902"/>
    <x v="1"/>
    <d v="2017-06-16T00:00:00"/>
    <d v="2019-01-07T00:00:00"/>
    <m/>
    <d v="2019-09-01T00:00:00"/>
    <s v="Entergy"/>
    <s v="Ashley County"/>
    <m/>
    <m/>
    <s v="AR"/>
    <s v="DPP-2017-AUG"/>
    <s v="South"/>
    <s v="GIA"/>
    <s v="NRIS"/>
    <s v="AECC Mist to Montrose 115 kV line"/>
    <n v="99.96"/>
    <n v="99.96"/>
    <x v="0"/>
    <s v="Photovoltaic"/>
    <s v="Not Started"/>
    <m/>
    <n v="0"/>
    <n v="0"/>
    <n v="0"/>
    <n v="0"/>
  </r>
  <r>
    <s v="J903"/>
    <x v="0"/>
    <d v="2017-06-16T00:00:00"/>
    <m/>
    <d v="2019-12-06T00:00:00"/>
    <d v="2020-09-15T00:00:00"/>
    <s v="Duke Energy Corporation"/>
    <s v="Henry County"/>
    <m/>
    <m/>
    <s v="IN"/>
    <s v="DPP-2017-AUG"/>
    <s v="Central"/>
    <s v="GIA"/>
    <s v="NRIS"/>
    <s v="Greensboro 138 kV Substation"/>
    <n v="100"/>
    <n v="100"/>
    <x v="0"/>
    <s v="Photovoltaic"/>
    <s v="Under Construction"/>
    <d v="2023-05-01T00:00:00"/>
    <n v="100"/>
    <n v="100"/>
    <n v="100"/>
    <n v="100"/>
  </r>
  <r>
    <s v="J904"/>
    <x v="1"/>
    <d v="2017-06-16T00:00:00"/>
    <d v="2019-01-07T00:00:00"/>
    <m/>
    <d v="2019-09-15T00:00:00"/>
    <s v="Entergy"/>
    <s v="Ashley County"/>
    <m/>
    <m/>
    <s v="AR"/>
    <s v="DPP-2017-AUG"/>
    <s v="South"/>
    <s v="GIA"/>
    <s v="NRIS"/>
    <s v="Hamburg - Mist 115kV Line"/>
    <n v="100"/>
    <n v="100"/>
    <x v="0"/>
    <s v="Photovoltaic"/>
    <s v="Not Started"/>
    <m/>
    <n v="0"/>
    <n v="0"/>
    <n v="0"/>
    <n v="0"/>
  </r>
  <r>
    <s v="J905"/>
    <x v="1"/>
    <d v="2017-06-16T00:00:00"/>
    <d v="2021-01-29T00:00:00"/>
    <m/>
    <d v="2020-09-15T00:00:00"/>
    <s v="NORTHERN STATES POWER COMPANY"/>
    <s v="Pipestone County"/>
    <m/>
    <m/>
    <s v="MN"/>
    <s v="DPP-2017-AUG"/>
    <s v="West"/>
    <s v="GIA"/>
    <s v="NRIS"/>
    <s v="Buffalo Ridge 115kV Substation"/>
    <n v="40"/>
    <n v="40"/>
    <x v="0"/>
    <s v="Photovoltaic"/>
    <s v="Not Started"/>
    <m/>
    <n v="40"/>
    <n v="40"/>
    <n v="0"/>
    <n v="0"/>
  </r>
  <r>
    <s v="J906"/>
    <x v="1"/>
    <d v="2017-06-16T00:00:00"/>
    <d v="2020-02-07T00:00:00"/>
    <m/>
    <d v="2020-07-01T00:00:00"/>
    <s v="METC"/>
    <s v="Muskegon County"/>
    <m/>
    <m/>
    <s v="MI"/>
    <s v="DPP-2017-AUG"/>
    <s v="East (ITC)"/>
    <s v="GIA"/>
    <s v="NRIS"/>
    <s v="Kenowa - Ludington 345 kV Line Tap"/>
    <n v="100"/>
    <n v="100"/>
    <x v="1"/>
    <s v="Wind Turbine"/>
    <s v="Withdrawn"/>
    <m/>
    <n v="100"/>
    <n v="100"/>
    <n v="100"/>
    <n v="100"/>
  </r>
  <r>
    <s v="J907"/>
    <x v="0"/>
    <d v="2017-06-16T00:00:00"/>
    <m/>
    <d v="2020-03-24T00:00:00"/>
    <d v="2022-09-01T00:00:00"/>
    <s v="Entergy"/>
    <s v="Monroe County"/>
    <m/>
    <m/>
    <s v="AR"/>
    <s v="DPP-2017-AUG"/>
    <s v="South"/>
    <s v="GIA"/>
    <s v="NRIS"/>
    <s v="Brinkley East - Aubrey 230 kV Line"/>
    <n v="200"/>
    <n v="200"/>
    <x v="0"/>
    <s v="Photovoltaic"/>
    <s v="In Service"/>
    <d v="2022-06-01T00:00:00"/>
    <n v="100"/>
    <n v="100"/>
    <n v="100"/>
    <n v="100"/>
  </r>
  <r>
    <s v="J908"/>
    <x v="0"/>
    <d v="2017-06-16T00:00:00"/>
    <m/>
    <d v="2020-03-04T00:00:00"/>
    <d v="2021-09-01T00:00:00"/>
    <s v="Entergy"/>
    <s v="Tallahatchie County"/>
    <m/>
    <m/>
    <s v="MS"/>
    <s v="DPP-2017-AUG"/>
    <s v="South"/>
    <s v="GIA"/>
    <s v="NRIS"/>
    <s v="Webb 115kV Substation"/>
    <n v="100"/>
    <n v="100"/>
    <x v="0"/>
    <s v="Photovoltaic"/>
    <s v="Under Construction"/>
    <d v="2023-06-01T00:00:00"/>
    <n v="100"/>
    <n v="100"/>
    <n v="100"/>
    <n v="100"/>
  </r>
  <r>
    <s v="J909"/>
    <x v="0"/>
    <d v="2017-06-16T00:00:00"/>
    <m/>
    <d v="2019-11-22T00:00:00"/>
    <d v="2021-09-01T00:00:00"/>
    <s v="Entergy"/>
    <s v="Tangipahoa Parish"/>
    <m/>
    <m/>
    <s v="LA"/>
    <s v="DPP-2017-AUG"/>
    <s v="South"/>
    <s v="GIA"/>
    <s v="NRIS"/>
    <s v="Amite 115 kV Substation"/>
    <n v="100"/>
    <n v="100"/>
    <x v="0"/>
    <s v="Photovoltaic"/>
    <s v="Under Construction"/>
    <d v="2022-02-15T00:00:00"/>
    <n v="100"/>
    <n v="100"/>
    <n v="100"/>
    <n v="100"/>
  </r>
  <r>
    <s v="J910"/>
    <x v="1"/>
    <d v="2017-06-16T00:00:00"/>
    <d v="2019-01-07T00:00:00"/>
    <m/>
    <d v="2020-09-15T00:00:00"/>
    <s v="Entergy"/>
    <s v="Hinds County"/>
    <m/>
    <m/>
    <s v="MS"/>
    <s v="DPP-2017-AUG"/>
    <s v="South"/>
    <s v="GIA"/>
    <s v="NRIS"/>
    <s v="Clinton Industrial 230kV Substation"/>
    <n v="150"/>
    <n v="150"/>
    <x v="0"/>
    <s v="Photovoltaic"/>
    <s v="Not Started"/>
    <m/>
    <n v="0"/>
    <n v="0"/>
    <n v="0"/>
    <n v="0"/>
  </r>
  <r>
    <s v="J911"/>
    <x v="1"/>
    <d v="2017-06-16T00:00:00"/>
    <d v="2019-01-07T00:00:00"/>
    <m/>
    <d v="2020-09-15T00:00:00"/>
    <s v="Entergy"/>
    <s v="Montgomery County"/>
    <m/>
    <m/>
    <s v="TX"/>
    <s v="DPP-2017-AUG"/>
    <s v="South"/>
    <s v="GIA"/>
    <s v="NRIS"/>
    <s v="Porter 230kV Substation"/>
    <n v="150"/>
    <n v="150"/>
    <x v="0"/>
    <s v="Photovoltaic"/>
    <s v="Not Started"/>
    <m/>
    <n v="0"/>
    <n v="0"/>
    <n v="0"/>
    <n v="0"/>
  </r>
  <r>
    <s v="J912"/>
    <x v="0"/>
    <d v="2017-06-16T00:00:00"/>
    <m/>
    <d v="2020-04-16T00:00:00"/>
    <d v="2020-09-15T00:00:00"/>
    <s v="AMEREN TRANSMISSION COMPANY OF ILLINOIS"/>
    <s v="Christian County"/>
    <m/>
    <m/>
    <s v="IL"/>
    <s v="DPP-2017-AUG"/>
    <s v="Central"/>
    <s v="GIA"/>
    <s v="NRIS"/>
    <s v="Pana Substation 138kV Bus"/>
    <n v="100"/>
    <n v="100"/>
    <x v="0"/>
    <s v="Photovoltaic"/>
    <s v="Under Construction"/>
    <d v="2023-09-15T00:00:00"/>
    <n v="100"/>
    <n v="100"/>
    <n v="100"/>
    <n v="100"/>
  </r>
  <r>
    <s v="J913"/>
    <x v="0"/>
    <d v="2017-06-16T00:00:00"/>
    <m/>
    <d v="2019-12-03T00:00:00"/>
    <d v="2020-08-01T00:00:00"/>
    <s v="NORTHERN INDIANA PUBLIC SERVICE COMPANY LLC"/>
    <s v="White County"/>
    <m/>
    <m/>
    <s v="IN"/>
    <s v="DPP-2017-AUG"/>
    <s v="Central"/>
    <s v="GIA"/>
    <s v="NRIS"/>
    <s v="Reynolds 345kV Substation"/>
    <n v="200"/>
    <n v="200"/>
    <x v="0"/>
    <s v="Photovoltaic"/>
    <s v="In Service"/>
    <d v="2022-08-15T00:00:00"/>
    <n v="200"/>
    <n v="160"/>
    <n v="200"/>
    <n v="160"/>
  </r>
  <r>
    <s v="J914"/>
    <x v="1"/>
    <d v="2017-06-16T00:00:00"/>
    <d v="2019-01-09T00:00:00"/>
    <m/>
    <d v="2019-10-01T00:00:00"/>
    <s v="METC"/>
    <s v="Manistee County"/>
    <m/>
    <m/>
    <s v="MI"/>
    <s v="DPP-2017-AUG"/>
    <s v="East (ITC)"/>
    <s v="GIA"/>
    <s v="NRIS"/>
    <s v="Filer City 138 kV Substation"/>
    <n v="30"/>
    <n v="30"/>
    <x v="3"/>
    <s v="Combustion Turbine (Simple Cycle)"/>
    <s v="Not Started"/>
    <m/>
    <n v="0"/>
    <n v="0"/>
    <n v="0"/>
    <n v="0"/>
  </r>
  <r>
    <s v="J915"/>
    <x v="1"/>
    <d v="2017-06-16T00:00:00"/>
    <d v="2019-01-07T00:00:00"/>
    <m/>
    <d v="2020-09-15T00:00:00"/>
    <s v="Entergy"/>
    <s v="Liberty County"/>
    <m/>
    <m/>
    <s v="TX"/>
    <s v="DPP-2017-AUG"/>
    <s v="South"/>
    <s v="GIA"/>
    <s v="NRIS"/>
    <s v="Parkway - East Gate 138kV line"/>
    <n v="100"/>
    <n v="100"/>
    <x v="0"/>
    <s v="Photovoltaic"/>
    <s v="Not Started"/>
    <m/>
    <n v="0"/>
    <n v="0"/>
    <n v="0"/>
    <n v="0"/>
  </r>
  <r>
    <s v="J916"/>
    <x v="1"/>
    <d v="2017-06-16T00:00:00"/>
    <d v="2021-01-29T00:00:00"/>
    <m/>
    <d v="2020-07-06T00:00:00"/>
    <s v="ITC MIDWEST"/>
    <s v="Cottonwood County"/>
    <m/>
    <m/>
    <s v="MN"/>
    <s v="DPP-2017-AUG"/>
    <s v="West"/>
    <s v="GIA"/>
    <s v="NRIS"/>
    <s v="Mountain Lake 69kV Substation"/>
    <n v="2"/>
    <n v="2"/>
    <x v="9"/>
    <s v="Combustion Turbine (Simple Cycle)"/>
    <s v="Not Started"/>
    <m/>
    <n v="2"/>
    <n v="2"/>
    <n v="0"/>
    <n v="0"/>
  </r>
  <r>
    <s v="J917"/>
    <x v="1"/>
    <d v="2017-06-16T00:00:00"/>
    <d v="2019-01-07T00:00:00"/>
    <m/>
    <d v="2019-11-01T00:00:00"/>
    <s v="Entergy"/>
    <s v="Liberty County"/>
    <m/>
    <m/>
    <s v="TX"/>
    <s v="DPP-2017-AUG"/>
    <s v="South"/>
    <s v="GIA"/>
    <s v="NRIS"/>
    <s v="Tarkington - New Long John 138kV line tap"/>
    <n v="78"/>
    <n v="78"/>
    <x v="0"/>
    <s v="Photovoltaic"/>
    <s v="Not Started"/>
    <m/>
    <n v="0"/>
    <n v="0"/>
    <n v="0"/>
    <n v="0"/>
  </r>
  <r>
    <s v="J919"/>
    <x v="0"/>
    <d v="2017-06-16T00:00:00"/>
    <m/>
    <d v="2019-11-21T00:00:00"/>
    <d v="2021-08-01T00:00:00"/>
    <s v="Entergy"/>
    <s v="Jackson County"/>
    <m/>
    <m/>
    <s v="AR"/>
    <s v="DPP-2017-AUG"/>
    <s v="South"/>
    <s v="GIA"/>
    <s v="NRIS"/>
    <s v="Cash - Newport AB 161 kV Line Tap"/>
    <n v="180"/>
    <n v="180"/>
    <x v="0"/>
    <s v="Photovoltaic"/>
    <s v="Under Construction"/>
    <d v="2022-02-02T00:00:00"/>
    <n v="180"/>
    <n v="180"/>
    <n v="180"/>
    <n v="180"/>
  </r>
  <r>
    <s v="J920"/>
    <x v="1"/>
    <d v="2017-06-16T00:00:00"/>
    <d v="2017-08-29T00:00:00"/>
    <m/>
    <d v="2019-08-31T00:00:00"/>
    <s v="AMEREN ILLINOIS"/>
    <s v="Pulaski County"/>
    <m/>
    <m/>
    <s v="IL"/>
    <s v="DPP-2017-AUG"/>
    <s v="Central"/>
    <s v="GIA"/>
    <s v="NRIS"/>
    <s v="Joppa 161 kV Substation"/>
    <n v="100"/>
    <n v="100"/>
    <x v="0"/>
    <s v="Photovoltaic"/>
    <s v="Not Started"/>
    <m/>
    <n v="0"/>
    <n v="0"/>
    <n v="0"/>
    <n v="0"/>
  </r>
  <r>
    <s v="J921"/>
    <x v="1"/>
    <d v="2017-06-16T00:00:00"/>
    <d v="2019-04-23T00:00:00"/>
    <m/>
    <d v="2019-07-01T00:00:00"/>
    <s v="METC"/>
    <s v="Ionia County"/>
    <m/>
    <m/>
    <s v="MI"/>
    <s v="DPP-2017-AUG"/>
    <s v="East (ITC)"/>
    <s v="GIA"/>
    <s v="NRIS"/>
    <s v="Thompson Road 138 kV Substation"/>
    <n v="146.69999999999999"/>
    <n v="146.69999999999999"/>
    <x v="1"/>
    <s v="Wind Turbine"/>
    <s v="Not Started"/>
    <m/>
    <n v="146.69999999999999"/>
    <n v="146.69999999999999"/>
    <n v="0"/>
    <n v="0"/>
  </r>
  <r>
    <s v="J922"/>
    <x v="1"/>
    <d v="2017-06-16T00:00:00"/>
    <d v="2019-01-07T00:00:00"/>
    <m/>
    <d v="2020-06-30T00:00:00"/>
    <s v="Entergy"/>
    <s v="Chicot County"/>
    <m/>
    <m/>
    <s v="AR"/>
    <s v="DPP-2017-AUG"/>
    <s v="South"/>
    <s v="GIA"/>
    <s v="NRIS"/>
    <s v="Lake Village Bagby - Chicot 115kV Line"/>
    <n v="100"/>
    <n v="100"/>
    <x v="0"/>
    <s v="Photovoltaic"/>
    <s v="Not Started"/>
    <m/>
    <n v="0"/>
    <n v="0"/>
    <n v="0"/>
    <n v="0"/>
  </r>
  <r>
    <s v="J923"/>
    <x v="1"/>
    <d v="2017-06-16T00:00:00"/>
    <d v="2019-01-08T00:00:00"/>
    <m/>
    <d v="2020-09-15T00:00:00"/>
    <s v="Entergy"/>
    <s v="Montgomery County"/>
    <m/>
    <m/>
    <s v="TX"/>
    <s v="DPP-2017-AUG"/>
    <s v="South"/>
    <s v="GIA"/>
    <s v="NRIS"/>
    <s v="Porter 230kV Substation"/>
    <n v="50"/>
    <n v="50"/>
    <x v="2"/>
    <s v="Battery Storage"/>
    <s v="Not Started"/>
    <m/>
    <n v="0"/>
    <n v="0"/>
    <n v="0"/>
    <n v="0"/>
  </r>
  <r>
    <s v="J924"/>
    <x v="1"/>
    <d v="2017-06-16T00:00:00"/>
    <d v="2019-01-08T00:00:00"/>
    <m/>
    <d v="2020-09-15T00:00:00"/>
    <s v="Entergy"/>
    <s v="Monroe County"/>
    <m/>
    <m/>
    <s v="AR"/>
    <s v="DPP-2017-AUG"/>
    <s v="South"/>
    <s v="GIA"/>
    <s v="NRIS"/>
    <s v="Brinkley East - Aubrey 230 kV line"/>
    <n v="50"/>
    <n v="50"/>
    <x v="2"/>
    <s v="Battery Storage"/>
    <s v="Not Started"/>
    <m/>
    <n v="0"/>
    <n v="0"/>
    <n v="0"/>
    <n v="0"/>
  </r>
  <r>
    <s v="J925"/>
    <x v="1"/>
    <d v="2017-06-16T00:00:00"/>
    <d v="2018-04-24T00:00:00"/>
    <m/>
    <d v="2019-06-30T00:00:00"/>
    <s v="METC"/>
    <s v="Shiawassee County"/>
    <m/>
    <m/>
    <s v="MI"/>
    <s v="DPP-2017-AUG"/>
    <s v="East (ITC)"/>
    <s v="GIA"/>
    <s v="NRIS"/>
    <s v="North Cournna - Bell Road 138 kV line"/>
    <n v="50"/>
    <n v="50"/>
    <x v="0"/>
    <s v="Photovoltaic"/>
    <s v="Not Started"/>
    <m/>
    <n v="0"/>
    <n v="0"/>
    <n v="0"/>
    <n v="0"/>
  </r>
  <r>
    <s v="J926"/>
    <x v="0"/>
    <d v="2017-06-16T00:00:00"/>
    <m/>
    <d v="2021-06-03T00:00:00"/>
    <d v="2021-09-01T00:00:00"/>
    <s v="NORTHERN STATES POWER COMPANY"/>
    <s v="Saint Croix County"/>
    <m/>
    <m/>
    <s v="WI"/>
    <s v="DPP-2017-AUG"/>
    <s v="West"/>
    <s v="GIA"/>
    <s v="ERIS"/>
    <s v="Pine Lake - Apple River 161 kV Line"/>
    <n v="101.28"/>
    <n v="101.28"/>
    <x v="0"/>
    <s v="Photovoltaic"/>
    <s v="Under Construction"/>
    <d v="2023-09-15T00:00:00"/>
    <n v="101.28"/>
    <n v="101.28"/>
    <n v="101.28"/>
    <n v="0"/>
  </r>
  <r>
    <s v="J927"/>
    <x v="1"/>
    <d v="2017-06-16T00:00:00"/>
    <d v="2021-01-29T00:00:00"/>
    <m/>
    <d v="2021-10-01T00:00:00"/>
    <s v="ITC MIDWEST"/>
    <s v="Faribault County"/>
    <s v="Freeborn County"/>
    <m/>
    <s v="MN"/>
    <s v="DPP-2017-AUG"/>
    <s v="West"/>
    <s v="GIA"/>
    <s v="NRIS"/>
    <s v="Walters 69 kV Substation"/>
    <n v="100"/>
    <n v="100"/>
    <x v="1"/>
    <s v="Wind Turbine"/>
    <s v="Not Started"/>
    <m/>
    <n v="100"/>
    <n v="100"/>
    <n v="0"/>
    <n v="0"/>
  </r>
  <r>
    <s v="J928"/>
    <x v="0"/>
    <d v="2017-06-16T00:00:00"/>
    <m/>
    <d v="2019-04-19T00:00:00"/>
    <d v="2019-08-15T00:00:00"/>
    <s v="American Transmission Co. LLC"/>
    <s v="Delta County"/>
    <s v="Schoolcraft County"/>
    <m/>
    <s v="MI"/>
    <s v="DPP-2017-AUG"/>
    <s v="East (ITC)"/>
    <s v="GIA"/>
    <s v="NRIS"/>
    <s v="Garden Corners 138 kV Substation"/>
    <n v="79.989999999999995"/>
    <n v="79.989999999999995"/>
    <x v="1"/>
    <s v="Wind Turbine"/>
    <s v="In Service"/>
    <d v="2019-10-01T00:00:00"/>
    <n v="79.989999999999995"/>
    <n v="79.989999999999995"/>
    <n v="79.989999999999995"/>
    <n v="79.989999999999995"/>
  </r>
  <r>
    <s v="J929"/>
    <x v="1"/>
    <d v="2017-06-16T00:00:00"/>
    <d v="2019-10-24T00:00:00"/>
    <m/>
    <d v="2021-06-30T00:00:00"/>
    <s v="MONTANA-DAKOTA UTILITIES CO."/>
    <s v="McIntosh County"/>
    <m/>
    <m/>
    <s v="ND"/>
    <s v="DPP-2017-AUG"/>
    <s v="West"/>
    <s v="GIA"/>
    <s v="NRIS"/>
    <s v="Wishek 41.6 kV Substation"/>
    <n v="25"/>
    <n v="25"/>
    <x v="0"/>
    <s v="Photovoltaic"/>
    <s v="Not Started"/>
    <m/>
    <n v="0"/>
    <n v="0"/>
    <n v="0"/>
    <n v="0"/>
  </r>
  <r>
    <s v="J930"/>
    <x v="1"/>
    <d v="2017-06-16T00:00:00"/>
    <d v="2017-11-16T00:00:00"/>
    <m/>
    <d v="2019-09-15T00:00:00"/>
    <s v="MIDAMERICAN ENERGY COMPANY"/>
    <s v="Sioux County"/>
    <m/>
    <m/>
    <s v="IA"/>
    <s v="DPP-2017-AUG"/>
    <s v="West"/>
    <s v="GIA"/>
    <s v="NRIS"/>
    <s v="Boyden - Sheldon 69kV line"/>
    <n v="38"/>
    <n v="38"/>
    <x v="1"/>
    <s v="Wind Turbine"/>
    <s v="Not Started"/>
    <m/>
    <n v="0"/>
    <n v="0"/>
    <n v="0"/>
    <n v="0"/>
  </r>
  <r>
    <s v="J931"/>
    <x v="1"/>
    <d v="2017-06-16T00:00:00"/>
    <d v="2019-04-23T00:00:00"/>
    <m/>
    <d v="2021-09-15T00:00:00"/>
    <s v="METC"/>
    <s v="Ottawa County"/>
    <m/>
    <m/>
    <s v="MI"/>
    <s v="DPP-2017-AUG"/>
    <s v="East (ITC)"/>
    <s v="GIA"/>
    <s v="NRIS"/>
    <s v="Kenowa 345kV Substation"/>
    <n v="150"/>
    <n v="150"/>
    <x v="1"/>
    <s v="Wind Turbine"/>
    <s v="Not Started"/>
    <m/>
    <n v="150"/>
    <n v="150"/>
    <n v="0"/>
    <n v="0"/>
  </r>
  <r>
    <s v="J932"/>
    <x v="1"/>
    <d v="2017-06-16T00:00:00"/>
    <d v="2019-01-07T00:00:00"/>
    <m/>
    <d v="2019-09-15T00:00:00"/>
    <s v="Entergy"/>
    <s v="Liberty County"/>
    <m/>
    <m/>
    <s v="TX"/>
    <s v="DPP-2017-AUG"/>
    <s v="South"/>
    <s v="GIA"/>
    <s v="NRIS"/>
    <s v="Porter - China 230 kV Line"/>
    <n v="100"/>
    <n v="100"/>
    <x v="0"/>
    <s v="Photovoltaic"/>
    <s v="Not Started"/>
    <m/>
    <n v="0"/>
    <n v="0"/>
    <n v="0"/>
    <n v="0"/>
  </r>
  <r>
    <s v="J933"/>
    <x v="1"/>
    <d v="2017-06-16T00:00:00"/>
    <d v="2021-01-29T00:00:00"/>
    <m/>
    <d v="2021-09-15T00:00:00"/>
    <s v="OTTER TAIL POWER COMPANY"/>
    <s v="Day County"/>
    <m/>
    <m/>
    <s v="SD"/>
    <s v="DPP-2017-AUG"/>
    <s v="West"/>
    <s v="GIA"/>
    <s v="NRIS"/>
    <s v="Ellendale - Big Stone South 345kV Line"/>
    <n v="200"/>
    <n v="200"/>
    <x v="1"/>
    <s v="Wind Turbine"/>
    <s v="Not Started"/>
    <m/>
    <n v="200"/>
    <n v="200"/>
    <n v="0"/>
    <n v="0"/>
  </r>
  <r>
    <s v="J934"/>
    <x v="0"/>
    <d v="2017-06-16T00:00:00"/>
    <m/>
    <d v="2020-02-28T00:00:00"/>
    <d v="2021-09-01T00:00:00"/>
    <s v="Entergy"/>
    <s v="Crittenden County"/>
    <m/>
    <m/>
    <s v="AR"/>
    <s v="DPP-2017-AUG"/>
    <s v="South"/>
    <s v="GIA"/>
    <s v="NRIS"/>
    <s v="Kuhn 161kV Substation"/>
    <n v="200"/>
    <n v="200"/>
    <x v="0"/>
    <s v="Photovoltaic"/>
    <s v="Under Construction"/>
    <d v="2022-06-01T00:00:00"/>
    <n v="180"/>
    <n v="180"/>
    <n v="180"/>
    <n v="180"/>
  </r>
  <r>
    <s v="J935"/>
    <x v="1"/>
    <d v="2017-06-16T00:00:00"/>
    <d v="2019-02-04T00:00:00"/>
    <m/>
    <d v="2020-09-15T00:00:00"/>
    <s v="MINNESOTA POWER INC."/>
    <s v="Hubbard County"/>
    <m/>
    <m/>
    <s v="MN"/>
    <s v="DPP-2017-AUG"/>
    <s v="West"/>
    <s v="GIA"/>
    <s v="NRIS"/>
    <s v="Hubbard - Badoura 230kV Line"/>
    <n v="200"/>
    <n v="200"/>
    <x v="0"/>
    <s v="Photovoltaic"/>
    <s v="Not Started"/>
    <m/>
    <n v="0"/>
    <n v="0"/>
    <n v="0"/>
    <n v="0"/>
  </r>
  <r>
    <s v="J936"/>
    <x v="1"/>
    <d v="2017-06-16T00:00:00"/>
    <d v="2019-01-09T00:00:00"/>
    <m/>
    <d v="2020-05-01T00:00:00"/>
    <s v="METC"/>
    <s v="Calhoun County"/>
    <m/>
    <m/>
    <s v="MI"/>
    <s v="DPP-2017-AUG"/>
    <s v="East (ITC)"/>
    <s v="GIA"/>
    <s v="NRIS"/>
    <s v="Argenta - Tompkins 345kV Line Tap"/>
    <n v="507"/>
    <n v="535"/>
    <x v="13"/>
    <s v="Combined Cycle"/>
    <s v="Not Started"/>
    <m/>
    <n v="0"/>
    <n v="0"/>
    <n v="0"/>
    <n v="0"/>
  </r>
  <r>
    <s v="J937"/>
    <x v="1"/>
    <d v="2017-06-16T00:00:00"/>
    <d v="2020-10-21T00:00:00"/>
    <d v="2020-06-11T00:00:00"/>
    <d v="2020-05-01T00:00:00"/>
    <s v="METC"/>
    <s v="Calhoun County"/>
    <m/>
    <m/>
    <s v="MI"/>
    <s v="DPP-2017-AUG"/>
    <s v="East (ITC)"/>
    <s v="GIA"/>
    <s v="NRIS"/>
    <s v="Argenta - Tompkins 345kV Line Tap"/>
    <n v="507"/>
    <n v="535"/>
    <x v="13"/>
    <s v="Combined Cycle"/>
    <s v="Withdrawn"/>
    <d v="2022-12-29T00:00:00"/>
    <n v="535"/>
    <n v="535"/>
    <n v="535"/>
    <n v="507"/>
  </r>
  <r>
    <s v="J938"/>
    <x v="1"/>
    <d v="2017-06-16T00:00:00"/>
    <d v="2017-10-09T00:00:00"/>
    <m/>
    <d v="2019-09-15T00:00:00"/>
    <s v="MIDAMERICAN ENERGY COMPANY"/>
    <s v="Palo Alto County"/>
    <m/>
    <m/>
    <s v="IA"/>
    <s v="DPP-2017-AUG"/>
    <s v="West"/>
    <s v="GIA"/>
    <s v="NRIS"/>
    <s v="Emmestburg - Freedom 69kV Line"/>
    <n v="50"/>
    <n v="50"/>
    <x v="1"/>
    <s v="Wind Turbine"/>
    <s v="Not Started"/>
    <m/>
    <n v="0"/>
    <n v="0"/>
    <n v="0"/>
    <n v="0"/>
  </r>
  <r>
    <s v="J939"/>
    <x v="1"/>
    <d v="2017-06-16T00:00:00"/>
    <d v="2018-10-12T00:00:00"/>
    <m/>
    <d v="2019-09-15T00:00:00"/>
    <s v="MIDAMERICAN ENERGY COMPANY"/>
    <s v="Wright County"/>
    <m/>
    <m/>
    <s v="IA"/>
    <s v="DPP-2017-AUG"/>
    <s v="West"/>
    <s v="GIA"/>
    <s v="NRIS"/>
    <s v="Clarion-Eagle Grove 69kV line"/>
    <n v="38"/>
    <n v="38"/>
    <x v="1"/>
    <s v="Wind Turbine"/>
    <s v="Not Started"/>
    <m/>
    <n v="0"/>
    <n v="0"/>
    <n v="0"/>
    <n v="0"/>
  </r>
  <r>
    <s v="J940"/>
    <x v="1"/>
    <d v="2017-06-16T00:00:00"/>
    <d v="2019-02-06T00:00:00"/>
    <m/>
    <d v="2019-09-15T00:00:00"/>
    <s v="OTTER TAIL POWER COMPANY"/>
    <s v="Burleigh County"/>
    <m/>
    <m/>
    <s v="ND"/>
    <s v="DPP-2017-AUG"/>
    <s v="West"/>
    <s v="GIA"/>
    <s v="NRIS"/>
    <s v="Jamestown - Center 345kV Line"/>
    <n v="100"/>
    <n v="100"/>
    <x v="1"/>
    <s v="Wind Turbine"/>
    <s v="Not Started"/>
    <m/>
    <n v="0"/>
    <n v="0"/>
    <n v="0"/>
    <n v="0"/>
  </r>
  <r>
    <s v="J941"/>
    <x v="1"/>
    <d v="2017-06-16T00:00:00"/>
    <d v="2018-11-01T00:00:00"/>
    <m/>
    <d v="2020-07-01T00:00:00"/>
    <s v="OTTER TAIL POWER COMPANY"/>
    <s v="Grant County"/>
    <m/>
    <m/>
    <s v="SD"/>
    <s v="DPP-2017-AUG"/>
    <s v="West"/>
    <s v="GIA"/>
    <s v="NRIS"/>
    <s v="Big Stone-Brookings County 345KV Line"/>
    <n v="200"/>
    <n v="200"/>
    <x v="1"/>
    <s v="Wind Turbine"/>
    <s v="Not Started"/>
    <m/>
    <n v="0"/>
    <n v="0"/>
    <n v="0"/>
    <n v="0"/>
  </r>
  <r>
    <s v="J942"/>
    <x v="1"/>
    <d v="2017-06-16T00:00:00"/>
    <d v="2019-03-25T00:00:00"/>
    <m/>
    <d v="2021-08-01T00:00:00"/>
    <s v="Entergy"/>
    <s v="Craighead County"/>
    <m/>
    <m/>
    <s v="AR"/>
    <s v="DPP-2017-AUG"/>
    <s v="South"/>
    <s v="GIA"/>
    <s v="NRIS"/>
    <s v="Cash - Newport AB 161kV Line Tap"/>
    <n v="107"/>
    <n v="107"/>
    <x v="0"/>
    <s v="Photovoltaic"/>
    <s v="Not Started"/>
    <m/>
    <n v="107"/>
    <n v="107"/>
    <n v="0"/>
    <n v="0"/>
  </r>
  <r>
    <s v="J943"/>
    <x v="1"/>
    <d v="2017-06-16T00:00:00"/>
    <d v="2019-03-12T00:00:00"/>
    <m/>
    <d v="2020-09-30T00:00:00"/>
    <s v="NORTHERN STATES POWER COMPANY"/>
    <s v="Lincoln County"/>
    <m/>
    <m/>
    <s v="MN"/>
    <s v="DPP-2017-AUG"/>
    <s v="West"/>
    <s v="GIA"/>
    <s v="NRIS"/>
    <s v="J460 substation on the Brookings - H081 345kV Line"/>
    <n v="200"/>
    <n v="200"/>
    <x v="1"/>
    <s v="Wind Turbine"/>
    <s v="Not Started"/>
    <m/>
    <n v="0"/>
    <n v="0"/>
    <n v="0"/>
    <n v="0"/>
  </r>
  <r>
    <s v="J944"/>
    <x v="0"/>
    <d v="2017-06-16T00:00:00"/>
    <m/>
    <d v="2019-12-17T00:00:00"/>
    <d v="2021-09-01T00:00:00"/>
    <s v="Entergy"/>
    <s v="New Madrid County"/>
    <m/>
    <m/>
    <s v="MO"/>
    <s v="DPP-2017-AUG"/>
    <s v="South"/>
    <s v="GIA"/>
    <s v="NRIS"/>
    <s v="Portageville - New Madrid 161kV Line"/>
    <n v="200"/>
    <n v="200"/>
    <x v="0"/>
    <s v="Photovoltaic"/>
    <s v="In Service"/>
    <d v="2022-10-01T00:00:00"/>
    <n v="200"/>
    <n v="200"/>
    <n v="200"/>
    <n v="200"/>
  </r>
  <r>
    <s v="J945"/>
    <x v="1"/>
    <d v="2017-06-16T00:00:00"/>
    <d v="2019-01-07T00:00:00"/>
    <m/>
    <d v="2019-09-15T00:00:00"/>
    <s v="Entergy"/>
    <s v="Washington County"/>
    <m/>
    <m/>
    <s v="MS"/>
    <s v="DPP-2017-AUG"/>
    <s v="South"/>
    <s v="GIA"/>
    <s v="NRIS"/>
    <s v="Gerald Andrus - Clinton Industrial 230 kV Line"/>
    <n v="200"/>
    <n v="200"/>
    <x v="0"/>
    <s v="Photovoltaic"/>
    <s v="Not Started"/>
    <m/>
    <n v="0"/>
    <n v="0"/>
    <n v="0"/>
    <n v="0"/>
  </r>
  <r>
    <s v="J946"/>
    <x v="1"/>
    <d v="2017-06-16T00:00:00"/>
    <d v="2021-05-26T00:00:00"/>
    <m/>
    <d v="2020-07-31T00:00:00"/>
    <s v="NORTHERN STATES POWER COMPANY"/>
    <s v="Cass County"/>
    <m/>
    <m/>
    <s v="ND"/>
    <s v="DPP-2017-AUG"/>
    <s v="West"/>
    <s v="GIA"/>
    <s v="NRIS"/>
    <s v="Bison 345kV Substation"/>
    <n v="200"/>
    <n v="200"/>
    <x v="0"/>
    <s v="Photovoltaic"/>
    <s v="Not Started"/>
    <m/>
    <n v="200"/>
    <n v="200"/>
    <n v="200"/>
    <n v="200"/>
  </r>
  <r>
    <s v="J947"/>
    <x v="0"/>
    <d v="2017-06-16T00:00:00"/>
    <m/>
    <d v="2020-04-17T00:00:00"/>
    <d v="2019-09-15T00:00:00"/>
    <s v="American Transmission Co. LLC"/>
    <s v="Grant County"/>
    <m/>
    <m/>
    <s v="WI"/>
    <s v="DPP-2017-AUG"/>
    <s v="East (ATC)"/>
    <s v="GIA"/>
    <s v="NRIS"/>
    <s v="Potosis - Hillman 138kV Line"/>
    <n v="200"/>
    <n v="200"/>
    <x v="0"/>
    <s v="Photovoltaic"/>
    <s v="In Service"/>
    <d v="2023-07-01T00:00:00"/>
    <n v="200"/>
    <n v="200"/>
    <n v="200"/>
    <n v="200"/>
  </r>
  <r>
    <s v="J948"/>
    <x v="1"/>
    <d v="2017-06-16T00:00:00"/>
    <d v="2019-01-07T00:00:00"/>
    <m/>
    <d v="2020-06-01T00:00:00"/>
    <s v="Entergy"/>
    <s v="Poinsett County"/>
    <m/>
    <m/>
    <s v="AR"/>
    <s v="DPP-2017-AUG"/>
    <s v="South"/>
    <s v="GIA"/>
    <s v="ERIS"/>
    <s v="Harrisburg Tap - Harrisburg 161kV Line"/>
    <n v="100"/>
    <n v="100"/>
    <x v="0"/>
    <s v="Photovoltaic"/>
    <s v="Not Started"/>
    <m/>
    <n v="0"/>
    <n v="0"/>
    <n v="0"/>
    <n v="0"/>
  </r>
  <r>
    <s v="J949"/>
    <x v="0"/>
    <d v="2017-06-16T00:00:00"/>
    <m/>
    <d v="2019-12-10T00:00:00"/>
    <d v="2020-08-31T00:00:00"/>
    <s v="AMEREN TRANSMISSION COMPANY OF ILLINOIS"/>
    <s v="Coles County"/>
    <m/>
    <m/>
    <s v="IL"/>
    <s v="DPP-2017-AUG"/>
    <s v="Central"/>
    <s v="GIA"/>
    <s v="NRIS"/>
    <s v="Kansas Substation 138kV Bus #3"/>
    <n v="200"/>
    <n v="200"/>
    <x v="0"/>
    <s v="Photovoltaic"/>
    <s v="In Service"/>
    <d v="2020-10-31T00:00:00"/>
    <n v="200"/>
    <n v="170"/>
    <n v="200"/>
    <n v="170"/>
  </r>
  <r>
    <s v="J951"/>
    <x v="1"/>
    <d v="2018-02-02T00:00:00"/>
    <d v="2020-03-25T00:00:00"/>
    <m/>
    <d v="2018-11-15T00:00:00"/>
    <s v="OTTER TAIL POWER COMPANY"/>
    <s v="Kittson County"/>
    <m/>
    <m/>
    <s v="MN"/>
    <s v="DPP-2018-APR"/>
    <s v="West"/>
    <s v="GIA"/>
    <s v="ERIS"/>
    <s v="Donaldson - Warsaw 115 kV Line Tap"/>
    <n v="80"/>
    <n v="80"/>
    <x v="1"/>
    <s v="Wind Turbine"/>
    <s v="Not Started"/>
    <m/>
    <n v="0"/>
    <n v="0"/>
    <n v="0"/>
    <n v="0"/>
  </r>
  <r>
    <s v="J952"/>
    <x v="1"/>
    <d v="2018-02-05T00:00:00"/>
    <d v="2021-03-09T00:00:00"/>
    <m/>
    <d v="2022-09-01T00:00:00"/>
    <s v="MONTANA-DAKOTA UTILITIES CO."/>
    <s v="Corson County"/>
    <m/>
    <m/>
    <s v="SD"/>
    <s v="DPP-2018-APR"/>
    <s v="West"/>
    <s v="GIA"/>
    <s v="ERIS"/>
    <s v="McLaughlin - McIntosh Junction 115 kV Line Tap"/>
    <n v="54"/>
    <n v="54"/>
    <x v="1"/>
    <s v="Wind Turbine"/>
    <s v="Not Started"/>
    <m/>
    <n v="54"/>
    <n v="54"/>
    <n v="0"/>
    <n v="0"/>
  </r>
  <r>
    <s v="J953"/>
    <x v="0"/>
    <d v="2018-03-08T00:00:00"/>
    <m/>
    <d v="2022-08-12T00:00:00"/>
    <d v="2006-01-01T00:00:00"/>
    <s v="ITC MIDWEST"/>
    <s v="Johnson County"/>
    <m/>
    <m/>
    <s v="IA"/>
    <s v="DPP-2018-APR"/>
    <s v="West"/>
    <s v="GIA"/>
    <s v="E-NRIS"/>
    <s v="AMIL.IOW_AFRYT"/>
    <n v="1.83"/>
    <n v="2"/>
    <x v="9"/>
    <s v="Piston (Engine), Internal Combustion (Diesel)"/>
    <s v="Not Started"/>
    <m/>
    <n v="1.83"/>
    <n v="2"/>
    <n v="1.83"/>
    <n v="2"/>
  </r>
  <r>
    <s v="J954"/>
    <x v="0"/>
    <d v="2018-03-08T00:00:00"/>
    <m/>
    <d v="2022-08-12T00:00:00"/>
    <d v="2016-10-30T00:00:00"/>
    <s v="ITC MIDWEST"/>
    <s v="Johnson County"/>
    <m/>
    <m/>
    <s v="IA"/>
    <s v="DPP-2018-APR"/>
    <s v="West"/>
    <s v="GIA"/>
    <s v="E-NRIS"/>
    <s v="AMIL.IOW_AFRYT"/>
    <n v="1.4"/>
    <n v="1.4"/>
    <x v="0"/>
    <s v="Photovoltaic"/>
    <s v="Not Started"/>
    <m/>
    <n v="1.4"/>
    <n v="1.4"/>
    <n v="1.4"/>
    <n v="1.4"/>
  </r>
  <r>
    <s v="J955"/>
    <x v="0"/>
    <d v="2018-03-08T00:00:00"/>
    <m/>
    <d v="2022-04-26T00:00:00"/>
    <d v="2021-11-01T00:00:00"/>
    <s v="AMEREN TRANSMISSION COMPANY OF ILLINOIS"/>
    <s v="Sangamon County"/>
    <m/>
    <m/>
    <s v="IL"/>
    <s v="DPP-2018-APR"/>
    <s v="Central"/>
    <s v="GIA"/>
    <s v="NRIS"/>
    <s v="Austin Substation 345kV Bus"/>
    <n v="1040"/>
    <n v="1165"/>
    <x v="3"/>
    <s v="Combined Cycle"/>
    <s v="Under Construction"/>
    <d v="2025-01-31T00:00:00"/>
    <n v="1165"/>
    <n v="1165"/>
    <n v="1165"/>
    <n v="1165"/>
  </r>
  <r>
    <s v="J956"/>
    <x v="0"/>
    <d v="2018-03-09T00:00:00"/>
    <m/>
    <d v="2021-12-22T00:00:00"/>
    <d v="2021-09-15T00:00:00"/>
    <s v="Ameren Missouri"/>
    <s v="Ralls County"/>
    <m/>
    <m/>
    <s v="MO"/>
    <s v="DPP-2018-APR"/>
    <s v="Central"/>
    <s v="GIA"/>
    <s v="NRIS"/>
    <s v="Spencer Creek 345kV Substation"/>
    <n v="200"/>
    <n v="200"/>
    <x v="0"/>
    <s v="Photovoltaic"/>
    <s v="Not Started"/>
    <d v="2024-06-01T00:00:00"/>
    <n v="200"/>
    <n v="200"/>
    <n v="200"/>
    <n v="200"/>
  </r>
  <r>
    <s v="J957"/>
    <x v="1"/>
    <d v="2018-03-09T00:00:00"/>
    <d v="2019-03-19T00:00:00"/>
    <m/>
    <d v="2010-09-01T00:00:00"/>
    <s v="AMEREN TRANSMISSION COMPANY OF ILLINOIS"/>
    <s v="Mercer County"/>
    <s v="Putnam County"/>
    <s v="Sullivan County"/>
    <s v="MO"/>
    <s v="DPP-2018-APR"/>
    <s v="Central"/>
    <s v="GIA"/>
    <s v="NRIS"/>
    <s v="Maywood 345kV Substation"/>
    <n v="800"/>
    <n v="800"/>
    <x v="1"/>
    <s v="Wind Turbine"/>
    <s v="Not Started"/>
    <m/>
    <n v="0"/>
    <n v="0"/>
    <n v="0"/>
    <n v="0"/>
  </r>
  <r>
    <s v="J958"/>
    <x v="1"/>
    <d v="2018-03-12T00:00:00"/>
    <d v="2020-03-25T00:00:00"/>
    <m/>
    <d v="2020-09-01T00:00:00"/>
    <s v="NORTHERN STATES POWER COMPANY"/>
    <s v="Lincoln County"/>
    <m/>
    <m/>
    <s v="MN"/>
    <s v="DPP-2018-APR"/>
    <s v="West"/>
    <s v="GIA"/>
    <s v="NRIS"/>
    <s v="Buffalo Ridge 115kV Substation"/>
    <n v="100"/>
    <n v="100"/>
    <x v="1"/>
    <s v="Wind Turbine"/>
    <s v="Not Started"/>
    <m/>
    <n v="0"/>
    <n v="0"/>
    <n v="0"/>
    <n v="0"/>
  </r>
  <r>
    <s v="J959"/>
    <x v="1"/>
    <d v="2018-03-12T00:00:00"/>
    <d v="2021-03-09T00:00:00"/>
    <m/>
    <d v="2020-09-01T00:00:00"/>
    <s v="SMMPA"/>
    <s v="Fayette County"/>
    <m/>
    <m/>
    <s v="IA"/>
    <s v="DPP-2018-APR"/>
    <s v="West"/>
    <s v="GIA"/>
    <s v="NRIS"/>
    <s v="Windsor 161kV Substation"/>
    <n v="150"/>
    <n v="150"/>
    <x v="1"/>
    <s v="Wind Turbine"/>
    <s v="Not Started"/>
    <m/>
    <n v="150"/>
    <n v="150"/>
    <n v="0"/>
    <n v="0"/>
  </r>
  <r>
    <s v="J960"/>
    <x v="1"/>
    <d v="2018-03-12T00:00:00"/>
    <d v="2019-03-21T00:00:00"/>
    <m/>
    <d v="2020-09-01T00:00:00"/>
    <s v="METC"/>
    <s v="Presque Isle County"/>
    <m/>
    <m/>
    <s v="MI"/>
    <s v="DPP-2018-APR"/>
    <s v="East (ITC)"/>
    <s v="GIA"/>
    <s v="NRIS"/>
    <s v="Livingston 345kV Substation"/>
    <n v="400"/>
    <n v="400"/>
    <x v="1"/>
    <s v="Wind Turbine"/>
    <s v="Not Started"/>
    <m/>
    <n v="0"/>
    <n v="0"/>
    <n v="0"/>
    <n v="0"/>
  </r>
  <r>
    <s v="J961"/>
    <x v="1"/>
    <d v="2018-03-12T00:00:00"/>
    <d v="2019-08-29T00:00:00"/>
    <m/>
    <d v="2021-01-31T00:00:00"/>
    <s v="ENTERGY LOUISIANA, LLC"/>
    <s v="West Baton Rouge Parish"/>
    <m/>
    <m/>
    <s v="LA"/>
    <s v="DPP-2018-APR"/>
    <s v="South"/>
    <s v="GIA"/>
    <s v="NRIS"/>
    <s v="Livonia - Wilbert 138 kV Line Tap"/>
    <n v="150"/>
    <n v="150"/>
    <x v="0"/>
    <s v="Photovoltaic"/>
    <s v="Not Started"/>
    <m/>
    <n v="0"/>
    <n v="0"/>
    <n v="0"/>
    <n v="0"/>
  </r>
  <r>
    <s v="J962"/>
    <x v="0"/>
    <d v="2018-03-12T00:00:00"/>
    <m/>
    <d v="2020-08-12T00:00:00"/>
    <d v="2021-01-31T00:00:00"/>
    <s v="ENTERGY MISSISSIPPI, LLC"/>
    <s v="DeSoto County"/>
    <m/>
    <m/>
    <s v="MS"/>
    <s v="DPP-2018-APR"/>
    <s v="South"/>
    <s v="GIA"/>
    <s v="ERIS"/>
    <s v="Twinkletown 230 kV Substation"/>
    <n v="100"/>
    <n v="100"/>
    <x v="0"/>
    <s v="Photovoltaic"/>
    <s v="Under Construction"/>
    <d v="2022-06-30T00:00:00"/>
    <n v="100"/>
    <n v="0"/>
    <n v="100"/>
    <n v="0"/>
  </r>
  <r>
    <s v="J963"/>
    <x v="0"/>
    <d v="2018-03-12T00:00:00"/>
    <m/>
    <d v="2021-06-15T00:00:00"/>
    <d v="2017-01-01T00:00:00"/>
    <s v="ITC MIDWEST"/>
    <s v="Cedar County"/>
    <m/>
    <m/>
    <s v="IA"/>
    <s v="DPP-2018-APR"/>
    <s v="West"/>
    <s v="GIA"/>
    <s v="NRIS"/>
    <s v="Bennett (CIPCO) - Graham 69 Kv Line Tap"/>
    <n v="9"/>
    <n v="9"/>
    <x v="9"/>
    <s v="Piston (Engine), Internal Combustion (Diesel)"/>
    <s v="Not Started"/>
    <d v="2017-01-01T00:00:00"/>
    <n v="9"/>
    <n v="9"/>
    <n v="9"/>
    <n v="9"/>
  </r>
  <r>
    <s v="J964"/>
    <x v="1"/>
    <d v="2018-03-12T00:00:00"/>
    <d v="2019-08-29T00:00:00"/>
    <m/>
    <d v="2020-10-02T00:00:00"/>
    <s v="ENTERGY MISSISSIPPI, LLC"/>
    <s v="Hinds County"/>
    <m/>
    <m/>
    <s v="MS"/>
    <s v="DPP-2018-APR"/>
    <s v="South"/>
    <s v="GIA"/>
    <s v="NRIS"/>
    <s v="Edwards - Bolton 115kV Line Tap"/>
    <n v="70"/>
    <n v="70"/>
    <x v="0"/>
    <s v="Photovoltaic"/>
    <s v="Not Started"/>
    <m/>
    <n v="0"/>
    <n v="0"/>
    <n v="0"/>
    <n v="0"/>
  </r>
  <r>
    <s v="J965"/>
    <x v="1"/>
    <d v="2018-03-12T00:00:00"/>
    <d v="2018-11-19T00:00:00"/>
    <m/>
    <d v="2020-09-01T00:00:00"/>
    <s v="Xcel Energy"/>
    <s v="Cottonwood County"/>
    <m/>
    <m/>
    <s v="MN"/>
    <s v="DPP-2018-APR"/>
    <s v="West"/>
    <s v="GIA"/>
    <s v="NRIS"/>
    <s v="Lakefield Generation SW 345kV Substation"/>
    <n v="150"/>
    <n v="150"/>
    <x v="1"/>
    <s v="Wind Turbine"/>
    <s v="Not Started"/>
    <m/>
    <n v="0"/>
    <n v="0"/>
    <n v="0"/>
    <n v="0"/>
  </r>
  <r>
    <s v="J966"/>
    <x v="1"/>
    <d v="2018-03-12T00:00:00"/>
    <d v="2020-03-25T00:00:00"/>
    <m/>
    <d v="2020-12-01T00:00:00"/>
    <s v="AMEREN TRANSMISSION COMPANY OF ILLINOIS"/>
    <s v="Putnam County"/>
    <s v="Sullivan County"/>
    <m/>
    <s v="MO"/>
    <s v="DPP-2018-APR"/>
    <s v="West"/>
    <s v="GIA"/>
    <s v="NRIS"/>
    <s v="Zachary 345kV Substation"/>
    <n v="400"/>
    <n v="400"/>
    <x v="1"/>
    <s v="Wind Turbine"/>
    <s v="Not Started"/>
    <m/>
    <n v="0"/>
    <n v="0"/>
    <n v="0"/>
    <n v="0"/>
  </r>
  <r>
    <s v="J967"/>
    <x v="0"/>
    <d v="2018-03-12T00:00:00"/>
    <m/>
    <d v="2021-06-15T00:00:00"/>
    <d v="2020-09-01T00:00:00"/>
    <s v="NORTHERN STATES POWER COMPANY"/>
    <s v="Mower County"/>
    <m/>
    <m/>
    <s v="MN"/>
    <s v="DPP-2018-APR"/>
    <s v="West"/>
    <s v="GIA"/>
    <s v="NRIS"/>
    <s v="Adams 345kV Substation"/>
    <n v="150"/>
    <n v="150"/>
    <x v="1"/>
    <s v="Wind Turbine"/>
    <s v="Under Construction"/>
    <d v="2023-08-01T00:00:00"/>
    <n v="150"/>
    <n v="150"/>
    <n v="150"/>
    <n v="0"/>
  </r>
  <r>
    <s v="J968"/>
    <x v="0"/>
    <d v="2018-03-12T00:00:00"/>
    <m/>
    <d v="2021-10-12T00:00:00"/>
    <d v="2022-09-01T00:00:00"/>
    <s v="NORTHERN INDIANA PUBLIC SERVICE COMPANY LLC"/>
    <s v="Jasper County"/>
    <s v="White County"/>
    <m/>
    <s v="IN"/>
    <s v="DPP-2018-APR"/>
    <s v="Central"/>
    <s v="GIA"/>
    <s v="NRIS"/>
    <s v="Reynolds 345kV Substation"/>
    <n v="200"/>
    <n v="200"/>
    <x v="1"/>
    <s v="Wind Turbine"/>
    <s v="In Service"/>
    <d v="2023-04-20T00:00:00"/>
    <n v="200"/>
    <n v="200"/>
    <n v="200"/>
    <n v="200"/>
  </r>
  <r>
    <s v="J969"/>
    <x v="1"/>
    <d v="2018-03-12T00:00:00"/>
    <d v="2018-11-01T00:00:00"/>
    <m/>
    <d v="2020-12-01T00:00:00"/>
    <s v="ITC MIDWEST"/>
    <s v="Tuscola County"/>
    <m/>
    <m/>
    <s v="MI"/>
    <s v="DPP-2018-APR"/>
    <s v="East (ITC)"/>
    <s v="GIA"/>
    <s v="NRIS"/>
    <s v="Kirk 345kV Substation"/>
    <n v="100"/>
    <n v="100"/>
    <x v="0"/>
    <s v="Photovoltaic"/>
    <s v="Not Started"/>
    <m/>
    <n v="0"/>
    <n v="0"/>
    <n v="0"/>
    <n v="0"/>
  </r>
  <r>
    <s v="J970"/>
    <x v="1"/>
    <d v="2018-03-12T00:00:00"/>
    <d v="2018-10-17T00:00:00"/>
    <m/>
    <d v="2020-01-01T00:00:00"/>
    <s v="METC"/>
    <s v="Oscoda County"/>
    <m/>
    <m/>
    <s v="MI"/>
    <s v="DPP-2018-APR"/>
    <s v="East (ITC)"/>
    <s v="GIA"/>
    <s v="NRIS"/>
    <s v="Mio Dam - Gaylord 138 kV Line Tap"/>
    <n v="50"/>
    <n v="50"/>
    <x v="0"/>
    <s v="Photovoltaic"/>
    <s v="Not Started"/>
    <m/>
    <n v="0"/>
    <n v="0"/>
    <n v="0"/>
    <n v="0"/>
  </r>
  <r>
    <s v="J971"/>
    <x v="1"/>
    <d v="2018-03-12T00:00:00"/>
    <d v="2020-03-25T00:00:00"/>
    <m/>
    <d v="2020-09-30T00:00:00"/>
    <s v="NORTHERN STATES POWER COMPANY"/>
    <s v="Nobles County"/>
    <m/>
    <m/>
    <s v="MN"/>
    <s v="DPP-2018-APR"/>
    <s v="West"/>
    <s v="GIA"/>
    <s v="NRIS"/>
    <s v="Nobles Co - Fenton 115 kV Line Tap"/>
    <n v="250"/>
    <n v="250"/>
    <x v="1"/>
    <s v="Wind Turbine"/>
    <s v="Not Started"/>
    <m/>
    <n v="0"/>
    <n v="0"/>
    <n v="0"/>
    <n v="0"/>
  </r>
  <r>
    <s v="J972"/>
    <x v="1"/>
    <d v="2018-03-12T00:00:00"/>
    <d v="2019-08-29T00:00:00"/>
    <m/>
    <d v="2021-10-31T00:00:00"/>
    <s v="ENTERGY ARKANSAS, LLC"/>
    <s v="St. Francis County"/>
    <m/>
    <m/>
    <s v="AR"/>
    <s v="DPP-2018-APR"/>
    <s v="South"/>
    <s v="GIA"/>
    <s v="NRIS"/>
    <s v="Hughes-Forest City South 161kv line"/>
    <n v="140"/>
    <n v="140"/>
    <x v="0"/>
    <s v="Photovoltaic"/>
    <s v="Not Started"/>
    <m/>
    <n v="0"/>
    <n v="0"/>
    <n v="0"/>
    <n v="0"/>
  </r>
  <r>
    <s v="J973"/>
    <x v="1"/>
    <d v="2018-03-12T00:00:00"/>
    <d v="2019-03-19T00:00:00"/>
    <m/>
    <d v="2020-09-01T00:00:00"/>
    <s v="AMEREN TRANSMISSION COMPANY OF ILLINOIS"/>
    <s v="Coles County"/>
    <s v="Edgar County"/>
    <m/>
    <s v="IL"/>
    <s v="DPP-2018-APR"/>
    <s v="Central"/>
    <s v="GIA"/>
    <s v="NRIS"/>
    <s v="Kansas West 345kV Substation"/>
    <n v="250"/>
    <n v="250"/>
    <x v="1"/>
    <s v="Wind Turbine"/>
    <s v="Not Started"/>
    <m/>
    <n v="0"/>
    <n v="0"/>
    <n v="0"/>
    <n v="0"/>
  </r>
  <r>
    <s v="J974"/>
    <x v="1"/>
    <d v="2018-03-12T00:00:00"/>
    <d v="2025-06-25T00:00:00"/>
    <d v="2021-10-12T00:00:00"/>
    <d v="2021-09-01T00:00:00"/>
    <s v="AMEREN ILLINOIS"/>
    <s v="Fulton County"/>
    <s v="Peoria County"/>
    <m/>
    <s v="IL"/>
    <s v="DPP-2018-APR"/>
    <s v="Central"/>
    <s v="GIA"/>
    <s v="NRIS"/>
    <s v="Mapleridge 345kV Switching Station"/>
    <n v="250"/>
    <n v="250"/>
    <x v="1"/>
    <s v="Wind Turbine"/>
    <s v="Withdrawn"/>
    <d v="2023-10-15T00:00:00"/>
    <n v="250"/>
    <n v="250"/>
    <n v="225"/>
    <n v="225"/>
  </r>
  <r>
    <s v="J975"/>
    <x v="1"/>
    <d v="2018-03-12T00:00:00"/>
    <d v="2021-07-28T00:00:00"/>
    <m/>
    <d v="2023-10-31T00:00:00"/>
    <s v="OTTER TAIL POWER COMPANY"/>
    <s v="Cass County"/>
    <m/>
    <m/>
    <s v="ND"/>
    <s v="DPP-2018-APR"/>
    <s v="West"/>
    <s v="GIA"/>
    <s v="ERIS"/>
    <s v="Buffalo 115kV Substation"/>
    <n v="150"/>
    <n v="150"/>
    <x v="1"/>
    <s v="Wind Turbine"/>
    <s v="Not Started"/>
    <m/>
    <n v="150"/>
    <n v="150"/>
    <n v="150"/>
    <n v="0"/>
  </r>
  <r>
    <s v="J976"/>
    <x v="0"/>
    <d v="2018-03-12T00:00:00"/>
    <m/>
    <d v="2021-10-12T00:00:00"/>
    <d v="2021-10-31T00:00:00"/>
    <s v="Ameren Missouri"/>
    <s v="Warren County"/>
    <m/>
    <m/>
    <s v="MO"/>
    <s v="DPP-2018-APR"/>
    <s v="Central"/>
    <s v="GIA"/>
    <s v="NRIS"/>
    <s v="Montgomery - Enon 345kV Line Tap"/>
    <n v="300"/>
    <n v="300"/>
    <x v="0"/>
    <s v="Photovoltaic"/>
    <s v="Under Construction"/>
    <d v="2024-06-01T00:00:00"/>
    <n v="300"/>
    <n v="300"/>
    <n v="300"/>
    <n v="300"/>
  </r>
  <r>
    <s v="J977"/>
    <x v="1"/>
    <d v="2018-03-12T00:00:00"/>
    <d v="2020-03-25T00:00:00"/>
    <m/>
    <d v="2021-03-01T00:00:00"/>
    <s v="ITC MIDWEST"/>
    <s v="Jackson County"/>
    <s v="Martin County"/>
    <m/>
    <s v="MN"/>
    <s v="DPP-2018-APR"/>
    <s v="West"/>
    <s v="GIA"/>
    <s v="NRIS"/>
    <s v="Jackson North 161kV Substation"/>
    <n v="300"/>
    <n v="300"/>
    <x v="1"/>
    <s v="Wind Turbine"/>
    <s v="Not Started"/>
    <m/>
    <n v="0"/>
    <n v="0"/>
    <n v="0"/>
    <n v="0"/>
  </r>
  <r>
    <s v="J978"/>
    <x v="1"/>
    <d v="2018-03-12T00:00:00"/>
    <d v="2019-11-21T00:00:00"/>
    <m/>
    <d v="2021-03-01T00:00:00"/>
    <s v="METC"/>
    <s v="Montcalm County"/>
    <m/>
    <m/>
    <s v="MI"/>
    <s v="DPP-2018-APR"/>
    <s v="East (ITC)"/>
    <s v="GIA"/>
    <s v="NRIS"/>
    <s v="Eureka - Vestaburg 138kV Line Tap"/>
    <n v="100"/>
    <n v="100"/>
    <x v="1"/>
    <s v="Wind Turbine"/>
    <s v="Not Started"/>
    <m/>
    <n v="0"/>
    <n v="0"/>
    <n v="0"/>
    <n v="0"/>
  </r>
  <r>
    <s v="J979"/>
    <x v="1"/>
    <d v="2018-03-12T00:00:00"/>
    <d v="2021-10-18T00:00:00"/>
    <m/>
    <d v="2021-03-01T00:00:00"/>
    <s v="AMEREN TRANSMISSION COMPANY OF ILLINOIS"/>
    <s v="Christian County"/>
    <m/>
    <m/>
    <s v="IL"/>
    <s v="DPP-2018-APR"/>
    <s v="Central"/>
    <s v="GIA"/>
    <s v="NRIS"/>
    <s v="Pana Substation 345kV Bus"/>
    <n v="200"/>
    <n v="200"/>
    <x v="1"/>
    <s v="Wind Turbine"/>
    <s v="Not Started"/>
    <m/>
    <n v="170"/>
    <n v="170"/>
    <n v="170"/>
    <n v="170"/>
  </r>
  <r>
    <s v="J980"/>
    <x v="1"/>
    <d v="2018-03-12T00:00:00"/>
    <d v="2020-01-06T00:00:00"/>
    <m/>
    <d v="2021-03-01T00:00:00"/>
    <s v="AMEREN TRANSMISSION COMPANY OF ILLINOIS"/>
    <s v="Christian County"/>
    <m/>
    <m/>
    <s v="IL"/>
    <s v="DPP-2018-APR"/>
    <s v="Central"/>
    <s v="GIA"/>
    <s v="NRIS"/>
    <s v="Pana Substation 345kV Bus"/>
    <n v="200"/>
    <n v="200"/>
    <x v="1"/>
    <s v="Wind Turbine"/>
    <s v="Not Started"/>
    <m/>
    <n v="0"/>
    <n v="0"/>
    <n v="0"/>
    <n v="0"/>
  </r>
  <r>
    <s v="J981"/>
    <x v="1"/>
    <d v="2018-03-12T00:00:00"/>
    <d v="2021-03-09T00:00:00"/>
    <m/>
    <d v="2021-03-01T00:00:00"/>
    <s v="MIDAMERICAN ENERGY COMPANY"/>
    <s v="Washington County"/>
    <m/>
    <m/>
    <s v="IA"/>
    <s v="DPP-2018-APR"/>
    <s v="West"/>
    <s v="GIA"/>
    <s v="NRIS"/>
    <s v="Sub T 345kV Substation"/>
    <n v="200"/>
    <n v="200"/>
    <x v="1"/>
    <s v="Wind Turbine"/>
    <s v="Not Started"/>
    <m/>
    <n v="200"/>
    <n v="200"/>
    <n v="0"/>
    <n v="0"/>
  </r>
  <r>
    <s v="J982"/>
    <x v="0"/>
    <d v="2018-03-12T00:00:00"/>
    <m/>
    <d v="2022-02-07T00:00:00"/>
    <d v="2021-06-01T00:00:00"/>
    <s v="MIDAMERICAN ENERGY COMPANY"/>
    <s v="Dickinson County"/>
    <s v="Emmet County"/>
    <m/>
    <s v="IA"/>
    <s v="DPP-2018-APR"/>
    <s v="West"/>
    <s v="GIA"/>
    <s v="ERIS"/>
    <s v="Obrien County - Kossuth 345 kV Line Tap"/>
    <n v="300"/>
    <n v="300"/>
    <x v="1"/>
    <s v="Wind Turbine"/>
    <s v="Not Started"/>
    <d v="2024-03-15T00:00:00"/>
    <n v="300"/>
    <n v="300"/>
    <n v="300"/>
    <n v="0"/>
  </r>
  <r>
    <s v="J983"/>
    <x v="1"/>
    <d v="2018-03-12T00:00:00"/>
    <d v="2018-11-01T00:00:00"/>
    <m/>
    <d v="2021-03-01T00:00:00"/>
    <s v="AMEREN ILLINOIS"/>
    <s v="Brown County"/>
    <s v="LaSalle County"/>
    <m/>
    <s v="IL"/>
    <s v="DPP-2018-APR"/>
    <s v="Central"/>
    <s v="GIA"/>
    <s v="NRIS"/>
    <s v="Oglesby - Minonk Tap 138kV Line Tap"/>
    <n v="100"/>
    <n v="100"/>
    <x v="1"/>
    <s v="Wind Turbine"/>
    <s v="Not Started"/>
    <m/>
    <n v="0"/>
    <n v="0"/>
    <n v="0"/>
    <n v="0"/>
  </r>
  <r>
    <s v="J984"/>
    <x v="0"/>
    <d v="2018-03-12T00:00:00"/>
    <m/>
    <d v="2021-05-07T00:00:00"/>
    <d v="2021-06-01T00:00:00"/>
    <s v="METC"/>
    <s v="Gratiot County"/>
    <m/>
    <m/>
    <s v="MI"/>
    <s v="DPP-2018-APR"/>
    <s v="East (ITC)"/>
    <s v="GIA"/>
    <s v="NRIS"/>
    <s v="Nelson Road ‚Äì Murphy 345kV line"/>
    <n v="200"/>
    <n v="200"/>
    <x v="1"/>
    <s v="Wind Turbine"/>
    <s v="Under Construction"/>
    <d v="2022-10-31T00:00:00"/>
    <n v="200"/>
    <n v="200"/>
    <n v="200"/>
    <n v="200"/>
  </r>
  <r>
    <s v="J985"/>
    <x v="1"/>
    <d v="2018-03-12T00:00:00"/>
    <d v="2020-01-06T00:00:00"/>
    <m/>
    <d v="2020-12-01T00:00:00"/>
    <s v="Ameren Missouri"/>
    <s v="Scott County"/>
    <m/>
    <m/>
    <s v="MO"/>
    <s v="DPP-2018-APR"/>
    <s v="Central"/>
    <s v="GIA"/>
    <s v="NRIS"/>
    <s v="Miner - Kelso 161kV Line Tap"/>
    <n v="120"/>
    <n v="120"/>
    <x v="0"/>
    <s v="Photovoltaic"/>
    <s v="Not Started"/>
    <m/>
    <n v="0"/>
    <n v="0"/>
    <n v="0"/>
    <n v="0"/>
  </r>
  <r>
    <s v="J986"/>
    <x v="0"/>
    <d v="2018-03-12T00:00:00"/>
    <m/>
    <d v="2021-05-05T00:00:00"/>
    <d v="2020-09-01T00:00:00"/>
    <s v="American Transmission Co. LLC"/>
    <s v="Wood County"/>
    <m/>
    <m/>
    <s v="WI"/>
    <s v="DPP-2018-APR"/>
    <s v="East (ATC)"/>
    <s v="GIA"/>
    <s v="NRIS"/>
    <s v="Port Edwards - Sand Lake 138kV"/>
    <n v="149.76"/>
    <n v="149.76"/>
    <x v="0"/>
    <s v="Photovoltaic"/>
    <s v="Not Started"/>
    <d v="2022-06-01T00:00:00"/>
    <n v="149.76"/>
    <n v="149.76"/>
    <n v="149.76"/>
    <n v="149.76"/>
  </r>
  <r>
    <s v="J987"/>
    <x v="1"/>
    <d v="2018-03-12T00:00:00"/>
    <d v="2025-10-20T00:00:00"/>
    <d v="2021-10-12T00:00:00"/>
    <d v="2021-09-01T00:00:00"/>
    <s v="Ameren Missouri"/>
    <s v="Montgomery County"/>
    <m/>
    <m/>
    <s v="MO"/>
    <s v="DPP-2018-APR"/>
    <s v="Central"/>
    <s v="GIA"/>
    <s v="NRIS"/>
    <s v="Montgomery 161kV Substation"/>
    <n v="100"/>
    <n v="100"/>
    <x v="0"/>
    <s v="Photovoltaic"/>
    <s v="Under Construction"/>
    <d v="2023-10-01T00:00:00"/>
    <n v="100"/>
    <n v="100"/>
    <n v="100"/>
    <n v="100"/>
  </r>
  <r>
    <s v="J988"/>
    <x v="1"/>
    <d v="2018-03-12T00:00:00"/>
    <d v="2019-08-29T00:00:00"/>
    <m/>
    <d v="2022-09-01T00:00:00"/>
    <s v="COOPERATIVE ENERGY"/>
    <s v="Wayne County"/>
    <m/>
    <m/>
    <s v="MS"/>
    <s v="DPP-2018-APR"/>
    <s v="South"/>
    <s v="GIA"/>
    <s v="NRIS"/>
    <s v="W Waynesboro 230kV Substation"/>
    <n v="200"/>
    <n v="200"/>
    <x v="0"/>
    <s v="Photovoltaic"/>
    <s v="Not Started"/>
    <m/>
    <n v="0"/>
    <n v="0"/>
    <n v="0"/>
    <n v="0"/>
  </r>
  <r>
    <s v="J989"/>
    <x v="1"/>
    <d v="2018-02-12T00:00:00"/>
    <d v="2020-06-30T00:00:00"/>
    <m/>
    <d v="2021-09-01T00:00:00"/>
    <s v="METC"/>
    <s v="Oakland County"/>
    <m/>
    <m/>
    <s v="MI"/>
    <s v="DPP-2018-APR"/>
    <s v="East (ITC)"/>
    <s v="GIA"/>
    <s v="NRIS"/>
    <s v="Halsey 138kV Substation"/>
    <n v="80"/>
    <n v="80"/>
    <x v="0"/>
    <s v="Photovoltaic"/>
    <s v="Not Started"/>
    <m/>
    <n v="80"/>
    <n v="80"/>
    <n v="0"/>
    <n v="0"/>
  </r>
  <r>
    <s v="J990"/>
    <x v="1"/>
    <d v="2018-03-12T00:00:00"/>
    <d v="2019-02-15T00:00:00"/>
    <m/>
    <d v="2020-09-01T00:00:00"/>
    <s v="ITC MIDWEST"/>
    <s v="Dubuque County"/>
    <m/>
    <m/>
    <s v="IA"/>
    <s v="DPP-2018-APR"/>
    <s v="West"/>
    <s v="GIA"/>
    <s v="NRIS"/>
    <s v="Salem 345kV Substation"/>
    <n v="150"/>
    <n v="150"/>
    <x v="0"/>
    <s v="Photovoltaic"/>
    <s v="Not Started"/>
    <m/>
    <n v="0"/>
    <n v="0"/>
    <n v="0"/>
    <n v="0"/>
  </r>
  <r>
    <s v="J991"/>
    <x v="1"/>
    <d v="2018-03-12T00:00:00"/>
    <d v="2025-12-18T00:00:00"/>
    <d v="2021-10-12T00:00:00"/>
    <d v="2021-09-01T00:00:00"/>
    <s v="AMEREN ILLINOIS"/>
    <s v="Clay County"/>
    <m/>
    <m/>
    <s v="IL"/>
    <s v="DPP-2018-APR"/>
    <s v="Central"/>
    <s v="GIA"/>
    <s v="NRIS"/>
    <s v="Xenia 345kV Switching Station"/>
    <n v="200"/>
    <n v="200"/>
    <x v="0"/>
    <s v="Photovoltaic"/>
    <s v="Withdrawn"/>
    <d v="2023-10-01T00:00:00"/>
    <n v="150"/>
    <n v="150"/>
    <n v="150"/>
    <n v="150"/>
  </r>
  <r>
    <s v="J992"/>
    <x v="0"/>
    <d v="2018-03-12T00:00:00"/>
    <m/>
    <d v="2021-10-12T00:00:00"/>
    <d v="2021-09-01T00:00:00"/>
    <s v="DUKE ENERGY INDIANA, LLC"/>
    <s v="Cass County"/>
    <m/>
    <m/>
    <s v="IN"/>
    <s v="DPP-2018-APR"/>
    <s v="Central"/>
    <s v="GIA"/>
    <s v="NRIS"/>
    <s v="Walton 230kV Substation"/>
    <n v="200"/>
    <n v="200"/>
    <x v="0"/>
    <s v="Photovoltaic"/>
    <s v="Under Construction"/>
    <d v="2023-10-31T00:00:00"/>
    <n v="200"/>
    <n v="200"/>
    <n v="200"/>
    <n v="200"/>
  </r>
  <r>
    <s v="J993"/>
    <x v="0"/>
    <d v="2018-03-12T00:00:00"/>
    <m/>
    <d v="2021-10-12T00:00:00"/>
    <d v="2021-09-01T00:00:00"/>
    <s v="INDIANAPOLIS POWER &amp; LIGHT COMPANY"/>
    <s v="Boone County"/>
    <m/>
    <m/>
    <s v="IN"/>
    <s v="DPP-2018-APR"/>
    <s v="Central"/>
    <s v="GIA"/>
    <s v="NRIS"/>
    <s v="Hortonville - Whitestown 345kV Line Tap"/>
    <n v="200"/>
    <n v="200"/>
    <x v="0"/>
    <s v="Photovoltaic"/>
    <s v="Under Construction"/>
    <d v="2023-11-01T00:00:00"/>
    <n v="200"/>
    <n v="200"/>
    <n v="200"/>
    <n v="200"/>
  </r>
  <r>
    <s v="J994"/>
    <x v="1"/>
    <d v="2018-03-12T00:00:00"/>
    <d v="2025-10-20T00:00:00"/>
    <d v="2021-10-12T00:00:00"/>
    <d v="2021-09-01T00:00:00"/>
    <s v="Ameren Missouri"/>
    <s v="Callaway County"/>
    <m/>
    <m/>
    <s v="MO"/>
    <s v="DPP-2018-APR"/>
    <s v="Central"/>
    <s v="GIA"/>
    <s v="NRIS"/>
    <s v="Guthrie 161 kV Substation"/>
    <n v="100"/>
    <n v="100"/>
    <x v="0"/>
    <s v="Photovoltaic"/>
    <s v="Under Construction"/>
    <d v="2023-08-01T00:00:00"/>
    <n v="100"/>
    <n v="100"/>
    <n v="100"/>
    <n v="100"/>
  </r>
  <r>
    <s v="J995"/>
    <x v="1"/>
    <d v="2018-03-12T00:00:00"/>
    <d v="2020-01-06T00:00:00"/>
    <m/>
    <d v="2021-09-01T00:00:00"/>
    <s v="AMEREN ILLINOIS"/>
    <s v="Brown County"/>
    <s v="Jersey County"/>
    <m/>
    <s v="IL"/>
    <s v="DPP-2018-APR"/>
    <s v="Central"/>
    <s v="GIA"/>
    <s v="NRIS"/>
    <s v="NW Jerseyville Northwest Substation 138kV Bus"/>
    <n v="100"/>
    <n v="100"/>
    <x v="0"/>
    <s v="Photovoltaic"/>
    <s v="Not Started"/>
    <m/>
    <n v="0"/>
    <n v="0"/>
    <n v="0"/>
    <n v="0"/>
  </r>
  <r>
    <s v="J996"/>
    <x v="0"/>
    <d v="2018-03-12T00:00:00"/>
    <m/>
    <d v="2021-04-27T00:00:00"/>
    <d v="2021-09-01T00:00:00"/>
    <s v="METC"/>
    <s v="Lenawee County"/>
    <m/>
    <m/>
    <s v="MI"/>
    <s v="DPP-2018-APR"/>
    <s v="East (ITC)"/>
    <s v="GIA"/>
    <s v="NRIS"/>
    <s v="Beecher - Moraco 138kV Line"/>
    <n v="80"/>
    <n v="80"/>
    <x v="0"/>
    <s v="Photovoltaic"/>
    <s v="Under Construction"/>
    <d v="2022-10-31T00:00:00"/>
    <n v="80"/>
    <n v="80"/>
    <n v="80"/>
    <n v="80"/>
  </r>
  <r>
    <s v="J997"/>
    <x v="1"/>
    <d v="2018-03-12T00:00:00"/>
    <d v="2020-03-25T00:00:00"/>
    <m/>
    <d v="2020-09-01T00:00:00"/>
    <s v="MONTANA-DAKOTA UTILITIES CO."/>
    <s v="LaMoure County"/>
    <m/>
    <m/>
    <s v="ND"/>
    <s v="DPP-2018-APR"/>
    <s v="West"/>
    <s v="GIA"/>
    <s v="NRIS"/>
    <s v="Ellendale 345 kV Sub, 230 kV Bus - 661098"/>
    <n v="200"/>
    <n v="200"/>
    <x v="0"/>
    <s v="Photovoltaic"/>
    <s v="Not Started"/>
    <m/>
    <n v="0"/>
    <n v="0"/>
    <n v="0"/>
    <n v="0"/>
  </r>
  <r>
    <s v="J998"/>
    <x v="1"/>
    <d v="2018-03-12T00:00:00"/>
    <d v="2020-03-25T00:00:00"/>
    <m/>
    <d v="2020-09-01T00:00:00"/>
    <s v="MIDAMERICAN ENERGY COMPANY"/>
    <s v="Dallas County"/>
    <m/>
    <m/>
    <s v="IA"/>
    <s v="DPP-2018-APR"/>
    <s v="West"/>
    <s v="GIA"/>
    <s v="NRIS"/>
    <s v="Adel - Waukee 69kV Line Tap"/>
    <n v="50"/>
    <n v="50"/>
    <x v="0"/>
    <s v="Photovoltaic"/>
    <s v="Not Started"/>
    <m/>
    <n v="0"/>
    <n v="0"/>
    <n v="0"/>
    <n v="0"/>
  </r>
  <r>
    <s v="J999"/>
    <x v="1"/>
    <d v="2018-03-12T00:00:00"/>
    <d v="2020-03-25T00:00:00"/>
    <m/>
    <d v="2020-09-01T00:00:00"/>
    <s v="ITC MIDWEST"/>
    <s v="Linn County"/>
    <m/>
    <m/>
    <s v="IA"/>
    <s v="DPP-2018-APR"/>
    <s v="West"/>
    <s v="GIA"/>
    <s v="NRIS"/>
    <s v="Fairfax 161kV Substation"/>
    <n v="100"/>
    <n v="100"/>
    <x v="0"/>
    <s v="Photovoltaic"/>
    <s v="Not Started"/>
    <m/>
    <n v="0"/>
    <n v="0"/>
    <n v="0"/>
    <n v="0"/>
  </r>
  <r>
    <s v="R1000"/>
    <x v="0"/>
    <d v="2019-06-24T00:00:00"/>
    <m/>
    <m/>
    <d v="2022-10-01T00:00:00"/>
    <s v="MONTANA-DAKOTA UTILITIES CO."/>
    <s v="Morton"/>
    <m/>
    <m/>
    <m/>
    <m/>
    <m/>
    <m/>
    <s v="NRIS"/>
    <s v="R.M. Heskett Station"/>
    <n v="103.1"/>
    <n v="103.1"/>
    <x v="8"/>
    <m/>
    <m/>
    <m/>
    <n v="0"/>
    <n v="0"/>
    <n v="0"/>
    <n v="0"/>
  </r>
  <r>
    <s v="R1001"/>
    <x v="0"/>
    <d v="2020-05-15T00:00:00"/>
    <m/>
    <m/>
    <d v="2022-04-15T00:00:00"/>
    <s v="OTTER TAIL POWER COMPANY"/>
    <s v="Otter Tail"/>
    <m/>
    <m/>
    <m/>
    <m/>
    <m/>
    <m/>
    <s v="NRIS"/>
    <s v="Hoot Lake 115KV"/>
    <n v="49.9"/>
    <n v="49.9"/>
    <x v="8"/>
    <m/>
    <m/>
    <m/>
    <n v="0"/>
    <n v="0"/>
    <n v="0"/>
    <n v="0"/>
  </r>
  <r>
    <s v="R1002"/>
    <x v="1"/>
    <d v="2020-07-01T00:00:00"/>
    <m/>
    <m/>
    <d v="2022-07-01T00:00:00"/>
    <s v="AMERICAN TRANSMISSION COMPANY"/>
    <s v="Manitowoc"/>
    <m/>
    <m/>
    <m/>
    <m/>
    <m/>
    <m/>
    <s v="NRIS"/>
    <s v="Lake Front 69KV"/>
    <n v="11.4"/>
    <n v="11.4"/>
    <x v="8"/>
    <m/>
    <m/>
    <m/>
    <n v="0"/>
    <n v="0"/>
    <n v="0"/>
    <n v="0"/>
  </r>
  <r>
    <s v="R1003"/>
    <x v="0"/>
    <d v="2020-08-05T00:00:00"/>
    <m/>
    <m/>
    <d v="2026-05-31T00:00:00"/>
    <s v="ENTERGY TEXAS, INC."/>
    <s v="Orange"/>
    <m/>
    <m/>
    <m/>
    <m/>
    <m/>
    <m/>
    <s v="NRIS"/>
    <s v="Sabine 138 &amp; 230 kV (bus #334440, #334431, #334433"/>
    <n v="1166"/>
    <n v="1163.3"/>
    <x v="8"/>
    <m/>
    <m/>
    <m/>
    <n v="0"/>
    <n v="0"/>
    <n v="0"/>
    <n v="0"/>
  </r>
  <r>
    <s v="R1004"/>
    <x v="0"/>
    <d v="2020-12-30T00:00:00"/>
    <m/>
    <m/>
    <d v="2024-12-31T00:00:00"/>
    <s v="CLECO POWER LLC"/>
    <s v="De Soto Parish"/>
    <m/>
    <m/>
    <m/>
    <m/>
    <m/>
    <m/>
    <s v="NRIS-Only"/>
    <s v="Dolet Hills 345 kV (Bus #500260)"/>
    <n v="330"/>
    <n v="330"/>
    <x v="8"/>
    <m/>
    <m/>
    <m/>
    <n v="0"/>
    <n v="0"/>
    <n v="0"/>
    <n v="0"/>
  </r>
  <r>
    <s v="R1005"/>
    <x v="1"/>
    <d v="2021-01-19T00:00:00"/>
    <m/>
    <m/>
    <d v="2022-03-14T00:00:00"/>
    <s v="GREAT RIVER ENERGY"/>
    <s v="Sherburne"/>
    <m/>
    <m/>
    <m/>
    <m/>
    <m/>
    <m/>
    <s v="NRIS"/>
    <s v="Elk River Station: S6 69 kV"/>
    <n v="49"/>
    <n v="49"/>
    <x v="8"/>
    <m/>
    <m/>
    <m/>
    <n v="0"/>
    <n v="0"/>
    <n v="0"/>
    <n v="0"/>
  </r>
  <r>
    <s v="R1006"/>
    <x v="1"/>
    <d v="2021-02-15T00:00:00"/>
    <m/>
    <m/>
    <d v="2023-07-01T00:00:00"/>
    <s v="Alliant Energy West"/>
    <s v="Lima"/>
    <m/>
    <m/>
    <m/>
    <m/>
    <m/>
    <m/>
    <s v="NRIS"/>
    <s v="Hoot Lake 115KV"/>
    <n v="350"/>
    <n v="350"/>
    <x v="8"/>
    <m/>
    <m/>
    <m/>
    <n v="0"/>
    <n v="0"/>
    <n v="0"/>
    <n v="0"/>
  </r>
  <r>
    <s v="R1007"/>
    <x v="1"/>
    <d v="2021-03-29T00:00:00"/>
    <m/>
    <m/>
    <d v="2023-07-01T00:00:00"/>
    <s v="Alliant Energy West"/>
    <s v="Linn"/>
    <m/>
    <m/>
    <m/>
    <m/>
    <m/>
    <m/>
    <s v="NRIS"/>
    <s v="ITC DAEC Substation 161kV"/>
    <n v="60"/>
    <n v="60"/>
    <x v="8"/>
    <m/>
    <m/>
    <m/>
    <n v="0"/>
    <n v="0"/>
    <n v="0"/>
    <n v="0"/>
  </r>
  <r>
    <s v="R1008"/>
    <x v="0"/>
    <d v="2021-04-12T00:00:00"/>
    <m/>
    <m/>
    <m/>
    <m/>
    <s v="Adair"/>
    <m/>
    <m/>
    <m/>
    <m/>
    <m/>
    <m/>
    <s v="NRIS"/>
    <s v="J499 Arbor Hills"/>
    <n v="0"/>
    <n v="0"/>
    <x v="8"/>
    <m/>
    <m/>
    <m/>
    <n v="0"/>
    <n v="0"/>
    <n v="0"/>
    <n v="0"/>
  </r>
  <r>
    <s v="R1009"/>
    <x v="0"/>
    <d v="2021-05-28T00:00:00"/>
    <d v="2025-07-30T00:00:00"/>
    <m/>
    <d v="2023-12-01T00:00:00"/>
    <s v="METC"/>
    <s v="Montmorency"/>
    <m/>
    <m/>
    <m/>
    <m/>
    <m/>
    <m/>
    <s v="NRIS"/>
    <s v="Consumers Energy 138kV Progress St. Substation"/>
    <n v="0"/>
    <n v="0"/>
    <x v="8"/>
    <m/>
    <m/>
    <m/>
    <n v="0"/>
    <n v="0"/>
    <n v="0"/>
    <n v="0"/>
  </r>
  <r>
    <s v="R1010"/>
    <x v="0"/>
    <d v="2021-07-21T00:00:00"/>
    <m/>
    <m/>
    <m/>
    <s v="AMERICAN TRANSMISSION COMPANY"/>
    <s v="Marathon"/>
    <m/>
    <m/>
    <m/>
    <m/>
    <m/>
    <m/>
    <s v="NRIS-Only"/>
    <m/>
    <n v="0"/>
    <n v="0"/>
    <x v="8"/>
    <m/>
    <m/>
    <m/>
    <n v="0"/>
    <n v="0"/>
    <n v="0"/>
    <n v="0"/>
  </r>
  <r>
    <s v="R1011"/>
    <x v="0"/>
    <d v="2021-10-04T00:00:00"/>
    <m/>
    <m/>
    <d v="2024-01-15T00:00:00"/>
    <s v="INDIANAPOLIS POWER &amp; LIGHT COMPANY"/>
    <s v="Pike"/>
    <m/>
    <m/>
    <m/>
    <m/>
    <m/>
    <m/>
    <s v="NRIS"/>
    <s v="Petersburg 345kV Substation"/>
    <n v="250"/>
    <n v="250"/>
    <x v="8"/>
    <m/>
    <m/>
    <m/>
    <n v="0"/>
    <n v="0"/>
    <n v="0"/>
    <n v="0"/>
  </r>
  <r>
    <s v="R1012"/>
    <x v="1"/>
    <d v="2021-09-30T00:00:00"/>
    <m/>
    <m/>
    <d v="2023-07-01T00:00:00"/>
    <s v="Alliant Energy West"/>
    <s v="Linn County"/>
    <m/>
    <m/>
    <m/>
    <m/>
    <m/>
    <m/>
    <s v="NRIS"/>
    <s v="Duane Arnold 161 kV"/>
    <n v="640"/>
    <n v="640"/>
    <x v="8"/>
    <m/>
    <m/>
    <m/>
    <n v="0"/>
    <n v="0"/>
    <n v="0"/>
    <n v="0"/>
  </r>
  <r>
    <s v="R1013"/>
    <x v="1"/>
    <d v="2021-11-16T00:00:00"/>
    <m/>
    <m/>
    <d v="2024-09-15T00:00:00"/>
    <s v="SOUTHERN INDIANA GAS &amp; ELECTRIC COMPANY D/B/A CENTERPOINT ENERGY INDIANA SOUTH"/>
    <s v="Posey"/>
    <m/>
    <m/>
    <m/>
    <m/>
    <m/>
    <m/>
    <s v="NRIS"/>
    <s v="AB Brown 138kV Substation"/>
    <n v="0"/>
    <n v="0"/>
    <x v="8"/>
    <m/>
    <m/>
    <m/>
    <n v="0"/>
    <n v="0"/>
    <n v="0"/>
    <n v="0"/>
  </r>
  <r>
    <s v="R1014"/>
    <x v="0"/>
    <d v="2022-02-04T00:00:00"/>
    <d v="2025-07-30T00:00:00"/>
    <m/>
    <d v="2025-04-01T00:00:00"/>
    <s v="Alliant Energy East"/>
    <m/>
    <m/>
    <m/>
    <m/>
    <m/>
    <m/>
    <m/>
    <m/>
    <s v="Edgewater 345kV"/>
    <n v="0"/>
    <n v="0"/>
    <x v="8"/>
    <m/>
    <m/>
    <m/>
    <n v="0"/>
    <n v="0"/>
    <n v="0"/>
    <n v="0"/>
  </r>
  <r>
    <s v="R1015"/>
    <x v="0"/>
    <d v="2022-02-13T00:00:00"/>
    <m/>
    <m/>
    <d v="2025-05-01T00:00:00"/>
    <s v="Alliant Energy East"/>
    <m/>
    <m/>
    <m/>
    <m/>
    <m/>
    <m/>
    <m/>
    <s v="NRIS"/>
    <s v="Edgewater 345kV"/>
    <n v="423.1"/>
    <n v="0"/>
    <x v="8"/>
    <m/>
    <m/>
    <m/>
    <n v="0"/>
    <n v="0"/>
    <n v="0"/>
    <n v="0"/>
  </r>
  <r>
    <s v="R1016"/>
    <x v="0"/>
    <d v="2022-02-18T00:00:00"/>
    <m/>
    <m/>
    <d v="2023-05-10T00:00:00"/>
    <s v="ENTERGY ARKANSAS INC."/>
    <m/>
    <m/>
    <m/>
    <m/>
    <m/>
    <m/>
    <m/>
    <s v="NRIS-Only"/>
    <s v="Bailey 161kV substation(338879)"/>
    <n v="122"/>
    <n v="124.4"/>
    <x v="8"/>
    <m/>
    <m/>
    <m/>
    <n v="0"/>
    <n v="0"/>
    <n v="0"/>
    <n v="0"/>
  </r>
  <r>
    <s v="R1017"/>
    <x v="1"/>
    <d v="2022-02-15T00:00:00"/>
    <m/>
    <m/>
    <m/>
    <s v="Alliant Energy West"/>
    <s v="Des Moines"/>
    <m/>
    <m/>
    <m/>
    <m/>
    <m/>
    <m/>
    <s v="NRIS"/>
    <s v="Burlington 161kV"/>
    <n v="0"/>
    <n v="0"/>
    <x v="8"/>
    <m/>
    <m/>
    <m/>
    <n v="0"/>
    <n v="0"/>
    <n v="0"/>
    <n v="0"/>
  </r>
  <r>
    <s v="R1018"/>
    <x v="1"/>
    <d v="2022-02-23T00:00:00"/>
    <d v="2024-03-11T00:00:00"/>
    <m/>
    <m/>
    <s v="Alliant Energy West"/>
    <s v="Allamakee"/>
    <m/>
    <m/>
    <m/>
    <m/>
    <m/>
    <m/>
    <s v="NRIS"/>
    <s v="Lansing 161 kV substation"/>
    <n v="280"/>
    <n v="0"/>
    <x v="8"/>
    <m/>
    <m/>
    <m/>
    <n v="0"/>
    <n v="0"/>
    <n v="0"/>
    <n v="0"/>
  </r>
  <r>
    <s v="R1019"/>
    <x v="0"/>
    <d v="2022-02-15T00:00:00"/>
    <m/>
    <m/>
    <d v="2024-12-31T00:00:00"/>
    <s v="Alliant Energy West"/>
    <s v="Des Moines"/>
    <m/>
    <m/>
    <m/>
    <m/>
    <m/>
    <m/>
    <s v="NRIS"/>
    <s v="Burlington 161kV"/>
    <n v="212"/>
    <n v="103"/>
    <x v="8"/>
    <m/>
    <m/>
    <m/>
    <n v="0"/>
    <n v="0"/>
    <n v="0"/>
    <n v="0"/>
  </r>
  <r>
    <s v="R1020"/>
    <x v="0"/>
    <d v="2022-03-31T00:00:00"/>
    <m/>
    <m/>
    <d v="2024-10-30T00:00:00"/>
    <s v="Alliant Energy West"/>
    <s v="Linn"/>
    <m/>
    <m/>
    <m/>
    <m/>
    <m/>
    <m/>
    <s v="NRIS"/>
    <s v="ITC DAEC Substation 161kV"/>
    <n v="0"/>
    <n v="0"/>
    <x v="8"/>
    <m/>
    <m/>
    <m/>
    <n v="0"/>
    <n v="0"/>
    <n v="0"/>
    <n v="0"/>
  </r>
  <r>
    <s v="R1021"/>
    <x v="0"/>
    <d v="2022-05-31T00:00:00"/>
    <m/>
    <m/>
    <m/>
    <s v="INDIANAPOLIS POWER &amp; LIGHT COMPANY"/>
    <s v="Pike"/>
    <m/>
    <m/>
    <m/>
    <m/>
    <m/>
    <m/>
    <s v="NRIS-Only"/>
    <s v="Petersburg 345kV Substation"/>
    <n v="0"/>
    <n v="0"/>
    <x v="8"/>
    <m/>
    <m/>
    <m/>
    <n v="0"/>
    <n v="0"/>
    <n v="0"/>
    <n v="0"/>
  </r>
  <r>
    <s v="R1022"/>
    <x v="0"/>
    <d v="2022-05-31T00:00:00"/>
    <m/>
    <m/>
    <d v="2025-01-15T00:00:00"/>
    <s v="INDIANAPOLIS POWER &amp; LIGHT COMPANY"/>
    <s v="Pike"/>
    <m/>
    <m/>
    <m/>
    <m/>
    <m/>
    <m/>
    <s v="NRIS-Only"/>
    <s v="Petersburg 345kV Substation"/>
    <n v="0"/>
    <n v="0"/>
    <x v="8"/>
    <m/>
    <m/>
    <m/>
    <n v="0"/>
    <n v="0"/>
    <n v="0"/>
    <n v="0"/>
  </r>
  <r>
    <s v="R1023"/>
    <x v="1"/>
    <d v="2022-09-29T00:00:00"/>
    <m/>
    <m/>
    <d v="2023-11-30T00:00:00"/>
    <s v="AMEREN ILLINOIS"/>
    <s v="Jackson"/>
    <m/>
    <m/>
    <m/>
    <m/>
    <m/>
    <m/>
    <s v="NRIS-Only"/>
    <m/>
    <n v="0"/>
    <n v="0"/>
    <x v="8"/>
    <m/>
    <m/>
    <m/>
    <n v="0"/>
    <n v="0"/>
    <n v="0"/>
    <n v="0"/>
  </r>
  <r>
    <s v="R1024"/>
    <x v="0"/>
    <d v="2022-10-12T00:00:00"/>
    <m/>
    <m/>
    <d v="2024-09-15T00:00:00"/>
    <s v="SOUTHERN INDIANA GAS &amp; ELECTRIC COMPANY D/B/A CENTERPOINT ENERGY INDIANA SOUTH"/>
    <s v="Posey"/>
    <m/>
    <m/>
    <m/>
    <m/>
    <m/>
    <m/>
    <s v="NRIS"/>
    <s v="A.B. Brown 138kV Substation"/>
    <n v="0"/>
    <n v="0"/>
    <x v="8"/>
    <m/>
    <m/>
    <m/>
    <n v="0"/>
    <n v="0"/>
    <n v="0"/>
    <n v="0"/>
  </r>
  <r>
    <s v="R1025"/>
    <x v="0"/>
    <d v="2022-10-14T00:00:00"/>
    <m/>
    <m/>
    <d v="2025-09-01T00:00:00"/>
    <s v="Southern Illinois Power Cooperative"/>
    <s v="Williamson"/>
    <m/>
    <m/>
    <m/>
    <m/>
    <m/>
    <m/>
    <s v="NRIS"/>
    <s v="Marion Unit 4 -Main Bus"/>
    <n v="0"/>
    <n v="0"/>
    <x v="8"/>
    <m/>
    <m/>
    <m/>
    <n v="0"/>
    <n v="0"/>
    <n v="0"/>
    <n v="0"/>
  </r>
  <r>
    <s v="R1026"/>
    <x v="0"/>
    <d v="2022-11-22T00:00:00"/>
    <m/>
    <m/>
    <m/>
    <s v="Alliant Energy West"/>
    <s v="Linn County"/>
    <m/>
    <m/>
    <m/>
    <m/>
    <m/>
    <m/>
    <m/>
    <s v="ITC DAEC Substation 161kV"/>
    <n v="0"/>
    <n v="0"/>
    <x v="8"/>
    <m/>
    <m/>
    <m/>
    <n v="0"/>
    <n v="0"/>
    <n v="0"/>
    <n v="0"/>
  </r>
  <r>
    <s v="R1027"/>
    <x v="0"/>
    <d v="2022-11-22T00:00:00"/>
    <m/>
    <m/>
    <m/>
    <s v="Alliant Energy West"/>
    <s v="Linn County"/>
    <m/>
    <m/>
    <m/>
    <m/>
    <m/>
    <m/>
    <m/>
    <s v="ITC DAEC Substation 161kV"/>
    <n v="0"/>
    <n v="0"/>
    <x v="8"/>
    <m/>
    <m/>
    <m/>
    <n v="0"/>
    <n v="0"/>
    <n v="0"/>
    <n v="0"/>
  </r>
  <r>
    <s v="R1028"/>
    <x v="0"/>
    <d v="2022-11-22T00:00:00"/>
    <m/>
    <m/>
    <m/>
    <m/>
    <m/>
    <m/>
    <m/>
    <m/>
    <m/>
    <m/>
    <m/>
    <m/>
    <m/>
    <n v="0"/>
    <n v="0"/>
    <x v="8"/>
    <m/>
    <m/>
    <m/>
    <n v="0"/>
    <n v="0"/>
    <n v="0"/>
    <n v="0"/>
  </r>
  <r>
    <s v="R1029"/>
    <x v="0"/>
    <d v="2022-12-12T00:00:00"/>
    <m/>
    <m/>
    <d v="2024-12-01T00:00:00"/>
    <m/>
    <m/>
    <m/>
    <m/>
    <m/>
    <m/>
    <m/>
    <m/>
    <m/>
    <s v="Joppa 161kV Switchyard"/>
    <n v="37"/>
    <n v="0"/>
    <x v="8"/>
    <m/>
    <m/>
    <d v="2024-12-01T00:00:00"/>
    <n v="0"/>
    <n v="0"/>
    <n v="0"/>
    <n v="0"/>
  </r>
  <r>
    <s v="R1030"/>
    <x v="0"/>
    <d v="2023-01-05T00:00:00"/>
    <m/>
    <m/>
    <d v="2024-10-01T00:00:00"/>
    <m/>
    <m/>
    <m/>
    <m/>
    <m/>
    <m/>
    <m/>
    <m/>
    <m/>
    <s v="Slocum (PSSE Bus #264511)"/>
    <n v="0"/>
    <n v="0"/>
    <x v="8"/>
    <m/>
    <m/>
    <m/>
    <n v="0"/>
    <n v="0"/>
    <n v="0"/>
    <n v="0"/>
  </r>
  <r>
    <s v="R1031"/>
    <x v="0"/>
    <d v="2023-03-07T00:00:00"/>
    <m/>
    <m/>
    <d v="2024-12-01T00:00:00"/>
    <m/>
    <m/>
    <m/>
    <m/>
    <m/>
    <m/>
    <m/>
    <m/>
    <m/>
    <s v="Edwards 138 kV"/>
    <n v="0"/>
    <n v="0"/>
    <x v="8"/>
    <m/>
    <m/>
    <d v="2025-11-01T00:00:00"/>
    <n v="0"/>
    <n v="0"/>
    <n v="0"/>
    <n v="0"/>
  </r>
  <r>
    <s v="R1032"/>
    <x v="0"/>
    <d v="2023-01-20T00:00:00"/>
    <m/>
    <m/>
    <d v="2025-03-30T00:00:00"/>
    <m/>
    <m/>
    <m/>
    <m/>
    <m/>
    <m/>
    <m/>
    <m/>
    <m/>
    <s v="Wheaton Substation"/>
    <n v="0"/>
    <n v="0"/>
    <x v="8"/>
    <m/>
    <m/>
    <m/>
    <n v="0"/>
    <n v="0"/>
    <n v="0"/>
    <n v="0"/>
  </r>
  <r>
    <s v="R1033"/>
    <x v="1"/>
    <d v="2023-02-13T00:00:00"/>
    <m/>
    <m/>
    <d v="2024-02-01T00:00:00"/>
    <m/>
    <m/>
    <m/>
    <m/>
    <m/>
    <m/>
    <m/>
    <m/>
    <m/>
    <s v="Waterford 230kV"/>
    <n v="100"/>
    <n v="100"/>
    <x v="8"/>
    <m/>
    <m/>
    <m/>
    <n v="0"/>
    <n v="0"/>
    <n v="0"/>
    <n v="0"/>
  </r>
  <r>
    <s v="R1034"/>
    <x v="1"/>
    <d v="2023-07-20T00:00:00"/>
    <m/>
    <m/>
    <d v="2025-06-30T00:00:00"/>
    <m/>
    <m/>
    <m/>
    <m/>
    <m/>
    <m/>
    <m/>
    <m/>
    <m/>
    <s v="ITCM Lansing"/>
    <n v="0"/>
    <n v="0"/>
    <x v="8"/>
    <m/>
    <m/>
    <m/>
    <n v="0"/>
    <n v="0"/>
    <n v="0"/>
    <n v="0"/>
  </r>
  <r>
    <s v="R1035"/>
    <x v="0"/>
    <d v="2023-04-19T00:00:00"/>
    <m/>
    <m/>
    <d v="2023-03-31T00:00:00"/>
    <m/>
    <s v="Massac"/>
    <m/>
    <m/>
    <m/>
    <m/>
    <m/>
    <m/>
    <s v="NRIS"/>
    <s v="JOPPA 161 kV"/>
    <n v="0"/>
    <n v="0"/>
    <x v="8"/>
    <m/>
    <m/>
    <m/>
    <n v="0"/>
    <n v="0"/>
    <n v="0"/>
    <n v="0"/>
  </r>
  <r>
    <s v="R1036"/>
    <x v="0"/>
    <d v="2022-12-28T00:00:00"/>
    <m/>
    <m/>
    <d v="2024-05-30T00:00:00"/>
    <s v="NORTHERN STATES POWER COMPANY"/>
    <s v="Sherburne"/>
    <m/>
    <m/>
    <m/>
    <m/>
    <m/>
    <m/>
    <s v="NRIS-Only"/>
    <s v="Sherburne County 345kV Substation"/>
    <n v="710"/>
    <n v="710"/>
    <x v="8"/>
    <m/>
    <m/>
    <m/>
    <n v="0"/>
    <n v="0"/>
    <n v="0"/>
    <n v="0"/>
  </r>
  <r>
    <s v="R1037"/>
    <x v="1"/>
    <d v="2023-09-28T00:00:00"/>
    <m/>
    <m/>
    <d v="2026-02-28T00:00:00"/>
    <s v="ITC MIDWEST"/>
    <s v="Allamakee"/>
    <m/>
    <m/>
    <m/>
    <m/>
    <m/>
    <m/>
    <s v="NRIS"/>
    <s v="ITCM Lansing 161kV"/>
    <n v="180"/>
    <n v="0"/>
    <x v="8"/>
    <m/>
    <m/>
    <m/>
    <n v="0"/>
    <n v="0"/>
    <n v="0"/>
    <n v="0"/>
  </r>
  <r>
    <s v="R1038"/>
    <x v="0"/>
    <d v="2023-11-28T00:00:00"/>
    <m/>
    <m/>
    <d v="2025-11-01T00:00:00"/>
    <s v="NORTHERN STATES POWER COMPANY"/>
    <s v="Benton"/>
    <m/>
    <m/>
    <m/>
    <m/>
    <m/>
    <m/>
    <s v="NRIS"/>
    <s v="Mayhew Lake 115kV"/>
    <n v="100"/>
    <n v="0"/>
    <x v="8"/>
    <m/>
    <m/>
    <m/>
    <n v="0"/>
    <n v="0"/>
    <n v="0"/>
    <n v="0"/>
  </r>
  <r>
    <s v="R1039"/>
    <x v="0"/>
    <d v="2023-10-05T00:00:00"/>
    <m/>
    <m/>
    <d v="2025-01-31T00:00:00"/>
    <s v="ENTERGY LOUISIANA, LLC"/>
    <s v="Ouachita"/>
    <m/>
    <m/>
    <m/>
    <m/>
    <m/>
    <m/>
    <s v="NRIS"/>
    <s v="Sterlington 115kV"/>
    <n v="49"/>
    <n v="0"/>
    <x v="8"/>
    <m/>
    <m/>
    <m/>
    <n v="0"/>
    <n v="0"/>
    <n v="0"/>
    <n v="0"/>
  </r>
  <r>
    <s v="R1040"/>
    <x v="0"/>
    <d v="2023-11-09T00:00:00"/>
    <m/>
    <m/>
    <d v="2028-03-31T00:00:00"/>
    <s v="METC"/>
    <s v="Ottawa"/>
    <m/>
    <m/>
    <m/>
    <m/>
    <m/>
    <m/>
    <s v="NRIS"/>
    <s v="Campbell Substation 345kV"/>
    <n v="749"/>
    <n v="0"/>
    <x v="8"/>
    <m/>
    <m/>
    <m/>
    <n v="0"/>
    <n v="0"/>
    <n v="0"/>
    <n v="0"/>
  </r>
  <r>
    <s v="R1041"/>
    <x v="0"/>
    <d v="2023-10-11T00:00:00"/>
    <m/>
    <m/>
    <d v="2025-05-31T00:00:00"/>
    <s v="METC"/>
    <s v="Wayne"/>
    <m/>
    <m/>
    <m/>
    <m/>
    <m/>
    <m/>
    <s v="NRIS"/>
    <s v="TCHPP Position JC 120kV"/>
    <n v="220"/>
    <n v="0"/>
    <x v="8"/>
    <m/>
    <m/>
    <m/>
    <n v="0"/>
    <n v="0"/>
    <n v="0"/>
    <n v="0"/>
  </r>
  <r>
    <s v="R1042"/>
    <x v="1"/>
    <d v="2022-10-22T00:00:00"/>
    <d v="2025-05-13T00:00:00"/>
    <m/>
    <d v="2023-10-01T00:00:00"/>
    <s v="ITC MIDWEST"/>
    <s v="Linn"/>
    <m/>
    <m/>
    <m/>
    <m/>
    <m/>
    <m/>
    <s v="NRIS"/>
    <s v="Duane Arnold 161kV"/>
    <n v="64"/>
    <n v="0"/>
    <x v="8"/>
    <m/>
    <m/>
    <m/>
    <n v="0"/>
    <n v="0"/>
    <n v="0"/>
    <n v="0"/>
  </r>
  <r>
    <s v="R1043"/>
    <x v="1"/>
    <d v="2023-12-01T00:00:00"/>
    <d v="2024-12-09T00:00:00"/>
    <m/>
    <d v="2024-06-01T00:00:00"/>
    <s v="ITC MIDWEST"/>
    <s v="Des Moines"/>
    <m/>
    <m/>
    <m/>
    <m/>
    <m/>
    <m/>
    <s v="NRIS"/>
    <s v="ITCM Burlington 161kV"/>
    <n v="31"/>
    <n v="0"/>
    <x v="8"/>
    <m/>
    <m/>
    <m/>
    <n v="0"/>
    <n v="0"/>
    <n v="0"/>
    <n v="0"/>
  </r>
  <r>
    <s v="R1044"/>
    <x v="0"/>
    <d v="2024-02-06T00:00:00"/>
    <m/>
    <m/>
    <d v="2028-03-31T00:00:00"/>
    <s v="DUKE ENERGY INDIANA, LLC"/>
    <s v="Vermillion"/>
    <m/>
    <m/>
    <m/>
    <m/>
    <m/>
    <m/>
    <s v="NRIS"/>
    <s v="Cayuga Steam Station Switchyards 230kV and 345kV"/>
    <n v="1040"/>
    <n v="0"/>
    <x v="8"/>
    <m/>
    <m/>
    <m/>
    <n v="0"/>
    <n v="0"/>
    <n v="0"/>
    <n v="0"/>
  </r>
  <r>
    <s v="R1045"/>
    <x v="0"/>
    <d v="2024-03-01T00:00:00"/>
    <m/>
    <m/>
    <d v="2025-06-03T00:00:00"/>
    <s v="NORTHERN STATES POWER COMPANY"/>
    <s v="Chippewa"/>
    <m/>
    <m/>
    <m/>
    <m/>
    <m/>
    <m/>
    <s v="NRIS"/>
    <s v="Wheaton 161kV"/>
    <n v="237"/>
    <n v="0"/>
    <x v="8"/>
    <m/>
    <m/>
    <m/>
    <n v="0"/>
    <n v="0"/>
    <n v="0"/>
    <n v="0"/>
  </r>
  <r>
    <s v="R1046"/>
    <x v="1"/>
    <d v="2024-05-08T00:00:00"/>
    <m/>
    <m/>
    <d v="2025-09-30T00:00:00"/>
    <s v="DUKE ENERGY INDIANA, LLC"/>
    <s v="Jefferson"/>
    <m/>
    <m/>
    <m/>
    <m/>
    <m/>
    <m/>
    <s v="NRIS"/>
    <s v="Madison Substation 138kV"/>
    <n v="150"/>
    <n v="0"/>
    <x v="8"/>
    <m/>
    <m/>
    <m/>
    <n v="0"/>
    <n v="0"/>
    <n v="0"/>
    <n v="0"/>
  </r>
  <r>
    <s v="R1047"/>
    <x v="0"/>
    <d v="2024-05-28T00:00:00"/>
    <m/>
    <m/>
    <d v="2025-12-31T00:00:00"/>
    <s v="AMEREN MISSOURI"/>
    <s v="St. Louis"/>
    <m/>
    <m/>
    <m/>
    <m/>
    <m/>
    <m/>
    <s v="NRIS"/>
    <s v="Meramec Substation 138kV"/>
    <n v="824"/>
    <n v="0"/>
    <x v="8"/>
    <m/>
    <m/>
    <m/>
    <n v="0"/>
    <n v="0"/>
    <n v="0"/>
    <n v="0"/>
  </r>
  <r>
    <s v="R1048"/>
    <x v="2"/>
    <d v="2024-05-13T00:00:00"/>
    <m/>
    <m/>
    <d v="2025-05-13T00:00:00"/>
    <s v="ENTERGY LOUISIANA, LLC ELTO"/>
    <s v="Iberville"/>
    <m/>
    <m/>
    <m/>
    <m/>
    <m/>
    <m/>
    <s v="NRIS"/>
    <s v="Dow Meter Point"/>
    <n v="0"/>
    <n v="1231.73"/>
    <x v="8"/>
    <m/>
    <m/>
    <m/>
    <n v="0"/>
    <n v="0"/>
    <n v="0"/>
    <n v="0"/>
  </r>
  <r>
    <s v="R1049"/>
    <x v="0"/>
    <d v="2024-12-24T00:00:00"/>
    <m/>
    <m/>
    <d v="2025-06-01T00:00:00"/>
    <s v="AMERICAN TRANSMISSION COMPANY"/>
    <s v="Sheboygan"/>
    <m/>
    <m/>
    <m/>
    <m/>
    <m/>
    <m/>
    <s v="NRIS"/>
    <s v="Edgewater 345kV"/>
    <n v="303.5"/>
    <n v="0"/>
    <x v="8"/>
    <m/>
    <m/>
    <m/>
    <n v="0"/>
    <n v="0"/>
    <n v="0"/>
    <n v="0"/>
  </r>
  <r>
    <s v="R1050"/>
    <x v="0"/>
    <d v="2024-05-31T00:00:00"/>
    <m/>
    <m/>
    <d v="2027-04-01T00:00:00"/>
    <s v="NORTHERN STATES POWER COMPANY"/>
    <s v="Scott"/>
    <m/>
    <m/>
    <m/>
    <m/>
    <m/>
    <m/>
    <s v="NRIS"/>
    <s v="Blue Lake 115kV"/>
    <n v="135.5"/>
    <n v="0"/>
    <x v="8"/>
    <m/>
    <m/>
    <m/>
    <n v="0"/>
    <n v="0"/>
    <n v="0"/>
    <n v="0"/>
  </r>
  <r>
    <s v="R1051"/>
    <x v="0"/>
    <d v="2024-05-16T00:00:00"/>
    <m/>
    <m/>
    <d v="2025-04-01T00:00:00"/>
    <m/>
    <s v="Scott County"/>
    <m/>
    <m/>
    <s v="MN"/>
    <m/>
    <m/>
    <m/>
    <s v="NRIS"/>
    <s v="Blue Lake 115kV"/>
    <n v="55"/>
    <n v="42"/>
    <x v="8"/>
    <m/>
    <m/>
    <m/>
    <n v="0"/>
    <n v="0"/>
    <n v="0"/>
    <n v="0"/>
  </r>
  <r>
    <s v="R1052"/>
    <x v="2"/>
    <d v="2024-06-24T00:00:00"/>
    <m/>
    <m/>
    <d v="2028-03-31T00:00:00"/>
    <s v="METC"/>
    <m/>
    <m/>
    <m/>
    <m/>
    <m/>
    <m/>
    <m/>
    <s v="ERIS"/>
    <s v="&quot;18CAMPBELLW‚Äù, ‚Äú18CAMPBELLB"/>
    <n v="615"/>
    <n v="615"/>
    <x v="8"/>
    <m/>
    <m/>
    <m/>
    <n v="0"/>
    <n v="0"/>
    <n v="0"/>
    <n v="0"/>
  </r>
  <r>
    <s v="R1053"/>
    <x v="0"/>
    <d v="2024-06-17T00:00:00"/>
    <m/>
    <m/>
    <m/>
    <s v="AMERICAN TRANSMISSION COMPANY"/>
    <s v="Milwaukee"/>
    <m/>
    <m/>
    <s v="WI"/>
    <m/>
    <m/>
    <m/>
    <m/>
    <s v="Elm Road"/>
    <n v="1138"/>
    <n v="1138"/>
    <x v="3"/>
    <s v="Combustion Turbine (Simple Cycle)"/>
    <m/>
    <m/>
    <n v="0"/>
    <n v="0"/>
    <n v="0"/>
    <n v="0"/>
  </r>
  <r>
    <s v="R1054"/>
    <x v="1"/>
    <d v="2024-07-12T00:00:00"/>
    <d v="2025-12-31T00:00:00"/>
    <m/>
    <d v="2025-09-30T00:00:00"/>
    <s v="AMEREN ILLINOIS"/>
    <s v="Tazewell"/>
    <m/>
    <m/>
    <m/>
    <m/>
    <m/>
    <m/>
    <s v="NRIS-Only"/>
    <s v="E.D. Edwards 69kV"/>
    <n v="261"/>
    <n v="261"/>
    <x v="8"/>
    <m/>
    <m/>
    <m/>
    <n v="0"/>
    <n v="0"/>
    <n v="0"/>
    <n v="0"/>
  </r>
  <r>
    <s v="R1055"/>
    <x v="0"/>
    <d v="2024-07-12T00:00:00"/>
    <m/>
    <m/>
    <d v="2025-09-30T00:00:00"/>
    <s v="AMEREN ILLINOIS"/>
    <s v="Peoria"/>
    <m/>
    <m/>
    <m/>
    <m/>
    <m/>
    <m/>
    <s v="NRIS-Only"/>
    <s v="E.D. Edwards 138kV"/>
    <n v="322"/>
    <n v="110.15"/>
    <x v="8"/>
    <m/>
    <m/>
    <m/>
    <n v="0"/>
    <n v="0"/>
    <n v="0"/>
    <n v="0"/>
  </r>
  <r>
    <s v="R1056"/>
    <x v="1"/>
    <d v="2024-07-12T00:00:00"/>
    <d v="2025-12-31T00:00:00"/>
    <m/>
    <d v="2025-09-30T00:00:00"/>
    <s v="AMEREN ILLINOIS"/>
    <s v="Tazewell"/>
    <m/>
    <m/>
    <m/>
    <m/>
    <m/>
    <m/>
    <s v="NRIS-Only"/>
    <s v="E.D. Edwards 138kV"/>
    <n v="184.71"/>
    <n v="184.71"/>
    <x v="8"/>
    <m/>
    <m/>
    <m/>
    <n v="0"/>
    <n v="0"/>
    <n v="0"/>
    <n v="0"/>
  </r>
  <r>
    <s v="R1057"/>
    <x v="0"/>
    <d v="2024-08-16T00:00:00"/>
    <m/>
    <m/>
    <d v="2025-09-01T00:00:00"/>
    <s v="AMEREN MISSOURI"/>
    <s v="Jefferson"/>
    <m/>
    <m/>
    <m/>
    <m/>
    <m/>
    <m/>
    <s v="NRIS-Only"/>
    <s v="Rush Island Plant ‚Äì 345KV Switchyard (Existing)"/>
    <n v="0"/>
    <n v="0"/>
    <x v="8"/>
    <m/>
    <m/>
    <m/>
    <n v="0"/>
    <n v="0"/>
    <n v="0"/>
    <n v="0"/>
  </r>
  <r>
    <s v="R1058"/>
    <x v="0"/>
    <d v="2024-08-16T00:00:00"/>
    <m/>
    <m/>
    <d v="2025-09-25T00:00:00"/>
    <s v="AMEREN MISSOURI"/>
    <s v="Jefferson"/>
    <m/>
    <m/>
    <m/>
    <m/>
    <m/>
    <m/>
    <s v="NRIS-Only"/>
    <s v="Rush Island Plant ‚Äì 345kV Switchyard (Existing) Bus Number in Power Flow"/>
    <n v="0"/>
    <n v="0"/>
    <x v="8"/>
    <m/>
    <m/>
    <m/>
    <n v="0"/>
    <n v="0"/>
    <n v="0"/>
    <n v="0"/>
  </r>
  <r>
    <s v="R1059"/>
    <x v="0"/>
    <d v="2024-12-16T00:00:00"/>
    <m/>
    <m/>
    <d v="2025-12-31T00:00:00"/>
    <s v="AMEREN MISSOURI"/>
    <s v="St. Louis"/>
    <m/>
    <m/>
    <m/>
    <m/>
    <m/>
    <m/>
    <s v="NRIS-Only"/>
    <s v="Meramec Plant ‚Äì 138KV Switchyard"/>
    <n v="98.8"/>
    <n v="98.8"/>
    <x v="8"/>
    <m/>
    <m/>
    <m/>
    <n v="0"/>
    <n v="0"/>
    <n v="0"/>
    <n v="0"/>
  </r>
  <r>
    <s v="R1060"/>
    <x v="1"/>
    <d v="2025-01-22T00:00:00"/>
    <d v="2025-10-31T00:00:00"/>
    <m/>
    <d v="2027-11-01T00:00:00"/>
    <s v="AMERICAN TRANSMISSION COMPANY"/>
    <s v="Green"/>
    <m/>
    <m/>
    <m/>
    <m/>
    <m/>
    <m/>
    <s v="NRIS"/>
    <s v="North Monroe 138 kV"/>
    <n v="0"/>
    <n v="0"/>
    <x v="8"/>
    <m/>
    <m/>
    <m/>
    <n v="0"/>
    <n v="0"/>
    <n v="0"/>
    <n v="0"/>
  </r>
  <r>
    <s v="R5061"/>
    <x v="0"/>
    <d v="2025-02-01T00:00:00"/>
    <m/>
    <m/>
    <d v="2025-06-01T00:00:00"/>
    <s v="AMERICAN TRANSMISSION COMPANY"/>
    <s v="Sheboygan"/>
    <m/>
    <m/>
    <m/>
    <m/>
    <m/>
    <m/>
    <s v="NRIS"/>
    <s v="Edgewater 5 - 345kV"/>
    <n v="0"/>
    <n v="0"/>
    <x v="8"/>
    <m/>
    <m/>
    <m/>
    <n v="0"/>
    <n v="0"/>
    <n v="0"/>
    <n v="0"/>
  </r>
  <r>
    <s v="R5062"/>
    <x v="1"/>
    <d v="2024-12-23T00:00:00"/>
    <d v="2026-04-13T00:00:00"/>
    <m/>
    <m/>
    <s v="NORTHERN INDIANA PUBLIC SERVICE COMPANY LLC"/>
    <s v="Jasper"/>
    <m/>
    <m/>
    <s v="IN"/>
    <m/>
    <m/>
    <m/>
    <m/>
    <s v="SCHAHFER GEN STA"/>
    <n v="732.73"/>
    <n v="732.73"/>
    <x v="5"/>
    <s v="Combustion Turbine (Simple Cycle)"/>
    <m/>
    <m/>
    <n v="0"/>
    <n v="0"/>
    <n v="0"/>
    <n v="0"/>
  </r>
  <r>
    <s v="R5063"/>
    <x v="2"/>
    <d v="2025-05-09T00:00:00"/>
    <m/>
    <m/>
    <m/>
    <s v="METC"/>
    <s v="Shiawassee"/>
    <m/>
    <m/>
    <s v="MI"/>
    <m/>
    <m/>
    <m/>
    <s v="NRIS"/>
    <s v="BELL ROAD - CORNELL 138.0kV"/>
    <n v="170"/>
    <n v="170"/>
    <x v="5"/>
    <s v="Solar/Battery"/>
    <m/>
    <m/>
    <n v="0"/>
    <n v="0"/>
    <n v="0"/>
    <n v="0"/>
  </r>
  <r>
    <s v="R5064"/>
    <x v="0"/>
    <d v="2025-04-08T00:00:00"/>
    <m/>
    <m/>
    <m/>
    <s v="ITC MIDWEST"/>
    <s v="Allamakee"/>
    <m/>
    <m/>
    <s v="IA"/>
    <m/>
    <m/>
    <m/>
    <m/>
    <s v="Lansing"/>
    <n v="150"/>
    <n v="150"/>
    <x v="2"/>
    <s v="Battery Storage"/>
    <m/>
    <m/>
    <n v="0"/>
    <n v="0"/>
    <n v="0"/>
    <n v="0"/>
  </r>
  <r>
    <s v="R5065"/>
    <x v="0"/>
    <d v="2025-04-09T00:00:00"/>
    <m/>
    <m/>
    <m/>
    <s v="ITC MIDWEST"/>
    <s v="Allamakee"/>
    <m/>
    <m/>
    <s v="IA"/>
    <m/>
    <m/>
    <m/>
    <m/>
    <s v="Lansing"/>
    <n v="130"/>
    <n v="130"/>
    <x v="2"/>
    <s v="Battery Storage"/>
    <m/>
    <m/>
    <n v="0"/>
    <n v="0"/>
    <n v="0"/>
    <n v="0"/>
  </r>
  <r>
    <s v="R5066"/>
    <x v="2"/>
    <d v="2025-04-10T00:00:00"/>
    <m/>
    <m/>
    <m/>
    <s v="AMERICAN TRANSMISSION COMPANY"/>
    <s v="Columbia"/>
    <m/>
    <m/>
    <s v="WI"/>
    <m/>
    <m/>
    <m/>
    <m/>
    <s v="Columbia"/>
    <n v="20.2"/>
    <n v="20.2"/>
    <x v="14"/>
    <s v="Battery Storage"/>
    <m/>
    <m/>
    <n v="0"/>
    <n v="0"/>
    <n v="0"/>
    <n v="0"/>
  </r>
  <r>
    <s v="R5067"/>
    <x v="2"/>
    <d v="2025-07-03T00:00:00"/>
    <m/>
    <m/>
    <m/>
    <s v="NORTHERN INDIANA PUBLIC SERVICE COMPANY LLC NIPS"/>
    <s v="Lake"/>
    <m/>
    <m/>
    <s v="IN"/>
    <m/>
    <m/>
    <m/>
    <s v="NRIS"/>
    <s v="NIPSCO Green Acres 138kV Sub"/>
    <n v="100"/>
    <n v="100"/>
    <x v="2"/>
    <s v="Battery Storage"/>
    <m/>
    <d v="2028-05-31T00:00:00"/>
    <n v="0"/>
    <n v="0"/>
    <n v="0"/>
    <n v="0"/>
  </r>
  <r>
    <s v="R5068"/>
    <x v="2"/>
    <m/>
    <m/>
    <m/>
    <d v="2023-11-27T00:00:00"/>
    <m/>
    <m/>
    <m/>
    <m/>
    <m/>
    <m/>
    <m/>
    <m/>
    <s v="NRIS"/>
    <m/>
    <n v="40"/>
    <n v="40"/>
    <x v="8"/>
    <m/>
    <m/>
    <d v="2023-10-20T00:00:00"/>
    <n v="0"/>
    <n v="0"/>
    <n v="0"/>
    <n v="0"/>
  </r>
  <r>
    <s v="R5069"/>
    <x v="2"/>
    <d v="2025-08-26T00:00:00"/>
    <m/>
    <m/>
    <m/>
    <s v="ITC MIDWEST"/>
    <s v="Linn"/>
    <m/>
    <m/>
    <s v="IA"/>
    <m/>
    <m/>
    <m/>
    <s v="NRIS"/>
    <s v="Duane Arnold (ARNOLD 5)"/>
    <n v="200"/>
    <n v="200"/>
    <x v="11"/>
    <s v="Nuclear"/>
    <m/>
    <d v="2028-09-01T00:00:00"/>
    <n v="0"/>
    <n v="0"/>
    <n v="0"/>
    <n v="0"/>
  </r>
  <r>
    <s v="R5070"/>
    <x v="2"/>
    <d v="2025-08-26T00:00:00"/>
    <m/>
    <m/>
    <m/>
    <s v="ITC MIDWEST"/>
    <s v="Linn"/>
    <m/>
    <m/>
    <s v="IA"/>
    <m/>
    <m/>
    <m/>
    <m/>
    <s v="Duane Arnold (ARNOLD 5)"/>
    <n v="64"/>
    <n v="64"/>
    <x v="11"/>
    <s v="Nuclear"/>
    <m/>
    <d v="2028-09-01T00:00:00"/>
    <n v="0"/>
    <n v="0"/>
    <n v="0"/>
    <n v="0"/>
  </r>
  <r>
    <s v="R5071"/>
    <x v="2"/>
    <d v="2025-08-26T00:00:00"/>
    <m/>
    <m/>
    <m/>
    <s v="ITC MIDWEST"/>
    <s v="Linn"/>
    <m/>
    <m/>
    <s v="IA"/>
    <m/>
    <m/>
    <m/>
    <m/>
    <s v="Duane Arnold (ARNOLD 5)"/>
    <n v="251"/>
    <n v="251"/>
    <x v="11"/>
    <s v="Nuclear"/>
    <m/>
    <d v="2028-09-01T00:00:00"/>
    <n v="0"/>
    <n v="0"/>
    <n v="0"/>
    <n v="0"/>
  </r>
  <r>
    <s v="R5072"/>
    <x v="2"/>
    <d v="2025-08-26T00:00:00"/>
    <m/>
    <m/>
    <m/>
    <s v="ITC MIDWEST"/>
    <s v="Linn"/>
    <m/>
    <m/>
    <s v="IA"/>
    <m/>
    <m/>
    <m/>
    <s v="NRIS"/>
    <s v="Duane Arnold (ARNOLD 5)"/>
    <n v="100"/>
    <n v="100"/>
    <x v="11"/>
    <s v="Nuclear"/>
    <m/>
    <d v="2028-09-01T00:00:00"/>
    <n v="0"/>
    <n v="0"/>
    <n v="0"/>
    <n v="0"/>
  </r>
  <r>
    <s v="R5073"/>
    <x v="2"/>
    <d v="2025-12-17T00:00:00"/>
    <m/>
    <m/>
    <d v="2027-04-28T00:00:00"/>
    <s v="ENTERGY MISSISSIPPI, LLC. EMTO"/>
    <m/>
    <m/>
    <m/>
    <m/>
    <m/>
    <m/>
    <m/>
    <s v="NRIS"/>
    <m/>
    <n v="0"/>
    <n v="0"/>
    <x v="8"/>
    <m/>
    <m/>
    <m/>
    <n v="0"/>
    <n v="0"/>
    <n v="0"/>
    <n v="0"/>
  </r>
  <r>
    <s v="R5074"/>
    <x v="2"/>
    <d v="2025-12-18T00:00:00"/>
    <m/>
    <m/>
    <d v="2025-08-01T00:00:00"/>
    <s v="NORTHERN INDIANA PUBLIC SERVICE COMPANY LLC NIPS"/>
    <m/>
    <m/>
    <m/>
    <m/>
    <m/>
    <m/>
    <m/>
    <s v="NRIS"/>
    <m/>
    <n v="0"/>
    <n v="0"/>
    <x v="8"/>
    <m/>
    <m/>
    <m/>
    <n v="0"/>
    <n v="0"/>
    <n v="0"/>
    <n v="0"/>
  </r>
  <r>
    <s v="R5075"/>
    <x v="2"/>
    <d v="2025-12-15T00:00:00"/>
    <m/>
    <m/>
    <d v="2024-07-31T00:00:00"/>
    <s v="ENTERGY MISSISSIPPI, LLC."/>
    <m/>
    <m/>
    <m/>
    <m/>
    <m/>
    <m/>
    <m/>
    <s v="NRIS"/>
    <m/>
    <n v="0"/>
    <n v="0"/>
    <x v="8"/>
    <m/>
    <m/>
    <m/>
    <n v="0"/>
    <n v="0"/>
    <n v="0"/>
    <n v="0"/>
  </r>
  <r>
    <s v="R5076"/>
    <x v="2"/>
    <d v="2025-10-15T00:00:00"/>
    <m/>
    <m/>
    <d v="2024-06-01T00:00:00"/>
    <m/>
    <s v="Lake"/>
    <m/>
    <m/>
    <s v="IN"/>
    <m/>
    <m/>
    <m/>
    <s v="NRIS"/>
    <s v="SCHAHFER GEN STA - ST. JOHN 345.0kV"/>
    <n v="200"/>
    <n v="200"/>
    <x v="2"/>
    <s v="Battery Storage"/>
    <m/>
    <m/>
    <n v="0"/>
    <n v="0"/>
    <n v="0"/>
    <n v="0"/>
  </r>
  <r>
    <s v="R5077"/>
    <x v="2"/>
    <d v="2025-12-02T00:00:00"/>
    <m/>
    <m/>
    <d v="2026-08-03T00:00:00"/>
    <s v="ITC"/>
    <m/>
    <m/>
    <m/>
    <m/>
    <m/>
    <m/>
    <m/>
    <s v="NRIS"/>
    <m/>
    <n v="0"/>
    <n v="0"/>
    <x v="8"/>
    <m/>
    <m/>
    <m/>
    <n v="0"/>
    <n v="0"/>
    <n v="0"/>
    <n v="0"/>
  </r>
  <r>
    <s v="R5078"/>
    <x v="2"/>
    <d v="2025-12-19T00:00:00"/>
    <m/>
    <m/>
    <d v="2023-12-01T00:00:00"/>
    <s v="METC"/>
    <m/>
    <m/>
    <m/>
    <m/>
    <m/>
    <m/>
    <m/>
    <s v="NRIS"/>
    <m/>
    <n v="0"/>
    <n v="0"/>
    <x v="8"/>
    <m/>
    <m/>
    <m/>
    <n v="0"/>
    <n v="0"/>
    <n v="0"/>
    <n v="0"/>
  </r>
  <r>
    <s v="R5079"/>
    <x v="2"/>
    <d v="2025-11-25T00:00:00"/>
    <m/>
    <m/>
    <d v="2027-04-01T00:00:00"/>
    <s v="ENTERGY LOUISIANA, LLC"/>
    <m/>
    <m/>
    <m/>
    <m/>
    <m/>
    <m/>
    <m/>
    <s v="NRIS"/>
    <m/>
    <n v="0"/>
    <n v="0"/>
    <x v="8"/>
    <m/>
    <m/>
    <m/>
    <n v="0"/>
    <n v="0"/>
    <n v="0"/>
    <n v="0"/>
  </r>
  <r>
    <s v="R5080"/>
    <x v="2"/>
    <d v="2025-12-19T00:00:00"/>
    <m/>
    <m/>
    <d v="2025-03-15T00:00:00"/>
    <s v="ENTERGY ARKANSAS, LLC"/>
    <m/>
    <m/>
    <m/>
    <m/>
    <m/>
    <m/>
    <m/>
    <s v="NRIS"/>
    <s v="Crooked Lake"/>
    <n v="0"/>
    <n v="0"/>
    <x v="8"/>
    <m/>
    <m/>
    <m/>
    <n v="0"/>
    <n v="0"/>
    <n v="0"/>
    <n v="0"/>
  </r>
  <r>
    <s v="R5081"/>
    <x v="2"/>
    <d v="2025-12-22T00:00:00"/>
    <m/>
    <m/>
    <d v="2025-08-01T00:00:00"/>
    <m/>
    <s v="Mower"/>
    <m/>
    <m/>
    <s v="MN"/>
    <m/>
    <m/>
    <m/>
    <s v="NRIS"/>
    <s v="Adams"/>
    <n v="100"/>
    <n v="100"/>
    <x v="2"/>
    <s v="Battery Storage"/>
    <m/>
    <m/>
    <n v="0"/>
    <n v="0"/>
    <n v="0"/>
    <n v="0"/>
  </r>
  <r>
    <s v="R5082"/>
    <x v="2"/>
    <d v="2026-02-03T00:00:00"/>
    <m/>
    <m/>
    <d v="2028-01-02T00:00:00"/>
    <s v="METC"/>
    <m/>
    <m/>
    <m/>
    <m/>
    <m/>
    <m/>
    <m/>
    <s v="NRIS"/>
    <m/>
    <n v="0"/>
    <n v="0"/>
    <x v="8"/>
    <m/>
    <m/>
    <m/>
    <n v="0"/>
    <n v="0"/>
    <n v="0"/>
    <n v="0"/>
  </r>
  <r>
    <s v="R5083"/>
    <x v="2"/>
    <d v="2025-09-30T00:00:00"/>
    <m/>
    <m/>
    <d v="2026-06-01T00:00:00"/>
    <s v="ENTERGY LOUISIANA, LLC"/>
    <s v="St. James"/>
    <m/>
    <m/>
    <s v="LA"/>
    <m/>
    <m/>
    <m/>
    <s v="ERIS"/>
    <s v="CHACKBAY - VACHERIE 230.0kV"/>
    <n v="135"/>
    <n v="135"/>
    <x v="2"/>
    <s v="Battery Storage"/>
    <m/>
    <m/>
    <n v="0"/>
    <n v="0"/>
    <n v="0"/>
    <n v="0"/>
  </r>
  <r>
    <s v="R5084"/>
    <x v="2"/>
    <d v="2025-11-04T00:00:00"/>
    <m/>
    <m/>
    <d v="2025-06-01T00:00:00"/>
    <s v="ENTERGY LOUISIANA, LLC ELTO"/>
    <s v="Iberville"/>
    <m/>
    <m/>
    <s v="LA"/>
    <m/>
    <m/>
    <m/>
    <s v="NRIS"/>
    <s v="DONALDSONVILLE - EVERGREEN 230.0kV"/>
    <n v="175"/>
    <n v="175"/>
    <x v="2"/>
    <s v="Battery Storage"/>
    <m/>
    <m/>
    <n v="0"/>
    <n v="0"/>
    <n v="0"/>
    <n v="0"/>
  </r>
  <r>
    <s v="R5085"/>
    <x v="2"/>
    <d v="2025-12-29T00:00:00"/>
    <m/>
    <m/>
    <d v="2026-09-30T00:00:00"/>
    <s v="AMERICAN TRANSMISSION COMPANY"/>
    <m/>
    <m/>
    <m/>
    <m/>
    <m/>
    <m/>
    <m/>
    <s v="NRIS"/>
    <m/>
    <n v="0"/>
    <n v="0"/>
    <x v="8"/>
    <m/>
    <m/>
    <m/>
    <n v="0"/>
    <n v="0"/>
    <n v="0"/>
    <n v="0"/>
  </r>
  <r>
    <s v="R5086"/>
    <x v="2"/>
    <d v="2025-10-17T00:00:00"/>
    <m/>
    <m/>
    <d v="2028-02-29T00:00:00"/>
    <m/>
    <s v="Pointe Coupee"/>
    <m/>
    <m/>
    <s v="LA"/>
    <m/>
    <m/>
    <m/>
    <s v="NRIS"/>
    <s v="Big Cajun II 500kV Substation"/>
    <n v="593"/>
    <n v="593"/>
    <x v="2"/>
    <s v="Battery Storage"/>
    <m/>
    <m/>
    <n v="0"/>
    <n v="0"/>
    <n v="0"/>
    <n v="0"/>
  </r>
  <r>
    <s v="R5087"/>
    <x v="2"/>
    <d v="2025-11-06T00:00:00"/>
    <m/>
    <m/>
    <d v="2027-06-01T00:00:00"/>
    <m/>
    <s v="Washington"/>
    <m/>
    <m/>
    <s v="IL"/>
    <m/>
    <m/>
    <m/>
    <s v="NRIS"/>
    <s v="4JORD - 4ASHLEY 138.0kV"/>
    <n v="185"/>
    <n v="185"/>
    <x v="2"/>
    <s v="Battery Storage"/>
    <m/>
    <m/>
    <n v="0"/>
    <n v="0"/>
    <n v="0"/>
    <n v="0"/>
  </r>
  <r>
    <s v="R5088"/>
    <x v="2"/>
    <d v="2025-11-18T00:00:00"/>
    <m/>
    <m/>
    <d v="2027-09-01T00:00:00"/>
    <s v="ENTERGY LOUISIANA, LLC"/>
    <s v="Calcasieu"/>
    <m/>
    <m/>
    <s v="LA"/>
    <m/>
    <m/>
    <m/>
    <s v="ERIS"/>
    <s v="GOOS FERRY"/>
    <n v="325"/>
    <n v="325"/>
    <x v="5"/>
    <s v="Solar/Battery"/>
    <m/>
    <m/>
    <n v="0"/>
    <n v="0"/>
    <n v="0"/>
    <n v="0"/>
  </r>
  <r>
    <s v="R5089"/>
    <x v="2"/>
    <d v="2026-01-01T00:00:00"/>
    <m/>
    <m/>
    <d v="2027-08-15T00:00:00"/>
    <s v="NORTHERN STATES POWER COMPANY"/>
    <m/>
    <m/>
    <m/>
    <m/>
    <m/>
    <m/>
    <m/>
    <s v="NRIS"/>
    <m/>
    <n v="0"/>
    <n v="0"/>
    <x v="8"/>
    <m/>
    <m/>
    <m/>
    <n v="0"/>
    <n v="0"/>
    <n v="0"/>
    <n v="0"/>
  </r>
  <r>
    <s v="R5090"/>
    <x v="2"/>
    <d v="2025-12-30T00:00:00"/>
    <m/>
    <m/>
    <d v="2028-12-31T00:00:00"/>
    <s v="NORTHERN STATES POWER COMPANY"/>
    <m/>
    <m/>
    <m/>
    <m/>
    <m/>
    <m/>
    <m/>
    <s v="NRIS"/>
    <m/>
    <n v="0"/>
    <n v="0"/>
    <x v="8"/>
    <m/>
    <m/>
    <m/>
    <n v="0"/>
    <n v="0"/>
    <n v="0"/>
    <n v="0"/>
  </r>
  <r>
    <s v="R5091"/>
    <x v="2"/>
    <d v="2026-01-09T00:00:00"/>
    <m/>
    <m/>
    <d v="2027-11-14T00:00:00"/>
    <s v="ENTERGY LOUISIANA, LLC ELTO"/>
    <m/>
    <m/>
    <m/>
    <m/>
    <m/>
    <m/>
    <m/>
    <s v="ERIS"/>
    <m/>
    <n v="0"/>
    <n v="0"/>
    <x v="8"/>
    <m/>
    <m/>
    <m/>
    <n v="0"/>
    <n v="0"/>
    <n v="0"/>
    <n v="0"/>
  </r>
  <r>
    <s v="R5092"/>
    <x v="2"/>
    <d v="2026-04-10T00:00:00"/>
    <m/>
    <m/>
    <d v="2024-06-30T00:00:00"/>
    <s v="NORTHERN STATES POWER COMPANY"/>
    <s v="Washington"/>
    <m/>
    <m/>
    <m/>
    <s v="NO_CYCLE"/>
    <s v="NO_GROUP"/>
    <m/>
    <s v="NRIS"/>
    <s v="4JORD - 4ASHLEY 138.0kV"/>
    <n v="185"/>
    <n v="185"/>
    <x v="8"/>
    <m/>
    <m/>
    <m/>
    <n v="0"/>
    <n v="0"/>
    <n v="0"/>
    <n v="0"/>
  </r>
  <r>
    <s v="R5093"/>
    <x v="2"/>
    <d v="2025-10-14T00:00:00"/>
    <m/>
    <m/>
    <d v="2023-04-01T00:00:00"/>
    <s v="ENTERGY LOUISIANA, LLC ELTO"/>
    <s v="St. James"/>
    <m/>
    <m/>
    <s v="LA"/>
    <s v="NO_CYCLE"/>
    <s v="NO_GROUP"/>
    <m/>
    <s v="NRIS"/>
    <s v="VACHERIE"/>
    <n v="200"/>
    <n v="200"/>
    <x v="2"/>
    <s v="Battery Storage"/>
    <m/>
    <m/>
    <n v="0"/>
    <n v="0"/>
    <n v="0"/>
    <n v="0"/>
  </r>
  <r>
    <s v="R5094"/>
    <x v="2"/>
    <d v="2026-01-03T00:00:00"/>
    <m/>
    <m/>
    <d v="2023-01-03T00:00:00"/>
    <m/>
    <m/>
    <m/>
    <m/>
    <m/>
    <s v="NO_CYCLE"/>
    <s v="NO_GROUP"/>
    <m/>
    <s v="NRIS"/>
    <m/>
    <n v="0"/>
    <n v="0"/>
    <x v="8"/>
    <m/>
    <m/>
    <m/>
    <n v="0"/>
    <n v="0"/>
    <n v="0"/>
    <n v="0"/>
  </r>
  <r>
    <s v="R5095"/>
    <x v="2"/>
    <d v="2026-01-03T00:00:00"/>
    <m/>
    <m/>
    <d v="2024-05-01T00:00:00"/>
    <m/>
    <m/>
    <m/>
    <m/>
    <m/>
    <s v="NO_CYCLE"/>
    <s v="NO_GROUP"/>
    <m/>
    <s v="NRIS"/>
    <m/>
    <n v="0"/>
    <n v="0"/>
    <x v="8"/>
    <m/>
    <m/>
    <m/>
    <n v="0"/>
    <n v="0"/>
    <n v="0"/>
    <n v="0"/>
  </r>
  <r>
    <s v="R5096"/>
    <x v="2"/>
    <d v="2026-03-17T00:00:00"/>
    <m/>
    <m/>
    <d v="2027-07-30T00:00:00"/>
    <m/>
    <s v="Mississippi"/>
    <m/>
    <m/>
    <m/>
    <s v="NO_CYCLE"/>
    <s v="NO_GROUP"/>
    <m/>
    <s v="ERIS"/>
    <s v="AECC Dell East - Blytheville Elm St 161 kV"/>
    <n v="0"/>
    <n v="0"/>
    <x v="8"/>
    <m/>
    <m/>
    <m/>
    <n v="0"/>
    <n v="0"/>
    <n v="0"/>
    <n v="0"/>
  </r>
  <r>
    <s v="R5097"/>
    <x v="2"/>
    <d v="2026-02-04T00:00:00"/>
    <m/>
    <m/>
    <d v="2027-12-01T00:00:00"/>
    <s v="ENTERGY LOUISIANA, LLC ELTO"/>
    <s v="Morehouse Parish"/>
    <m/>
    <m/>
    <m/>
    <s v="NO_CYCLE"/>
    <s v="NO_GROUP"/>
    <m/>
    <s v="ERIS"/>
    <s v="Sterlington - Bastrop 115 kV"/>
    <n v="0"/>
    <n v="0"/>
    <x v="8"/>
    <m/>
    <m/>
    <m/>
    <n v="0"/>
    <n v="0"/>
    <n v="0"/>
    <n v="0"/>
  </r>
  <r>
    <s v="R5098"/>
    <x v="2"/>
    <d v="2026-05-26T00:00:00"/>
    <m/>
    <m/>
    <d v="2028-06-30T00:00:00"/>
    <s v="ENTERGY ARKANSAS, LLC EATO"/>
    <m/>
    <m/>
    <m/>
    <m/>
    <s v="NO_CYCLE"/>
    <s v="NO_GROUP"/>
    <m/>
    <s v="NRIS"/>
    <m/>
    <n v="0"/>
    <n v="0"/>
    <x v="8"/>
    <m/>
    <m/>
    <m/>
    <n v="0"/>
    <n v="0"/>
    <n v="0"/>
    <n v="0"/>
  </r>
  <r>
    <s v="R5099"/>
    <x v="2"/>
    <d v="2026-07-22T00:00:00"/>
    <m/>
    <m/>
    <d v="2029-03-30T00:00:00"/>
    <s v="ENTERGY TEXAS, INC. ETTO"/>
    <s v="Liberty"/>
    <m/>
    <m/>
    <m/>
    <s v="NO_CYCLE"/>
    <s v="NO_GROUP"/>
    <m/>
    <s v="ERIS"/>
    <s v="Colony - Plum Grove 230 kV"/>
    <n v="0"/>
    <n v="0"/>
    <x v="8"/>
    <m/>
    <m/>
    <m/>
    <n v="0"/>
    <n v="0"/>
    <n v="0"/>
    <n v="0"/>
  </r>
  <r>
    <s v="S1000"/>
    <x v="0"/>
    <d v="2020-06-20T00:00:00"/>
    <m/>
    <m/>
    <m/>
    <m/>
    <m/>
    <m/>
    <m/>
    <s v="AR"/>
    <m/>
    <m/>
    <m/>
    <s v="SIS"/>
    <m/>
    <n v="10"/>
    <n v="10"/>
    <x v="8"/>
    <m/>
    <m/>
    <m/>
    <n v="0"/>
    <n v="0"/>
    <n v="0"/>
    <n v="0"/>
  </r>
  <r>
    <s v="S1001"/>
    <x v="0"/>
    <d v="2020-06-25T00:00:00"/>
    <d v="2024-06-07T00:00:00"/>
    <m/>
    <m/>
    <m/>
    <m/>
    <m/>
    <m/>
    <s v="IN"/>
    <m/>
    <m/>
    <m/>
    <s v="SIS"/>
    <m/>
    <n v="7.5"/>
    <n v="7.5"/>
    <x v="8"/>
    <m/>
    <m/>
    <m/>
    <n v="0"/>
    <n v="0"/>
    <n v="0"/>
    <n v="0"/>
  </r>
  <r>
    <s v="S1002"/>
    <x v="1"/>
    <d v="2020-10-01T00:00:00"/>
    <m/>
    <m/>
    <m/>
    <m/>
    <m/>
    <m/>
    <m/>
    <s v="MI"/>
    <m/>
    <m/>
    <m/>
    <s v="SIS"/>
    <m/>
    <n v="70"/>
    <n v="70"/>
    <x v="8"/>
    <m/>
    <m/>
    <m/>
    <n v="0"/>
    <n v="0"/>
    <n v="0"/>
    <n v="0"/>
  </r>
  <r>
    <s v="S1003"/>
    <x v="1"/>
    <d v="2020-11-06T00:00:00"/>
    <d v="2021-02-10T00:00:00"/>
    <m/>
    <m/>
    <s v="NORTHERN INDIANA PUBLIC SERVICE COMPANY LLC"/>
    <s v="White"/>
    <m/>
    <m/>
    <s v="IN"/>
    <m/>
    <m/>
    <m/>
    <s v="SIS"/>
    <s v="Reynolds 345KV substation"/>
    <n v="55"/>
    <n v="55"/>
    <x v="8"/>
    <m/>
    <m/>
    <m/>
    <n v="0"/>
    <n v="0"/>
    <n v="0"/>
    <n v="0"/>
  </r>
  <r>
    <s v="S1004"/>
    <x v="0"/>
    <d v="2020-10-28T00:00:00"/>
    <m/>
    <m/>
    <m/>
    <m/>
    <m/>
    <m/>
    <m/>
    <s v="IN"/>
    <m/>
    <m/>
    <m/>
    <s v="SIS"/>
    <m/>
    <n v="30"/>
    <n v="30"/>
    <x v="8"/>
    <m/>
    <m/>
    <m/>
    <n v="0"/>
    <n v="0"/>
    <n v="0"/>
    <n v="0"/>
  </r>
  <r>
    <s v="S1005"/>
    <x v="0"/>
    <d v="2021-04-02T00:00:00"/>
    <m/>
    <m/>
    <m/>
    <m/>
    <m/>
    <m/>
    <m/>
    <s v="WI"/>
    <m/>
    <m/>
    <m/>
    <s v="SIS"/>
    <m/>
    <n v="60"/>
    <n v="60"/>
    <x v="8"/>
    <m/>
    <m/>
    <m/>
    <n v="0"/>
    <n v="0"/>
    <n v="0"/>
    <n v="0"/>
  </r>
  <r>
    <s v="S1006"/>
    <x v="1"/>
    <d v="2021-04-02T00:00:00"/>
    <m/>
    <m/>
    <d v="2023-10-30T00:00:00"/>
    <s v="AMERICAN TRANSMISSION COMPANY"/>
    <m/>
    <m/>
    <m/>
    <s v="WI"/>
    <m/>
    <m/>
    <m/>
    <s v="SIS"/>
    <s v="REC Bradford - W. Darien 138kV Line"/>
    <n v="75"/>
    <n v="75"/>
    <x v="8"/>
    <m/>
    <m/>
    <m/>
    <n v="0"/>
    <n v="0"/>
    <n v="0"/>
    <n v="0"/>
  </r>
  <r>
    <s v="S1007"/>
    <x v="1"/>
    <d v="2021-07-08T00:00:00"/>
    <d v="2024-08-15T00:00:00"/>
    <m/>
    <d v="2022-10-01T00:00:00"/>
    <s v="ITC"/>
    <s v="Tuscola"/>
    <m/>
    <m/>
    <s v="MI"/>
    <m/>
    <m/>
    <m/>
    <s v="SIS"/>
    <s v="Atlanta ‚Äì Tuscola 120 kV line(265183)"/>
    <n v="70"/>
    <n v="70"/>
    <x v="8"/>
    <m/>
    <s v="Not Started"/>
    <m/>
    <n v="0"/>
    <n v="0"/>
    <n v="0"/>
    <n v="0"/>
  </r>
  <r>
    <s v="S1008"/>
    <x v="1"/>
    <d v="2021-08-04T00:00:00"/>
    <d v="2025-04-25T00:00:00"/>
    <m/>
    <d v="2022-12-31T00:00:00"/>
    <s v="DUKE ENERGY INDIANA, LLC"/>
    <m/>
    <m/>
    <m/>
    <s v="IN"/>
    <m/>
    <m/>
    <m/>
    <s v="SIS"/>
    <s v="Line Tap between Edwardsport and Amo 345kV"/>
    <n v="250"/>
    <n v="250"/>
    <x v="8"/>
    <m/>
    <m/>
    <m/>
    <n v="0"/>
    <n v="0"/>
    <n v="0"/>
    <n v="0"/>
  </r>
  <r>
    <s v="S1009"/>
    <x v="0"/>
    <d v="2021-08-17T00:00:00"/>
    <m/>
    <m/>
    <d v="2023-10-01T00:00:00"/>
    <s v="GREAT RIVER ENERGY"/>
    <m/>
    <m/>
    <m/>
    <s v="MN"/>
    <m/>
    <m/>
    <m/>
    <s v="SIS"/>
    <s v="Pleasant Valley 161kV Substation"/>
    <n v="258.92"/>
    <n v="258.92"/>
    <x v="8"/>
    <m/>
    <m/>
    <m/>
    <n v="0"/>
    <n v="0"/>
    <n v="0"/>
    <n v="0"/>
  </r>
  <r>
    <s v="S1010"/>
    <x v="1"/>
    <d v="2021-10-15T00:00:00"/>
    <m/>
    <m/>
    <d v="2021-09-01T00:00:00"/>
    <s v="METC"/>
    <s v="Gratiot"/>
    <m/>
    <m/>
    <s v="MI"/>
    <m/>
    <m/>
    <m/>
    <s v="SIS"/>
    <s v="Redstone138 kV Sub(256542)"/>
    <n v="50"/>
    <n v="50"/>
    <x v="8"/>
    <m/>
    <m/>
    <m/>
    <n v="0"/>
    <n v="0"/>
    <n v="0"/>
    <n v="0"/>
  </r>
  <r>
    <s v="S1011"/>
    <x v="1"/>
    <d v="2021-10-15T00:00:00"/>
    <m/>
    <m/>
    <d v="2023-09-01T00:00:00"/>
    <s v="METC"/>
    <s v="Gratiot"/>
    <m/>
    <m/>
    <s v="MI"/>
    <m/>
    <m/>
    <m/>
    <s v="SIS"/>
    <s v="Slate 345 kV Sub (256573)"/>
    <n v="100"/>
    <n v="100"/>
    <x v="8"/>
    <m/>
    <m/>
    <m/>
    <n v="0"/>
    <n v="0"/>
    <n v="0"/>
    <n v="0"/>
  </r>
  <r>
    <s v="S1012"/>
    <x v="1"/>
    <d v="2021-10-15T00:00:00"/>
    <m/>
    <m/>
    <m/>
    <s v="METC"/>
    <m/>
    <m/>
    <m/>
    <m/>
    <m/>
    <m/>
    <m/>
    <s v="SIS"/>
    <s v="Luce 138 kV Sub(256594)"/>
    <n v="80"/>
    <n v="80"/>
    <x v="8"/>
    <m/>
    <m/>
    <m/>
    <n v="0"/>
    <n v="0"/>
    <n v="0"/>
    <n v="0"/>
  </r>
  <r>
    <s v="S1013"/>
    <x v="0"/>
    <d v="2022-01-26T00:00:00"/>
    <m/>
    <m/>
    <d v="2023-10-01T00:00:00"/>
    <s v="ITC MIDWEST"/>
    <m/>
    <m/>
    <m/>
    <s v="MN"/>
    <m/>
    <m/>
    <m/>
    <s v="SIS"/>
    <s v="Lakefield Junction 345kV"/>
    <n v="200"/>
    <n v="200"/>
    <x v="8"/>
    <m/>
    <m/>
    <d v="2026-06-30T00:00:00"/>
    <n v="0"/>
    <n v="0"/>
    <n v="0"/>
    <n v="0"/>
  </r>
  <r>
    <s v="S1014"/>
    <x v="0"/>
    <d v="2022-03-09T00:00:00"/>
    <m/>
    <m/>
    <d v="2025-10-31T00:00:00"/>
    <s v="MONTANA-DAKOTA UTILITIES CO."/>
    <m/>
    <m/>
    <m/>
    <s v="ND"/>
    <m/>
    <m/>
    <m/>
    <s v="SIS"/>
    <s v="Merricourt Wind 230kV"/>
    <n v="9"/>
    <n v="9"/>
    <x v="8"/>
    <m/>
    <m/>
    <d v="2028-09-01T00:00:00"/>
    <n v="0"/>
    <n v="0"/>
    <n v="0"/>
    <n v="0"/>
  </r>
  <r>
    <s v="S1015"/>
    <x v="2"/>
    <d v="2022-04-11T00:00:00"/>
    <m/>
    <m/>
    <d v="2025-11-01T00:00:00"/>
    <s v="AMERICAN TRANSMISSION COMPANY"/>
    <s v="Delta"/>
    <m/>
    <m/>
    <s v="MI"/>
    <m/>
    <m/>
    <m/>
    <s v="SIS"/>
    <s v="Garden Corners 138kV"/>
    <n v="55"/>
    <n v="55"/>
    <x v="8"/>
    <m/>
    <m/>
    <m/>
    <n v="0"/>
    <n v="0"/>
    <n v="0"/>
    <n v="0"/>
  </r>
  <r>
    <s v="S1016"/>
    <x v="0"/>
    <d v="2022-04-15T00:00:00"/>
    <m/>
    <m/>
    <d v="2022-06-01T00:00:00"/>
    <s v="AMERICAN TRANSMISSION COMPANY"/>
    <m/>
    <m/>
    <m/>
    <s v="WI"/>
    <m/>
    <m/>
    <m/>
    <s v="SIS"/>
    <s v="Lone Rock 69kV"/>
    <n v="25"/>
    <n v="25"/>
    <x v="8"/>
    <m/>
    <m/>
    <m/>
    <n v="0"/>
    <n v="0"/>
    <n v="0"/>
    <n v="0"/>
  </r>
  <r>
    <s v="S1017"/>
    <x v="0"/>
    <d v="2022-04-11T00:00:00"/>
    <m/>
    <m/>
    <d v="2023-06-01T00:00:00"/>
    <s v="AMERICAN TRANSMISSION COMPANY"/>
    <m/>
    <m/>
    <m/>
    <s v="WI"/>
    <m/>
    <m/>
    <m/>
    <s v="SIS"/>
    <s v="Tennyson 138kV"/>
    <n v="100"/>
    <n v="100"/>
    <x v="8"/>
    <m/>
    <m/>
    <m/>
    <n v="0"/>
    <n v="0"/>
    <n v="0"/>
    <n v="0"/>
  </r>
  <r>
    <s v="S1018"/>
    <x v="0"/>
    <d v="2022-04-20T00:00:00"/>
    <m/>
    <m/>
    <d v="2022-06-01T00:00:00"/>
    <s v="AMERICAN TRANSMISSION COMPANY"/>
    <m/>
    <m/>
    <m/>
    <s v="MI"/>
    <m/>
    <m/>
    <m/>
    <s v="SIS"/>
    <s v="7 Mile Creek 138kV"/>
    <n v="75"/>
    <n v="75"/>
    <x v="8"/>
    <m/>
    <m/>
    <m/>
    <n v="0"/>
    <n v="0"/>
    <n v="0"/>
    <n v="0"/>
  </r>
  <r>
    <s v="S1019"/>
    <x v="0"/>
    <d v="2022-04-25T00:00:00"/>
    <m/>
    <m/>
    <d v="2023-09-01T00:00:00"/>
    <s v="METC"/>
    <m/>
    <m/>
    <m/>
    <s v="MI"/>
    <m/>
    <m/>
    <m/>
    <s v="SIS"/>
    <s v="Redstone 138kV"/>
    <n v="50"/>
    <n v="50"/>
    <x v="8"/>
    <m/>
    <m/>
    <m/>
    <n v="0"/>
    <n v="0"/>
    <n v="0"/>
    <n v="0"/>
  </r>
  <r>
    <s v="S1020"/>
    <x v="0"/>
    <d v="2022-04-25T00:00:00"/>
    <m/>
    <d v="2022-06-20T00:00:00"/>
    <d v="2023-09-01T00:00:00"/>
    <s v="METC"/>
    <s v="Gratiot"/>
    <m/>
    <m/>
    <s v="MI"/>
    <m/>
    <m/>
    <m/>
    <s v="SIS"/>
    <s v="Slate Substation 345kV"/>
    <n v="100"/>
    <n v="100"/>
    <x v="8"/>
    <m/>
    <m/>
    <m/>
    <n v="0"/>
    <n v="0"/>
    <n v="0"/>
    <n v="0"/>
  </r>
  <r>
    <s v="S1021"/>
    <x v="0"/>
    <d v="2022-04-25T00:00:00"/>
    <m/>
    <d v="2022-05-17T00:00:00"/>
    <d v="2023-09-01T00:00:00"/>
    <s v="METC"/>
    <s v="Gratiot"/>
    <m/>
    <m/>
    <s v="MI"/>
    <m/>
    <m/>
    <m/>
    <s v="SIS"/>
    <s v="Luce Substation"/>
    <n v="80"/>
    <n v="80"/>
    <x v="8"/>
    <m/>
    <m/>
    <m/>
    <n v="0"/>
    <n v="0"/>
    <n v="0"/>
    <n v="0"/>
  </r>
  <r>
    <s v="S1022"/>
    <x v="0"/>
    <d v="2022-05-02T00:00:00"/>
    <m/>
    <m/>
    <d v="2023-10-11T00:00:00"/>
    <s v="DUKE ENERGY INDIANA, LLC CIN"/>
    <s v="Pike"/>
    <m/>
    <m/>
    <s v="IN"/>
    <m/>
    <m/>
    <m/>
    <s v="SIS"/>
    <s v="PETEUA31 4.14kV"/>
    <n v="3"/>
    <n v="3"/>
    <x v="8"/>
    <m/>
    <m/>
    <m/>
    <n v="0"/>
    <n v="0"/>
    <n v="0"/>
    <n v="0"/>
  </r>
  <r>
    <s v="S1023"/>
    <x v="2"/>
    <d v="2022-05-16T00:00:00"/>
    <m/>
    <m/>
    <d v="2023-03-27T00:00:00"/>
    <s v="AMERICAN TRANSMISSION COMPANY"/>
    <s v="Grant"/>
    <m/>
    <m/>
    <s v="WI"/>
    <m/>
    <m/>
    <m/>
    <s v="SIS"/>
    <s v="Nelson Dewey - Lancaster 138kV"/>
    <n v="25"/>
    <n v="25"/>
    <x v="8"/>
    <m/>
    <m/>
    <m/>
    <n v="0"/>
    <n v="0"/>
    <n v="0"/>
    <n v="0"/>
  </r>
  <r>
    <s v="S1024"/>
    <x v="2"/>
    <d v="2022-05-16T00:00:00"/>
    <m/>
    <m/>
    <d v="2023-01-26T00:00:00"/>
    <s v="AMERICAN TRANSMISSION COMPANY"/>
    <s v="Waushara"/>
    <m/>
    <m/>
    <s v="WI"/>
    <m/>
    <m/>
    <m/>
    <s v="SIS"/>
    <s v="Wautoma 138kV"/>
    <n v="50"/>
    <n v="50"/>
    <x v="8"/>
    <m/>
    <m/>
    <m/>
    <n v="0"/>
    <n v="0"/>
    <n v="0"/>
    <n v="0"/>
  </r>
  <r>
    <s v="S1025"/>
    <x v="0"/>
    <d v="2022-05-16T00:00:00"/>
    <m/>
    <m/>
    <d v="2022-06-01T00:00:00"/>
    <s v="AMERICAN TRANSMISSION COMPANY"/>
    <s v="Rock"/>
    <m/>
    <m/>
    <s v="WI"/>
    <m/>
    <m/>
    <m/>
    <s v="SIS"/>
    <s v="Sheepskin 69kV"/>
    <n v="25"/>
    <n v="25"/>
    <x v="8"/>
    <m/>
    <m/>
    <m/>
    <n v="0"/>
    <n v="0"/>
    <n v="0"/>
    <n v="0"/>
  </r>
  <r>
    <s v="S1026"/>
    <x v="2"/>
    <d v="2022-05-26T00:00:00"/>
    <m/>
    <d v="2022-10-31T00:00:00"/>
    <d v="2022-07-01T00:00:00"/>
    <s v="SOUTHERN INDIANA GAS &amp; ELECTRIC COMPANY D/B/A CENTERPOINT ENERGY INDIANA SOUTH"/>
    <s v="Dubois"/>
    <m/>
    <m/>
    <s v="IN"/>
    <m/>
    <m/>
    <m/>
    <s v="SIS"/>
    <s v="Dubois - Culley 138kV line"/>
    <n v="50"/>
    <n v="50"/>
    <x v="8"/>
    <m/>
    <m/>
    <m/>
    <n v="0"/>
    <n v="0"/>
    <n v="0"/>
    <n v="0"/>
  </r>
  <r>
    <s v="S1027"/>
    <x v="0"/>
    <d v="2022-05-26T00:00:00"/>
    <m/>
    <m/>
    <m/>
    <s v="NORTHERN INDIANA PUBLIC SERVICE COMPANY LLC"/>
    <s v="Lake County"/>
    <m/>
    <m/>
    <s v="IN"/>
    <m/>
    <m/>
    <m/>
    <s v="SIS"/>
    <m/>
    <n v="50"/>
    <n v="50"/>
    <x v="8"/>
    <m/>
    <m/>
    <d v="2028-05-31T00:00:00"/>
    <n v="0"/>
    <n v="0"/>
    <n v="0"/>
    <n v="0"/>
  </r>
  <r>
    <s v="S1028"/>
    <x v="0"/>
    <d v="2022-05-31T00:00:00"/>
    <m/>
    <m/>
    <m/>
    <s v="NORTHERN INDIANA PUBLIC SERVICE COMPANY LLC"/>
    <s v="White"/>
    <m/>
    <m/>
    <s v="IN"/>
    <m/>
    <m/>
    <m/>
    <s v="SIS"/>
    <s v="Reynolds - Burr Oak 345kV Line"/>
    <n v="60"/>
    <n v="60"/>
    <x v="8"/>
    <m/>
    <m/>
    <m/>
    <n v="0"/>
    <n v="0"/>
    <n v="0"/>
    <n v="0"/>
  </r>
  <r>
    <s v="S1029"/>
    <x v="1"/>
    <d v="2022-06-03T00:00:00"/>
    <m/>
    <m/>
    <d v="2024-02-01T00:00:00"/>
    <m/>
    <s v="Mclean"/>
    <m/>
    <m/>
    <s v="IL"/>
    <m/>
    <m/>
    <m/>
    <s v="SIS"/>
    <s v="Aster Substation"/>
    <n v="99"/>
    <n v="99"/>
    <x v="8"/>
    <m/>
    <m/>
    <m/>
    <n v="0"/>
    <n v="0"/>
    <n v="0"/>
    <n v="0"/>
  </r>
  <r>
    <s v="S1030"/>
    <x v="1"/>
    <d v="2022-06-13T00:00:00"/>
    <m/>
    <m/>
    <d v="2024-02-01T00:00:00"/>
    <m/>
    <s v="Fayette"/>
    <m/>
    <m/>
    <s v="IL"/>
    <m/>
    <m/>
    <m/>
    <s v="SIS"/>
    <m/>
    <n v="99"/>
    <n v="99"/>
    <x v="8"/>
    <m/>
    <m/>
    <m/>
    <n v="0"/>
    <n v="0"/>
    <n v="0"/>
    <n v="0"/>
  </r>
  <r>
    <s v="S1031"/>
    <x v="2"/>
    <d v="2022-08-19T00:00:00"/>
    <m/>
    <m/>
    <d v="2025-07-30T00:00:00"/>
    <s v="METC"/>
    <s v="Isabella"/>
    <m/>
    <m/>
    <s v="MI"/>
    <m/>
    <m/>
    <m/>
    <s v="SIS"/>
    <s v="Salt River Substation 138kV"/>
    <n v="90"/>
    <n v="90"/>
    <x v="8"/>
    <m/>
    <m/>
    <m/>
    <n v="0"/>
    <n v="0"/>
    <n v="0"/>
    <n v="0"/>
  </r>
  <r>
    <s v="S1032"/>
    <x v="2"/>
    <d v="2022-08-19T00:00:00"/>
    <m/>
    <m/>
    <d v="2025-07-30T00:00:00"/>
    <s v="METC"/>
    <s v="Isabella County"/>
    <m/>
    <m/>
    <m/>
    <m/>
    <m/>
    <m/>
    <s v="SIS"/>
    <s v="Salt River Substation 138kV"/>
    <n v="90"/>
    <n v="90"/>
    <x v="8"/>
    <m/>
    <m/>
    <m/>
    <n v="0"/>
    <n v="0"/>
    <n v="0"/>
    <n v="0"/>
  </r>
  <r>
    <s v="S1033"/>
    <x v="2"/>
    <d v="2022-08-15T00:00:00"/>
    <m/>
    <m/>
    <d v="2023-07-05T00:00:00"/>
    <s v="AMERICAN TRANSMISSION COMPANY"/>
    <s v="Green"/>
    <m/>
    <m/>
    <s v="WI"/>
    <m/>
    <m/>
    <m/>
    <s v="SIS"/>
    <s v="Bass Creek ‚Äì Albany ‚Äì North Monroe 138 kV"/>
    <n v="25"/>
    <n v="25"/>
    <x v="8"/>
    <m/>
    <m/>
    <m/>
    <n v="0"/>
    <n v="0"/>
    <n v="0"/>
    <n v="0"/>
  </r>
  <r>
    <s v="S1034"/>
    <x v="2"/>
    <d v="2022-08-15T00:00:00"/>
    <m/>
    <m/>
    <d v="2023-06-06T00:00:00"/>
    <s v="AMERICAN TRANSMISSION COMPANY"/>
    <s v="Dodge"/>
    <m/>
    <m/>
    <s v="WI"/>
    <m/>
    <m/>
    <m/>
    <s v="SIS"/>
    <s v="North Beaver Dam 69kV - Bus 698222"/>
    <n v="25"/>
    <n v="25"/>
    <x v="8"/>
    <m/>
    <m/>
    <m/>
    <n v="0"/>
    <n v="0"/>
    <n v="0"/>
    <n v="0"/>
  </r>
  <r>
    <s v="S1035"/>
    <x v="2"/>
    <d v="2022-08-15T00:00:00"/>
    <m/>
    <m/>
    <d v="2023-07-01T00:00:00"/>
    <s v="AMERICAN TRANSMISSION COMPANY"/>
    <s v="Rock"/>
    <m/>
    <m/>
    <s v="WI"/>
    <m/>
    <m/>
    <m/>
    <s v="SIS"/>
    <s v="Townline Rd. - Paddock 138kV"/>
    <n v="33"/>
    <n v="33"/>
    <x v="8"/>
    <m/>
    <m/>
    <m/>
    <n v="0"/>
    <n v="0"/>
    <n v="0"/>
    <n v="0"/>
  </r>
  <r>
    <s v="S1036"/>
    <x v="0"/>
    <d v="2022-09-09T00:00:00"/>
    <m/>
    <m/>
    <d v="2025-05-31T00:00:00"/>
    <s v="GREAT RIVER ENERGY"/>
    <s v="McLean"/>
    <m/>
    <m/>
    <s v="ND"/>
    <m/>
    <m/>
    <m/>
    <s v="SIS"/>
    <s v="Dickinson 345 kV, Buffalo, MN"/>
    <n v="400"/>
    <n v="400"/>
    <x v="8"/>
    <m/>
    <m/>
    <m/>
    <n v="0"/>
    <n v="0"/>
    <n v="0"/>
    <n v="0"/>
  </r>
  <r>
    <s v="S1037"/>
    <x v="1"/>
    <d v="2022-10-26T00:00:00"/>
    <d v="2023-03-22T00:00:00"/>
    <m/>
    <m/>
    <m/>
    <m/>
    <m/>
    <m/>
    <m/>
    <m/>
    <m/>
    <m/>
    <s v="SIS"/>
    <m/>
    <n v="50.4"/>
    <n v="50.4"/>
    <x v="8"/>
    <m/>
    <m/>
    <m/>
    <n v="0"/>
    <n v="0"/>
    <n v="0"/>
    <n v="0"/>
  </r>
  <r>
    <s v="S1038"/>
    <x v="1"/>
    <d v="2022-12-07T00:00:00"/>
    <m/>
    <m/>
    <d v="2025-02-01T00:00:00"/>
    <s v="ITC"/>
    <s v="Shiawassee"/>
    <m/>
    <m/>
    <s v="MI"/>
    <m/>
    <m/>
    <m/>
    <s v="SIS"/>
    <s v="Gross 138kV"/>
    <n v="50"/>
    <n v="50"/>
    <x v="8"/>
    <m/>
    <m/>
    <m/>
    <n v="0"/>
    <n v="0"/>
    <n v="0"/>
    <n v="0"/>
  </r>
  <r>
    <s v="S1039"/>
    <x v="0"/>
    <d v="2022-09-01T00:00:00"/>
    <m/>
    <m/>
    <d v="2025-06-30T00:00:00"/>
    <m/>
    <s v="Polk"/>
    <m/>
    <m/>
    <s v="WI"/>
    <m/>
    <m/>
    <m/>
    <s v="SIS"/>
    <s v="Apple River 161kV"/>
    <n v="100"/>
    <n v="100"/>
    <x v="8"/>
    <m/>
    <m/>
    <m/>
    <n v="0"/>
    <n v="0"/>
    <n v="0"/>
    <n v="0"/>
  </r>
  <r>
    <s v="S1040"/>
    <x v="0"/>
    <d v="2022-12-16T00:00:00"/>
    <m/>
    <m/>
    <d v="2026-04-23T00:00:00"/>
    <s v="AMEREN ILLINOIS"/>
    <s v="McLean"/>
    <m/>
    <m/>
    <s v="IL"/>
    <m/>
    <m/>
    <m/>
    <s v="SIS"/>
    <s v="Gibson City South (347114)"/>
    <n v="135"/>
    <n v="135"/>
    <x v="8"/>
    <m/>
    <m/>
    <m/>
    <n v="0"/>
    <n v="0"/>
    <n v="0"/>
    <n v="0"/>
  </r>
  <r>
    <s v="S1041"/>
    <x v="0"/>
    <d v="2023-05-19T00:00:00"/>
    <m/>
    <m/>
    <d v="2026-04-23T00:00:00"/>
    <s v="AMEREN ILLINOIS"/>
    <s v="Ford"/>
    <m/>
    <m/>
    <s v="IL"/>
    <m/>
    <m/>
    <m/>
    <s v="SIS"/>
    <s v="Gibson City South (347114)"/>
    <n v="135"/>
    <n v="135"/>
    <x v="8"/>
    <m/>
    <m/>
    <m/>
    <n v="0"/>
    <n v="0"/>
    <n v="0"/>
    <n v="0"/>
  </r>
  <r>
    <s v="S1042"/>
    <x v="1"/>
    <d v="2022-12-20T00:00:00"/>
    <m/>
    <m/>
    <m/>
    <m/>
    <m/>
    <m/>
    <m/>
    <m/>
    <m/>
    <m/>
    <m/>
    <s v="SIS"/>
    <m/>
    <n v="100"/>
    <n v="100"/>
    <x v="8"/>
    <m/>
    <m/>
    <m/>
    <n v="0"/>
    <n v="0"/>
    <n v="0"/>
    <n v="0"/>
  </r>
  <r>
    <s v="S1043"/>
    <x v="0"/>
    <d v="2023-04-17T00:00:00"/>
    <m/>
    <m/>
    <d v="2024-04-07T00:00:00"/>
    <s v="SOUTHERN INDIANA GAS &amp; ELECTRIC COMPANY D/B/A CENTERPOINT ENERGY INDIANA SOUTH"/>
    <s v="Dubois"/>
    <m/>
    <m/>
    <s v="IN"/>
    <m/>
    <m/>
    <m/>
    <s v="SIS"/>
    <s v="Culley to Dubois 138kV tap"/>
    <n v="50"/>
    <n v="50"/>
    <x v="8"/>
    <m/>
    <m/>
    <m/>
    <n v="0"/>
    <n v="0"/>
    <n v="0"/>
    <n v="0"/>
  </r>
  <r>
    <s v="S1044"/>
    <x v="2"/>
    <d v="2023-04-17T00:00:00"/>
    <m/>
    <m/>
    <d v="2024-04-07T00:00:00"/>
    <s v="NORTHERN INDIANA PUBLIC SERVICE COMPANY LLC NIPS"/>
    <s v="Lake"/>
    <m/>
    <m/>
    <s v="IN"/>
    <m/>
    <m/>
    <m/>
    <s v="SIS"/>
    <s v="Green Acres 138 kV Substation (43684)"/>
    <n v="50"/>
    <n v="50"/>
    <x v="8"/>
    <m/>
    <m/>
    <m/>
    <n v="0"/>
    <n v="0"/>
    <n v="0"/>
    <n v="0"/>
  </r>
  <r>
    <s v="S1045"/>
    <x v="0"/>
    <d v="2023-09-17T00:00:00"/>
    <m/>
    <m/>
    <d v="2024-03-02T00:00:00"/>
    <s v="MONTANA-DAKOTA UTILITIES CO."/>
    <s v="Emmons"/>
    <m/>
    <m/>
    <s v="ND"/>
    <m/>
    <m/>
    <m/>
    <s v="SIS"/>
    <s v="Napoleon SW 230 kV (661091)"/>
    <n v="170"/>
    <n v="170"/>
    <x v="8"/>
    <m/>
    <m/>
    <m/>
    <n v="0"/>
    <n v="0"/>
    <n v="0"/>
    <n v="0"/>
  </r>
  <r>
    <s v="S1046"/>
    <x v="0"/>
    <d v="2023-10-13T00:00:00"/>
    <m/>
    <m/>
    <d v="2026-11-01T00:00:00"/>
    <s v="OTTER TAIL POWER COMPANY"/>
    <s v="Codington"/>
    <m/>
    <m/>
    <s v="SD"/>
    <m/>
    <m/>
    <m/>
    <s v="SIS"/>
    <s v="Big Stone South 230kV"/>
    <n v="120"/>
    <n v="120"/>
    <x v="8"/>
    <m/>
    <m/>
    <m/>
    <n v="0"/>
    <n v="0"/>
    <n v="0"/>
    <n v="0"/>
  </r>
  <r>
    <s v="S1047"/>
    <x v="2"/>
    <d v="2023-10-13T00:00:00"/>
    <m/>
    <m/>
    <d v="2026-11-01T00:00:00"/>
    <s v="OTTER TAIL POWER COMPANY OTP"/>
    <s v="Codington"/>
    <m/>
    <m/>
    <s v="SD"/>
    <s v="NO_CYCLE"/>
    <s v="NO_GROUP"/>
    <m/>
    <s v="SIS"/>
    <s v="Big Stone South 230kV"/>
    <n v="120"/>
    <n v="120"/>
    <x v="8"/>
    <m/>
    <m/>
    <m/>
    <n v="0"/>
    <n v="0"/>
    <n v="0"/>
    <n v="0"/>
  </r>
  <r>
    <s v="S1048"/>
    <x v="0"/>
    <d v="2023-10-30T00:00:00"/>
    <m/>
    <m/>
    <d v="2025-05-01T00:00:00"/>
    <s v="AMEREN ILLINOIS"/>
    <s v="Logan"/>
    <m/>
    <m/>
    <s v="IL"/>
    <m/>
    <m/>
    <m/>
    <s v="SIS"/>
    <s v="Fogarty Substation 138kV"/>
    <n v="40"/>
    <n v="40"/>
    <x v="8"/>
    <m/>
    <m/>
    <m/>
    <n v="0"/>
    <n v="0"/>
    <n v="0"/>
    <n v="0"/>
  </r>
  <r>
    <s v="S1049"/>
    <x v="1"/>
    <d v="2024-04-04T00:00:00"/>
    <m/>
    <m/>
    <d v="2026-08-30T00:00:00"/>
    <s v="ENTERGY MISSISSIPPI, LLC."/>
    <s v="Sunflower"/>
    <m/>
    <m/>
    <s v="MS"/>
    <m/>
    <m/>
    <m/>
    <s v="SIS"/>
    <s v="Shaw to Indianola 115kV Line Tap"/>
    <n v="80"/>
    <n v="80"/>
    <x v="8"/>
    <m/>
    <m/>
    <m/>
    <n v="0"/>
    <n v="0"/>
    <n v="0"/>
    <n v="0"/>
  </r>
  <r>
    <s v="S1050"/>
    <x v="1"/>
    <d v="2024-04-04T00:00:00"/>
    <d v="2024-07-12T00:00:00"/>
    <m/>
    <d v="2026-05-31T00:00:00"/>
    <s v="ENTERGY LOUISIANA, LLC"/>
    <s v="Jefferson Davies"/>
    <m/>
    <m/>
    <s v="LA"/>
    <m/>
    <m/>
    <m/>
    <s v="SIS"/>
    <s v="Lake Charles Bulk 38kV Tap"/>
    <n v="165"/>
    <n v="165"/>
    <x v="8"/>
    <m/>
    <m/>
    <m/>
    <n v="0"/>
    <n v="0"/>
    <n v="0"/>
    <n v="0"/>
  </r>
  <r>
    <s v="S1051"/>
    <x v="0"/>
    <d v="2024-06-03T00:00:00"/>
    <m/>
    <m/>
    <d v="2029-03-15T00:00:00"/>
    <s v="ITC MIDWEST"/>
    <s v="Worth"/>
    <m/>
    <m/>
    <s v="IA"/>
    <m/>
    <m/>
    <m/>
    <s v="SIS"/>
    <s v="Worth County Substation 161kV"/>
    <n v="80"/>
    <n v="80"/>
    <x v="8"/>
    <m/>
    <m/>
    <m/>
    <n v="0"/>
    <n v="0"/>
    <n v="0"/>
    <n v="0"/>
  </r>
  <r>
    <s v="S1052"/>
    <x v="2"/>
    <d v="2024-06-14T00:00:00"/>
    <m/>
    <m/>
    <d v="2026-09-22T00:00:00"/>
    <s v="AMEREN ILLINOIS"/>
    <s v="Cumberland"/>
    <m/>
    <m/>
    <s v="IL"/>
    <m/>
    <m/>
    <m/>
    <s v="SIS"/>
    <s v="Neoga South 138kV"/>
    <n v="150"/>
    <n v="150"/>
    <x v="8"/>
    <m/>
    <m/>
    <m/>
    <n v="0"/>
    <n v="0"/>
    <n v="0"/>
    <n v="0"/>
  </r>
  <r>
    <s v="S1053"/>
    <x v="2"/>
    <d v="2024-07-09T00:00:00"/>
    <m/>
    <m/>
    <d v="2026-10-01T00:00:00"/>
    <s v="NORTHERN STATES POWER COMPANY"/>
    <s v="Chisago"/>
    <m/>
    <m/>
    <s v="MN"/>
    <m/>
    <m/>
    <m/>
    <s v="SIS"/>
    <s v="Chisago County Substation"/>
    <n v="100"/>
    <n v="100"/>
    <x v="8"/>
    <m/>
    <m/>
    <m/>
    <n v="0"/>
    <n v="0"/>
    <n v="0"/>
    <n v="0"/>
  </r>
  <r>
    <s v="S1054"/>
    <x v="2"/>
    <d v="2024-07-19T00:00:00"/>
    <m/>
    <m/>
    <d v="2027-10-30T00:00:00"/>
    <s v="NORTHERN STATES POWER COMPANY"/>
    <s v="Cottonwood"/>
    <m/>
    <m/>
    <s v="MN"/>
    <m/>
    <m/>
    <m/>
    <s v="SIS"/>
    <s v="Lakefield Junction 345kV"/>
    <n v="300"/>
    <n v="300"/>
    <x v="8"/>
    <m/>
    <m/>
    <m/>
    <n v="0"/>
    <n v="0"/>
    <n v="0"/>
    <n v="0"/>
  </r>
  <r>
    <s v="S1055"/>
    <x v="2"/>
    <d v="2024-07-09T00:00:00"/>
    <m/>
    <m/>
    <d v="2026-08-01T00:00:00"/>
    <s v="OTTER TAIL POWER COMPANY OTP"/>
    <s v="Beltrami"/>
    <m/>
    <m/>
    <s v="MN"/>
    <m/>
    <m/>
    <m/>
    <s v="SIS"/>
    <s v="Wilton (endpoint 1) to Bagley (endpoint 2) 115kV"/>
    <n v="50"/>
    <n v="50"/>
    <x v="8"/>
    <m/>
    <m/>
    <m/>
    <n v="0"/>
    <n v="0"/>
    <n v="0"/>
    <n v="0"/>
  </r>
  <r>
    <s v="S1056"/>
    <x v="1"/>
    <d v="2024-07-15T00:00:00"/>
    <d v="2025-04-09T00:00:00"/>
    <m/>
    <d v="2026-06-01T00:00:00"/>
    <s v="AMERICAN TRANSMISSION COMPANY"/>
    <s v="Columbia"/>
    <m/>
    <m/>
    <s v="WI"/>
    <m/>
    <m/>
    <m/>
    <s v="SIS"/>
    <s v="Columbia 345kV"/>
    <n v="20"/>
    <n v="20"/>
    <x v="8"/>
    <m/>
    <m/>
    <m/>
    <n v="0"/>
    <n v="0"/>
    <n v="0"/>
    <n v="0"/>
  </r>
  <r>
    <s v="S1057"/>
    <x v="2"/>
    <d v="2024-07-15T00:00:00"/>
    <m/>
    <m/>
    <d v="2027-07-11T00:00:00"/>
    <s v="AMEREN ILLINOIS"/>
    <s v="Cumberland and Coles"/>
    <m/>
    <m/>
    <s v="IL"/>
    <m/>
    <m/>
    <m/>
    <s v="SIS"/>
    <s v="Neoga South"/>
    <n v="210"/>
    <n v="210"/>
    <x v="8"/>
    <m/>
    <m/>
    <m/>
    <n v="0"/>
    <n v="0"/>
    <n v="0"/>
    <n v="0"/>
  </r>
  <r>
    <s v="S1058"/>
    <x v="0"/>
    <m/>
    <m/>
    <m/>
    <d v="2026-08-01T00:00:00"/>
    <s v="METC"/>
    <s v="Calhoun"/>
    <m/>
    <m/>
    <s v="MI"/>
    <m/>
    <m/>
    <m/>
    <s v="SIS"/>
    <s v="Stonehill Substation 138kV"/>
    <n v="100"/>
    <n v="100"/>
    <x v="8"/>
    <m/>
    <m/>
    <d v="2022-03-30T00:00:00"/>
    <n v="0"/>
    <n v="0"/>
    <n v="0"/>
    <n v="0"/>
  </r>
  <r>
    <s v="S1059"/>
    <x v="0"/>
    <d v="2024-07-26T00:00:00"/>
    <m/>
    <m/>
    <d v="2027-01-30T00:00:00"/>
    <s v="ITC"/>
    <s v="Tuscola"/>
    <m/>
    <m/>
    <s v="MI"/>
    <m/>
    <m/>
    <m/>
    <s v="SIS"/>
    <s v="Dixon 120kV - Bus # 265182"/>
    <n v="100.3"/>
    <n v="100.3"/>
    <x v="8"/>
    <m/>
    <m/>
    <d v="2013-11-18T00:00:00"/>
    <n v="0"/>
    <n v="0"/>
    <n v="0"/>
    <n v="0"/>
  </r>
  <r>
    <s v="S1060"/>
    <x v="0"/>
    <d v="2024-07-25T00:00:00"/>
    <m/>
    <m/>
    <d v="2026-02-01T00:00:00"/>
    <s v="METC"/>
    <s v="Shiawasse"/>
    <m/>
    <m/>
    <s v="MI"/>
    <m/>
    <m/>
    <m/>
    <s v="SIS"/>
    <s v="Gross 138kV - Bus #256155"/>
    <n v="149"/>
    <n v="149"/>
    <x v="8"/>
    <m/>
    <m/>
    <m/>
    <n v="0"/>
    <n v="0"/>
    <n v="0"/>
    <n v="0"/>
  </r>
  <r>
    <s v="S1061"/>
    <x v="2"/>
    <d v="2024-08-01T00:00:00"/>
    <m/>
    <m/>
    <d v="2026-09-30T00:00:00"/>
    <s v="METC"/>
    <s v="Midland"/>
    <m/>
    <m/>
    <s v="MI"/>
    <m/>
    <m/>
    <m/>
    <s v="SIS"/>
    <s v="Redstone 138 kV - Bus #256543"/>
    <n v="50"/>
    <n v="50"/>
    <x v="8"/>
    <m/>
    <m/>
    <d v="2026-09-30T00:00:00"/>
    <n v="0"/>
    <n v="0"/>
    <n v="0"/>
    <n v="0"/>
  </r>
  <r>
    <s v="S1062"/>
    <x v="0"/>
    <d v="2024-08-15T00:00:00"/>
    <m/>
    <m/>
    <d v="2026-10-15T00:00:00"/>
    <s v="METC"/>
    <s v="Branch"/>
    <m/>
    <m/>
    <s v="MI"/>
    <m/>
    <m/>
    <m/>
    <s v="SIS"/>
    <s v="New Byers 138kV"/>
    <n v="75"/>
    <n v="75"/>
    <x v="8"/>
    <m/>
    <m/>
    <m/>
    <n v="0"/>
    <n v="0"/>
    <n v="0"/>
    <n v="0"/>
  </r>
  <r>
    <s v="S1063"/>
    <x v="0"/>
    <d v="2024-08-28T00:00:00"/>
    <m/>
    <m/>
    <d v="2027-09-30T00:00:00"/>
    <s v="METC"/>
    <s v="Calhoun"/>
    <m/>
    <m/>
    <s v="MI"/>
    <m/>
    <m/>
    <m/>
    <s v="SIS"/>
    <s v="Verona - Foundry 138kV"/>
    <n v="70"/>
    <n v="70"/>
    <x v="8"/>
    <m/>
    <s v="Under Construction"/>
    <d v="2027-09-30T00:00:00"/>
    <n v="0"/>
    <n v="0"/>
    <n v="0"/>
    <n v="0"/>
  </r>
  <r>
    <s v="S1064"/>
    <x v="1"/>
    <d v="2024-09-06T00:00:00"/>
    <d v="2026-06-23T00:00:00"/>
    <m/>
    <d v="2026-11-01T00:00:00"/>
    <s v="OTTER TAIL POWER COMPANY"/>
    <m/>
    <m/>
    <m/>
    <s v="ND"/>
    <m/>
    <m/>
    <m/>
    <s v="SIS"/>
    <s v="EDGE SS9 41.6 kV"/>
    <n v="20"/>
    <n v="20"/>
    <x v="8"/>
    <m/>
    <m/>
    <m/>
    <n v="0"/>
    <n v="0"/>
    <n v="0"/>
    <n v="0"/>
  </r>
  <r>
    <s v="S1065"/>
    <x v="2"/>
    <d v="2024-10-07T00:00:00"/>
    <m/>
    <m/>
    <d v="2028-09-30T00:00:00"/>
    <s v="ITC"/>
    <s v="Washtenaw County"/>
    <m/>
    <m/>
    <s v="MI"/>
    <m/>
    <m/>
    <m/>
    <s v="SIS"/>
    <s v="Majestic 345kV to Milan 345kV"/>
    <n v="76.5"/>
    <n v="76.5"/>
    <x v="8"/>
    <m/>
    <m/>
    <d v="2028-09-30T00:00:00"/>
    <n v="0"/>
    <n v="0"/>
    <n v="0"/>
    <n v="0"/>
  </r>
  <r>
    <s v="S1066"/>
    <x v="0"/>
    <d v="2024-10-07T00:00:00"/>
    <m/>
    <m/>
    <d v="2027-09-30T00:00:00"/>
    <s v="METC"/>
    <s v="Lenawee County"/>
    <m/>
    <m/>
    <s v="MI"/>
    <m/>
    <m/>
    <m/>
    <s v="SIS"/>
    <m/>
    <n v="75"/>
    <n v="75"/>
    <x v="8"/>
    <m/>
    <m/>
    <m/>
    <n v="0"/>
    <n v="0"/>
    <n v="0"/>
    <n v="0"/>
  </r>
  <r>
    <s v="S1067"/>
    <x v="0"/>
    <d v="2024-10-02T00:00:00"/>
    <m/>
    <m/>
    <d v="2027-09-30T00:00:00"/>
    <s v="ITC"/>
    <s v="Washtenaw"/>
    <m/>
    <m/>
    <s v="MI"/>
    <m/>
    <m/>
    <m/>
    <s v="SIS"/>
    <s v="Majestic- Lemoyne 345 kV"/>
    <n v="75"/>
    <n v="75"/>
    <x v="8"/>
    <m/>
    <m/>
    <m/>
    <n v="0"/>
    <n v="0"/>
    <n v="0"/>
    <n v="0"/>
  </r>
  <r>
    <s v="S1068"/>
    <x v="2"/>
    <m/>
    <m/>
    <m/>
    <d v="2027-01-01T00:00:00"/>
    <s v="ITC"/>
    <s v="Hillsdale"/>
    <m/>
    <m/>
    <s v="MI"/>
    <m/>
    <m/>
    <m/>
    <s v="SIS"/>
    <s v="Cronk Road"/>
    <n v="150"/>
    <n v="150"/>
    <x v="8"/>
    <m/>
    <m/>
    <m/>
    <n v="0"/>
    <n v="0"/>
    <n v="0"/>
    <n v="0"/>
  </r>
  <r>
    <s v="S1069"/>
    <x v="0"/>
    <d v="2024-11-01T00:00:00"/>
    <m/>
    <m/>
    <d v="2027-01-01T00:00:00"/>
    <s v="ITC"/>
    <s v="Montcalm"/>
    <m/>
    <m/>
    <s v="MI"/>
    <m/>
    <m/>
    <m/>
    <s v="SIS"/>
    <s v="Eureka to Vestaburg 138kV"/>
    <n v="200"/>
    <n v="200"/>
    <x v="8"/>
    <m/>
    <m/>
    <m/>
    <n v="0"/>
    <n v="0"/>
    <n v="0"/>
    <n v="0"/>
  </r>
  <r>
    <s v="S1070"/>
    <x v="0"/>
    <m/>
    <m/>
    <m/>
    <d v="2025-08-01T00:00:00"/>
    <s v="ITC MIDWEST"/>
    <s v="Union"/>
    <m/>
    <m/>
    <s v="IA"/>
    <m/>
    <m/>
    <m/>
    <s v="SIS"/>
    <s v="ROUNDHOUSEJ1"/>
    <n v="40"/>
    <n v="40"/>
    <x v="8"/>
    <m/>
    <m/>
    <m/>
    <n v="0"/>
    <n v="0"/>
    <n v="0"/>
    <n v="0"/>
  </r>
  <r>
    <s v="S1071"/>
    <x v="0"/>
    <d v="2024-11-15T00:00:00"/>
    <m/>
    <m/>
    <d v="2025-11-07T00:00:00"/>
    <s v="ITC MIDWEST"/>
    <s v="Lee"/>
    <m/>
    <m/>
    <s v="IA"/>
    <m/>
    <m/>
    <m/>
    <s v="SIS"/>
    <s v="Wever - Burlington 161 kV"/>
    <n v="120"/>
    <n v="120"/>
    <x v="8"/>
    <m/>
    <m/>
    <m/>
    <n v="0"/>
    <n v="0"/>
    <n v="0"/>
    <n v="0"/>
  </r>
  <r>
    <s v="S1072"/>
    <x v="2"/>
    <d v="2024-12-05T00:00:00"/>
    <m/>
    <m/>
    <d v="2025-08-15T00:00:00"/>
    <s v="NORTHERN STATES POWER COMPANY"/>
    <s v="Sherburne"/>
    <m/>
    <m/>
    <s v="MN"/>
    <m/>
    <m/>
    <m/>
    <s v="SIS"/>
    <s v="Sherburne 345kV"/>
    <n v="10"/>
    <n v="10"/>
    <x v="8"/>
    <m/>
    <m/>
    <m/>
    <n v="0"/>
    <n v="0"/>
    <n v="0"/>
    <n v="0"/>
  </r>
  <r>
    <s v="S1073"/>
    <x v="2"/>
    <d v="2025-02-19T00:00:00"/>
    <m/>
    <m/>
    <d v="2026-08-31T00:00:00"/>
    <s v="BIG RIVERS ELECTRIC CORPORATION BREC"/>
    <s v="Webster"/>
    <m/>
    <m/>
    <s v="KY"/>
    <m/>
    <m/>
    <m/>
    <s v="SIS"/>
    <s v="Hopkins to Reid EVH 161kV"/>
    <n v="75"/>
    <n v="75"/>
    <x v="8"/>
    <m/>
    <m/>
    <m/>
    <n v="0"/>
    <n v="0"/>
    <n v="0"/>
    <n v="0"/>
  </r>
  <r>
    <s v="S1074"/>
    <x v="2"/>
    <d v="2025-02-28T00:00:00"/>
    <m/>
    <m/>
    <d v="2027-09-30T00:00:00"/>
    <s v="ENTERGY ARKANSAS, LLC"/>
    <s v="Phillips"/>
    <m/>
    <m/>
    <s v="AR"/>
    <m/>
    <m/>
    <m/>
    <s v="SIS"/>
    <s v="Ritchie Plant 230 kV Substation"/>
    <n v="200"/>
    <n v="200"/>
    <x v="8"/>
    <m/>
    <m/>
    <m/>
    <n v="0"/>
    <n v="0"/>
    <n v="0"/>
    <n v="0"/>
  </r>
  <r>
    <s v="S1075"/>
    <x v="2"/>
    <d v="2024-12-20T00:00:00"/>
    <m/>
    <m/>
    <d v="2027-12-27T00:00:00"/>
    <s v="NORTHERN INDIANA PUBLIC SERVICE COMPANY LLC"/>
    <s v="Jasper and Starke"/>
    <m/>
    <m/>
    <s v="IN"/>
    <m/>
    <m/>
    <m/>
    <s v="SIS"/>
    <s v="Hinshaw 345 kV"/>
    <n v="100"/>
    <n v="100"/>
    <x v="8"/>
    <m/>
    <m/>
    <m/>
    <n v="0"/>
    <n v="0"/>
    <n v="0"/>
    <n v="0"/>
  </r>
  <r>
    <s v="S1076"/>
    <x v="2"/>
    <d v="2025-01-07T00:00:00"/>
    <m/>
    <m/>
    <d v="2027-08-31T00:00:00"/>
    <s v="ENTERGY LOUISIANA, LLC ELTO"/>
    <s v="Tangipahoa Parish"/>
    <m/>
    <m/>
    <s v="LA"/>
    <m/>
    <m/>
    <m/>
    <s v="SIS"/>
    <s v="Amite 115kV"/>
    <n v="80"/>
    <n v="80"/>
    <x v="8"/>
    <m/>
    <m/>
    <m/>
    <n v="0"/>
    <n v="0"/>
    <n v="0"/>
    <n v="0"/>
  </r>
  <r>
    <s v="S1077"/>
    <x v="2"/>
    <d v="2025-01-13T00:00:00"/>
    <m/>
    <m/>
    <d v="2029-09-01T00:00:00"/>
    <s v="AMEREN ILLINOIS"/>
    <s v="St. Clair"/>
    <m/>
    <m/>
    <s v="IL"/>
    <m/>
    <m/>
    <m/>
    <s v="SIS"/>
    <s v="Fayetteville Bee Hollow Road"/>
    <n v="150"/>
    <n v="150"/>
    <x v="2"/>
    <s v="Battery Storage"/>
    <m/>
    <m/>
    <n v="0"/>
    <n v="0"/>
    <n v="0"/>
    <n v="0"/>
  </r>
  <r>
    <s v="S1078"/>
    <x v="2"/>
    <d v="2025-02-18T00:00:00"/>
    <m/>
    <m/>
    <d v="2027-06-15T00:00:00"/>
    <s v="ITC MIDWEST"/>
    <s v="Rock"/>
    <m/>
    <m/>
    <s v="MN"/>
    <m/>
    <m/>
    <m/>
    <s v="SIS"/>
    <s v="Magnolia"/>
    <n v="72"/>
    <n v="72"/>
    <x v="2"/>
    <s v="Battery Storage"/>
    <m/>
    <d v="2028-02-28T00:00:00"/>
    <n v="0"/>
    <n v="0"/>
    <n v="0"/>
    <n v="0"/>
  </r>
  <r>
    <s v="S1079"/>
    <x v="2"/>
    <d v="2025-03-25T00:00:00"/>
    <m/>
    <m/>
    <d v="2028-07-30T00:00:00"/>
    <s v="NORTHERN STATES POWER COMPANY"/>
    <s v="Cass"/>
    <m/>
    <m/>
    <s v="ND"/>
    <m/>
    <m/>
    <m/>
    <s v="SIS"/>
    <s v="BISON"/>
    <n v="200"/>
    <n v="200"/>
    <x v="2"/>
    <s v="Battery Storage"/>
    <m/>
    <d v="2028-02-28T00:00:00"/>
    <n v="0"/>
    <n v="0"/>
    <n v="0"/>
    <n v="0"/>
  </r>
  <r>
    <s v="S1080"/>
    <x v="2"/>
    <d v="2025-01-14T00:00:00"/>
    <m/>
    <m/>
    <d v="2028-07-30T00:00:00"/>
    <s v="SOUTHERN MINNESOTA MUNICIPAL POWER AGENCY"/>
    <s v="Martin"/>
    <m/>
    <m/>
    <s v="MN"/>
    <m/>
    <m/>
    <m/>
    <s v="SIS"/>
    <s v="Rutland"/>
    <n v="150"/>
    <n v="150"/>
    <x v="2"/>
    <s v="Battery Storage"/>
    <m/>
    <m/>
    <n v="0"/>
    <n v="0"/>
    <n v="0"/>
    <n v="0"/>
  </r>
  <r>
    <s v="S1081"/>
    <x v="2"/>
    <d v="2025-01-13T00:00:00"/>
    <m/>
    <m/>
    <d v="2028-04-30T00:00:00"/>
    <s v="METC"/>
    <s v="Muskegon"/>
    <m/>
    <m/>
    <s v="MI"/>
    <m/>
    <m/>
    <m/>
    <s v="SIS"/>
    <s v="DU PONT - WHITE LAKE 138.0kV"/>
    <n v="100"/>
    <n v="100"/>
    <x v="2"/>
    <s v="Battery Storage"/>
    <m/>
    <d v="2029-05-12T00:00:00"/>
    <n v="0"/>
    <n v="0"/>
    <n v="0"/>
    <n v="0"/>
  </r>
  <r>
    <s v="S1082"/>
    <x v="2"/>
    <d v="2025-01-13T00:00:00"/>
    <m/>
    <m/>
    <d v="2028-04-30T00:00:00"/>
    <s v="METC"/>
    <s v="Muskegon"/>
    <m/>
    <m/>
    <s v="MI"/>
    <m/>
    <m/>
    <m/>
    <s v="SIS"/>
    <s v="DU PONT - WHITE LAKE 138.0kV"/>
    <n v="50"/>
    <n v="50"/>
    <x v="2"/>
    <s v="Battery Storage"/>
    <m/>
    <d v="2029-05-12T00:00:00"/>
    <n v="0"/>
    <n v="0"/>
    <n v="0"/>
    <n v="0"/>
  </r>
  <r>
    <s v="S1083"/>
    <x v="1"/>
    <d v="2025-01-14T00:00:00"/>
    <d v="2026-03-24T00:00:00"/>
    <m/>
    <d v="2029-09-12T00:00:00"/>
    <s v="BIG RIVERS ELECTRIC CORPORATION"/>
    <s v="Hancock"/>
    <m/>
    <m/>
    <s v="KY"/>
    <m/>
    <m/>
    <m/>
    <s v="SIS"/>
    <s v="Skillman"/>
    <n v="100"/>
    <n v="100"/>
    <x v="2"/>
    <s v="Battery Storage"/>
    <m/>
    <m/>
    <n v="0"/>
    <n v="0"/>
    <n v="0"/>
    <n v="0"/>
  </r>
  <r>
    <s v="S1084"/>
    <x v="2"/>
    <d v="2025-01-13T00:00:00"/>
    <m/>
    <m/>
    <d v="2029-09-01T00:00:00"/>
    <s v="HOOSIER ENERGY"/>
    <s v="Greene"/>
    <m/>
    <m/>
    <s v="IN"/>
    <m/>
    <m/>
    <m/>
    <s v="SIS"/>
    <s v="Worthington"/>
    <n v="150"/>
    <n v="150"/>
    <x v="2"/>
    <s v="Battery Storage"/>
    <m/>
    <m/>
    <n v="0"/>
    <n v="0"/>
    <n v="0"/>
    <n v="0"/>
  </r>
  <r>
    <s v="S1085"/>
    <x v="2"/>
    <d v="2025-01-14T00:00:00"/>
    <m/>
    <m/>
    <d v="2028-07-01T00:00:00"/>
    <s v="NORTHERN STATES POWER COMPANY"/>
    <s v="Nobles"/>
    <m/>
    <m/>
    <s v="MN"/>
    <m/>
    <m/>
    <m/>
    <s v="SIS"/>
    <s v="NOBLES COUNTY"/>
    <n v="200"/>
    <n v="200"/>
    <x v="2"/>
    <s v="Battery Storage"/>
    <m/>
    <d v="2028-07-01T00:00:00"/>
    <n v="0"/>
    <n v="0"/>
    <n v="0"/>
    <n v="0"/>
  </r>
  <r>
    <s v="S1086"/>
    <x v="2"/>
    <d v="2025-02-18T00:00:00"/>
    <m/>
    <m/>
    <d v="2026-12-01T00:00:00"/>
    <m/>
    <s v="Stoddard"/>
    <m/>
    <m/>
    <s v="MO"/>
    <m/>
    <m/>
    <m/>
    <s v="SIS"/>
    <s v="Stoddard - Morley 161kV"/>
    <n v="225"/>
    <n v="225"/>
    <x v="8"/>
    <m/>
    <m/>
    <m/>
    <n v="0"/>
    <n v="0"/>
    <n v="0"/>
    <n v="0"/>
  </r>
  <r>
    <s v="S1087"/>
    <x v="2"/>
    <d v="2025-02-18T00:00:00"/>
    <m/>
    <m/>
    <d v="2026-06-01T00:00:00"/>
    <s v="ITC MIDWEST"/>
    <s v="Clinton"/>
    <m/>
    <m/>
    <m/>
    <m/>
    <m/>
    <m/>
    <s v="SIS"/>
    <s v="Rock Creek 345 kV"/>
    <n v="150"/>
    <n v="150"/>
    <x v="8"/>
    <m/>
    <m/>
    <m/>
    <n v="0"/>
    <n v="0"/>
    <n v="0"/>
    <n v="0"/>
  </r>
  <r>
    <s v="S1088"/>
    <x v="2"/>
    <d v="2025-03-17T00:00:00"/>
    <m/>
    <m/>
    <d v="2027-06-30T00:00:00"/>
    <s v="GREAT RIVER ENERGY"/>
    <s v="Benton"/>
    <m/>
    <m/>
    <s v="MN"/>
    <m/>
    <m/>
    <m/>
    <s v="SIS"/>
    <s v="GRE-BENTON 7 115kV"/>
    <n v="100"/>
    <n v="100"/>
    <x v="2"/>
    <s v="Battery Storage"/>
    <m/>
    <m/>
    <n v="0"/>
    <n v="0"/>
    <n v="0"/>
    <n v="0"/>
  </r>
  <r>
    <s v="S1090"/>
    <x v="2"/>
    <d v="2025-01-31T00:00:00"/>
    <m/>
    <m/>
    <d v="2026-09-24T00:00:00"/>
    <s v="AMERICAN TRANSMISSION COMPANY"/>
    <s v="Kenosha"/>
    <m/>
    <m/>
    <s v="WI"/>
    <m/>
    <m/>
    <m/>
    <s v="SIS"/>
    <s v="EAST PARIS"/>
    <n v="133"/>
    <n v="133"/>
    <x v="3"/>
    <s v="Combustion Turbine (Simple Cycle)"/>
    <m/>
    <m/>
    <n v="0"/>
    <n v="0"/>
    <n v="0"/>
    <n v="0"/>
  </r>
  <r>
    <s v="S1091"/>
    <x v="2"/>
    <d v="2025-02-19T00:00:00"/>
    <m/>
    <m/>
    <d v="2026-06-01T00:00:00"/>
    <s v="AMEREN MISSOURI"/>
    <s v="Cape Girardeau"/>
    <m/>
    <m/>
    <s v="MO"/>
    <m/>
    <m/>
    <m/>
    <s v="SIS"/>
    <s v="Adna 345 kV"/>
    <n v="200"/>
    <n v="200"/>
    <x v="8"/>
    <m/>
    <m/>
    <m/>
    <n v="0"/>
    <n v="0"/>
    <n v="0"/>
    <n v="0"/>
  </r>
  <r>
    <s v="S1092"/>
    <x v="4"/>
    <d v="2025-03-04T00:00:00"/>
    <m/>
    <m/>
    <d v="2027-09-01T00:00:00"/>
    <s v="AMERICAN TRANSMISSION COMPANY"/>
    <s v="Lafayette"/>
    <m/>
    <m/>
    <s v="WI"/>
    <m/>
    <m/>
    <m/>
    <s v="SIS"/>
    <s v="Falcon"/>
    <n v="98"/>
    <n v="98"/>
    <x v="2"/>
    <s v="Battery Storage"/>
    <m/>
    <m/>
    <n v="0"/>
    <n v="0"/>
    <n v="0"/>
    <n v="0"/>
  </r>
  <r>
    <s v="S1093"/>
    <x v="1"/>
    <d v="2025-03-06T00:00:00"/>
    <d v="2026-06-18T00:00:00"/>
    <m/>
    <d v="2027-09-01T00:00:00"/>
    <s v="ITC MIDWEST"/>
    <s v="Mitchell"/>
    <m/>
    <m/>
    <s v="IA"/>
    <m/>
    <m/>
    <m/>
    <s v="SIS"/>
    <s v="Mitchell County"/>
    <n v="202"/>
    <n v="202"/>
    <x v="2"/>
    <s v="Battery Storage"/>
    <m/>
    <m/>
    <n v="0"/>
    <n v="0"/>
    <n v="0"/>
    <n v="0"/>
  </r>
  <r>
    <s v="S1094"/>
    <x v="2"/>
    <d v="2025-04-08T00:00:00"/>
    <m/>
    <m/>
    <d v="2026-10-31T00:00:00"/>
    <s v="ENTERGY ARKANSAS, LLC EATO"/>
    <s v="Crittenden"/>
    <m/>
    <m/>
    <s v="AR"/>
    <m/>
    <m/>
    <m/>
    <s v="SIS"/>
    <s v="BOB WHITE"/>
    <n v="180"/>
    <n v="180"/>
    <x v="2"/>
    <s v="Battery Storage"/>
    <m/>
    <d v="2028-03-03T00:00:00"/>
    <n v="0"/>
    <n v="0"/>
    <n v="0"/>
    <n v="0"/>
  </r>
  <r>
    <s v="S1095"/>
    <x v="3"/>
    <d v="2025-04-22T00:00:00"/>
    <m/>
    <m/>
    <d v="2027-05-28T00:00:00"/>
    <s v="AMEREN TRANSMISSION COMPANY OF ILLINOIS"/>
    <s v="Perry"/>
    <m/>
    <m/>
    <s v="IL"/>
    <m/>
    <m/>
    <m/>
    <s v="SIS"/>
    <s v="7ASTER - 7CMDR 345.0kV"/>
    <n v="200"/>
    <n v="200"/>
    <x v="2"/>
    <s v="Battery Storage"/>
    <m/>
    <m/>
    <n v="0"/>
    <n v="0"/>
    <n v="0"/>
    <n v="0"/>
  </r>
  <r>
    <s v="S1096"/>
    <x v="2"/>
    <d v="2025-05-20T00:00:00"/>
    <m/>
    <m/>
    <d v="2028-02-01T00:00:00"/>
    <s v="AMERICAN TRANSMISSION COMPANY"/>
    <s v="Wood"/>
    <m/>
    <m/>
    <s v="WI"/>
    <m/>
    <m/>
    <m/>
    <s v="SIS"/>
    <s v="Saratoga - Badger West 138.0kV"/>
    <n v="50.3"/>
    <n v="50.3"/>
    <x v="2"/>
    <s v="Solar/Battery"/>
    <m/>
    <m/>
    <n v="0"/>
    <n v="0"/>
    <n v="0"/>
    <n v="0"/>
  </r>
  <r>
    <s v="S1097"/>
    <x v="2"/>
    <d v="2025-05-23T00:00:00"/>
    <m/>
    <m/>
    <d v="2027-06-30T00:00:00"/>
    <s v="AMEREN ILLINOIS"/>
    <s v="Vermilion"/>
    <m/>
    <m/>
    <s v="IL"/>
    <m/>
    <m/>
    <m/>
    <s v="SIS"/>
    <s v="Tilton Switchyard"/>
    <n v="188"/>
    <n v="188"/>
    <x v="0"/>
    <s v="Photovoltaic"/>
    <m/>
    <m/>
    <n v="0"/>
    <n v="0"/>
    <n v="0"/>
    <n v="0"/>
  </r>
  <r>
    <s v="S1098"/>
    <x v="1"/>
    <d v="2025-05-30T00:00:00"/>
    <d v="2025-12-18T00:00:00"/>
    <m/>
    <d v="2027-01-01T00:00:00"/>
    <s v="MINNESOTA POWER INC."/>
    <s v="Itasca"/>
    <m/>
    <m/>
    <s v="MN"/>
    <m/>
    <m/>
    <m/>
    <s v="SIS"/>
    <s v="Boswell 230kV"/>
    <n v="85.01"/>
    <n v="85.01"/>
    <x v="0"/>
    <s v="Photovoltaic"/>
    <m/>
    <m/>
    <n v="0"/>
    <n v="0"/>
    <n v="0"/>
    <n v="0"/>
  </r>
  <r>
    <s v="S1100"/>
    <x v="2"/>
    <d v="2025-06-18T00:00:00"/>
    <m/>
    <m/>
    <d v="2027-10-31T00:00:00"/>
    <s v="ENTERGY ARKANSAS, LLC EATO"/>
    <s v="Mississippi"/>
    <m/>
    <m/>
    <s v="AR"/>
    <m/>
    <m/>
    <m/>
    <s v="SIS"/>
    <s v="BLYTHEVILLE I-55 - AECC BLYTHEVILLE NORTH 161.0kV"/>
    <n v="200"/>
    <n v="200"/>
    <x v="2"/>
    <s v="Battery Storage"/>
    <m/>
    <d v="2028-04-21T00:00:00"/>
    <n v="0"/>
    <n v="0"/>
    <n v="0"/>
    <n v="0"/>
  </r>
  <r>
    <s v="S1101"/>
    <x v="2"/>
    <d v="2025-06-16T00:00:00"/>
    <m/>
    <m/>
    <d v="2027-10-31T00:00:00"/>
    <s v="ENTERGY ARKANSAS, LLC EATO"/>
    <s v="St. Francis"/>
    <m/>
    <m/>
    <s v="AR"/>
    <m/>
    <m/>
    <m/>
    <s v="SIS"/>
    <s v="BRINKLEY EAST - AECC AUBREY 230.0kV"/>
    <n v="200"/>
    <n v="200"/>
    <x v="2"/>
    <s v="Battery Storage"/>
    <m/>
    <d v="2028-01-20T00:00:00"/>
    <n v="0"/>
    <n v="0"/>
    <n v="0"/>
    <n v="0"/>
  </r>
  <r>
    <s v="S1102"/>
    <x v="3"/>
    <d v="2025-06-16T00:00:00"/>
    <m/>
    <m/>
    <d v="2026-06-30T00:00:00"/>
    <s v="DUKE ENERGY INDIANA, LLC CIN"/>
    <s v="Cass"/>
    <m/>
    <m/>
    <s v="IN"/>
    <m/>
    <m/>
    <m/>
    <s v="SIS"/>
    <s v="Walton 230"/>
    <n v="200"/>
    <n v="200"/>
    <x v="2"/>
    <s v="Battery Storage"/>
    <m/>
    <m/>
    <n v="0"/>
    <n v="0"/>
    <n v="0"/>
    <n v="0"/>
  </r>
  <r>
    <s v="S1103"/>
    <x v="2"/>
    <d v="2025-06-17T00:00:00"/>
    <m/>
    <m/>
    <d v="2026-06-01T00:00:00"/>
    <s v="AMEREN ILLINOIS"/>
    <s v="Perry"/>
    <m/>
    <m/>
    <s v="IL"/>
    <m/>
    <m/>
    <m/>
    <m/>
    <s v="Aster 138kV Station"/>
    <n v="100"/>
    <n v="100"/>
    <x v="2"/>
    <s v="Battery Storage"/>
    <m/>
    <m/>
    <n v="0"/>
    <n v="0"/>
    <n v="0"/>
    <n v="0"/>
  </r>
  <r>
    <s v="S1104"/>
    <x v="2"/>
    <d v="2025-07-28T00:00:00"/>
    <m/>
    <m/>
    <d v="2026-06-30T00:00:00"/>
    <s v="AMEREN ILLINOIS"/>
    <s v="Fayette"/>
    <m/>
    <m/>
    <s v="IL"/>
    <m/>
    <m/>
    <m/>
    <s v="SIS"/>
    <s v="Ramsey"/>
    <n v="100"/>
    <n v="100"/>
    <x v="2"/>
    <s v="Battery Storage"/>
    <m/>
    <m/>
    <n v="0"/>
    <n v="0"/>
    <n v="0"/>
    <n v="0"/>
  </r>
  <r>
    <s v="S1105"/>
    <x v="1"/>
    <d v="2025-06-24T00:00:00"/>
    <d v="2025-10-27T00:00:00"/>
    <m/>
    <d v="2028-03-01T00:00:00"/>
    <s v="ENTERGY ARKANSAS, LLC"/>
    <s v="Lonoke"/>
    <m/>
    <m/>
    <s v="AR"/>
    <m/>
    <m/>
    <m/>
    <s v="SIS"/>
    <s v="KEO EHV"/>
    <n v="300"/>
    <n v="300"/>
    <x v="2"/>
    <s v="Battery Storage"/>
    <m/>
    <m/>
    <n v="0"/>
    <n v="0"/>
    <n v="0"/>
    <n v="0"/>
  </r>
  <r>
    <s v="S1107"/>
    <x v="2"/>
    <d v="2025-07-08T00:00:00"/>
    <m/>
    <m/>
    <d v="2026-06-01T00:00:00"/>
    <s v="ITC MIDWEST"/>
    <s v="Clinton"/>
    <m/>
    <m/>
    <s v="IA"/>
    <m/>
    <m/>
    <m/>
    <s v="SIS"/>
    <s v="Calamus East"/>
    <n v="200"/>
    <n v="200"/>
    <x v="2"/>
    <s v="Battery Storage"/>
    <m/>
    <d v="2028-03-01T00:00:00"/>
    <n v="0"/>
    <n v="0"/>
    <n v="0"/>
    <n v="0"/>
  </r>
  <r>
    <s v="S1108"/>
    <x v="2"/>
    <d v="2025-07-18T00:00:00"/>
    <m/>
    <m/>
    <d v="2027-06-30T00:00:00"/>
    <s v="NORTHERN INDIANA PUBLIC SERVICE COMPANY LLC NIPS"/>
    <s v="LaGrange"/>
    <m/>
    <m/>
    <s v="IN"/>
    <m/>
    <m/>
    <m/>
    <s v="SIS"/>
    <s v="LAGRANGE"/>
    <n v="100"/>
    <n v="100"/>
    <x v="2"/>
    <s v="Battery Storage"/>
    <m/>
    <m/>
    <n v="0"/>
    <n v="0"/>
    <n v="0"/>
    <n v="0"/>
  </r>
  <r>
    <s v="S1109"/>
    <x v="2"/>
    <d v="2025-07-11T00:00:00"/>
    <m/>
    <m/>
    <d v="2026-09-30T00:00:00"/>
    <s v="ITC MIDWEST"/>
    <s v="Kossuth"/>
    <m/>
    <m/>
    <s v="IA"/>
    <m/>
    <m/>
    <m/>
    <s v="SIS"/>
    <s v="Bison"/>
    <n v="75"/>
    <n v="75"/>
    <x v="2"/>
    <s v="Battery Storage"/>
    <m/>
    <m/>
    <n v="0"/>
    <n v="0"/>
    <n v="0"/>
    <n v="0"/>
  </r>
  <r>
    <s v="S1110"/>
    <x v="2"/>
    <d v="2025-08-22T00:00:00"/>
    <m/>
    <m/>
    <d v="2027-02-01T00:00:00"/>
    <s v="NORTHERN STATES POWER COMPANY"/>
    <s v="Chisago"/>
    <m/>
    <m/>
    <s v="MN"/>
    <m/>
    <m/>
    <m/>
    <s v="SIS"/>
    <s v="CHISAGO COUNTY"/>
    <n v="100"/>
    <n v="100"/>
    <x v="2"/>
    <s v="Battery Storage"/>
    <m/>
    <d v="2027-01-31T00:00:00"/>
    <n v="0"/>
    <n v="0"/>
    <n v="0"/>
    <n v="0"/>
  </r>
  <r>
    <s v="S1111"/>
    <x v="2"/>
    <d v="2025-07-31T00:00:00"/>
    <m/>
    <m/>
    <d v="2027-09-01T00:00:00"/>
    <s v="MIDAMERICAN ENERGY CO. MEC"/>
    <s v="Adair"/>
    <m/>
    <m/>
    <s v="IA"/>
    <m/>
    <m/>
    <m/>
    <s v="SIS"/>
    <s v="ORIENT"/>
    <n v="263"/>
    <n v="263"/>
    <x v="5"/>
    <s v="Combustion Turbine (Simple Cycle)"/>
    <m/>
    <m/>
    <n v="0"/>
    <n v="0"/>
    <n v="0"/>
    <n v="0"/>
  </r>
  <r>
    <s v="S1112"/>
    <x v="2"/>
    <d v="2025-08-11T00:00:00"/>
    <m/>
    <m/>
    <d v="2027-09-30T00:00:00"/>
    <s v="SOUTHERN INDIANA GAS &amp; ELECTRIC COMPANY D/B/A CENTERPOINT ENERGY INDIANA SOUTH"/>
    <s v="Pike"/>
    <m/>
    <m/>
    <s v="IN"/>
    <m/>
    <m/>
    <m/>
    <s v="SIS"/>
    <s v="Cato 138/69kV (facilities above 100kV)"/>
    <n v="130"/>
    <n v="130"/>
    <x v="2"/>
    <s v="Battery Storage"/>
    <m/>
    <d v="2027-04-01T00:00:00"/>
    <n v="0"/>
    <n v="0"/>
    <n v="0"/>
    <n v="0"/>
  </r>
  <r>
    <s v="S1113"/>
    <x v="2"/>
    <d v="2025-08-26T00:00:00"/>
    <m/>
    <m/>
    <d v="2026-08-30T00:00:00"/>
    <s v="ITC MIDWEST"/>
    <s v="Franklin"/>
    <m/>
    <m/>
    <s v="IA"/>
    <m/>
    <m/>
    <m/>
    <s v="SIS"/>
    <s v="Quinn"/>
    <n v="200"/>
    <n v="200"/>
    <x v="2"/>
    <s v="Battery Storage"/>
    <m/>
    <m/>
    <n v="0"/>
    <n v="0"/>
    <n v="0"/>
    <n v="0"/>
  </r>
  <r>
    <s v="S1114"/>
    <x v="2"/>
    <d v="2025-08-19T00:00:00"/>
    <m/>
    <m/>
    <d v="2028-09-30T00:00:00"/>
    <s v="AMEREN ILLINOIS"/>
    <s v="Scott"/>
    <m/>
    <m/>
    <s v="IL"/>
    <m/>
    <m/>
    <m/>
    <s v="SIS"/>
    <s v="Alsey Generation Station"/>
    <n v="168.8"/>
    <n v="168.8"/>
    <x v="0"/>
    <s v="Photovoltaic"/>
    <m/>
    <m/>
    <n v="0"/>
    <n v="0"/>
    <n v="0"/>
    <n v="0"/>
  </r>
  <r>
    <s v="S1116"/>
    <x v="2"/>
    <d v="2025-08-31T00:00:00"/>
    <m/>
    <m/>
    <d v="2027-06-01T00:00:00"/>
    <s v="ENTERGY MISSISSIPPI, LLC. EMTO"/>
    <s v="Tallahatchie"/>
    <m/>
    <m/>
    <s v="MS"/>
    <m/>
    <m/>
    <m/>
    <s v="SIS"/>
    <s v="WEBB"/>
    <n v="100"/>
    <n v="100"/>
    <x v="2"/>
    <s v="Battery Storage"/>
    <m/>
    <d v="2027-06-01T00:00:00"/>
    <n v="0"/>
    <n v="0"/>
    <n v="0"/>
    <n v="0"/>
  </r>
  <r>
    <s v="S1117"/>
    <x v="2"/>
    <d v="2025-08-31T00:00:00"/>
    <m/>
    <m/>
    <d v="2028-06-01T00:00:00"/>
    <s v="ENTERGY ARKANSAS, LLC EATO"/>
    <s v="New Madrid"/>
    <m/>
    <m/>
    <s v="MO"/>
    <m/>
    <m/>
    <m/>
    <s v="SIS"/>
    <s v="Marston 161 kV"/>
    <n v="200"/>
    <n v="200"/>
    <x v="2"/>
    <s v="Battery Storage"/>
    <m/>
    <d v="2027-09-15T00:00:00"/>
    <n v="0"/>
    <n v="0"/>
    <n v="0"/>
    <n v="0"/>
  </r>
  <r>
    <s v="S1120"/>
    <x v="2"/>
    <d v="2025-09-08T00:00:00"/>
    <m/>
    <m/>
    <d v="2027-07-15T00:00:00"/>
    <s v="DUKE ENERGY INDIANA, LLC"/>
    <s v="Knox"/>
    <m/>
    <m/>
    <s v="IN"/>
    <m/>
    <m/>
    <m/>
    <s v="SIS"/>
    <s v="Edwardsport  - Washington Mun"/>
    <n v="150"/>
    <n v="150"/>
    <x v="2"/>
    <s v="Solar/Battery"/>
    <m/>
    <m/>
    <n v="0"/>
    <n v="0"/>
    <n v="0"/>
    <n v="0"/>
  </r>
  <r>
    <s v="S1123"/>
    <x v="2"/>
    <d v="2025-10-21T00:00:00"/>
    <m/>
    <m/>
    <d v="2027-03-29T00:00:00"/>
    <s v="CLECO POWER LLC CLEC"/>
    <s v="Beauregard"/>
    <m/>
    <m/>
    <s v="LA"/>
    <m/>
    <m/>
    <m/>
    <s v="SIS"/>
    <s v="Cole - Penton Road 230.0kV"/>
    <n v="200"/>
    <n v="200"/>
    <x v="2"/>
    <s v="Battery Storage"/>
    <m/>
    <m/>
    <n v="0"/>
    <n v="0"/>
    <n v="0"/>
    <n v="0"/>
  </r>
  <r>
    <s v="S1125"/>
    <x v="2"/>
    <d v="2025-10-20T00:00:00"/>
    <m/>
    <m/>
    <d v="2028-03-31T00:00:00"/>
    <s v="ENTERGY ARKANSAS, LLC"/>
    <s v="St. Francis"/>
    <m/>
    <m/>
    <s v="AR"/>
    <m/>
    <m/>
    <m/>
    <s v="SIS"/>
    <s v="WEST MEMPHIS EHV - KEO EHV 500.0kV"/>
    <n v="400"/>
    <n v="400"/>
    <x v="2"/>
    <s v="Solar/Battery"/>
    <m/>
    <m/>
    <n v="0"/>
    <n v="0"/>
    <n v="0"/>
    <n v="0"/>
  </r>
  <r>
    <s v="S1126"/>
    <x v="2"/>
    <d v="2025-10-23T00:00:00"/>
    <m/>
    <m/>
    <d v="2029-05-31T00:00:00"/>
    <s v="DUKE ENERGY INDIANA, LLC CIN"/>
    <s v="Knox"/>
    <m/>
    <m/>
    <s v="IN"/>
    <m/>
    <m/>
    <m/>
    <s v="SIS"/>
    <s v="Edwardsport Station IGCC"/>
    <n v="50"/>
    <n v="50"/>
    <x v="2"/>
    <s v="Battery Storage"/>
    <m/>
    <m/>
    <n v="0"/>
    <n v="0"/>
    <n v="0"/>
    <n v="0"/>
  </r>
  <r>
    <s v="S1127"/>
    <x v="2"/>
    <d v="2025-11-10T00:00:00"/>
    <m/>
    <m/>
    <d v="2027-06-01T00:00:00"/>
    <s v="ENTERGY MISSISSIPPI, LLC. EMTO"/>
    <s v="Washington"/>
    <m/>
    <m/>
    <s v="MS"/>
    <m/>
    <m/>
    <m/>
    <s v="SIS"/>
    <s v="GERALD ANDRUS SES SWYD - TINNIN ROAD 230.0kV"/>
    <n v="170"/>
    <n v="170"/>
    <x v="2"/>
    <s v="Battery Storage"/>
    <m/>
    <d v="2030-06-01T00:00:00"/>
    <n v="0"/>
    <n v="0"/>
    <n v="0"/>
    <n v="0"/>
  </r>
  <r>
    <s v="S1128"/>
    <x v="2"/>
    <d v="2025-11-20T00:00:00"/>
    <m/>
    <m/>
    <d v="2030-05-10T00:00:00"/>
    <m/>
    <s v="Sangamon"/>
    <m/>
    <m/>
    <s v="IL"/>
    <m/>
    <m/>
    <m/>
    <s v="SIS"/>
    <s v="343515 Chatham Main - 346555 North Aurburn (Ameren) 138.0kV"/>
    <n v="100"/>
    <n v="100"/>
    <x v="2"/>
    <s v="Battery Storage"/>
    <m/>
    <m/>
    <n v="0"/>
    <n v="0"/>
    <n v="0"/>
    <n v="0"/>
  </r>
  <r>
    <s v="S1129"/>
    <x v="2"/>
    <d v="2025-10-07T00:00:00"/>
    <m/>
    <m/>
    <d v="2026-03-21T00:00:00"/>
    <s v="AMERICAN TRANSMISSION COMPANY"/>
    <s v="Portage"/>
    <m/>
    <m/>
    <s v="WI"/>
    <m/>
    <m/>
    <m/>
    <s v="SIS"/>
    <s v="Arnott - Golden Sands 138.0kV"/>
    <n v="50.31"/>
    <n v="50.31"/>
    <x v="2"/>
    <s v="Battery Storage"/>
    <m/>
    <m/>
    <n v="0"/>
    <n v="0"/>
    <n v="0"/>
    <n v="0"/>
  </r>
  <r>
    <s v="S1130"/>
    <x v="2"/>
    <d v="2026-01-29T00:00:00"/>
    <m/>
    <m/>
    <d v="2027-03-15T00:00:00"/>
    <s v="METC"/>
    <m/>
    <m/>
    <m/>
    <s v="MI"/>
    <m/>
    <m/>
    <m/>
    <s v="SIS"/>
    <m/>
    <n v="225"/>
    <n v="225"/>
    <x v="8"/>
    <m/>
    <m/>
    <m/>
    <n v="0"/>
    <n v="0"/>
    <n v="0"/>
    <n v="0"/>
  </r>
  <r>
    <s v="S1131"/>
    <x v="2"/>
    <d v="2025-11-11T00:00:00"/>
    <m/>
    <m/>
    <d v="2027-12-01T00:00:00"/>
    <s v="AMEREN ILLINOIS"/>
    <s v="Perry"/>
    <m/>
    <m/>
    <s v="IL"/>
    <m/>
    <m/>
    <m/>
    <s v="SIS"/>
    <s v="7JORD - 7CMDR 345.0kV"/>
    <n v="200"/>
    <n v="200"/>
    <x v="2"/>
    <s v="Battery Storage"/>
    <m/>
    <m/>
    <n v="0"/>
    <n v="0"/>
    <n v="0"/>
    <n v="0"/>
  </r>
  <r>
    <s v="S1132"/>
    <x v="2"/>
    <d v="2025-09-12T00:00:00"/>
    <m/>
    <m/>
    <d v="2027-05-01T00:00:00"/>
    <s v="AMERICAN TRANSMISSION COMPANY"/>
    <s v="Walworth"/>
    <m/>
    <m/>
    <s v="WI"/>
    <m/>
    <m/>
    <m/>
    <s v="SIS"/>
    <s v="North Creek 138kV Station"/>
    <n v="250"/>
    <n v="250"/>
    <x v="3"/>
    <s v="Combustion Turbine (Simple Cycle)"/>
    <m/>
    <m/>
    <n v="0"/>
    <n v="0"/>
    <n v="0"/>
    <n v="0"/>
  </r>
  <r>
    <s v="S1133"/>
    <x v="2"/>
    <d v="2026-02-11T00:00:00"/>
    <m/>
    <m/>
    <d v="2029-01-09T00:00:00"/>
    <s v="ENTERGY LOUISIANA, LLC"/>
    <s v="Sangamon"/>
    <m/>
    <m/>
    <s v="LA"/>
    <m/>
    <m/>
    <m/>
    <s v="SIS"/>
    <s v="343515 Chatham Main - 346555 North Aurburn (Ameren) 138.0kV"/>
    <n v="200"/>
    <n v="200"/>
    <x v="8"/>
    <m/>
    <m/>
    <m/>
    <n v="0"/>
    <n v="0"/>
    <n v="0"/>
    <n v="0"/>
  </r>
  <r>
    <s v="S1134"/>
    <x v="2"/>
    <d v="2025-12-24T00:00:00"/>
    <m/>
    <m/>
    <d v="2028-01-03T00:00:00"/>
    <s v="ENTERGY MISSISSIPPI, LLC."/>
    <s v="DeSoto"/>
    <m/>
    <m/>
    <s v="MS"/>
    <s v="DPP-2026"/>
    <s v="South"/>
    <m/>
    <s v="SIS"/>
    <s v="TWINKLETOWN"/>
    <n v="100"/>
    <n v="100"/>
    <x v="2"/>
    <s v="Battery Storage"/>
    <m/>
    <m/>
    <n v="0"/>
    <n v="0"/>
    <n v="0"/>
    <n v="0"/>
  </r>
  <r>
    <s v="S1135"/>
    <x v="2"/>
    <d v="2025-12-23T00:00:00"/>
    <m/>
    <m/>
    <d v="2028-04-30T00:00:00"/>
    <s v="ITC MIDWEST"/>
    <s v="Mower"/>
    <m/>
    <m/>
    <s v="MN"/>
    <s v="DPP-2026"/>
    <s v="West"/>
    <m/>
    <s v="SIS"/>
    <s v="Adams"/>
    <n v="100"/>
    <n v="100"/>
    <x v="2"/>
    <s v="Battery Storage"/>
    <m/>
    <m/>
    <n v="0"/>
    <n v="0"/>
    <n v="0"/>
    <n v="0"/>
  </r>
  <r>
    <s v="S1136"/>
    <x v="2"/>
    <d v="2025-12-19T00:00:00"/>
    <m/>
    <m/>
    <d v="2026-12-04T00:00:00"/>
    <s v="METC"/>
    <m/>
    <m/>
    <m/>
    <s v="MI"/>
    <m/>
    <m/>
    <m/>
    <s v="SIS"/>
    <m/>
    <n v="100"/>
    <n v="100"/>
    <x v="8"/>
    <m/>
    <m/>
    <m/>
    <n v="0"/>
    <n v="0"/>
    <n v="0"/>
    <n v="0"/>
  </r>
  <r>
    <s v="S1137"/>
    <x v="2"/>
    <d v="2025-12-05T00:00:00"/>
    <m/>
    <m/>
    <d v="2028-06-01T00:00:00"/>
    <s v="ENTERGY LOUISIANA, LLC"/>
    <m/>
    <m/>
    <m/>
    <s v="LA"/>
    <m/>
    <m/>
    <m/>
    <s v="SIS"/>
    <m/>
    <n v="150"/>
    <n v="150"/>
    <x v="8"/>
    <m/>
    <m/>
    <m/>
    <n v="0"/>
    <n v="0"/>
    <n v="0"/>
    <n v="0"/>
  </r>
  <r>
    <s v="S1138"/>
    <x v="2"/>
    <d v="2025-12-13T00:00:00"/>
    <m/>
    <m/>
    <d v="2027-03-27T00:00:00"/>
    <s v="METC"/>
    <m/>
    <m/>
    <m/>
    <s v="MI"/>
    <m/>
    <m/>
    <m/>
    <s v="SIS"/>
    <m/>
    <n v="100"/>
    <n v="100"/>
    <x v="8"/>
    <m/>
    <m/>
    <m/>
    <n v="0"/>
    <n v="0"/>
    <n v="0"/>
    <n v="0"/>
  </r>
  <r>
    <s v="S1139"/>
    <x v="2"/>
    <d v="2026-03-04T00:00:00"/>
    <m/>
    <m/>
    <d v="2027-09-01T00:00:00"/>
    <s v="COOPERATIVE ENERGY"/>
    <m/>
    <m/>
    <m/>
    <s v="MS"/>
    <m/>
    <m/>
    <m/>
    <s v="SIS"/>
    <m/>
    <n v="96"/>
    <n v="96"/>
    <x v="8"/>
    <m/>
    <m/>
    <m/>
    <n v="0"/>
    <n v="0"/>
    <n v="0"/>
    <n v="0"/>
  </r>
  <r>
    <s v="S1140"/>
    <x v="2"/>
    <d v="2026-03-07T00:00:00"/>
    <m/>
    <m/>
    <d v="2028-06-01T00:00:00"/>
    <s v="GREAT RIVER ENERGY"/>
    <s v="Clinton"/>
    <m/>
    <m/>
    <s v="MN"/>
    <m/>
    <m/>
    <m/>
    <s v="SIS"/>
    <s v="Calamus East"/>
    <n v="200"/>
    <n v="200"/>
    <x v="8"/>
    <m/>
    <m/>
    <m/>
    <n v="0"/>
    <n v="0"/>
    <n v="0"/>
    <n v="0"/>
  </r>
  <r>
    <s v="S1141"/>
    <x v="2"/>
    <d v="2025-08-26T00:00:00"/>
    <m/>
    <m/>
    <d v="2028-09-01T00:00:00"/>
    <s v="ENTERGY MISSISSIPPI, LLC."/>
    <s v="Hinds"/>
    <m/>
    <m/>
    <s v="MS"/>
    <m/>
    <m/>
    <m/>
    <s v="SIS"/>
    <s v="TINNIN ROAD"/>
    <n v="150"/>
    <n v="150"/>
    <x v="2"/>
    <s v="Battery Storage"/>
    <m/>
    <m/>
    <n v="0"/>
    <n v="0"/>
    <n v="0"/>
    <n v="0"/>
  </r>
  <r>
    <s v="S1142"/>
    <x v="2"/>
    <d v="2026-01-30T00:00:00"/>
    <m/>
    <m/>
    <d v="2027-08-20T00:00:00"/>
    <s v="ENTERGY LOUISIANA, LLC ELTO"/>
    <s v="East Feliciana"/>
    <m/>
    <m/>
    <s v="LA"/>
    <s v="DPP-2026"/>
    <s v="South"/>
    <m/>
    <s v="SIS"/>
    <s v="MOLER - COLFEL 230.0kV"/>
    <n v="300"/>
    <n v="300"/>
    <x v="2"/>
    <s v="Battery Storage"/>
    <m/>
    <m/>
    <n v="0"/>
    <n v="0"/>
    <n v="0"/>
    <n v="0"/>
  </r>
  <r>
    <s v="S1143"/>
    <x v="2"/>
    <d v="2026-01-20T00:00:00"/>
    <m/>
    <m/>
    <d v="2027-12-31T00:00:00"/>
    <s v="AMEREN ILLINOIS"/>
    <m/>
    <m/>
    <m/>
    <s v="IL"/>
    <s v="NO_CYCLE"/>
    <s v="NO_GROUP"/>
    <m/>
    <s v="SIS"/>
    <m/>
    <n v="135"/>
    <n v="135"/>
    <x v="8"/>
    <m/>
    <m/>
    <m/>
    <n v="0"/>
    <n v="0"/>
    <n v="0"/>
    <n v="0"/>
  </r>
  <r>
    <s v="S1144"/>
    <x v="2"/>
    <d v="2026-02-10T00:00:00"/>
    <m/>
    <m/>
    <d v="2028-03-31T00:00:00"/>
    <s v="METC"/>
    <m/>
    <m/>
    <m/>
    <s v="MI"/>
    <m/>
    <m/>
    <m/>
    <s v="SIS"/>
    <m/>
    <n v="200"/>
    <n v="200"/>
    <x v="8"/>
    <m/>
    <m/>
    <m/>
    <n v="0"/>
    <n v="0"/>
    <n v="0"/>
    <n v="0"/>
  </r>
  <r>
    <s v="S1145"/>
    <x v="2"/>
    <d v="2025-10-30T00:00:00"/>
    <m/>
    <m/>
    <d v="2029-07-31T00:00:00"/>
    <s v="ITC"/>
    <s v="Huron"/>
    <m/>
    <m/>
    <s v="MI"/>
    <s v="NO_CYCLE"/>
    <s v="NO_GROUP"/>
    <m/>
    <s v="SIS"/>
    <s v="Harvest Wind Point Tap 120 kV"/>
    <n v="100"/>
    <n v="100"/>
    <x v="2"/>
    <s v="Solar/Battery"/>
    <m/>
    <m/>
    <n v="0"/>
    <n v="0"/>
    <n v="0"/>
    <n v="0"/>
  </r>
  <r>
    <s v="S1146"/>
    <x v="2"/>
    <d v="2026-03-16T00:00:00"/>
    <m/>
    <m/>
    <d v="2029-06-01T00:00:00"/>
    <s v="ITC"/>
    <s v="Muskegon"/>
    <m/>
    <m/>
    <s v="MI"/>
    <m/>
    <m/>
    <m/>
    <s v="SIS"/>
    <s v="DU PONT - WHITE LAKE 138.0kV"/>
    <n v="125"/>
    <n v="125"/>
    <x v="8"/>
    <m/>
    <m/>
    <m/>
    <n v="0"/>
    <n v="0"/>
    <n v="0"/>
    <n v="0"/>
  </r>
  <r>
    <s v="S1147"/>
    <x v="2"/>
    <d v="2026-01-17T00:00:00"/>
    <m/>
    <m/>
    <d v="2027-01-07T00:00:00"/>
    <s v="METC"/>
    <m/>
    <m/>
    <m/>
    <s v="MI"/>
    <s v="NO_CYCLE"/>
    <s v="NO_GROUP"/>
    <m/>
    <s v="SIS"/>
    <m/>
    <n v="132"/>
    <n v="132"/>
    <x v="8"/>
    <m/>
    <m/>
    <m/>
    <n v="0"/>
    <n v="0"/>
    <n v="0"/>
    <n v="0"/>
  </r>
  <r>
    <s v="S1148"/>
    <x v="2"/>
    <d v="2026-01-09T00:00:00"/>
    <m/>
    <m/>
    <d v="2027-10-01T00:00:00"/>
    <s v="NORTHERN STATES POWER COMPANY"/>
    <s v="Rock"/>
    <m/>
    <m/>
    <s v="MN"/>
    <s v="NO_CYCLE"/>
    <s v="NO_GROUP"/>
    <m/>
    <s v="SIS"/>
    <s v="Magnolia"/>
    <n v="230"/>
    <n v="230"/>
    <x v="8"/>
    <m/>
    <m/>
    <m/>
    <n v="0"/>
    <n v="0"/>
    <n v="0"/>
    <n v="0"/>
  </r>
  <r>
    <s v="S1149"/>
    <x v="2"/>
    <d v="2026-02-09T00:00:00"/>
    <m/>
    <m/>
    <d v="2028-08-01T00:00:00"/>
    <s v="AMEREN ILLINOIS"/>
    <m/>
    <m/>
    <m/>
    <s v="IL"/>
    <s v="NO_CYCLE"/>
    <s v="NO_GROUP"/>
    <m/>
    <s v="SIS"/>
    <m/>
    <n v="80"/>
    <n v="80"/>
    <x v="8"/>
    <m/>
    <m/>
    <m/>
    <n v="0"/>
    <n v="0"/>
    <n v="0"/>
    <n v="0"/>
  </r>
  <r>
    <s v="S1150"/>
    <x v="2"/>
    <d v="2026-03-24T00:00:00"/>
    <m/>
    <m/>
    <d v="2028-08-01T00:00:00"/>
    <s v="AMEREN ILLINOIS"/>
    <m/>
    <m/>
    <m/>
    <s v="IL"/>
    <s v="NO_CYCLE"/>
    <s v="NO_GROUP"/>
    <m/>
    <s v="SIS"/>
    <m/>
    <n v="80"/>
    <n v="80"/>
    <x v="8"/>
    <m/>
    <m/>
    <m/>
    <n v="0"/>
    <n v="0"/>
    <n v="0"/>
    <n v="0"/>
  </r>
  <r>
    <s v="S1151"/>
    <x v="2"/>
    <d v="2025-11-19T00:00:00"/>
    <m/>
    <m/>
    <d v="2028-03-31T00:00:00"/>
    <s v="AMERICAN TRANSMISSION COMPANY"/>
    <s v="Jefferson"/>
    <m/>
    <m/>
    <s v="WI"/>
    <m/>
    <m/>
    <m/>
    <s v="SIS"/>
    <s v="University (UWW)"/>
    <n v="109"/>
    <n v="109"/>
    <x v="0"/>
    <s v="Photovoltaic"/>
    <m/>
    <m/>
    <n v="0"/>
    <n v="0"/>
    <n v="0"/>
    <n v="0"/>
  </r>
  <r>
    <s v="S1152"/>
    <x v="2"/>
    <d v="2026-04-15T00:00:00"/>
    <m/>
    <m/>
    <d v="2028-07-03T00:00:00"/>
    <s v="AMEREN MISSOURI"/>
    <m/>
    <m/>
    <m/>
    <s v="MO"/>
    <m/>
    <m/>
    <m/>
    <s v="SIS"/>
    <m/>
    <n v="139"/>
    <n v="139"/>
    <x v="8"/>
    <m/>
    <m/>
    <m/>
    <n v="0"/>
    <n v="0"/>
    <n v="0"/>
    <n v="0"/>
  </r>
  <r>
    <s v="S1153"/>
    <x v="2"/>
    <d v="2025-11-04T00:00:00"/>
    <m/>
    <m/>
    <d v="2026-06-01T00:00:00"/>
    <s v="AMERICAN TRANSMISSION COMPANY"/>
    <s v="Waushara"/>
    <m/>
    <m/>
    <s v="WI"/>
    <m/>
    <m/>
    <m/>
    <s v="SIS"/>
    <s v="Sand Lake 138kV"/>
    <n v="100"/>
    <n v="100"/>
    <x v="2"/>
    <s v="Battery Storage"/>
    <m/>
    <m/>
    <n v="0"/>
    <n v="0"/>
    <n v="0"/>
    <n v="0"/>
  </r>
  <r>
    <s v="S1154"/>
    <x v="2"/>
    <d v="2026-03-10T00:00:00"/>
    <m/>
    <m/>
    <d v="2029-12-01T00:00:00"/>
    <s v="GREAT RIVER ENERGY"/>
    <m/>
    <m/>
    <m/>
    <s v="MN"/>
    <s v="NO_CYCLE"/>
    <s v="NO_GROUP"/>
    <m/>
    <s v="SIS"/>
    <m/>
    <n v="150"/>
    <n v="150"/>
    <x v="8"/>
    <m/>
    <m/>
    <m/>
    <n v="0"/>
    <n v="0"/>
    <n v="0"/>
    <n v="0"/>
  </r>
  <r>
    <s v="S1155"/>
    <x v="2"/>
    <d v="2026-03-13T00:00:00"/>
    <m/>
    <m/>
    <d v="2028-05-31T00:00:00"/>
    <s v="AMEREN MISSOURI"/>
    <m/>
    <m/>
    <m/>
    <s v="MO"/>
    <m/>
    <m/>
    <m/>
    <s v="SIS"/>
    <m/>
    <n v="200"/>
    <n v="200"/>
    <x v="8"/>
    <m/>
    <m/>
    <m/>
    <n v="0"/>
    <n v="0"/>
    <n v="0"/>
    <n v="0"/>
  </r>
  <r>
    <s v="S1156"/>
    <x v="2"/>
    <d v="2026-04-13T00:00:00"/>
    <m/>
    <m/>
    <d v="2026-08-29T00:00:00"/>
    <s v="ENTERGY TEXAS, INC. ETTO"/>
    <m/>
    <m/>
    <m/>
    <s v="TX"/>
    <m/>
    <m/>
    <m/>
    <s v="SIS"/>
    <m/>
    <n v="632"/>
    <n v="632"/>
    <x v="8"/>
    <m/>
    <m/>
    <m/>
    <n v="0"/>
    <n v="0"/>
    <n v="0"/>
    <n v="0"/>
  </r>
  <r>
    <s v="S1157"/>
    <x v="2"/>
    <d v="2026-04-13T00:00:00"/>
    <m/>
    <m/>
    <d v="2026-08-29T00:00:00"/>
    <s v="ENTERGY TEXAS, INC. ETTO"/>
    <m/>
    <m/>
    <m/>
    <s v="TX"/>
    <m/>
    <m/>
    <m/>
    <s v="SIS"/>
    <m/>
    <n v="534"/>
    <n v="534"/>
    <x v="8"/>
    <m/>
    <m/>
    <m/>
    <n v="0"/>
    <n v="0"/>
    <n v="0"/>
    <n v="0"/>
  </r>
  <r>
    <s v="S1158"/>
    <x v="2"/>
    <d v="2026-02-06T00:00:00"/>
    <m/>
    <m/>
    <d v="2028-06-01T00:00:00"/>
    <s v="AMERICAN TRANSMISSION COMPANY"/>
    <s v="Story"/>
    <m/>
    <m/>
    <s v="WI"/>
    <m/>
    <m/>
    <m/>
    <s v="SIS"/>
    <s v="Story County"/>
    <n v="99"/>
    <n v="99"/>
    <x v="8"/>
    <m/>
    <m/>
    <m/>
    <n v="0"/>
    <n v="0"/>
    <n v="0"/>
    <n v="0"/>
  </r>
  <r>
    <s v="S1159"/>
    <x v="2"/>
    <d v="2026-02-27T00:00:00"/>
    <m/>
    <m/>
    <d v="2028-08-01T00:00:00"/>
    <s v="AMERICAN TRANSMISSION COMPANY"/>
    <m/>
    <m/>
    <m/>
    <s v="WI"/>
    <s v="NO_CYCLE"/>
    <s v="NO_GROUP"/>
    <m/>
    <s v="SIS"/>
    <m/>
    <n v="100"/>
    <n v="100"/>
    <x v="8"/>
    <m/>
    <m/>
    <m/>
    <n v="0"/>
    <n v="0"/>
    <n v="0"/>
    <n v="0"/>
  </r>
  <r>
    <s v="S1160"/>
    <x v="2"/>
    <d v="2026-03-28T00:00:00"/>
    <m/>
    <m/>
    <d v="2028-09-30T00:00:00"/>
    <s v="OTTER TAIL POWER COMPANY OTP"/>
    <m/>
    <m/>
    <m/>
    <s v="SD"/>
    <s v="NO_CYCLE"/>
    <s v="NO_GROUP"/>
    <m/>
    <s v="SIS"/>
    <m/>
    <n v="150"/>
    <n v="150"/>
    <x v="8"/>
    <m/>
    <m/>
    <m/>
    <n v="0"/>
    <n v="0"/>
    <n v="0"/>
    <n v="0"/>
  </r>
  <r>
    <s v="S1161"/>
    <x v="2"/>
    <d v="2026-03-24T00:00:00"/>
    <m/>
    <m/>
    <d v="2025-08-01T00:00:00"/>
    <s v="ENTERGY ARKANSAS, LLC EATO"/>
    <m/>
    <m/>
    <m/>
    <s v="AR"/>
    <s v="NO_CYCLE"/>
    <s v="NO_GROUP"/>
    <m/>
    <s v="SIS"/>
    <m/>
    <n v="625"/>
    <n v="625"/>
    <x v="8"/>
    <m/>
    <m/>
    <m/>
    <n v="0"/>
    <n v="0"/>
    <n v="0"/>
    <n v="0"/>
  </r>
  <r>
    <s v="S1162"/>
    <x v="2"/>
    <d v="2026-03-20T00:00:00"/>
    <m/>
    <m/>
    <d v="2029-03-01T00:00:00"/>
    <s v="ENTERGY ARKANSAS, LLC EATO"/>
    <m/>
    <m/>
    <m/>
    <s v="AR"/>
    <s v="NO_CYCLE"/>
    <s v="NO_GROUP"/>
    <m/>
    <s v="SIS"/>
    <m/>
    <n v="390"/>
    <n v="390"/>
    <x v="8"/>
    <m/>
    <m/>
    <m/>
    <n v="0"/>
    <n v="0"/>
    <n v="0"/>
    <n v="0"/>
  </r>
  <r>
    <s v="S1163"/>
    <x v="2"/>
    <d v="2026-02-16T00:00:00"/>
    <m/>
    <m/>
    <d v="2028-05-01T00:00:00"/>
    <s v="NORTHERN INDIANA PUBLIC SERVICE COMPANY LLC"/>
    <s v="Newton"/>
    <m/>
    <m/>
    <s v="IN"/>
    <s v="DPP-2026"/>
    <s v="Central"/>
    <m/>
    <s v="SIS"/>
    <s v="MORRISON DITCH"/>
    <n v="150"/>
    <n v="150"/>
    <x v="2"/>
    <s v="Battery Storage"/>
    <m/>
    <m/>
    <n v="0"/>
    <n v="0"/>
    <n v="0"/>
    <n v="0"/>
  </r>
  <r>
    <s v="S1164"/>
    <x v="2"/>
    <d v="2026-05-11T00:00:00"/>
    <m/>
    <m/>
    <d v="2028-08-03T00:00:00"/>
    <s v="ENTERGY ARKANSAS INC. EAI"/>
    <s v="MIssissippi"/>
    <m/>
    <m/>
    <s v="AR"/>
    <s v="NO_CYCLE"/>
    <s v="NO_GROUP"/>
    <m/>
    <s v="SIS"/>
    <s v="Dell - Manila 161 kV"/>
    <n v="200"/>
    <n v="200"/>
    <x v="8"/>
    <m/>
    <m/>
    <m/>
    <n v="0"/>
    <n v="0"/>
    <n v="0"/>
    <n v="0"/>
  </r>
  <r>
    <s v="S1165"/>
    <x v="2"/>
    <d v="2026-03-31T00:00:00"/>
    <m/>
    <m/>
    <d v="2027-08-31T00:00:00"/>
    <s v="AMERICAN TRANSMISSION COMPANY"/>
    <m/>
    <m/>
    <m/>
    <s v="WI"/>
    <s v="NO_CYCLE"/>
    <s v="NO_GROUP"/>
    <m/>
    <s v="SIS"/>
    <m/>
    <n v="75"/>
    <n v="75"/>
    <x v="8"/>
    <m/>
    <m/>
    <m/>
    <n v="0"/>
    <n v="0"/>
    <n v="0"/>
    <n v="0"/>
  </r>
  <r>
    <s v="S1166"/>
    <x v="2"/>
    <d v="2026-05-04T00:00:00"/>
    <m/>
    <m/>
    <d v="2029-05-01T00:00:00"/>
    <s v="NORTHERN STATES POWER COMPANY"/>
    <m/>
    <m/>
    <m/>
    <s v="MN"/>
    <s v="NO_CYCLE"/>
    <s v="NO_GROUP"/>
    <m/>
    <s v="SIS"/>
    <m/>
    <n v="108.93"/>
    <n v="108.93"/>
    <x v="8"/>
    <m/>
    <m/>
    <m/>
    <n v="0"/>
    <n v="0"/>
    <n v="0"/>
    <n v="0"/>
  </r>
  <r>
    <s v="S1167"/>
    <x v="2"/>
    <d v="2026-07-02T00:00:00"/>
    <m/>
    <m/>
    <d v="2030-06-01T00:00:00"/>
    <s v="AMEREN ILLINOIS"/>
    <s v="Coles"/>
    <m/>
    <m/>
    <s v="IL"/>
    <s v="NO_CYCLE"/>
    <s v="NO_GROUP"/>
    <m/>
    <s v="SIS"/>
    <s v="Greenway 138 kV"/>
    <n v="99"/>
    <n v="99"/>
    <x v="8"/>
    <m/>
    <m/>
    <m/>
    <n v="0"/>
    <n v="0"/>
    <n v="0"/>
    <n v="0"/>
  </r>
  <r>
    <s v="S1168"/>
    <x v="2"/>
    <d v="2026-07-02T00:00:00"/>
    <m/>
    <m/>
    <d v="2030-06-01T00:00:00"/>
    <s v="AMEREN ILLINOIS"/>
    <s v="Marion"/>
    <m/>
    <m/>
    <s v="IL"/>
    <s v="NO_CYCLE"/>
    <s v="NO_GROUP"/>
    <m/>
    <s v="SIS"/>
    <s v="Finks 138 kV"/>
    <n v="99"/>
    <n v="99"/>
    <x v="8"/>
    <m/>
    <m/>
    <m/>
    <n v="0"/>
    <n v="0"/>
    <n v="0"/>
    <n v="0"/>
  </r>
  <r>
    <s v="S1169"/>
    <x v="2"/>
    <d v="2026-02-11T00:00:00"/>
    <m/>
    <m/>
    <d v="2027-09-15T00:00:00"/>
    <s v="ENTERGY LOUISIANA, LLC ELTO"/>
    <s v="Washington"/>
    <m/>
    <m/>
    <s v="LA"/>
    <s v="DPP-2026"/>
    <s v="South"/>
    <m/>
    <s v="SIS"/>
    <s v="BOGALUSA - TALISHEEK (LAGEN) 230.0kV"/>
    <n v="100"/>
    <n v="100"/>
    <x v="2"/>
    <s v="Solar/Battery"/>
    <m/>
    <m/>
    <n v="0"/>
    <n v="0"/>
    <n v="0"/>
    <n v="0"/>
  </r>
  <r>
    <s v="S1170"/>
    <x v="2"/>
    <d v="2025-06-27T00:00:00"/>
    <m/>
    <m/>
    <d v="2028-03-01T00:00:00"/>
    <s v="ENTERGY ARKANSAS, LLC EATO"/>
    <s v="Union"/>
    <m/>
    <m/>
    <s v="AR"/>
    <m/>
    <m/>
    <m/>
    <s v="SIS"/>
    <s v="HUTTIG SS - STRONG SS 115.0kV"/>
    <n v="100"/>
    <n v="100"/>
    <x v="2"/>
    <s v="Battery Storage"/>
    <m/>
    <m/>
    <n v="0"/>
    <n v="0"/>
    <n v="0"/>
    <n v="0"/>
  </r>
  <r>
    <s v="S1171"/>
    <x v="2"/>
    <d v="2026-05-26T00:00:00"/>
    <m/>
    <m/>
    <d v="2028-06-30T00:00:00"/>
    <s v="ENTERGY ARKANSAS, LLC EATO"/>
    <m/>
    <m/>
    <m/>
    <m/>
    <s v="NO_CYCLE"/>
    <s v="NO_GROUP"/>
    <m/>
    <s v="SIS"/>
    <s v="White Bluff EHV 500MW"/>
    <n v="0"/>
    <n v="0"/>
    <x v="8"/>
    <m/>
    <m/>
    <m/>
    <n v="0"/>
    <n v="0"/>
    <n v="0"/>
    <n v="0"/>
  </r>
  <r>
    <m/>
    <x v="5"/>
    <m/>
    <m/>
    <m/>
    <m/>
    <m/>
    <m/>
    <m/>
    <m/>
    <m/>
    <m/>
    <m/>
    <m/>
    <m/>
    <m/>
    <m/>
    <m/>
    <x v="8"/>
    <m/>
    <m/>
    <m/>
    <m/>
    <m/>
    <m/>
    <m/>
  </r>
  <r>
    <m/>
    <x v="5"/>
    <m/>
    <m/>
    <m/>
    <m/>
    <m/>
    <m/>
    <m/>
    <m/>
    <m/>
    <m/>
    <m/>
    <m/>
    <m/>
    <m/>
    <m/>
    <m/>
    <x v="8"/>
    <m/>
    <m/>
    <m/>
    <m/>
    <m/>
    <m/>
    <m/>
  </r>
  <r>
    <m/>
    <x v="5"/>
    <m/>
    <m/>
    <m/>
    <m/>
    <m/>
    <m/>
    <m/>
    <m/>
    <m/>
    <m/>
    <m/>
    <m/>
    <m/>
    <m/>
    <m/>
    <m/>
    <x v="8"/>
    <m/>
    <m/>
    <m/>
    <m/>
    <m/>
    <m/>
    <m/>
  </r>
  <r>
    <m/>
    <x v="5"/>
    <m/>
    <m/>
    <m/>
    <m/>
    <m/>
    <m/>
    <m/>
    <m/>
    <m/>
    <m/>
    <m/>
    <m/>
    <m/>
    <m/>
    <m/>
    <m/>
    <x v="8"/>
    <m/>
    <m/>
    <m/>
    <m/>
    <m/>
    <m/>
    <m/>
  </r>
  <r>
    <m/>
    <x v="5"/>
    <m/>
    <m/>
    <m/>
    <m/>
    <m/>
    <m/>
    <m/>
    <m/>
    <m/>
    <m/>
    <m/>
    <m/>
    <m/>
    <m/>
    <m/>
    <m/>
    <x v="8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81BBC-6281-ED4B-8071-74D6F9522D7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4" firstHeaderRow="1" firstDataRow="1" firstDataCol="1"/>
  <pivotFields count="26">
    <pivotField dataField="1" showAll="0"/>
    <pivotField axis="axisRow" showAll="0">
      <items count="8">
        <item x="2"/>
        <item x="0"/>
        <item m="1" x="6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2"/>
        <item x="12"/>
        <item x="4"/>
        <item x="13"/>
        <item x="14"/>
        <item x="9"/>
        <item x="3"/>
        <item x="10"/>
        <item x="5"/>
        <item x="6"/>
        <item x="11"/>
        <item x="0"/>
        <item x="7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8"/>
    <field x="1"/>
  </rowFields>
  <rowItems count="61">
    <i>
      <x/>
    </i>
    <i r="1">
      <x/>
    </i>
    <i r="1">
      <x v="1"/>
    </i>
    <i r="1">
      <x v="3"/>
    </i>
    <i r="1">
      <x v="4"/>
    </i>
    <i r="1">
      <x v="5"/>
    </i>
    <i>
      <x v="1"/>
    </i>
    <i r="1">
      <x/>
    </i>
    <i>
      <x v="2"/>
    </i>
    <i r="1">
      <x v="1"/>
    </i>
    <i r="1">
      <x v="5"/>
    </i>
    <i>
      <x v="3"/>
    </i>
    <i r="1">
      <x v="1"/>
    </i>
    <i r="1">
      <x v="5"/>
    </i>
    <i>
      <x v="4"/>
    </i>
    <i r="1">
      <x/>
    </i>
    <i>
      <x v="5"/>
    </i>
    <i r="1">
      <x/>
    </i>
    <i r="1">
      <x v="1"/>
    </i>
    <i r="1">
      <x v="5"/>
    </i>
    <i>
      <x v="6"/>
    </i>
    <i r="1">
      <x/>
    </i>
    <i r="1">
      <x v="1"/>
    </i>
    <i r="1">
      <x v="3"/>
    </i>
    <i r="1">
      <x v="4"/>
    </i>
    <i r="1">
      <x v="5"/>
    </i>
    <i>
      <x v="7"/>
    </i>
    <i r="1">
      <x v="5"/>
    </i>
    <i>
      <x v="8"/>
    </i>
    <i r="1">
      <x/>
    </i>
    <i r="1">
      <x v="1"/>
    </i>
    <i r="1">
      <x v="3"/>
    </i>
    <i r="1">
      <x v="4"/>
    </i>
    <i r="1">
      <x v="5"/>
    </i>
    <i>
      <x v="9"/>
    </i>
    <i r="1">
      <x/>
    </i>
    <i r="1">
      <x v="1"/>
    </i>
    <i r="1">
      <x v="5"/>
    </i>
    <i>
      <x v="10"/>
    </i>
    <i r="1">
      <x/>
    </i>
    <i>
      <x v="11"/>
    </i>
    <i r="1">
      <x/>
    </i>
    <i r="1">
      <x v="1"/>
    </i>
    <i r="1">
      <x v="3"/>
    </i>
    <i r="1">
      <x v="5"/>
    </i>
    <i>
      <x v="12"/>
    </i>
    <i r="1">
      <x/>
    </i>
    <i r="1">
      <x v="1"/>
    </i>
    <i r="1">
      <x v="5"/>
    </i>
    <i>
      <x v="13"/>
    </i>
    <i r="1">
      <x/>
    </i>
    <i r="1">
      <x v="1"/>
    </i>
    <i r="1">
      <x v="3"/>
    </i>
    <i r="1">
      <x v="5"/>
    </i>
    <i>
      <x v="14"/>
    </i>
    <i r="1"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Project #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A0A14-3CF3-6643-8C27-5EAA1ABE235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6">
    <pivotField showAll="0"/>
    <pivotField axis="axisRow" showAll="0">
      <items count="8">
        <item x="2"/>
        <item x="0"/>
        <item m="1" x="6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uel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D0193-CCC2-E542-A6A7-BF4A99483D63}" name="Table1" displayName="Table1" ref="A1:Z3829" totalsRowCount="1" headerRowDxfId="10">
  <autoFilter ref="A1:Z3828" xr:uid="{E6ED0193-CCC2-E542-A6A7-BF4A99483D63}">
    <filterColumn colId="8">
      <customFilters>
        <customFilter operator="notEqual" val=" "/>
      </customFilters>
    </filterColumn>
  </autoFilter>
  <tableColumns count="26">
    <tableColumn id="1" xr3:uid="{6A70E130-523F-9547-83B8-89DEB3D2CC97}" name="Project #" totalsRowFunction="count"/>
    <tableColumn id="2" xr3:uid="{EFD3B84A-79D0-3C4D-9A93-FCB3A416CBC9}" name="Request Status"/>
    <tableColumn id="3" xr3:uid="{2C327530-A66D-B34A-A78F-7140108D6F7C}" name="Queue Date" dataDxfId="9" totalsRowDxfId="8"/>
    <tableColumn id="4" xr3:uid="{3067EA59-8460-CE4E-A4FD-9D22CE1563EB}" name="Withdrawn Date" totalsRowFunction="countNums" dataDxfId="7" totalsRowDxfId="0"/>
    <tableColumn id="5" xr3:uid="{7A44BA85-E846-714A-9CEA-86934E22181D}" name="Done Date" totalsRowFunction="count" dataDxfId="6" totalsRowDxfId="5"/>
    <tableColumn id="6" xr3:uid="{3B3820AF-B066-E348-AADC-515E9650DD48}" name="Appl In Service Date" dataDxfId="4" totalsRowDxfId="3"/>
    <tableColumn id="7" xr3:uid="{44825A54-3C2B-8B40-8DC5-9F6C22B91277}" name="Transmission Owner"/>
    <tableColumn id="8" xr3:uid="{294052E5-CEC4-E149-BD1F-BD59ACDB7F99}" name="County" totalsRowFunction="count"/>
    <tableColumn id="32" xr3:uid="{231708C1-FB2F-2641-8458-140750F896D3}" name="County 2"/>
    <tableColumn id="33" xr3:uid="{EDCE8122-B78D-8541-8850-D6F29426984B}" name="County 3"/>
    <tableColumn id="9" xr3:uid="{7D3348C8-6BF5-8D41-A894-D6784559B828}" name="State"/>
    <tableColumn id="10" xr3:uid="{55AA5EBC-56BB-464C-9B89-49BF22C76DF3}" name="Study Cycle"/>
    <tableColumn id="11" xr3:uid="{715E0BFB-1BD8-CE40-AC6B-941558058D26}" name="Study Group"/>
    <tableColumn id="12" xr3:uid="{6D962074-37F7-3D48-9650-37168370331F}" name="Study Phase"/>
    <tableColumn id="13" xr3:uid="{BF433DE5-30FD-8443-9863-D852CD5A8D64}" name="Service Type"/>
    <tableColumn id="14" xr3:uid="{3062E427-9959-2C4B-832B-E352C2BD645E}" name="POI Name"/>
    <tableColumn id="15" xr3:uid="{B5BCC0DA-95D6-B041-A167-4081A6C8B29F}" name="Summer MW"/>
    <tableColumn id="16" xr3:uid="{C931E0A2-7A01-6541-B7B4-001213CF85C8}" name="Winter MW"/>
    <tableColumn id="17" xr3:uid="{78FD008C-AACE-CD49-9786-9C568F8CB561}" name="Fuel"/>
    <tableColumn id="18" xr3:uid="{DA8B70A3-24B1-6248-B815-9E6DFB11E890}" name="Generating Facility"/>
    <tableColumn id="19" xr3:uid="{1864BDC9-F723-704F-B19C-4D3B73CD31DC}" name="Post GIA Status"/>
    <tableColumn id="20" xr3:uid="{A5FAD999-8754-7142-96A6-263288EBC9F8}" name="Negotiated In Service Date" dataDxfId="2" totalsRowDxfId="1"/>
    <tableColumn id="21" xr3:uid="{C82E415A-A4EE-AE46-AFE3-C2B91D32774C}" name="Decision Point 1 ERIS MW"/>
    <tableColumn id="22" xr3:uid="{CF193262-EB0E-4244-AFCD-DF8A7681EDE1}" name="Decision Point 1 NRIS MW"/>
    <tableColumn id="23" xr3:uid="{21A2EEB9-DA08-4847-9B46-8B60B6AC4DDA}" name="Decision Point 2 ERIS MW"/>
    <tableColumn id="24" xr3:uid="{AFAE3B31-BD48-0E49-AC11-9D67DB55DB1A}" name="Decision Point 2 NRIS MW" totalsRowFunction="sum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F5CD-7982-2840-AE0D-E1C230D0C100}">
  <dimension ref="A1:AD3831"/>
  <sheetViews>
    <sheetView tabSelected="1" topLeftCell="H1" zoomScale="115" workbookViewId="0">
      <pane ySplit="1" topLeftCell="A191" activePane="bottomLeft" state="frozen"/>
      <selection pane="bottomLeft" activeCell="E472" sqref="E472"/>
    </sheetView>
  </sheetViews>
  <sheetFormatPr baseColWidth="10" defaultRowHeight="19" x14ac:dyDescent="0.25"/>
  <cols>
    <col min="1" max="1" width="13.7109375" customWidth="1"/>
    <col min="2" max="2" width="17.5703125" customWidth="1"/>
    <col min="3" max="3" width="18.42578125" style="4" customWidth="1"/>
    <col min="4" max="4" width="19.42578125" style="4" customWidth="1"/>
    <col min="5" max="5" width="17" style="4" customWidth="1"/>
    <col min="6" max="6" width="20" style="4" bestFit="1" customWidth="1"/>
    <col min="7" max="7" width="78.7109375" bestFit="1" customWidth="1"/>
    <col min="8" max="8" width="47.7109375" bestFit="1" customWidth="1"/>
    <col min="9" max="9" width="14.85546875" customWidth="1"/>
    <col min="10" max="10" width="13.140625" customWidth="1"/>
    <col min="12" max="12" width="22.140625" bestFit="1" customWidth="1"/>
    <col min="13" max="13" width="15.5703125" customWidth="1"/>
    <col min="14" max="14" width="17.28515625" customWidth="1"/>
    <col min="15" max="15" width="16.42578125" customWidth="1"/>
    <col min="16" max="16" width="61.7109375" customWidth="1"/>
    <col min="17" max="17" width="13.140625" customWidth="1"/>
    <col min="18" max="18" width="11.5703125" customWidth="1"/>
    <col min="19" max="19" width="20.7109375" bestFit="1" customWidth="1"/>
    <col min="20" max="20" width="26.7109375" customWidth="1"/>
    <col min="21" max="21" width="23.140625" customWidth="1"/>
    <col min="22" max="22" width="26" style="4" customWidth="1"/>
    <col min="23" max="23" width="23.28515625" customWidth="1"/>
    <col min="24" max="24" width="23.5703125" customWidth="1"/>
    <col min="25" max="25" width="23.28515625" customWidth="1"/>
    <col min="26" max="26" width="23.5703125" customWidth="1"/>
    <col min="27" max="27" width="6.42578125" customWidth="1"/>
    <col min="28" max="28" width="5.7109375" customWidth="1"/>
    <col min="29" max="29" width="56.85546875" customWidth="1"/>
  </cols>
  <sheetData>
    <row r="1" spans="1:30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7671</v>
      </c>
      <c r="J1" s="1" t="s">
        <v>7670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3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C1" s="5" t="s">
        <v>7636</v>
      </c>
    </row>
    <row r="2" spans="1:30" hidden="1" x14ac:dyDescent="0.25">
      <c r="A2" t="s">
        <v>24</v>
      </c>
      <c r="B2" t="s">
        <v>25</v>
      </c>
      <c r="C2" s="4">
        <v>43171</v>
      </c>
      <c r="E2" s="4">
        <v>44288</v>
      </c>
      <c r="F2" s="4">
        <v>44470</v>
      </c>
      <c r="G2" t="s">
        <v>26</v>
      </c>
      <c r="H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50</v>
      </c>
      <c r="R2">
        <v>50</v>
      </c>
      <c r="S2" t="s">
        <v>34</v>
      </c>
      <c r="T2" t="s">
        <v>35</v>
      </c>
      <c r="U2" t="s">
        <v>36</v>
      </c>
      <c r="V2" s="4">
        <v>45012</v>
      </c>
      <c r="W2">
        <v>50</v>
      </c>
      <c r="X2">
        <v>50</v>
      </c>
      <c r="Y2">
        <v>50</v>
      </c>
      <c r="Z2">
        <v>50</v>
      </c>
      <c r="AC2" t="s">
        <v>159</v>
      </c>
      <c r="AD2">
        <f>COUNTIF(Table1[[#Data],[Fuel]], AC2)</f>
        <v>738</v>
      </c>
    </row>
    <row r="3" spans="1:30" hidden="1" x14ac:dyDescent="0.25">
      <c r="A3" t="s">
        <v>37</v>
      </c>
      <c r="B3" t="s">
        <v>38</v>
      </c>
      <c r="C3" s="4">
        <v>43171</v>
      </c>
      <c r="D3" s="4">
        <v>44264</v>
      </c>
      <c r="F3" s="4">
        <v>44075</v>
      </c>
      <c r="G3" t="s">
        <v>39</v>
      </c>
      <c r="H3" t="s">
        <v>40</v>
      </c>
      <c r="K3" t="s">
        <v>41</v>
      </c>
      <c r="L3" t="s">
        <v>29</v>
      </c>
      <c r="M3" t="s">
        <v>42</v>
      </c>
      <c r="N3" t="s">
        <v>31</v>
      </c>
      <c r="O3" t="s">
        <v>32</v>
      </c>
      <c r="P3" t="s">
        <v>43</v>
      </c>
      <c r="Q3">
        <v>40</v>
      </c>
      <c r="R3">
        <v>40</v>
      </c>
      <c r="S3" t="s">
        <v>34</v>
      </c>
      <c r="T3" t="s">
        <v>35</v>
      </c>
      <c r="U3" t="s">
        <v>44</v>
      </c>
      <c r="W3">
        <v>40</v>
      </c>
      <c r="X3">
        <v>40</v>
      </c>
      <c r="Y3">
        <v>0</v>
      </c>
      <c r="Z3">
        <v>0</v>
      </c>
      <c r="AC3" t="s">
        <v>720</v>
      </c>
      <c r="AD3">
        <f>COUNTIF(Table1[[#Data],[Fuel]], AC3)</f>
        <v>0</v>
      </c>
    </row>
    <row r="4" spans="1:30" hidden="1" x14ac:dyDescent="0.25">
      <c r="A4" t="s">
        <v>45</v>
      </c>
      <c r="B4" t="s">
        <v>25</v>
      </c>
      <c r="C4" s="4">
        <v>43171</v>
      </c>
      <c r="E4" s="4">
        <v>44321</v>
      </c>
      <c r="F4" s="4">
        <v>44470</v>
      </c>
      <c r="G4" t="s">
        <v>26</v>
      </c>
      <c r="H4" t="s">
        <v>46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47</v>
      </c>
      <c r="Q4">
        <v>99</v>
      </c>
      <c r="R4">
        <v>99</v>
      </c>
      <c r="S4" t="s">
        <v>34</v>
      </c>
      <c r="T4" t="s">
        <v>35</v>
      </c>
      <c r="U4" t="s">
        <v>36</v>
      </c>
      <c r="V4" s="4">
        <v>44952</v>
      </c>
      <c r="W4">
        <v>99</v>
      </c>
      <c r="X4">
        <v>99</v>
      </c>
      <c r="Y4">
        <v>99</v>
      </c>
      <c r="Z4">
        <v>99</v>
      </c>
      <c r="AC4" t="s">
        <v>390</v>
      </c>
      <c r="AD4">
        <f>COUNTIF(Table1[[#Data],[Fuel]], AC4)</f>
        <v>9</v>
      </c>
    </row>
    <row r="5" spans="1:30" hidden="1" x14ac:dyDescent="0.25">
      <c r="A5" t="s">
        <v>48</v>
      </c>
      <c r="B5" t="s">
        <v>25</v>
      </c>
      <c r="C5" s="4">
        <v>43171</v>
      </c>
      <c r="E5" s="4">
        <v>44321</v>
      </c>
      <c r="F5" s="4">
        <v>44470</v>
      </c>
      <c r="G5" t="s">
        <v>26</v>
      </c>
      <c r="H5" t="s">
        <v>49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50</v>
      </c>
      <c r="Q5">
        <v>50</v>
      </c>
      <c r="R5">
        <v>50</v>
      </c>
      <c r="S5" t="s">
        <v>34</v>
      </c>
      <c r="T5" t="s">
        <v>35</v>
      </c>
      <c r="U5" t="s">
        <v>36</v>
      </c>
      <c r="V5" s="4">
        <v>45083</v>
      </c>
      <c r="W5">
        <v>50</v>
      </c>
      <c r="X5">
        <v>50</v>
      </c>
      <c r="Y5">
        <v>50</v>
      </c>
      <c r="Z5">
        <v>50</v>
      </c>
      <c r="AC5" t="s">
        <v>2141</v>
      </c>
      <c r="AD5">
        <f>COUNTIF(Table1[[#Data],[Fuel]], AC5)</f>
        <v>0</v>
      </c>
    </row>
    <row r="6" spans="1:30" x14ac:dyDescent="0.25">
      <c r="A6" t="s">
        <v>51</v>
      </c>
      <c r="B6" t="s">
        <v>38</v>
      </c>
      <c r="C6" s="4">
        <v>43171</v>
      </c>
      <c r="D6" s="4">
        <v>43405</v>
      </c>
      <c r="F6" s="4">
        <v>44075</v>
      </c>
      <c r="G6" t="s">
        <v>52</v>
      </c>
      <c r="H6" t="s">
        <v>7642</v>
      </c>
      <c r="I6" t="s">
        <v>193</v>
      </c>
      <c r="K6" t="s">
        <v>53</v>
      </c>
      <c r="L6" t="s">
        <v>29</v>
      </c>
      <c r="M6" t="s">
        <v>54</v>
      </c>
      <c r="N6" t="s">
        <v>31</v>
      </c>
      <c r="O6" t="s">
        <v>32</v>
      </c>
      <c r="P6" t="s">
        <v>55</v>
      </c>
      <c r="Q6">
        <v>800</v>
      </c>
      <c r="R6">
        <v>800</v>
      </c>
      <c r="S6" t="s">
        <v>56</v>
      </c>
      <c r="T6" t="s">
        <v>57</v>
      </c>
      <c r="U6" t="s">
        <v>44</v>
      </c>
      <c r="W6">
        <v>0</v>
      </c>
      <c r="X6">
        <v>0</v>
      </c>
      <c r="Y6">
        <v>0</v>
      </c>
      <c r="Z6">
        <v>0</v>
      </c>
      <c r="AC6" t="s">
        <v>584</v>
      </c>
      <c r="AD6">
        <f>COUNTIF(Table1[[#Data],[Fuel]], AC6)</f>
        <v>0</v>
      </c>
    </row>
    <row r="7" spans="1:30" x14ac:dyDescent="0.25">
      <c r="A7" t="s">
        <v>58</v>
      </c>
      <c r="B7" t="s">
        <v>38</v>
      </c>
      <c r="C7" s="4">
        <v>43171</v>
      </c>
      <c r="D7" s="4">
        <v>44012</v>
      </c>
      <c r="F7" s="4">
        <v>44440</v>
      </c>
      <c r="G7" t="s">
        <v>52</v>
      </c>
      <c r="H7" t="s">
        <v>7643</v>
      </c>
      <c r="I7" t="s">
        <v>1036</v>
      </c>
      <c r="K7" t="s">
        <v>53</v>
      </c>
      <c r="L7" t="s">
        <v>29</v>
      </c>
      <c r="M7" t="s">
        <v>54</v>
      </c>
      <c r="N7" t="s">
        <v>31</v>
      </c>
      <c r="O7" t="s">
        <v>32</v>
      </c>
      <c r="P7" t="s">
        <v>59</v>
      </c>
      <c r="Q7">
        <v>200</v>
      </c>
      <c r="R7">
        <v>200</v>
      </c>
      <c r="S7" t="s">
        <v>34</v>
      </c>
      <c r="T7" t="s">
        <v>35</v>
      </c>
      <c r="U7" t="s">
        <v>44</v>
      </c>
      <c r="W7">
        <v>200</v>
      </c>
      <c r="X7">
        <v>200</v>
      </c>
      <c r="Y7">
        <v>0</v>
      </c>
      <c r="Z7">
        <v>0</v>
      </c>
      <c r="AC7" t="s">
        <v>17</v>
      </c>
      <c r="AD7">
        <f>COUNTIF(Table1[[#Data],[Fuel]], AC7)</f>
        <v>0</v>
      </c>
    </row>
    <row r="8" spans="1:30" hidden="1" x14ac:dyDescent="0.25">
      <c r="A8" t="s">
        <v>60</v>
      </c>
      <c r="B8" t="s">
        <v>38</v>
      </c>
      <c r="C8" s="4">
        <v>43171</v>
      </c>
      <c r="D8" s="4">
        <v>43915</v>
      </c>
      <c r="F8" s="4">
        <v>44075</v>
      </c>
      <c r="G8" t="s">
        <v>39</v>
      </c>
      <c r="H8" t="s">
        <v>61</v>
      </c>
      <c r="K8" t="s">
        <v>62</v>
      </c>
      <c r="L8" t="s">
        <v>29</v>
      </c>
      <c r="M8" t="s">
        <v>42</v>
      </c>
      <c r="N8" t="s">
        <v>31</v>
      </c>
      <c r="O8" t="s">
        <v>32</v>
      </c>
      <c r="P8" t="s">
        <v>63</v>
      </c>
      <c r="Q8">
        <v>100</v>
      </c>
      <c r="R8">
        <v>100</v>
      </c>
      <c r="S8" t="s">
        <v>34</v>
      </c>
      <c r="T8" t="s">
        <v>35</v>
      </c>
      <c r="U8" t="s">
        <v>44</v>
      </c>
      <c r="W8">
        <v>0</v>
      </c>
      <c r="X8">
        <v>0</v>
      </c>
      <c r="Y8">
        <v>0</v>
      </c>
      <c r="Z8">
        <v>0</v>
      </c>
      <c r="AC8" t="s">
        <v>638</v>
      </c>
      <c r="AD8">
        <f>COUNTIF(Table1[[#Data],[Fuel]], AC8)</f>
        <v>0</v>
      </c>
    </row>
    <row r="9" spans="1:30" hidden="1" x14ac:dyDescent="0.25">
      <c r="A9" t="s">
        <v>64</v>
      </c>
      <c r="B9" t="s">
        <v>25</v>
      </c>
      <c r="C9" s="4">
        <v>43171</v>
      </c>
      <c r="E9" s="4">
        <v>44055</v>
      </c>
      <c r="F9" s="4">
        <v>44440</v>
      </c>
      <c r="G9" t="s">
        <v>65</v>
      </c>
      <c r="H9" t="s">
        <v>66</v>
      </c>
      <c r="K9" t="s">
        <v>67</v>
      </c>
      <c r="L9" t="s">
        <v>29</v>
      </c>
      <c r="M9" t="s">
        <v>68</v>
      </c>
      <c r="N9" t="s">
        <v>31</v>
      </c>
      <c r="O9" t="s">
        <v>32</v>
      </c>
      <c r="P9" t="s">
        <v>69</v>
      </c>
      <c r="Q9">
        <v>200</v>
      </c>
      <c r="R9">
        <v>200</v>
      </c>
      <c r="S9" t="s">
        <v>34</v>
      </c>
      <c r="T9" t="s">
        <v>35</v>
      </c>
      <c r="U9" t="s">
        <v>70</v>
      </c>
      <c r="V9" s="4">
        <v>45078</v>
      </c>
      <c r="W9">
        <v>200</v>
      </c>
      <c r="X9">
        <v>200</v>
      </c>
      <c r="Y9">
        <v>180</v>
      </c>
      <c r="Z9">
        <v>180</v>
      </c>
      <c r="AC9" t="s">
        <v>5900</v>
      </c>
      <c r="AD9">
        <f>COUNTIF(Table1[[#Data],[Fuel]], AC9)</f>
        <v>8</v>
      </c>
    </row>
    <row r="10" spans="1:30" hidden="1" x14ac:dyDescent="0.25">
      <c r="A10" t="s">
        <v>71</v>
      </c>
      <c r="B10" t="s">
        <v>38</v>
      </c>
      <c r="C10" s="4">
        <v>43171</v>
      </c>
      <c r="D10" s="4">
        <v>43915</v>
      </c>
      <c r="F10" s="4">
        <v>44075</v>
      </c>
      <c r="G10" t="s">
        <v>72</v>
      </c>
      <c r="H10" t="s">
        <v>73</v>
      </c>
      <c r="K10" t="s">
        <v>41</v>
      </c>
      <c r="L10" t="s">
        <v>29</v>
      </c>
      <c r="M10" t="s">
        <v>42</v>
      </c>
      <c r="N10" t="s">
        <v>31</v>
      </c>
      <c r="O10" t="s">
        <v>32</v>
      </c>
      <c r="P10" t="s">
        <v>74</v>
      </c>
      <c r="Q10">
        <v>50</v>
      </c>
      <c r="R10">
        <v>50</v>
      </c>
      <c r="S10" t="s">
        <v>34</v>
      </c>
      <c r="T10" t="s">
        <v>35</v>
      </c>
      <c r="U10" t="s">
        <v>44</v>
      </c>
      <c r="W10">
        <v>0</v>
      </c>
      <c r="X10">
        <v>0</v>
      </c>
      <c r="Y10">
        <v>0</v>
      </c>
      <c r="Z10">
        <v>0</v>
      </c>
      <c r="AC10" t="s">
        <v>35</v>
      </c>
      <c r="AD10">
        <f>COUNTIF(Table1[[#Data],[Fuel]], AC10)</f>
        <v>0</v>
      </c>
    </row>
    <row r="11" spans="1:30" x14ac:dyDescent="0.25">
      <c r="A11" t="s">
        <v>75</v>
      </c>
      <c r="B11" t="s">
        <v>38</v>
      </c>
      <c r="C11" s="4">
        <v>43171</v>
      </c>
      <c r="D11" s="4">
        <v>43970</v>
      </c>
      <c r="F11" s="4">
        <v>44075</v>
      </c>
      <c r="G11" t="s">
        <v>26</v>
      </c>
      <c r="H11" t="s">
        <v>876</v>
      </c>
      <c r="I11" t="s">
        <v>7644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76</v>
      </c>
      <c r="Q11">
        <v>400</v>
      </c>
      <c r="R11">
        <v>400</v>
      </c>
      <c r="S11" t="s">
        <v>34</v>
      </c>
      <c r="T11" t="s">
        <v>35</v>
      </c>
      <c r="U11" t="s">
        <v>44</v>
      </c>
      <c r="W11">
        <v>400</v>
      </c>
      <c r="X11">
        <v>400</v>
      </c>
      <c r="Y11">
        <v>0</v>
      </c>
      <c r="Z11">
        <v>0</v>
      </c>
      <c r="AC11" t="s">
        <v>2129</v>
      </c>
      <c r="AD11">
        <f>COUNTIF(Table1[[#Data],[Fuel]], AC11)</f>
        <v>0</v>
      </c>
    </row>
    <row r="12" spans="1:30" x14ac:dyDescent="0.25">
      <c r="A12" t="s">
        <v>77</v>
      </c>
      <c r="B12" t="s">
        <v>38</v>
      </c>
      <c r="C12" s="4">
        <v>43171</v>
      </c>
      <c r="D12" s="4">
        <v>43970</v>
      </c>
      <c r="F12" s="4">
        <v>44075</v>
      </c>
      <c r="G12" t="s">
        <v>26</v>
      </c>
      <c r="H12" t="s">
        <v>876</v>
      </c>
      <c r="I12" t="s">
        <v>7644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78</v>
      </c>
      <c r="Q12">
        <v>400</v>
      </c>
      <c r="R12">
        <v>400</v>
      </c>
      <c r="S12" t="s">
        <v>34</v>
      </c>
      <c r="T12" t="s">
        <v>35</v>
      </c>
      <c r="U12" t="s">
        <v>44</v>
      </c>
      <c r="W12">
        <v>400</v>
      </c>
      <c r="X12">
        <v>400</v>
      </c>
      <c r="Y12">
        <v>0</v>
      </c>
      <c r="Z12">
        <v>0</v>
      </c>
      <c r="AC12" t="s">
        <v>598</v>
      </c>
      <c r="AD12">
        <f>COUNTIF(Table1[[#Data],[Fuel]], AC12)</f>
        <v>0</v>
      </c>
    </row>
    <row r="13" spans="1:30" x14ac:dyDescent="0.25">
      <c r="A13" t="s">
        <v>79</v>
      </c>
      <c r="B13" t="s">
        <v>38</v>
      </c>
      <c r="C13" s="4">
        <v>43171</v>
      </c>
      <c r="D13" s="4">
        <v>43970</v>
      </c>
      <c r="F13" s="4">
        <v>44805</v>
      </c>
      <c r="G13" t="s">
        <v>26</v>
      </c>
      <c r="H13" t="s">
        <v>876</v>
      </c>
      <c r="I13" t="s">
        <v>7644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78</v>
      </c>
      <c r="Q13">
        <v>400</v>
      </c>
      <c r="R13">
        <v>400</v>
      </c>
      <c r="S13" t="s">
        <v>34</v>
      </c>
      <c r="T13" t="s">
        <v>35</v>
      </c>
      <c r="U13" t="s">
        <v>44</v>
      </c>
      <c r="W13">
        <v>400</v>
      </c>
      <c r="X13">
        <v>400</v>
      </c>
      <c r="Y13">
        <v>0</v>
      </c>
      <c r="Z13">
        <v>0</v>
      </c>
      <c r="AC13" t="s">
        <v>945</v>
      </c>
      <c r="AD13">
        <f>COUNTIF(Table1[[#Data],[Fuel]], AC13)</f>
        <v>0</v>
      </c>
    </row>
    <row r="14" spans="1:30" hidden="1" x14ac:dyDescent="0.25">
      <c r="A14" t="s">
        <v>80</v>
      </c>
      <c r="B14" t="s">
        <v>38</v>
      </c>
      <c r="C14" s="4">
        <v>43171</v>
      </c>
      <c r="D14" s="4">
        <v>43552</v>
      </c>
      <c r="F14" s="4">
        <v>44440</v>
      </c>
      <c r="G14" t="s">
        <v>81</v>
      </c>
      <c r="H14" t="s">
        <v>82</v>
      </c>
      <c r="K14" t="s">
        <v>83</v>
      </c>
      <c r="L14" t="s">
        <v>29</v>
      </c>
      <c r="M14" t="s">
        <v>84</v>
      </c>
      <c r="N14" t="s">
        <v>31</v>
      </c>
      <c r="O14" t="s">
        <v>32</v>
      </c>
      <c r="P14" t="s">
        <v>85</v>
      </c>
      <c r="Q14">
        <v>100</v>
      </c>
      <c r="R14">
        <v>100</v>
      </c>
      <c r="S14" t="s">
        <v>34</v>
      </c>
      <c r="T14" t="s">
        <v>35</v>
      </c>
      <c r="U14" t="s">
        <v>44</v>
      </c>
      <c r="W14">
        <v>0</v>
      </c>
      <c r="X14">
        <v>0</v>
      </c>
      <c r="Y14">
        <v>0</v>
      </c>
      <c r="Z14">
        <v>0</v>
      </c>
      <c r="AC14" t="s">
        <v>1077</v>
      </c>
      <c r="AD14">
        <f>COUNTIF(Table1[[#Data],[Fuel]], AC14)</f>
        <v>0</v>
      </c>
    </row>
    <row r="15" spans="1:30" hidden="1" x14ac:dyDescent="0.25">
      <c r="A15" t="s">
        <v>86</v>
      </c>
      <c r="B15" t="s">
        <v>38</v>
      </c>
      <c r="C15" s="4">
        <v>43171</v>
      </c>
      <c r="D15" s="4">
        <v>43801</v>
      </c>
      <c r="F15" s="4">
        <v>44440</v>
      </c>
      <c r="G15" t="s">
        <v>52</v>
      </c>
      <c r="H15" t="s">
        <v>87</v>
      </c>
      <c r="K15" t="s">
        <v>53</v>
      </c>
      <c r="L15" t="s">
        <v>29</v>
      </c>
      <c r="M15" t="s">
        <v>54</v>
      </c>
      <c r="N15" t="s">
        <v>31</v>
      </c>
      <c r="O15" t="s">
        <v>32</v>
      </c>
      <c r="P15" t="s">
        <v>88</v>
      </c>
      <c r="Q15">
        <v>80</v>
      </c>
      <c r="R15">
        <v>80</v>
      </c>
      <c r="S15" t="s">
        <v>34</v>
      </c>
      <c r="T15" t="s">
        <v>35</v>
      </c>
      <c r="U15" t="s">
        <v>44</v>
      </c>
      <c r="W15">
        <v>0</v>
      </c>
      <c r="X15">
        <v>0</v>
      </c>
      <c r="Y15">
        <v>0</v>
      </c>
      <c r="Z15">
        <v>0</v>
      </c>
      <c r="AC15" t="s">
        <v>2635</v>
      </c>
      <c r="AD15">
        <f>COUNTIF(Table1[[#Data],[Fuel]], AC15)</f>
        <v>0</v>
      </c>
    </row>
    <row r="16" spans="1:30" hidden="1" x14ac:dyDescent="0.25">
      <c r="A16" t="s">
        <v>89</v>
      </c>
      <c r="B16" t="s">
        <v>38</v>
      </c>
      <c r="C16" s="4">
        <v>43171</v>
      </c>
      <c r="D16" s="4">
        <v>43801</v>
      </c>
      <c r="F16" s="4">
        <v>44440</v>
      </c>
      <c r="G16" t="s">
        <v>52</v>
      </c>
      <c r="H16" t="s">
        <v>90</v>
      </c>
      <c r="K16" t="s">
        <v>53</v>
      </c>
      <c r="L16" t="s">
        <v>29</v>
      </c>
      <c r="M16" t="s">
        <v>54</v>
      </c>
      <c r="N16" t="s">
        <v>31</v>
      </c>
      <c r="O16" t="s">
        <v>32</v>
      </c>
      <c r="P16" t="s">
        <v>91</v>
      </c>
      <c r="Q16">
        <v>80</v>
      </c>
      <c r="R16">
        <v>80</v>
      </c>
      <c r="S16" t="s">
        <v>34</v>
      </c>
      <c r="T16" t="s">
        <v>35</v>
      </c>
      <c r="U16" t="s">
        <v>44</v>
      </c>
      <c r="W16">
        <v>0</v>
      </c>
      <c r="X16">
        <v>0</v>
      </c>
      <c r="Y16">
        <v>0</v>
      </c>
      <c r="Z16">
        <v>0</v>
      </c>
      <c r="AC16" t="s">
        <v>57</v>
      </c>
      <c r="AD16">
        <f>COUNTIF(Table1[[#Data],[Fuel]], AC16)</f>
        <v>0</v>
      </c>
    </row>
    <row r="17" spans="1:30" hidden="1" x14ac:dyDescent="0.25">
      <c r="A17" t="s">
        <v>92</v>
      </c>
      <c r="B17" t="s">
        <v>38</v>
      </c>
      <c r="C17" s="4">
        <v>43171</v>
      </c>
      <c r="D17" s="4">
        <v>43551</v>
      </c>
      <c r="F17" s="4">
        <v>44075</v>
      </c>
      <c r="G17" t="s">
        <v>52</v>
      </c>
      <c r="H17" t="s">
        <v>93</v>
      </c>
      <c r="K17" t="s">
        <v>53</v>
      </c>
      <c r="L17" t="s">
        <v>29</v>
      </c>
      <c r="M17" t="s">
        <v>54</v>
      </c>
      <c r="N17" t="s">
        <v>31</v>
      </c>
      <c r="O17" t="s">
        <v>32</v>
      </c>
      <c r="P17" t="s">
        <v>94</v>
      </c>
      <c r="Q17">
        <v>80</v>
      </c>
      <c r="R17">
        <v>80</v>
      </c>
      <c r="S17" t="s">
        <v>34</v>
      </c>
      <c r="T17" t="s">
        <v>35</v>
      </c>
      <c r="U17" t="s">
        <v>44</v>
      </c>
      <c r="W17">
        <v>0</v>
      </c>
      <c r="X17">
        <v>0</v>
      </c>
      <c r="Y17">
        <v>0</v>
      </c>
      <c r="Z17">
        <v>0</v>
      </c>
      <c r="AC17" t="s">
        <v>2552</v>
      </c>
      <c r="AD17">
        <f>COUNTIF(Table1[[#Data],[Fuel]], AC17)</f>
        <v>0</v>
      </c>
    </row>
    <row r="18" spans="1:30" hidden="1" x14ac:dyDescent="0.25">
      <c r="A18" t="s">
        <v>95</v>
      </c>
      <c r="B18" t="s">
        <v>38</v>
      </c>
      <c r="C18" s="4">
        <v>43171</v>
      </c>
      <c r="D18" s="4">
        <v>43836</v>
      </c>
      <c r="F18" s="4">
        <v>44440</v>
      </c>
      <c r="G18" t="s">
        <v>96</v>
      </c>
      <c r="H18" t="s">
        <v>97</v>
      </c>
      <c r="K18" t="s">
        <v>98</v>
      </c>
      <c r="L18" t="s">
        <v>29</v>
      </c>
      <c r="M18" t="s">
        <v>84</v>
      </c>
      <c r="N18" t="s">
        <v>31</v>
      </c>
      <c r="O18" t="s">
        <v>32</v>
      </c>
      <c r="P18" t="s">
        <v>99</v>
      </c>
      <c r="Q18">
        <v>50</v>
      </c>
      <c r="R18">
        <v>50</v>
      </c>
      <c r="S18" t="s">
        <v>34</v>
      </c>
      <c r="T18" t="s">
        <v>35</v>
      </c>
      <c r="U18" t="s">
        <v>44</v>
      </c>
      <c r="W18">
        <v>0</v>
      </c>
      <c r="X18">
        <v>0</v>
      </c>
      <c r="Y18">
        <v>0</v>
      </c>
      <c r="Z18">
        <v>0</v>
      </c>
    </row>
    <row r="19" spans="1:30" x14ac:dyDescent="0.25">
      <c r="A19" t="s">
        <v>100</v>
      </c>
      <c r="B19" t="s">
        <v>38</v>
      </c>
      <c r="C19" s="4">
        <v>43171</v>
      </c>
      <c r="D19" s="4">
        <v>43376</v>
      </c>
      <c r="F19" s="4">
        <v>44440</v>
      </c>
      <c r="G19" t="s">
        <v>101</v>
      </c>
      <c r="H19" t="s">
        <v>1137</v>
      </c>
      <c r="I19" t="s">
        <v>429</v>
      </c>
      <c r="K19" t="s">
        <v>98</v>
      </c>
      <c r="L19" t="s">
        <v>29</v>
      </c>
      <c r="M19" t="s">
        <v>84</v>
      </c>
      <c r="N19" t="s">
        <v>31</v>
      </c>
      <c r="O19" t="s">
        <v>32</v>
      </c>
      <c r="P19" t="s">
        <v>102</v>
      </c>
      <c r="Q19">
        <v>125</v>
      </c>
      <c r="R19">
        <v>125</v>
      </c>
      <c r="S19" t="s">
        <v>56</v>
      </c>
      <c r="T19" t="s">
        <v>57</v>
      </c>
      <c r="U19" t="s">
        <v>44</v>
      </c>
      <c r="W19">
        <v>0</v>
      </c>
      <c r="X19">
        <v>0</v>
      </c>
      <c r="Y19">
        <v>0</v>
      </c>
      <c r="Z19">
        <v>0</v>
      </c>
    </row>
    <row r="20" spans="1:30" hidden="1" x14ac:dyDescent="0.25">
      <c r="A20" t="s">
        <v>103</v>
      </c>
      <c r="B20" t="s">
        <v>38</v>
      </c>
      <c r="C20" s="4">
        <v>43171</v>
      </c>
      <c r="D20" s="4">
        <v>43376</v>
      </c>
      <c r="F20" s="4">
        <v>44440</v>
      </c>
      <c r="G20" t="s">
        <v>101</v>
      </c>
      <c r="H20" t="s">
        <v>104</v>
      </c>
      <c r="K20" t="s">
        <v>98</v>
      </c>
      <c r="L20" t="s">
        <v>29</v>
      </c>
      <c r="M20" t="s">
        <v>84</v>
      </c>
      <c r="N20" t="s">
        <v>31</v>
      </c>
      <c r="O20" t="s">
        <v>32</v>
      </c>
      <c r="P20" t="s">
        <v>105</v>
      </c>
      <c r="Q20">
        <v>150</v>
      </c>
      <c r="R20">
        <v>150</v>
      </c>
      <c r="S20" t="s">
        <v>56</v>
      </c>
      <c r="T20" t="s">
        <v>57</v>
      </c>
      <c r="U20" t="s">
        <v>44</v>
      </c>
      <c r="W20">
        <v>0</v>
      </c>
      <c r="X20">
        <v>0</v>
      </c>
      <c r="Y20">
        <v>0</v>
      </c>
      <c r="Z20">
        <v>0</v>
      </c>
    </row>
    <row r="21" spans="1:30" hidden="1" x14ac:dyDescent="0.25">
      <c r="A21" t="s">
        <v>106</v>
      </c>
      <c r="B21" t="s">
        <v>38</v>
      </c>
      <c r="C21" s="4">
        <v>43171</v>
      </c>
      <c r="D21" s="4">
        <v>43376</v>
      </c>
      <c r="F21" s="4">
        <v>44440</v>
      </c>
      <c r="G21" t="s">
        <v>107</v>
      </c>
      <c r="H21" t="s">
        <v>108</v>
      </c>
      <c r="K21" t="s">
        <v>109</v>
      </c>
      <c r="L21" t="s">
        <v>29</v>
      </c>
      <c r="M21" t="s">
        <v>84</v>
      </c>
      <c r="N21" t="s">
        <v>31</v>
      </c>
      <c r="O21" t="s">
        <v>32</v>
      </c>
      <c r="P21" t="s">
        <v>110</v>
      </c>
      <c r="Q21">
        <v>150</v>
      </c>
      <c r="R21">
        <v>150</v>
      </c>
      <c r="S21" t="s">
        <v>56</v>
      </c>
      <c r="T21" t="s">
        <v>57</v>
      </c>
      <c r="U21" t="s">
        <v>44</v>
      </c>
      <c r="W21">
        <v>0</v>
      </c>
      <c r="X21">
        <v>0</v>
      </c>
      <c r="Y21">
        <v>0</v>
      </c>
      <c r="Z21">
        <v>0</v>
      </c>
    </row>
    <row r="22" spans="1:30" hidden="1" x14ac:dyDescent="0.25">
      <c r="A22" t="s">
        <v>111</v>
      </c>
      <c r="B22" t="s">
        <v>38</v>
      </c>
      <c r="C22" s="4">
        <v>43171</v>
      </c>
      <c r="D22" s="4">
        <v>43854</v>
      </c>
      <c r="F22" s="4">
        <v>44805</v>
      </c>
      <c r="G22" t="s">
        <v>112</v>
      </c>
      <c r="H22" t="s">
        <v>113</v>
      </c>
      <c r="K22" t="s">
        <v>114</v>
      </c>
      <c r="L22" t="s">
        <v>29</v>
      </c>
      <c r="M22" t="s">
        <v>68</v>
      </c>
      <c r="N22" t="s">
        <v>31</v>
      </c>
      <c r="O22" t="s">
        <v>32</v>
      </c>
      <c r="P22" t="s">
        <v>115</v>
      </c>
      <c r="Q22">
        <v>250</v>
      </c>
      <c r="R22">
        <v>250</v>
      </c>
      <c r="S22" t="s">
        <v>34</v>
      </c>
      <c r="T22" t="s">
        <v>35</v>
      </c>
      <c r="U22" t="s">
        <v>44</v>
      </c>
      <c r="W22">
        <v>250</v>
      </c>
      <c r="X22">
        <v>250</v>
      </c>
      <c r="Y22">
        <v>0</v>
      </c>
      <c r="Z22">
        <v>0</v>
      </c>
    </row>
    <row r="23" spans="1:30" hidden="1" x14ac:dyDescent="0.25">
      <c r="A23" t="s">
        <v>116</v>
      </c>
      <c r="B23" t="s">
        <v>38</v>
      </c>
      <c r="C23" s="4">
        <v>43171</v>
      </c>
      <c r="D23" s="4">
        <v>43832</v>
      </c>
      <c r="F23" s="4">
        <v>44440</v>
      </c>
      <c r="G23" t="s">
        <v>117</v>
      </c>
      <c r="H23" t="s">
        <v>118</v>
      </c>
      <c r="K23" t="s">
        <v>83</v>
      </c>
      <c r="L23" t="s">
        <v>29</v>
      </c>
      <c r="M23" t="s">
        <v>84</v>
      </c>
      <c r="N23" t="s">
        <v>31</v>
      </c>
      <c r="O23" t="s">
        <v>32</v>
      </c>
      <c r="P23" t="s">
        <v>119</v>
      </c>
      <c r="Q23">
        <v>200</v>
      </c>
      <c r="R23">
        <v>200</v>
      </c>
      <c r="S23" t="s">
        <v>56</v>
      </c>
      <c r="T23" t="s">
        <v>57</v>
      </c>
      <c r="U23" t="s">
        <v>44</v>
      </c>
      <c r="W23">
        <v>0</v>
      </c>
      <c r="X23">
        <v>0</v>
      </c>
      <c r="Y23">
        <v>0</v>
      </c>
      <c r="Z23">
        <v>0</v>
      </c>
    </row>
    <row r="24" spans="1:30" hidden="1" x14ac:dyDescent="0.25">
      <c r="A24" t="s">
        <v>120</v>
      </c>
      <c r="B24" t="s">
        <v>25</v>
      </c>
      <c r="C24" s="4">
        <v>43171</v>
      </c>
      <c r="E24" s="4">
        <v>44481</v>
      </c>
      <c r="F24" s="4">
        <v>44409</v>
      </c>
      <c r="G24" t="s">
        <v>117</v>
      </c>
      <c r="H24" t="s">
        <v>121</v>
      </c>
      <c r="K24" t="s">
        <v>83</v>
      </c>
      <c r="L24" t="s">
        <v>29</v>
      </c>
      <c r="M24" t="s">
        <v>84</v>
      </c>
      <c r="N24" t="s">
        <v>31</v>
      </c>
      <c r="O24" t="s">
        <v>122</v>
      </c>
      <c r="P24" t="s">
        <v>123</v>
      </c>
      <c r="Q24">
        <v>150</v>
      </c>
      <c r="R24">
        <v>150</v>
      </c>
      <c r="S24" t="s">
        <v>56</v>
      </c>
      <c r="T24" t="s">
        <v>57</v>
      </c>
      <c r="U24" t="s">
        <v>36</v>
      </c>
      <c r="V24" s="4">
        <v>44708</v>
      </c>
      <c r="W24">
        <v>150</v>
      </c>
      <c r="X24">
        <v>150</v>
      </c>
      <c r="Y24">
        <v>150</v>
      </c>
      <c r="Z24">
        <v>0</v>
      </c>
    </row>
    <row r="25" spans="1:30" hidden="1" x14ac:dyDescent="0.25">
      <c r="A25" t="s">
        <v>124</v>
      </c>
      <c r="B25" t="s">
        <v>38</v>
      </c>
      <c r="C25" s="4">
        <v>43171</v>
      </c>
      <c r="D25" s="4">
        <v>43706</v>
      </c>
      <c r="F25" s="4">
        <v>44408</v>
      </c>
      <c r="G25" t="s">
        <v>65</v>
      </c>
      <c r="H25" t="s">
        <v>125</v>
      </c>
      <c r="K25" t="s">
        <v>67</v>
      </c>
      <c r="L25" t="s">
        <v>29</v>
      </c>
      <c r="M25" t="s">
        <v>68</v>
      </c>
      <c r="N25" t="s">
        <v>31</v>
      </c>
      <c r="O25" t="s">
        <v>32</v>
      </c>
      <c r="P25" t="s">
        <v>126</v>
      </c>
      <c r="Q25">
        <v>82</v>
      </c>
      <c r="R25">
        <v>82</v>
      </c>
      <c r="S25" t="s">
        <v>34</v>
      </c>
      <c r="T25" t="s">
        <v>35</v>
      </c>
      <c r="U25" t="s">
        <v>44</v>
      </c>
      <c r="W25">
        <v>0</v>
      </c>
      <c r="X25">
        <v>0</v>
      </c>
      <c r="Y25">
        <v>0</v>
      </c>
      <c r="Z25">
        <v>0</v>
      </c>
    </row>
    <row r="26" spans="1:30" hidden="1" x14ac:dyDescent="0.25">
      <c r="A26" t="s">
        <v>127</v>
      </c>
      <c r="B26" t="s">
        <v>38</v>
      </c>
      <c r="C26" s="4">
        <v>43171</v>
      </c>
      <c r="D26" s="4">
        <v>44264</v>
      </c>
      <c r="F26" s="4">
        <v>44834</v>
      </c>
      <c r="G26" t="s">
        <v>128</v>
      </c>
      <c r="H26" t="s">
        <v>129</v>
      </c>
      <c r="K26" t="s">
        <v>109</v>
      </c>
      <c r="L26" t="s">
        <v>29</v>
      </c>
      <c r="M26" t="s">
        <v>42</v>
      </c>
      <c r="N26" t="s">
        <v>31</v>
      </c>
      <c r="O26" t="s">
        <v>32</v>
      </c>
      <c r="P26" t="s">
        <v>130</v>
      </c>
      <c r="Q26">
        <v>200</v>
      </c>
      <c r="R26">
        <v>200</v>
      </c>
      <c r="S26" t="s">
        <v>56</v>
      </c>
      <c r="T26" t="s">
        <v>57</v>
      </c>
      <c r="U26" t="s">
        <v>44</v>
      </c>
      <c r="W26">
        <v>200</v>
      </c>
      <c r="X26">
        <v>200</v>
      </c>
      <c r="Y26">
        <v>0</v>
      </c>
      <c r="Z26">
        <v>0</v>
      </c>
    </row>
    <row r="27" spans="1:30" hidden="1" x14ac:dyDescent="0.25">
      <c r="A27" t="s">
        <v>131</v>
      </c>
      <c r="B27" t="s">
        <v>25</v>
      </c>
      <c r="C27" s="4">
        <v>43171</v>
      </c>
      <c r="E27" s="4">
        <v>44655</v>
      </c>
      <c r="F27" s="4">
        <v>45017</v>
      </c>
      <c r="G27" t="s">
        <v>132</v>
      </c>
      <c r="H27" t="s">
        <v>133</v>
      </c>
      <c r="K27" t="s">
        <v>109</v>
      </c>
      <c r="L27" t="s">
        <v>29</v>
      </c>
      <c r="M27" t="s">
        <v>84</v>
      </c>
      <c r="N27" t="s">
        <v>31</v>
      </c>
      <c r="O27" t="s">
        <v>32</v>
      </c>
      <c r="P27" t="s">
        <v>134</v>
      </c>
      <c r="Q27">
        <v>300</v>
      </c>
      <c r="R27">
        <v>300</v>
      </c>
      <c r="S27" t="s">
        <v>56</v>
      </c>
      <c r="T27" t="s">
        <v>57</v>
      </c>
      <c r="U27" t="s">
        <v>44</v>
      </c>
      <c r="V27" s="4">
        <v>45809</v>
      </c>
      <c r="W27">
        <v>300</v>
      </c>
      <c r="X27">
        <v>300</v>
      </c>
      <c r="Y27">
        <v>290</v>
      </c>
      <c r="Z27">
        <v>290</v>
      </c>
    </row>
    <row r="28" spans="1:30" x14ac:dyDescent="0.25">
      <c r="A28" t="s">
        <v>135</v>
      </c>
      <c r="B28" t="s">
        <v>25</v>
      </c>
      <c r="C28" s="4">
        <v>43171</v>
      </c>
      <c r="E28" s="4">
        <v>44652</v>
      </c>
      <c r="F28" s="4">
        <v>44104</v>
      </c>
      <c r="G28" t="s">
        <v>107</v>
      </c>
      <c r="H28" t="s">
        <v>400</v>
      </c>
      <c r="I28" t="s">
        <v>663</v>
      </c>
      <c r="K28" t="s">
        <v>109</v>
      </c>
      <c r="L28" t="s">
        <v>29</v>
      </c>
      <c r="M28" t="s">
        <v>84</v>
      </c>
      <c r="N28" t="s">
        <v>31</v>
      </c>
      <c r="O28" t="s">
        <v>32</v>
      </c>
      <c r="P28" t="s">
        <v>136</v>
      </c>
      <c r="Q28">
        <v>400</v>
      </c>
      <c r="R28">
        <v>400</v>
      </c>
      <c r="S28" t="s">
        <v>56</v>
      </c>
      <c r="T28" t="s">
        <v>57</v>
      </c>
      <c r="U28" t="s">
        <v>44</v>
      </c>
      <c r="V28" s="4">
        <v>45078</v>
      </c>
      <c r="W28">
        <v>400</v>
      </c>
      <c r="X28">
        <v>350</v>
      </c>
      <c r="Y28">
        <v>380</v>
      </c>
      <c r="Z28">
        <v>265</v>
      </c>
    </row>
    <row r="29" spans="1:30" hidden="1" x14ac:dyDescent="0.25">
      <c r="A29" t="s">
        <v>137</v>
      </c>
      <c r="B29" t="s">
        <v>25</v>
      </c>
      <c r="C29" s="4">
        <v>43171</v>
      </c>
      <c r="F29" s="4">
        <v>44198</v>
      </c>
      <c r="G29" t="s">
        <v>138</v>
      </c>
      <c r="H29" t="s">
        <v>139</v>
      </c>
      <c r="K29" t="s">
        <v>98</v>
      </c>
      <c r="L29" t="s">
        <v>29</v>
      </c>
      <c r="M29" t="s">
        <v>84</v>
      </c>
      <c r="N29" t="s">
        <v>31</v>
      </c>
      <c r="O29" t="s">
        <v>32</v>
      </c>
      <c r="P29" t="s">
        <v>140</v>
      </c>
      <c r="Q29">
        <v>150</v>
      </c>
      <c r="R29">
        <v>150</v>
      </c>
      <c r="S29" t="s">
        <v>34</v>
      </c>
      <c r="T29" t="s">
        <v>35</v>
      </c>
      <c r="U29" t="s">
        <v>44</v>
      </c>
      <c r="V29" s="4">
        <v>44880</v>
      </c>
      <c r="W29">
        <v>150</v>
      </c>
      <c r="X29">
        <v>150</v>
      </c>
      <c r="Y29">
        <v>150</v>
      </c>
      <c r="Z29">
        <v>150</v>
      </c>
    </row>
    <row r="30" spans="1:30" hidden="1" x14ac:dyDescent="0.25">
      <c r="A30" t="s">
        <v>141</v>
      </c>
      <c r="B30" t="s">
        <v>25</v>
      </c>
      <c r="C30" s="4">
        <v>43171</v>
      </c>
      <c r="F30" s="4">
        <v>44198</v>
      </c>
      <c r="G30" t="s">
        <v>138</v>
      </c>
      <c r="H30" t="s">
        <v>139</v>
      </c>
      <c r="K30" t="s">
        <v>98</v>
      </c>
      <c r="L30" t="s">
        <v>29</v>
      </c>
      <c r="M30" t="s">
        <v>84</v>
      </c>
      <c r="N30" t="s">
        <v>31</v>
      </c>
      <c r="O30" t="s">
        <v>32</v>
      </c>
      <c r="P30" t="s">
        <v>142</v>
      </c>
      <c r="Q30">
        <v>150</v>
      </c>
      <c r="R30">
        <v>150</v>
      </c>
      <c r="S30" t="s">
        <v>34</v>
      </c>
      <c r="T30" t="s">
        <v>35</v>
      </c>
      <c r="U30" t="s">
        <v>44</v>
      </c>
      <c r="V30" s="4">
        <v>44713</v>
      </c>
      <c r="W30">
        <v>150</v>
      </c>
      <c r="X30">
        <v>150</v>
      </c>
      <c r="Y30">
        <v>150</v>
      </c>
      <c r="Z30">
        <v>150</v>
      </c>
    </row>
    <row r="31" spans="1:30" hidden="1" x14ac:dyDescent="0.25">
      <c r="A31" t="s">
        <v>143</v>
      </c>
      <c r="B31" t="s">
        <v>38</v>
      </c>
      <c r="C31" s="4">
        <v>43171</v>
      </c>
      <c r="D31" s="4">
        <v>43537</v>
      </c>
      <c r="F31" s="4">
        <v>44102</v>
      </c>
      <c r="G31" t="s">
        <v>144</v>
      </c>
      <c r="H31" t="s">
        <v>145</v>
      </c>
      <c r="K31" t="s">
        <v>146</v>
      </c>
      <c r="L31" t="s">
        <v>29</v>
      </c>
      <c r="M31" t="s">
        <v>68</v>
      </c>
      <c r="N31" t="s">
        <v>31</v>
      </c>
      <c r="O31" t="s">
        <v>32</v>
      </c>
      <c r="P31" t="s">
        <v>147</v>
      </c>
      <c r="Q31">
        <v>200</v>
      </c>
      <c r="R31">
        <v>200</v>
      </c>
      <c r="S31" t="s">
        <v>34</v>
      </c>
      <c r="T31" t="s">
        <v>35</v>
      </c>
      <c r="U31" t="s">
        <v>44</v>
      </c>
      <c r="W31">
        <v>0</v>
      </c>
      <c r="X31">
        <v>0</v>
      </c>
      <c r="Y31">
        <v>0</v>
      </c>
      <c r="Z31">
        <v>0</v>
      </c>
    </row>
    <row r="32" spans="1:30" hidden="1" x14ac:dyDescent="0.25">
      <c r="A32" t="s">
        <v>148</v>
      </c>
      <c r="B32" t="s">
        <v>25</v>
      </c>
      <c r="C32" s="4">
        <v>43171</v>
      </c>
      <c r="E32" s="4">
        <v>44126</v>
      </c>
      <c r="F32" s="4">
        <v>44440</v>
      </c>
      <c r="G32" t="s">
        <v>149</v>
      </c>
      <c r="H32" t="s">
        <v>150</v>
      </c>
      <c r="K32" t="s">
        <v>151</v>
      </c>
      <c r="L32" t="s">
        <v>29</v>
      </c>
      <c r="M32" t="s">
        <v>68</v>
      </c>
      <c r="N32" t="s">
        <v>31</v>
      </c>
      <c r="O32" t="s">
        <v>122</v>
      </c>
      <c r="P32" t="s">
        <v>152</v>
      </c>
      <c r="Q32">
        <v>150</v>
      </c>
      <c r="R32">
        <v>150</v>
      </c>
      <c r="S32" t="s">
        <v>34</v>
      </c>
      <c r="T32" t="s">
        <v>35</v>
      </c>
      <c r="U32" t="s">
        <v>36</v>
      </c>
      <c r="V32" s="4">
        <v>44949</v>
      </c>
      <c r="W32">
        <v>150</v>
      </c>
      <c r="X32">
        <v>0</v>
      </c>
      <c r="Y32">
        <v>150</v>
      </c>
      <c r="Z32">
        <v>0</v>
      </c>
    </row>
    <row r="33" spans="1:26" hidden="1" x14ac:dyDescent="0.25">
      <c r="A33" t="s">
        <v>153</v>
      </c>
      <c r="B33" t="s">
        <v>38</v>
      </c>
      <c r="C33" s="4">
        <v>43171</v>
      </c>
      <c r="D33" s="4">
        <v>43837</v>
      </c>
      <c r="F33" s="4">
        <v>44105</v>
      </c>
      <c r="G33" t="s">
        <v>101</v>
      </c>
      <c r="H33" t="s">
        <v>154</v>
      </c>
      <c r="K33" t="s">
        <v>98</v>
      </c>
      <c r="L33" t="s">
        <v>29</v>
      </c>
      <c r="M33" t="s">
        <v>84</v>
      </c>
      <c r="N33" t="s">
        <v>31</v>
      </c>
      <c r="O33" t="s">
        <v>32</v>
      </c>
      <c r="P33" t="s">
        <v>155</v>
      </c>
      <c r="Q33">
        <v>150</v>
      </c>
      <c r="R33">
        <v>150</v>
      </c>
      <c r="S33" t="s">
        <v>56</v>
      </c>
      <c r="T33" t="s">
        <v>57</v>
      </c>
      <c r="U33" t="s">
        <v>44</v>
      </c>
      <c r="W33">
        <v>0</v>
      </c>
      <c r="X33">
        <v>0</v>
      </c>
      <c r="Y33">
        <v>0</v>
      </c>
      <c r="Z33">
        <v>0</v>
      </c>
    </row>
    <row r="34" spans="1:26" hidden="1" x14ac:dyDescent="0.25">
      <c r="A34" t="s">
        <v>156</v>
      </c>
      <c r="B34" t="s">
        <v>38</v>
      </c>
      <c r="C34" s="4">
        <v>43171</v>
      </c>
      <c r="D34" s="4">
        <v>43915</v>
      </c>
      <c r="F34" s="4">
        <v>44500</v>
      </c>
      <c r="G34" t="s">
        <v>39</v>
      </c>
      <c r="H34" t="s">
        <v>157</v>
      </c>
      <c r="K34" t="s">
        <v>41</v>
      </c>
      <c r="L34" t="s">
        <v>29</v>
      </c>
      <c r="M34" t="s">
        <v>42</v>
      </c>
      <c r="N34" t="s">
        <v>31</v>
      </c>
      <c r="O34" t="s">
        <v>32</v>
      </c>
      <c r="P34" t="s">
        <v>158</v>
      </c>
      <c r="Q34">
        <v>50</v>
      </c>
      <c r="R34">
        <v>50</v>
      </c>
      <c r="S34" t="s">
        <v>159</v>
      </c>
      <c r="T34" t="s">
        <v>159</v>
      </c>
      <c r="U34" t="s">
        <v>44</v>
      </c>
      <c r="W34">
        <v>0</v>
      </c>
      <c r="X34">
        <v>0</v>
      </c>
      <c r="Y34">
        <v>0</v>
      </c>
      <c r="Z34">
        <v>0</v>
      </c>
    </row>
    <row r="35" spans="1:26" hidden="1" x14ac:dyDescent="0.25">
      <c r="A35" t="s">
        <v>160</v>
      </c>
      <c r="B35" t="s">
        <v>38</v>
      </c>
      <c r="C35" s="4">
        <v>43171</v>
      </c>
      <c r="D35" s="4">
        <v>44265</v>
      </c>
      <c r="F35" s="4">
        <v>44500</v>
      </c>
      <c r="G35" t="s">
        <v>107</v>
      </c>
      <c r="H35" t="s">
        <v>161</v>
      </c>
      <c r="K35" t="s">
        <v>109</v>
      </c>
      <c r="L35" t="s">
        <v>29</v>
      </c>
      <c r="M35" t="s">
        <v>84</v>
      </c>
      <c r="N35" t="s">
        <v>31</v>
      </c>
      <c r="O35" t="s">
        <v>32</v>
      </c>
      <c r="P35" t="s">
        <v>162</v>
      </c>
      <c r="Q35">
        <v>50</v>
      </c>
      <c r="R35">
        <v>50</v>
      </c>
      <c r="S35" t="s">
        <v>159</v>
      </c>
      <c r="T35" t="s">
        <v>159</v>
      </c>
      <c r="U35" t="s">
        <v>44</v>
      </c>
      <c r="W35">
        <v>50</v>
      </c>
      <c r="X35">
        <v>50</v>
      </c>
      <c r="Y35">
        <v>0</v>
      </c>
      <c r="Z35">
        <v>0</v>
      </c>
    </row>
    <row r="36" spans="1:26" hidden="1" x14ac:dyDescent="0.25">
      <c r="A36" t="s">
        <v>163</v>
      </c>
      <c r="B36" t="s">
        <v>25</v>
      </c>
      <c r="C36" s="4">
        <v>43171</v>
      </c>
      <c r="E36" s="4">
        <v>44481</v>
      </c>
      <c r="F36" s="4">
        <v>44500</v>
      </c>
      <c r="G36" t="s">
        <v>107</v>
      </c>
      <c r="H36" t="s">
        <v>161</v>
      </c>
      <c r="K36" t="s">
        <v>109</v>
      </c>
      <c r="L36" t="s">
        <v>29</v>
      </c>
      <c r="M36" t="s">
        <v>84</v>
      </c>
      <c r="N36" t="s">
        <v>31</v>
      </c>
      <c r="O36" t="s">
        <v>32</v>
      </c>
      <c r="P36" t="s">
        <v>164</v>
      </c>
      <c r="Q36">
        <v>225</v>
      </c>
      <c r="R36">
        <v>225</v>
      </c>
      <c r="S36" t="s">
        <v>34</v>
      </c>
      <c r="T36" t="s">
        <v>35</v>
      </c>
      <c r="U36" t="s">
        <v>70</v>
      </c>
      <c r="V36" s="4">
        <v>45444</v>
      </c>
      <c r="W36">
        <v>225</v>
      </c>
      <c r="X36">
        <v>225</v>
      </c>
      <c r="Y36">
        <v>225</v>
      </c>
      <c r="Z36">
        <v>225</v>
      </c>
    </row>
    <row r="37" spans="1:26" hidden="1" x14ac:dyDescent="0.25">
      <c r="A37" t="s">
        <v>165</v>
      </c>
      <c r="B37" t="s">
        <v>38</v>
      </c>
      <c r="C37" s="4">
        <v>43171</v>
      </c>
      <c r="D37" s="4">
        <v>43388</v>
      </c>
      <c r="F37" s="4">
        <v>44378</v>
      </c>
      <c r="G37" t="s">
        <v>117</v>
      </c>
      <c r="H37" t="s">
        <v>166</v>
      </c>
      <c r="K37" t="s">
        <v>83</v>
      </c>
      <c r="L37" t="s">
        <v>29</v>
      </c>
      <c r="M37" t="s">
        <v>84</v>
      </c>
      <c r="N37" t="s">
        <v>31</v>
      </c>
      <c r="O37" t="s">
        <v>32</v>
      </c>
      <c r="P37" t="s">
        <v>167</v>
      </c>
      <c r="Q37">
        <v>75</v>
      </c>
      <c r="R37">
        <v>75</v>
      </c>
      <c r="S37" t="s">
        <v>34</v>
      </c>
      <c r="T37" t="s">
        <v>35</v>
      </c>
      <c r="U37" t="s">
        <v>44</v>
      </c>
      <c r="W37">
        <v>0</v>
      </c>
      <c r="X37">
        <v>0</v>
      </c>
      <c r="Y37">
        <v>0</v>
      </c>
      <c r="Z37">
        <v>0</v>
      </c>
    </row>
    <row r="38" spans="1:26" hidden="1" x14ac:dyDescent="0.25">
      <c r="A38" t="s">
        <v>168</v>
      </c>
      <c r="B38" t="s">
        <v>38</v>
      </c>
      <c r="C38" s="4">
        <v>43171</v>
      </c>
      <c r="D38" s="4">
        <v>43511</v>
      </c>
      <c r="F38" s="4">
        <v>44075</v>
      </c>
      <c r="G38" t="s">
        <v>169</v>
      </c>
      <c r="H38" t="s">
        <v>170</v>
      </c>
      <c r="K38" t="s">
        <v>41</v>
      </c>
      <c r="L38" t="s">
        <v>29</v>
      </c>
      <c r="M38" t="s">
        <v>42</v>
      </c>
      <c r="N38" t="s">
        <v>31</v>
      </c>
      <c r="O38" t="s">
        <v>32</v>
      </c>
      <c r="P38" t="s">
        <v>171</v>
      </c>
      <c r="Q38">
        <v>130</v>
      </c>
      <c r="R38">
        <v>130</v>
      </c>
      <c r="S38" t="s">
        <v>34</v>
      </c>
      <c r="T38" t="s">
        <v>35</v>
      </c>
      <c r="U38" t="s">
        <v>44</v>
      </c>
      <c r="W38">
        <v>0</v>
      </c>
      <c r="X38">
        <v>0</v>
      </c>
      <c r="Y38">
        <v>0</v>
      </c>
      <c r="Z38">
        <v>0</v>
      </c>
    </row>
    <row r="39" spans="1:26" hidden="1" x14ac:dyDescent="0.25">
      <c r="A39" t="s">
        <v>172</v>
      </c>
      <c r="B39" t="s">
        <v>38</v>
      </c>
      <c r="C39" s="4">
        <v>43171</v>
      </c>
      <c r="D39" s="4">
        <v>43692</v>
      </c>
      <c r="F39" s="4">
        <v>44470</v>
      </c>
      <c r="G39" t="s">
        <v>173</v>
      </c>
      <c r="H39" t="s">
        <v>174</v>
      </c>
      <c r="K39" t="s">
        <v>41</v>
      </c>
      <c r="L39" t="s">
        <v>29</v>
      </c>
      <c r="M39" t="s">
        <v>42</v>
      </c>
      <c r="N39" t="s">
        <v>31</v>
      </c>
      <c r="O39" t="s">
        <v>32</v>
      </c>
      <c r="P39" t="s">
        <v>175</v>
      </c>
      <c r="Q39">
        <v>15</v>
      </c>
      <c r="R39">
        <v>15</v>
      </c>
      <c r="S39" t="s">
        <v>159</v>
      </c>
      <c r="T39" t="s">
        <v>159</v>
      </c>
      <c r="U39" t="s">
        <v>44</v>
      </c>
      <c r="W39">
        <v>0</v>
      </c>
      <c r="X39">
        <v>0</v>
      </c>
      <c r="Y39">
        <v>0</v>
      </c>
      <c r="Z39">
        <v>0</v>
      </c>
    </row>
    <row r="40" spans="1:26" hidden="1" x14ac:dyDescent="0.25">
      <c r="A40" t="s">
        <v>176</v>
      </c>
      <c r="B40" t="s">
        <v>38</v>
      </c>
      <c r="C40" s="4">
        <v>43171</v>
      </c>
      <c r="D40" s="4">
        <v>43915</v>
      </c>
      <c r="F40" s="4">
        <v>44075</v>
      </c>
      <c r="G40" t="s">
        <v>177</v>
      </c>
      <c r="H40" t="s">
        <v>27</v>
      </c>
      <c r="K40" t="s">
        <v>41</v>
      </c>
      <c r="L40" t="s">
        <v>29</v>
      </c>
      <c r="M40" t="s">
        <v>42</v>
      </c>
      <c r="N40" t="s">
        <v>31</v>
      </c>
      <c r="O40" t="s">
        <v>122</v>
      </c>
      <c r="P40" t="s">
        <v>178</v>
      </c>
      <c r="Q40">
        <v>32.5</v>
      </c>
      <c r="R40">
        <v>32.5</v>
      </c>
      <c r="S40" t="s">
        <v>34</v>
      </c>
      <c r="T40" t="s">
        <v>35</v>
      </c>
      <c r="U40" t="s">
        <v>44</v>
      </c>
      <c r="W40">
        <v>0</v>
      </c>
      <c r="X40">
        <v>0</v>
      </c>
      <c r="Y40">
        <v>0</v>
      </c>
      <c r="Z40">
        <v>0</v>
      </c>
    </row>
    <row r="41" spans="1:26" hidden="1" x14ac:dyDescent="0.25">
      <c r="A41" t="s">
        <v>179</v>
      </c>
      <c r="B41" t="s">
        <v>38</v>
      </c>
      <c r="C41" s="4">
        <v>43171</v>
      </c>
      <c r="D41" s="4">
        <v>44265</v>
      </c>
      <c r="F41" s="4">
        <v>44500</v>
      </c>
      <c r="G41" t="s">
        <v>107</v>
      </c>
      <c r="H41" t="s">
        <v>180</v>
      </c>
      <c r="K41" t="s">
        <v>109</v>
      </c>
      <c r="L41" t="s">
        <v>29</v>
      </c>
      <c r="M41" t="s">
        <v>84</v>
      </c>
      <c r="N41" t="s">
        <v>31</v>
      </c>
      <c r="O41" t="s">
        <v>32</v>
      </c>
      <c r="P41" t="s">
        <v>181</v>
      </c>
      <c r="Q41">
        <v>50</v>
      </c>
      <c r="R41">
        <v>50</v>
      </c>
      <c r="S41" t="s">
        <v>159</v>
      </c>
      <c r="T41" t="s">
        <v>159</v>
      </c>
      <c r="U41" t="s">
        <v>44</v>
      </c>
      <c r="W41">
        <v>50</v>
      </c>
      <c r="X41">
        <v>50</v>
      </c>
      <c r="Y41">
        <v>0</v>
      </c>
      <c r="Z41">
        <v>0</v>
      </c>
    </row>
    <row r="42" spans="1:26" hidden="1" x14ac:dyDescent="0.25">
      <c r="A42" t="s">
        <v>182</v>
      </c>
      <c r="B42" t="s">
        <v>25</v>
      </c>
      <c r="C42" s="4">
        <v>43171</v>
      </c>
      <c r="E42" s="4">
        <v>44599</v>
      </c>
      <c r="F42" s="4">
        <v>44440</v>
      </c>
      <c r="G42" t="s">
        <v>183</v>
      </c>
      <c r="H42" t="s">
        <v>184</v>
      </c>
      <c r="K42" t="s">
        <v>185</v>
      </c>
      <c r="L42" t="s">
        <v>29</v>
      </c>
      <c r="M42" t="s">
        <v>42</v>
      </c>
      <c r="N42" t="s">
        <v>31</v>
      </c>
      <c r="O42" t="s">
        <v>32</v>
      </c>
      <c r="P42" t="s">
        <v>186</v>
      </c>
      <c r="Q42">
        <v>250</v>
      </c>
      <c r="R42">
        <v>250</v>
      </c>
      <c r="S42" t="s">
        <v>56</v>
      </c>
      <c r="T42" t="s">
        <v>57</v>
      </c>
      <c r="U42" t="s">
        <v>70</v>
      </c>
      <c r="V42" s="4">
        <v>45060</v>
      </c>
      <c r="W42">
        <v>250</v>
      </c>
      <c r="X42">
        <v>250</v>
      </c>
      <c r="Y42">
        <v>250</v>
      </c>
      <c r="Z42">
        <v>250</v>
      </c>
    </row>
    <row r="43" spans="1:26" hidden="1" x14ac:dyDescent="0.25">
      <c r="A43" t="s">
        <v>187</v>
      </c>
      <c r="B43" t="s">
        <v>38</v>
      </c>
      <c r="C43" s="4">
        <v>43171</v>
      </c>
      <c r="D43" s="4">
        <v>43915</v>
      </c>
      <c r="F43" s="4">
        <v>44500</v>
      </c>
      <c r="G43" t="s">
        <v>72</v>
      </c>
      <c r="H43" t="s">
        <v>90</v>
      </c>
      <c r="K43" t="s">
        <v>41</v>
      </c>
      <c r="L43" t="s">
        <v>29</v>
      </c>
      <c r="M43" t="s">
        <v>42</v>
      </c>
      <c r="N43" t="s">
        <v>31</v>
      </c>
      <c r="O43" t="s">
        <v>32</v>
      </c>
      <c r="P43" t="s">
        <v>188</v>
      </c>
      <c r="Q43">
        <v>20</v>
      </c>
      <c r="R43">
        <v>20</v>
      </c>
      <c r="S43" t="s">
        <v>159</v>
      </c>
      <c r="T43" t="s">
        <v>159</v>
      </c>
      <c r="U43" t="s">
        <v>44</v>
      </c>
      <c r="W43">
        <v>0</v>
      </c>
      <c r="X43">
        <v>0</v>
      </c>
      <c r="Y43">
        <v>0</v>
      </c>
      <c r="Z43">
        <v>0</v>
      </c>
    </row>
    <row r="44" spans="1:26" hidden="1" x14ac:dyDescent="0.25">
      <c r="A44" t="s">
        <v>189</v>
      </c>
      <c r="B44" t="s">
        <v>38</v>
      </c>
      <c r="C44" s="4">
        <v>43168</v>
      </c>
      <c r="D44" s="4">
        <v>45147</v>
      </c>
      <c r="E44" s="4">
        <v>44334</v>
      </c>
      <c r="F44" s="4">
        <v>44440</v>
      </c>
      <c r="G44" t="s">
        <v>26</v>
      </c>
      <c r="H44" t="s">
        <v>190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191</v>
      </c>
      <c r="Q44">
        <v>200</v>
      </c>
      <c r="R44">
        <v>200</v>
      </c>
      <c r="S44" t="s">
        <v>34</v>
      </c>
      <c r="T44" t="s">
        <v>35</v>
      </c>
      <c r="U44" t="s">
        <v>38</v>
      </c>
      <c r="V44" s="4">
        <v>45184</v>
      </c>
      <c r="W44">
        <v>200</v>
      </c>
      <c r="X44">
        <v>200</v>
      </c>
      <c r="Y44">
        <v>180</v>
      </c>
      <c r="Z44">
        <v>180</v>
      </c>
    </row>
    <row r="45" spans="1:26" hidden="1" x14ac:dyDescent="0.25">
      <c r="A45" t="s">
        <v>192</v>
      </c>
      <c r="B45" t="s">
        <v>38</v>
      </c>
      <c r="C45" s="4">
        <v>43171</v>
      </c>
      <c r="D45" s="4">
        <v>44966</v>
      </c>
      <c r="E45" s="4">
        <v>44319</v>
      </c>
      <c r="F45" s="4">
        <v>44360</v>
      </c>
      <c r="G45" t="s">
        <v>52</v>
      </c>
      <c r="H45" t="s">
        <v>193</v>
      </c>
      <c r="K45" t="s">
        <v>53</v>
      </c>
      <c r="L45" t="s">
        <v>29</v>
      </c>
      <c r="M45" t="s">
        <v>54</v>
      </c>
      <c r="N45" t="s">
        <v>31</v>
      </c>
      <c r="O45" t="s">
        <v>32</v>
      </c>
      <c r="P45" t="s">
        <v>194</v>
      </c>
      <c r="Q45">
        <v>374.4</v>
      </c>
      <c r="R45">
        <v>374.4</v>
      </c>
      <c r="S45" t="s">
        <v>56</v>
      </c>
      <c r="T45" t="s">
        <v>57</v>
      </c>
      <c r="U45" t="s">
        <v>38</v>
      </c>
      <c r="V45" s="4">
        <v>45443</v>
      </c>
      <c r="W45">
        <v>374.4</v>
      </c>
      <c r="X45">
        <v>374.4</v>
      </c>
      <c r="Y45">
        <v>374.4</v>
      </c>
      <c r="Z45">
        <v>374.4</v>
      </c>
    </row>
    <row r="46" spans="1:26" hidden="1" x14ac:dyDescent="0.25">
      <c r="A46" t="s">
        <v>195</v>
      </c>
      <c r="B46" t="s">
        <v>38</v>
      </c>
      <c r="C46" s="4">
        <v>43171</v>
      </c>
      <c r="D46" s="4">
        <v>43762</v>
      </c>
      <c r="F46" s="4">
        <v>44805</v>
      </c>
      <c r="G46" t="s">
        <v>26</v>
      </c>
      <c r="H46" t="s">
        <v>190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t="s">
        <v>196</v>
      </c>
      <c r="Q46">
        <v>200</v>
      </c>
      <c r="R46">
        <v>200</v>
      </c>
      <c r="S46" t="s">
        <v>34</v>
      </c>
      <c r="T46" t="s">
        <v>35</v>
      </c>
      <c r="U46" t="s">
        <v>44</v>
      </c>
      <c r="W46">
        <v>0</v>
      </c>
      <c r="X46">
        <v>0</v>
      </c>
      <c r="Y46">
        <v>0</v>
      </c>
      <c r="Z46">
        <v>0</v>
      </c>
    </row>
    <row r="47" spans="1:26" hidden="1" x14ac:dyDescent="0.25">
      <c r="A47" t="s">
        <v>197</v>
      </c>
      <c r="B47" t="s">
        <v>25</v>
      </c>
      <c r="C47" s="4">
        <v>43171</v>
      </c>
      <c r="E47" s="4">
        <v>44599</v>
      </c>
      <c r="F47" s="4">
        <v>44500</v>
      </c>
      <c r="G47" t="s">
        <v>39</v>
      </c>
      <c r="H47" t="s">
        <v>174</v>
      </c>
      <c r="K47" t="s">
        <v>41</v>
      </c>
      <c r="L47" t="s">
        <v>29</v>
      </c>
      <c r="M47" t="s">
        <v>42</v>
      </c>
      <c r="N47" t="s">
        <v>31</v>
      </c>
      <c r="O47" t="s">
        <v>32</v>
      </c>
      <c r="P47" t="s">
        <v>198</v>
      </c>
      <c r="Q47">
        <v>20</v>
      </c>
      <c r="R47">
        <v>20</v>
      </c>
      <c r="S47" t="s">
        <v>159</v>
      </c>
      <c r="T47" t="s">
        <v>159</v>
      </c>
      <c r="U47" t="s">
        <v>70</v>
      </c>
      <c r="V47" s="4">
        <v>45503</v>
      </c>
      <c r="W47">
        <v>20</v>
      </c>
      <c r="X47">
        <v>20</v>
      </c>
      <c r="Y47">
        <v>20</v>
      </c>
      <c r="Z47">
        <v>20</v>
      </c>
    </row>
    <row r="48" spans="1:26" hidden="1" x14ac:dyDescent="0.25">
      <c r="A48" t="s">
        <v>199</v>
      </c>
      <c r="B48" t="s">
        <v>38</v>
      </c>
      <c r="C48" s="4">
        <v>43171</v>
      </c>
      <c r="D48" s="4">
        <v>43790</v>
      </c>
      <c r="F48" s="4">
        <v>44135</v>
      </c>
      <c r="G48" t="s">
        <v>72</v>
      </c>
      <c r="H48" t="s">
        <v>200</v>
      </c>
      <c r="K48" t="s">
        <v>53</v>
      </c>
      <c r="L48" t="s">
        <v>29</v>
      </c>
      <c r="M48" t="s">
        <v>54</v>
      </c>
      <c r="N48" t="s">
        <v>31</v>
      </c>
      <c r="O48" t="s">
        <v>32</v>
      </c>
      <c r="P48" t="s">
        <v>201</v>
      </c>
      <c r="Q48">
        <v>50</v>
      </c>
      <c r="R48">
        <v>50</v>
      </c>
      <c r="S48" t="s">
        <v>159</v>
      </c>
      <c r="T48" t="s">
        <v>159</v>
      </c>
      <c r="U48" t="s">
        <v>44</v>
      </c>
      <c r="W48">
        <v>0</v>
      </c>
      <c r="X48">
        <v>0</v>
      </c>
      <c r="Y48">
        <v>0</v>
      </c>
      <c r="Z48">
        <v>0</v>
      </c>
    </row>
    <row r="49" spans="1:26" hidden="1" x14ac:dyDescent="0.25">
      <c r="A49" t="s">
        <v>202</v>
      </c>
      <c r="B49" t="s">
        <v>38</v>
      </c>
      <c r="C49" s="4">
        <v>43171</v>
      </c>
      <c r="D49" s="4">
        <v>43762</v>
      </c>
      <c r="F49" s="4">
        <v>44805</v>
      </c>
      <c r="G49" t="s">
        <v>26</v>
      </c>
      <c r="H49" t="s">
        <v>190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 t="s">
        <v>196</v>
      </c>
      <c r="Q49">
        <v>200</v>
      </c>
      <c r="R49">
        <v>200</v>
      </c>
      <c r="S49" t="s">
        <v>34</v>
      </c>
      <c r="T49" t="s">
        <v>35</v>
      </c>
      <c r="U49" t="s">
        <v>44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203</v>
      </c>
      <c r="B50" t="s">
        <v>38</v>
      </c>
      <c r="C50" s="4">
        <v>43171</v>
      </c>
      <c r="D50" s="4">
        <v>43552</v>
      </c>
      <c r="F50" s="4">
        <v>44075</v>
      </c>
      <c r="G50" t="s">
        <v>52</v>
      </c>
      <c r="H50" t="s">
        <v>7642</v>
      </c>
      <c r="I50" t="s">
        <v>193</v>
      </c>
      <c r="K50" t="s">
        <v>53</v>
      </c>
      <c r="L50" t="s">
        <v>29</v>
      </c>
      <c r="M50" t="s">
        <v>54</v>
      </c>
      <c r="N50" t="s">
        <v>31</v>
      </c>
      <c r="O50" t="s">
        <v>32</v>
      </c>
      <c r="P50" t="s">
        <v>204</v>
      </c>
      <c r="Q50">
        <v>250</v>
      </c>
      <c r="R50">
        <v>250</v>
      </c>
      <c r="S50" t="s">
        <v>56</v>
      </c>
      <c r="T50" t="s">
        <v>57</v>
      </c>
      <c r="U50" t="s">
        <v>44</v>
      </c>
      <c r="W50">
        <v>0</v>
      </c>
      <c r="X50">
        <v>0</v>
      </c>
      <c r="Y50">
        <v>0</v>
      </c>
      <c r="Z50">
        <v>0</v>
      </c>
    </row>
    <row r="51" spans="1:26" hidden="1" x14ac:dyDescent="0.25">
      <c r="A51" t="s">
        <v>205</v>
      </c>
      <c r="B51" t="s">
        <v>38</v>
      </c>
      <c r="C51" s="4">
        <v>43171</v>
      </c>
      <c r="D51" s="4">
        <v>43706</v>
      </c>
      <c r="F51" s="4">
        <v>44805</v>
      </c>
      <c r="G51" t="s">
        <v>112</v>
      </c>
      <c r="H51" t="s">
        <v>206</v>
      </c>
      <c r="K51" t="s">
        <v>114</v>
      </c>
      <c r="L51" t="s">
        <v>29</v>
      </c>
      <c r="M51" t="s">
        <v>68</v>
      </c>
      <c r="N51" t="s">
        <v>31</v>
      </c>
      <c r="O51" t="s">
        <v>32</v>
      </c>
      <c r="P51" t="s">
        <v>207</v>
      </c>
      <c r="Q51">
        <v>250</v>
      </c>
      <c r="R51">
        <v>250</v>
      </c>
      <c r="S51" t="s">
        <v>34</v>
      </c>
      <c r="T51" t="s">
        <v>35</v>
      </c>
      <c r="U51" t="s">
        <v>44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208</v>
      </c>
      <c r="B52" t="s">
        <v>25</v>
      </c>
      <c r="C52" s="4">
        <v>43171</v>
      </c>
      <c r="E52" s="4">
        <v>44578</v>
      </c>
      <c r="F52" s="4">
        <v>44715</v>
      </c>
      <c r="G52" t="s">
        <v>72</v>
      </c>
      <c r="H52" t="s">
        <v>108</v>
      </c>
      <c r="I52" t="s">
        <v>7645</v>
      </c>
      <c r="K52" t="s">
        <v>209</v>
      </c>
      <c r="L52" t="s">
        <v>29</v>
      </c>
      <c r="M52" t="s">
        <v>42</v>
      </c>
      <c r="N52" t="s">
        <v>31</v>
      </c>
      <c r="O52" t="s">
        <v>32</v>
      </c>
      <c r="P52" t="s">
        <v>210</v>
      </c>
      <c r="Q52">
        <v>225</v>
      </c>
      <c r="R52">
        <v>225</v>
      </c>
      <c r="S52" t="s">
        <v>56</v>
      </c>
      <c r="T52" t="s">
        <v>57</v>
      </c>
      <c r="U52" t="s">
        <v>36</v>
      </c>
      <c r="V52" s="4">
        <v>44743</v>
      </c>
      <c r="W52">
        <v>225</v>
      </c>
      <c r="X52">
        <v>225</v>
      </c>
      <c r="Y52">
        <v>225</v>
      </c>
      <c r="Z52">
        <v>225</v>
      </c>
    </row>
    <row r="53" spans="1:26" hidden="1" x14ac:dyDescent="0.25">
      <c r="A53" t="s">
        <v>211</v>
      </c>
      <c r="B53" t="s">
        <v>38</v>
      </c>
      <c r="C53" s="4">
        <v>43171</v>
      </c>
      <c r="D53" s="4">
        <v>43970</v>
      </c>
      <c r="F53" s="4">
        <v>44500</v>
      </c>
      <c r="G53" t="s">
        <v>26</v>
      </c>
      <c r="H53" t="s">
        <v>212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213</v>
      </c>
      <c r="Q53">
        <v>50</v>
      </c>
      <c r="R53">
        <v>50</v>
      </c>
      <c r="S53" t="s">
        <v>159</v>
      </c>
      <c r="T53" t="s">
        <v>159</v>
      </c>
      <c r="U53" t="s">
        <v>44</v>
      </c>
      <c r="W53">
        <v>50</v>
      </c>
      <c r="X53">
        <v>50</v>
      </c>
      <c r="Y53">
        <v>0</v>
      </c>
      <c r="Z53">
        <v>0</v>
      </c>
    </row>
    <row r="54" spans="1:26" hidden="1" x14ac:dyDescent="0.25">
      <c r="A54" t="s">
        <v>214</v>
      </c>
      <c r="B54" t="s">
        <v>38</v>
      </c>
      <c r="C54" s="4">
        <v>43171</v>
      </c>
      <c r="D54" s="4">
        <v>43551</v>
      </c>
      <c r="F54" s="4">
        <v>44075</v>
      </c>
      <c r="G54" t="s">
        <v>52</v>
      </c>
      <c r="H54" t="s">
        <v>90</v>
      </c>
      <c r="K54" t="s">
        <v>53</v>
      </c>
      <c r="L54" t="s">
        <v>29</v>
      </c>
      <c r="M54" t="s">
        <v>54</v>
      </c>
      <c r="N54" t="s">
        <v>31</v>
      </c>
      <c r="O54" t="s">
        <v>32</v>
      </c>
      <c r="P54" t="s">
        <v>215</v>
      </c>
      <c r="Q54">
        <v>100</v>
      </c>
      <c r="R54">
        <v>100</v>
      </c>
      <c r="S54" t="s">
        <v>34</v>
      </c>
      <c r="T54" t="s">
        <v>35</v>
      </c>
      <c r="U54" t="s">
        <v>44</v>
      </c>
      <c r="W54">
        <v>0</v>
      </c>
      <c r="X54">
        <v>0</v>
      </c>
      <c r="Y54">
        <v>0</v>
      </c>
      <c r="Z54">
        <v>0</v>
      </c>
    </row>
    <row r="55" spans="1:26" hidden="1" x14ac:dyDescent="0.25">
      <c r="A55" t="s">
        <v>216</v>
      </c>
      <c r="B55" t="s">
        <v>38</v>
      </c>
      <c r="C55" s="4">
        <v>43171</v>
      </c>
      <c r="D55" s="4">
        <v>43970</v>
      </c>
      <c r="F55" s="4">
        <v>44500</v>
      </c>
      <c r="G55" t="s">
        <v>26</v>
      </c>
      <c r="H55" t="s">
        <v>212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217</v>
      </c>
      <c r="Q55">
        <v>300</v>
      </c>
      <c r="R55">
        <v>300</v>
      </c>
      <c r="S55" t="s">
        <v>34</v>
      </c>
      <c r="T55" t="s">
        <v>35</v>
      </c>
      <c r="U55" t="s">
        <v>44</v>
      </c>
      <c r="W55">
        <v>200</v>
      </c>
      <c r="X55">
        <v>200</v>
      </c>
      <c r="Y55">
        <v>0</v>
      </c>
      <c r="Z55">
        <v>0</v>
      </c>
    </row>
    <row r="56" spans="1:26" hidden="1" x14ac:dyDescent="0.25">
      <c r="A56" t="s">
        <v>218</v>
      </c>
      <c r="B56" t="s">
        <v>38</v>
      </c>
      <c r="C56" s="4">
        <v>43171</v>
      </c>
      <c r="D56" s="4">
        <v>43915</v>
      </c>
      <c r="F56" s="4">
        <v>44500</v>
      </c>
      <c r="G56" t="s">
        <v>39</v>
      </c>
      <c r="H56" t="s">
        <v>219</v>
      </c>
      <c r="K56" t="s">
        <v>41</v>
      </c>
      <c r="L56" t="s">
        <v>29</v>
      </c>
      <c r="M56" t="s">
        <v>42</v>
      </c>
      <c r="N56" t="s">
        <v>31</v>
      </c>
      <c r="O56" t="s">
        <v>32</v>
      </c>
      <c r="P56" t="s">
        <v>220</v>
      </c>
      <c r="Q56">
        <v>30</v>
      </c>
      <c r="R56">
        <v>30</v>
      </c>
      <c r="S56" t="s">
        <v>159</v>
      </c>
      <c r="T56" t="s">
        <v>159</v>
      </c>
      <c r="U56" t="s">
        <v>44</v>
      </c>
      <c r="W56">
        <v>0</v>
      </c>
      <c r="X56">
        <v>0</v>
      </c>
      <c r="Y56">
        <v>0</v>
      </c>
      <c r="Z56">
        <v>0</v>
      </c>
    </row>
    <row r="57" spans="1:26" hidden="1" x14ac:dyDescent="0.25">
      <c r="A57" t="s">
        <v>221</v>
      </c>
      <c r="B57" t="s">
        <v>25</v>
      </c>
      <c r="C57" s="4">
        <v>43171</v>
      </c>
      <c r="E57" s="4">
        <v>44513</v>
      </c>
      <c r="F57" s="4">
        <v>44104</v>
      </c>
      <c r="G57" t="s">
        <v>117</v>
      </c>
      <c r="H57" t="s">
        <v>222</v>
      </c>
      <c r="K57" t="s">
        <v>83</v>
      </c>
      <c r="L57" t="s">
        <v>29</v>
      </c>
      <c r="M57" t="s">
        <v>84</v>
      </c>
      <c r="N57" t="s">
        <v>31</v>
      </c>
      <c r="O57" t="s">
        <v>32</v>
      </c>
      <c r="P57" t="s">
        <v>223</v>
      </c>
      <c r="Q57">
        <v>144</v>
      </c>
      <c r="R57">
        <v>144</v>
      </c>
      <c r="S57" t="s">
        <v>56</v>
      </c>
      <c r="T57" t="s">
        <v>57</v>
      </c>
      <c r="U57" t="s">
        <v>36</v>
      </c>
      <c r="V57" s="4">
        <v>44119</v>
      </c>
      <c r="W57">
        <v>144</v>
      </c>
      <c r="X57">
        <v>144</v>
      </c>
      <c r="Y57">
        <v>144</v>
      </c>
      <c r="Z57">
        <v>144</v>
      </c>
    </row>
    <row r="58" spans="1:26" hidden="1" x14ac:dyDescent="0.25">
      <c r="A58" t="s">
        <v>224</v>
      </c>
      <c r="B58" t="s">
        <v>38</v>
      </c>
      <c r="C58" s="4">
        <v>43171</v>
      </c>
      <c r="D58" s="4">
        <v>43790</v>
      </c>
      <c r="F58" s="4">
        <v>44135</v>
      </c>
      <c r="G58" t="s">
        <v>72</v>
      </c>
      <c r="H58" t="s">
        <v>225</v>
      </c>
      <c r="K58" t="s">
        <v>53</v>
      </c>
      <c r="L58" t="s">
        <v>29</v>
      </c>
      <c r="M58" t="s">
        <v>54</v>
      </c>
      <c r="N58" t="s">
        <v>31</v>
      </c>
      <c r="O58" t="s">
        <v>32</v>
      </c>
      <c r="P58" t="s">
        <v>226</v>
      </c>
      <c r="Q58">
        <v>200</v>
      </c>
      <c r="R58">
        <v>200</v>
      </c>
      <c r="S58" t="s">
        <v>56</v>
      </c>
      <c r="T58" t="s">
        <v>57</v>
      </c>
      <c r="U58" t="s">
        <v>44</v>
      </c>
      <c r="W58">
        <v>0</v>
      </c>
      <c r="X58">
        <v>0</v>
      </c>
      <c r="Y58">
        <v>0</v>
      </c>
      <c r="Z58">
        <v>0</v>
      </c>
    </row>
    <row r="59" spans="1:26" hidden="1" x14ac:dyDescent="0.25">
      <c r="A59" t="s">
        <v>227</v>
      </c>
      <c r="B59" t="s">
        <v>38</v>
      </c>
      <c r="C59" s="4">
        <v>43171</v>
      </c>
      <c r="D59" s="4">
        <v>43915</v>
      </c>
      <c r="F59" s="4">
        <v>44500</v>
      </c>
      <c r="G59" t="s">
        <v>72</v>
      </c>
      <c r="H59" t="s">
        <v>90</v>
      </c>
      <c r="K59" t="s">
        <v>41</v>
      </c>
      <c r="L59" t="s">
        <v>29</v>
      </c>
      <c r="M59" t="s">
        <v>42</v>
      </c>
      <c r="N59" t="s">
        <v>31</v>
      </c>
      <c r="O59" t="s">
        <v>32</v>
      </c>
      <c r="P59" t="s">
        <v>188</v>
      </c>
      <c r="Q59">
        <v>125</v>
      </c>
      <c r="R59">
        <v>125</v>
      </c>
      <c r="S59" t="s">
        <v>34</v>
      </c>
      <c r="T59" t="s">
        <v>35</v>
      </c>
      <c r="U59" t="s">
        <v>44</v>
      </c>
      <c r="W59">
        <v>0</v>
      </c>
      <c r="X59">
        <v>0</v>
      </c>
      <c r="Y59">
        <v>0</v>
      </c>
      <c r="Z59">
        <v>0</v>
      </c>
    </row>
    <row r="60" spans="1:26" hidden="1" x14ac:dyDescent="0.25">
      <c r="A60" t="s">
        <v>228</v>
      </c>
      <c r="B60" t="s">
        <v>25</v>
      </c>
      <c r="C60" s="4">
        <v>43171</v>
      </c>
      <c r="E60" s="4">
        <v>44481</v>
      </c>
      <c r="F60" s="4">
        <v>44500</v>
      </c>
      <c r="G60" t="s">
        <v>229</v>
      </c>
      <c r="H60" t="s">
        <v>230</v>
      </c>
      <c r="K60" t="s">
        <v>98</v>
      </c>
      <c r="L60" t="s">
        <v>29</v>
      </c>
      <c r="M60" t="s">
        <v>84</v>
      </c>
      <c r="N60" t="s">
        <v>31</v>
      </c>
      <c r="O60" t="s">
        <v>32</v>
      </c>
      <c r="P60" t="s">
        <v>231</v>
      </c>
      <c r="Q60">
        <v>300</v>
      </c>
      <c r="R60">
        <v>300</v>
      </c>
      <c r="S60" t="s">
        <v>34</v>
      </c>
      <c r="T60" t="s">
        <v>35</v>
      </c>
      <c r="U60" t="s">
        <v>70</v>
      </c>
      <c r="V60" s="4">
        <v>45444</v>
      </c>
      <c r="W60">
        <v>200</v>
      </c>
      <c r="X60">
        <v>200</v>
      </c>
      <c r="Y60">
        <v>200</v>
      </c>
      <c r="Z60">
        <v>200</v>
      </c>
    </row>
    <row r="61" spans="1:26" hidden="1" x14ac:dyDescent="0.25">
      <c r="A61" t="s">
        <v>232</v>
      </c>
      <c r="B61" t="s">
        <v>38</v>
      </c>
      <c r="C61" s="4">
        <v>43171</v>
      </c>
      <c r="D61" s="4">
        <v>43837</v>
      </c>
      <c r="F61" s="4">
        <v>44500</v>
      </c>
      <c r="G61" t="s">
        <v>107</v>
      </c>
      <c r="H61" t="s">
        <v>233</v>
      </c>
      <c r="K61" t="s">
        <v>109</v>
      </c>
      <c r="L61" t="s">
        <v>29</v>
      </c>
      <c r="M61" t="s">
        <v>84</v>
      </c>
      <c r="N61" t="s">
        <v>31</v>
      </c>
      <c r="O61" t="s">
        <v>32</v>
      </c>
      <c r="P61" t="s">
        <v>234</v>
      </c>
      <c r="Q61">
        <v>300</v>
      </c>
      <c r="R61">
        <v>300</v>
      </c>
      <c r="S61" t="s">
        <v>34</v>
      </c>
      <c r="T61" t="s">
        <v>35</v>
      </c>
      <c r="U61" t="s">
        <v>44</v>
      </c>
      <c r="W61">
        <v>0</v>
      </c>
      <c r="X61">
        <v>0</v>
      </c>
      <c r="Y61">
        <v>0</v>
      </c>
      <c r="Z61">
        <v>0</v>
      </c>
    </row>
    <row r="62" spans="1:26" hidden="1" x14ac:dyDescent="0.25">
      <c r="A62" t="s">
        <v>235</v>
      </c>
      <c r="B62" t="s">
        <v>25</v>
      </c>
      <c r="C62" s="4">
        <v>43171</v>
      </c>
      <c r="E62" s="4">
        <v>44062</v>
      </c>
      <c r="F62" s="4">
        <v>44500</v>
      </c>
      <c r="G62" t="s">
        <v>65</v>
      </c>
      <c r="H62" t="s">
        <v>236</v>
      </c>
      <c r="K62" t="s">
        <v>67</v>
      </c>
      <c r="L62" t="s">
        <v>29</v>
      </c>
      <c r="M62" t="s">
        <v>68</v>
      </c>
      <c r="N62" t="s">
        <v>31</v>
      </c>
      <c r="O62" t="s">
        <v>32</v>
      </c>
      <c r="P62" t="s">
        <v>237</v>
      </c>
      <c r="Q62">
        <v>500</v>
      </c>
      <c r="R62">
        <v>500</v>
      </c>
      <c r="S62" t="s">
        <v>34</v>
      </c>
      <c r="T62" t="s">
        <v>35</v>
      </c>
      <c r="U62" t="s">
        <v>70</v>
      </c>
      <c r="V62" s="4">
        <v>45047</v>
      </c>
      <c r="W62">
        <v>500</v>
      </c>
      <c r="X62">
        <v>500</v>
      </c>
      <c r="Y62">
        <v>450</v>
      </c>
      <c r="Z62">
        <v>400</v>
      </c>
    </row>
    <row r="63" spans="1:26" hidden="1" x14ac:dyDescent="0.25">
      <c r="A63" t="s">
        <v>238</v>
      </c>
      <c r="B63" t="s">
        <v>38</v>
      </c>
      <c r="C63" s="4">
        <v>43171</v>
      </c>
      <c r="D63" s="4">
        <v>43915</v>
      </c>
      <c r="F63" s="4">
        <v>44500</v>
      </c>
      <c r="G63" t="s">
        <v>39</v>
      </c>
      <c r="H63" t="s">
        <v>157</v>
      </c>
      <c r="K63" t="s">
        <v>41</v>
      </c>
      <c r="L63" t="s">
        <v>29</v>
      </c>
      <c r="M63" t="s">
        <v>42</v>
      </c>
      <c r="N63" t="s">
        <v>31</v>
      </c>
      <c r="O63" t="s">
        <v>32</v>
      </c>
      <c r="P63" t="s">
        <v>239</v>
      </c>
      <c r="Q63">
        <v>300</v>
      </c>
      <c r="R63">
        <v>300</v>
      </c>
      <c r="S63" t="s">
        <v>34</v>
      </c>
      <c r="T63" t="s">
        <v>35</v>
      </c>
      <c r="U63" t="s">
        <v>44</v>
      </c>
      <c r="W63">
        <v>0</v>
      </c>
      <c r="X63">
        <v>0</v>
      </c>
      <c r="Y63">
        <v>0</v>
      </c>
      <c r="Z63">
        <v>0</v>
      </c>
    </row>
    <row r="64" spans="1:26" hidden="1" x14ac:dyDescent="0.25">
      <c r="A64" t="s">
        <v>240</v>
      </c>
      <c r="B64" t="s">
        <v>25</v>
      </c>
      <c r="C64" s="4">
        <v>43171</v>
      </c>
      <c r="E64" s="4">
        <v>44309</v>
      </c>
      <c r="F64" s="4">
        <v>44500</v>
      </c>
      <c r="G64" t="s">
        <v>72</v>
      </c>
      <c r="H64" t="s">
        <v>200</v>
      </c>
      <c r="K64" t="s">
        <v>53</v>
      </c>
      <c r="L64" t="s">
        <v>29</v>
      </c>
      <c r="M64" t="s">
        <v>54</v>
      </c>
      <c r="N64" t="s">
        <v>31</v>
      </c>
      <c r="O64" t="s">
        <v>32</v>
      </c>
      <c r="P64" t="s">
        <v>201</v>
      </c>
      <c r="Q64">
        <v>200</v>
      </c>
      <c r="R64">
        <v>200</v>
      </c>
      <c r="S64" t="s">
        <v>34</v>
      </c>
      <c r="T64" t="s">
        <v>35</v>
      </c>
      <c r="U64" t="s">
        <v>44</v>
      </c>
      <c r="V64" s="4">
        <v>45078</v>
      </c>
      <c r="W64">
        <v>150</v>
      </c>
      <c r="X64">
        <v>150</v>
      </c>
      <c r="Y64">
        <v>150</v>
      </c>
      <c r="Z64">
        <v>150</v>
      </c>
    </row>
    <row r="65" spans="1:26" hidden="1" x14ac:dyDescent="0.25">
      <c r="A65" t="s">
        <v>241</v>
      </c>
      <c r="B65" t="s">
        <v>25</v>
      </c>
      <c r="C65" s="4">
        <v>43171</v>
      </c>
      <c r="E65" s="4">
        <v>44629</v>
      </c>
      <c r="F65" s="4">
        <v>44865</v>
      </c>
      <c r="G65" t="s">
        <v>101</v>
      </c>
      <c r="H65" t="s">
        <v>242</v>
      </c>
      <c r="K65" t="s">
        <v>98</v>
      </c>
      <c r="L65" t="s">
        <v>29</v>
      </c>
      <c r="M65" t="s">
        <v>84</v>
      </c>
      <c r="N65" t="s">
        <v>31</v>
      </c>
      <c r="O65" t="s">
        <v>32</v>
      </c>
      <c r="P65" t="s">
        <v>243</v>
      </c>
      <c r="Q65">
        <v>195</v>
      </c>
      <c r="R65">
        <v>195</v>
      </c>
      <c r="S65" t="s">
        <v>34</v>
      </c>
      <c r="T65" t="s">
        <v>35</v>
      </c>
      <c r="U65" t="s">
        <v>70</v>
      </c>
      <c r="V65" s="4">
        <v>44774</v>
      </c>
      <c r="W65">
        <v>195</v>
      </c>
      <c r="X65">
        <v>195</v>
      </c>
      <c r="Y65">
        <v>195</v>
      </c>
      <c r="Z65">
        <v>195</v>
      </c>
    </row>
    <row r="66" spans="1:26" hidden="1" x14ac:dyDescent="0.25">
      <c r="A66" t="s">
        <v>244</v>
      </c>
      <c r="B66" t="s">
        <v>38</v>
      </c>
      <c r="C66" s="4">
        <v>43171</v>
      </c>
      <c r="D66" s="4">
        <v>43790</v>
      </c>
      <c r="F66" s="4">
        <v>44135</v>
      </c>
      <c r="G66" t="s">
        <v>52</v>
      </c>
      <c r="H66" t="s">
        <v>245</v>
      </c>
      <c r="K66" t="s">
        <v>53</v>
      </c>
      <c r="L66" t="s">
        <v>29</v>
      </c>
      <c r="M66" t="s">
        <v>54</v>
      </c>
      <c r="N66" t="s">
        <v>31</v>
      </c>
      <c r="O66" t="s">
        <v>32</v>
      </c>
      <c r="P66" t="s">
        <v>246</v>
      </c>
      <c r="Q66">
        <v>200</v>
      </c>
      <c r="R66">
        <v>200</v>
      </c>
      <c r="S66" t="s">
        <v>56</v>
      </c>
      <c r="T66" t="s">
        <v>57</v>
      </c>
      <c r="U66" t="s">
        <v>44</v>
      </c>
      <c r="W66">
        <v>0</v>
      </c>
      <c r="X66">
        <v>0</v>
      </c>
      <c r="Y66">
        <v>0</v>
      </c>
      <c r="Z66">
        <v>0</v>
      </c>
    </row>
    <row r="67" spans="1:26" hidden="1" x14ac:dyDescent="0.25">
      <c r="A67" t="s">
        <v>247</v>
      </c>
      <c r="B67" t="s">
        <v>38</v>
      </c>
      <c r="C67" s="4">
        <v>43171</v>
      </c>
      <c r="D67" s="4">
        <v>43790</v>
      </c>
      <c r="F67" s="4">
        <v>44135</v>
      </c>
      <c r="G67" t="s">
        <v>52</v>
      </c>
      <c r="H67" t="s">
        <v>248</v>
      </c>
      <c r="K67" t="s">
        <v>53</v>
      </c>
      <c r="L67" t="s">
        <v>29</v>
      </c>
      <c r="M67" t="s">
        <v>54</v>
      </c>
      <c r="N67" t="s">
        <v>31</v>
      </c>
      <c r="O67" t="s">
        <v>32</v>
      </c>
      <c r="P67" t="s">
        <v>249</v>
      </c>
      <c r="Q67">
        <v>200</v>
      </c>
      <c r="R67">
        <v>200</v>
      </c>
      <c r="S67" t="s">
        <v>56</v>
      </c>
      <c r="T67" t="s">
        <v>57</v>
      </c>
      <c r="U67" t="s">
        <v>44</v>
      </c>
      <c r="W67">
        <v>0</v>
      </c>
      <c r="X67">
        <v>0</v>
      </c>
      <c r="Y67">
        <v>0</v>
      </c>
      <c r="Z67">
        <v>0</v>
      </c>
    </row>
    <row r="68" spans="1:26" hidden="1" x14ac:dyDescent="0.25">
      <c r="A68" t="s">
        <v>250</v>
      </c>
      <c r="B68" t="s">
        <v>38</v>
      </c>
      <c r="C68" s="4">
        <v>43171</v>
      </c>
      <c r="D68" s="4">
        <v>43237</v>
      </c>
      <c r="F68" s="4">
        <v>43677</v>
      </c>
      <c r="G68" t="s">
        <v>81</v>
      </c>
      <c r="H68" t="s">
        <v>139</v>
      </c>
      <c r="K68" t="s">
        <v>83</v>
      </c>
      <c r="L68" t="s">
        <v>29</v>
      </c>
      <c r="M68" t="s">
        <v>84</v>
      </c>
      <c r="N68" t="s">
        <v>31</v>
      </c>
      <c r="O68" t="s">
        <v>251</v>
      </c>
      <c r="P68" t="s">
        <v>252</v>
      </c>
      <c r="Q68">
        <v>44</v>
      </c>
      <c r="R68">
        <v>44</v>
      </c>
      <c r="S68" t="s">
        <v>56</v>
      </c>
      <c r="T68" t="s">
        <v>57</v>
      </c>
      <c r="U68" t="s">
        <v>44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253</v>
      </c>
      <c r="B69" t="s">
        <v>25</v>
      </c>
      <c r="C69" s="4">
        <v>43171</v>
      </c>
      <c r="E69" s="4">
        <v>44481</v>
      </c>
      <c r="F69" s="4">
        <v>44805</v>
      </c>
      <c r="G69" t="s">
        <v>254</v>
      </c>
      <c r="H69" t="s">
        <v>113</v>
      </c>
      <c r="I69" t="s">
        <v>1092</v>
      </c>
      <c r="K69" t="s">
        <v>98</v>
      </c>
      <c r="L69" t="s">
        <v>29</v>
      </c>
      <c r="M69" t="s">
        <v>84</v>
      </c>
      <c r="N69" t="s">
        <v>31</v>
      </c>
      <c r="O69" t="s">
        <v>32</v>
      </c>
      <c r="P69" t="s">
        <v>255</v>
      </c>
      <c r="Q69">
        <v>240</v>
      </c>
      <c r="R69">
        <v>240</v>
      </c>
      <c r="S69" t="s">
        <v>34</v>
      </c>
      <c r="T69" t="s">
        <v>35</v>
      </c>
      <c r="U69" t="s">
        <v>70</v>
      </c>
      <c r="V69" s="4">
        <v>45219</v>
      </c>
      <c r="W69">
        <v>240</v>
      </c>
      <c r="X69">
        <v>240</v>
      </c>
      <c r="Y69">
        <v>240</v>
      </c>
      <c r="Z69">
        <v>240</v>
      </c>
    </row>
    <row r="70" spans="1:26" hidden="1" x14ac:dyDescent="0.25">
      <c r="A70" t="s">
        <v>256</v>
      </c>
      <c r="B70" t="s">
        <v>38</v>
      </c>
      <c r="C70" s="4">
        <v>43171</v>
      </c>
      <c r="D70" s="4">
        <v>43790</v>
      </c>
      <c r="F70" s="4">
        <v>44135</v>
      </c>
      <c r="G70" t="s">
        <v>72</v>
      </c>
      <c r="H70" t="s">
        <v>200</v>
      </c>
      <c r="K70" t="s">
        <v>53</v>
      </c>
      <c r="L70" t="s">
        <v>29</v>
      </c>
      <c r="M70" t="s">
        <v>54</v>
      </c>
      <c r="N70" t="s">
        <v>31</v>
      </c>
      <c r="O70" t="s">
        <v>32</v>
      </c>
      <c r="P70" t="s">
        <v>257</v>
      </c>
      <c r="Q70">
        <v>200</v>
      </c>
      <c r="R70">
        <v>200</v>
      </c>
      <c r="S70" t="s">
        <v>56</v>
      </c>
      <c r="T70" t="s">
        <v>57</v>
      </c>
      <c r="U70" t="s">
        <v>44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258</v>
      </c>
      <c r="B71" t="s">
        <v>25</v>
      </c>
      <c r="C71" s="4">
        <v>43171</v>
      </c>
      <c r="E71" s="4">
        <v>44481</v>
      </c>
      <c r="F71" s="4">
        <v>44805</v>
      </c>
      <c r="G71" t="s">
        <v>254</v>
      </c>
      <c r="H71" t="s">
        <v>113</v>
      </c>
      <c r="I71" t="s">
        <v>1092</v>
      </c>
      <c r="K71" t="s">
        <v>98</v>
      </c>
      <c r="L71" t="s">
        <v>29</v>
      </c>
      <c r="M71" t="s">
        <v>84</v>
      </c>
      <c r="N71" t="s">
        <v>31</v>
      </c>
      <c r="O71" t="s">
        <v>32</v>
      </c>
      <c r="P71" t="s">
        <v>259</v>
      </c>
      <c r="Q71">
        <v>200</v>
      </c>
      <c r="R71">
        <v>200</v>
      </c>
      <c r="S71" t="s">
        <v>56</v>
      </c>
      <c r="T71" t="s">
        <v>57</v>
      </c>
      <c r="U71" t="s">
        <v>70</v>
      </c>
      <c r="V71" s="4">
        <v>45036</v>
      </c>
      <c r="W71">
        <v>200</v>
      </c>
      <c r="X71">
        <v>200</v>
      </c>
      <c r="Y71">
        <v>200</v>
      </c>
      <c r="Z71">
        <v>200</v>
      </c>
    </row>
    <row r="72" spans="1:26" hidden="1" x14ac:dyDescent="0.25">
      <c r="A72" t="s">
        <v>260</v>
      </c>
      <c r="B72" t="s">
        <v>38</v>
      </c>
      <c r="C72" s="4">
        <v>43171</v>
      </c>
      <c r="D72" s="4">
        <v>43706</v>
      </c>
      <c r="F72" s="4">
        <v>44454</v>
      </c>
      <c r="G72" t="s">
        <v>261</v>
      </c>
      <c r="H72" t="s">
        <v>166</v>
      </c>
      <c r="K72" t="s">
        <v>114</v>
      </c>
      <c r="L72" t="s">
        <v>29</v>
      </c>
      <c r="M72" t="s">
        <v>68</v>
      </c>
      <c r="N72" t="s">
        <v>31</v>
      </c>
      <c r="O72" t="s">
        <v>32</v>
      </c>
      <c r="P72" t="s">
        <v>262</v>
      </c>
      <c r="Q72">
        <v>100</v>
      </c>
      <c r="R72">
        <v>100</v>
      </c>
      <c r="S72" t="s">
        <v>34</v>
      </c>
      <c r="T72" t="s">
        <v>35</v>
      </c>
      <c r="U72" t="s">
        <v>44</v>
      </c>
      <c r="W72">
        <v>0</v>
      </c>
      <c r="X72">
        <v>0</v>
      </c>
      <c r="Y72">
        <v>0</v>
      </c>
      <c r="Z72">
        <v>0</v>
      </c>
    </row>
    <row r="73" spans="1:26" hidden="1" x14ac:dyDescent="0.25">
      <c r="A73" t="s">
        <v>263</v>
      </c>
      <c r="B73" t="s">
        <v>25</v>
      </c>
      <c r="C73" s="4">
        <v>43171</v>
      </c>
      <c r="E73" s="4">
        <v>44281</v>
      </c>
      <c r="F73" s="4">
        <v>44216</v>
      </c>
      <c r="G73" t="s">
        <v>52</v>
      </c>
      <c r="H73" t="s">
        <v>264</v>
      </c>
      <c r="K73" t="s">
        <v>53</v>
      </c>
      <c r="L73" t="s">
        <v>29</v>
      </c>
      <c r="M73" t="s">
        <v>54</v>
      </c>
      <c r="N73" t="s">
        <v>31</v>
      </c>
      <c r="O73" t="s">
        <v>32</v>
      </c>
      <c r="P73" t="s">
        <v>265</v>
      </c>
      <c r="Q73">
        <v>100</v>
      </c>
      <c r="R73">
        <v>100</v>
      </c>
      <c r="S73" t="s">
        <v>34</v>
      </c>
      <c r="T73" t="s">
        <v>35</v>
      </c>
      <c r="U73" t="s">
        <v>70</v>
      </c>
      <c r="V73" s="4">
        <v>44211</v>
      </c>
      <c r="W73">
        <v>100</v>
      </c>
      <c r="X73">
        <v>100</v>
      </c>
      <c r="Y73">
        <v>100</v>
      </c>
      <c r="Z73">
        <v>100</v>
      </c>
    </row>
    <row r="74" spans="1:26" hidden="1" x14ac:dyDescent="0.25">
      <c r="A74" t="s">
        <v>266</v>
      </c>
      <c r="B74" t="s">
        <v>25</v>
      </c>
      <c r="C74" s="4">
        <v>43171</v>
      </c>
      <c r="E74" s="4">
        <v>44362</v>
      </c>
      <c r="F74" s="4">
        <v>44075</v>
      </c>
      <c r="G74" t="s">
        <v>39</v>
      </c>
      <c r="H74" t="s">
        <v>267</v>
      </c>
      <c r="K74" t="s">
        <v>41</v>
      </c>
      <c r="L74" t="s">
        <v>29</v>
      </c>
      <c r="M74" t="s">
        <v>42</v>
      </c>
      <c r="N74" t="s">
        <v>31</v>
      </c>
      <c r="O74" t="s">
        <v>32</v>
      </c>
      <c r="P74" t="s">
        <v>268</v>
      </c>
      <c r="Q74">
        <v>150</v>
      </c>
      <c r="R74">
        <v>150</v>
      </c>
      <c r="S74" t="s">
        <v>34</v>
      </c>
      <c r="T74" t="s">
        <v>35</v>
      </c>
      <c r="U74" t="s">
        <v>70</v>
      </c>
      <c r="V74" s="4">
        <v>45139</v>
      </c>
      <c r="W74">
        <v>150</v>
      </c>
      <c r="X74">
        <v>150</v>
      </c>
      <c r="Y74">
        <v>150</v>
      </c>
      <c r="Z74">
        <v>150</v>
      </c>
    </row>
    <row r="75" spans="1:26" hidden="1" x14ac:dyDescent="0.25">
      <c r="A75" t="s">
        <v>269</v>
      </c>
      <c r="B75" t="s">
        <v>38</v>
      </c>
      <c r="C75" s="4">
        <v>43171</v>
      </c>
      <c r="D75" s="4">
        <v>43706</v>
      </c>
      <c r="F75" s="4">
        <v>44454</v>
      </c>
      <c r="G75" t="s">
        <v>144</v>
      </c>
      <c r="H75" t="s">
        <v>270</v>
      </c>
      <c r="K75" t="s">
        <v>146</v>
      </c>
      <c r="L75" t="s">
        <v>29</v>
      </c>
      <c r="M75" t="s">
        <v>68</v>
      </c>
      <c r="N75" t="s">
        <v>31</v>
      </c>
      <c r="O75" t="s">
        <v>32</v>
      </c>
      <c r="P75" t="s">
        <v>271</v>
      </c>
      <c r="Q75">
        <v>300</v>
      </c>
      <c r="R75">
        <v>300</v>
      </c>
      <c r="S75" t="s">
        <v>34</v>
      </c>
      <c r="T75" t="s">
        <v>35</v>
      </c>
      <c r="U75" t="s">
        <v>44</v>
      </c>
      <c r="W75">
        <v>0</v>
      </c>
      <c r="X75">
        <v>0</v>
      </c>
      <c r="Y75">
        <v>0</v>
      </c>
      <c r="Z75">
        <v>0</v>
      </c>
    </row>
    <row r="76" spans="1:26" hidden="1" x14ac:dyDescent="0.25">
      <c r="A76" t="s">
        <v>272</v>
      </c>
      <c r="B76" t="s">
        <v>38</v>
      </c>
      <c r="C76" s="4">
        <v>43171</v>
      </c>
      <c r="D76" s="4">
        <v>45226</v>
      </c>
      <c r="F76" s="4">
        <v>44198</v>
      </c>
      <c r="G76" t="s">
        <v>96</v>
      </c>
      <c r="H76" t="s">
        <v>97</v>
      </c>
      <c r="K76" t="s">
        <v>98</v>
      </c>
      <c r="L76" t="s">
        <v>29</v>
      </c>
      <c r="M76" t="s">
        <v>84</v>
      </c>
      <c r="N76" t="s">
        <v>31</v>
      </c>
      <c r="O76" t="s">
        <v>32</v>
      </c>
      <c r="P76" t="s">
        <v>273</v>
      </c>
      <c r="Q76">
        <v>200</v>
      </c>
      <c r="R76">
        <v>200</v>
      </c>
      <c r="S76" t="s">
        <v>34</v>
      </c>
      <c r="T76" t="s">
        <v>35</v>
      </c>
      <c r="U76" t="s">
        <v>38</v>
      </c>
      <c r="V76" s="4">
        <v>44880</v>
      </c>
      <c r="W76">
        <v>200</v>
      </c>
      <c r="X76">
        <v>200</v>
      </c>
      <c r="Y76">
        <v>200</v>
      </c>
      <c r="Z76">
        <v>200</v>
      </c>
    </row>
    <row r="77" spans="1:26" hidden="1" x14ac:dyDescent="0.25">
      <c r="A77" t="s">
        <v>274</v>
      </c>
      <c r="B77" t="s">
        <v>38</v>
      </c>
      <c r="C77" s="4">
        <v>43171</v>
      </c>
      <c r="D77" s="4">
        <v>43405</v>
      </c>
      <c r="F77" s="4">
        <v>44075</v>
      </c>
      <c r="G77" t="s">
        <v>52</v>
      </c>
      <c r="H77" t="s">
        <v>275</v>
      </c>
      <c r="K77" t="s">
        <v>53</v>
      </c>
      <c r="L77" t="s">
        <v>29</v>
      </c>
      <c r="M77" t="s">
        <v>54</v>
      </c>
      <c r="N77" t="s">
        <v>31</v>
      </c>
      <c r="O77" t="s">
        <v>32</v>
      </c>
      <c r="P77" t="s">
        <v>276</v>
      </c>
      <c r="Q77">
        <v>350</v>
      </c>
      <c r="R77">
        <v>350</v>
      </c>
      <c r="S77" t="s">
        <v>56</v>
      </c>
      <c r="T77" t="s">
        <v>57</v>
      </c>
      <c r="U77" t="s">
        <v>44</v>
      </c>
      <c r="W77">
        <v>0</v>
      </c>
      <c r="X77">
        <v>0</v>
      </c>
      <c r="Y77">
        <v>0</v>
      </c>
      <c r="Z77">
        <v>0</v>
      </c>
    </row>
    <row r="78" spans="1:26" hidden="1" x14ac:dyDescent="0.25">
      <c r="A78" t="s">
        <v>277</v>
      </c>
      <c r="B78" t="s">
        <v>25</v>
      </c>
      <c r="C78" s="4">
        <v>43171</v>
      </c>
      <c r="E78" s="4">
        <v>44202</v>
      </c>
      <c r="F78" s="4">
        <v>44454</v>
      </c>
      <c r="G78" t="s">
        <v>144</v>
      </c>
      <c r="H78" t="s">
        <v>278</v>
      </c>
      <c r="K78" t="s">
        <v>146</v>
      </c>
      <c r="L78" t="s">
        <v>29</v>
      </c>
      <c r="M78" t="s">
        <v>68</v>
      </c>
      <c r="N78" t="s">
        <v>31</v>
      </c>
      <c r="O78" t="s">
        <v>32</v>
      </c>
      <c r="P78" t="s">
        <v>279</v>
      </c>
      <c r="Q78">
        <v>200</v>
      </c>
      <c r="R78">
        <v>200</v>
      </c>
      <c r="S78" t="s">
        <v>34</v>
      </c>
      <c r="T78" t="s">
        <v>35</v>
      </c>
      <c r="U78" t="s">
        <v>70</v>
      </c>
      <c r="V78" s="4">
        <v>44805</v>
      </c>
      <c r="W78">
        <v>200</v>
      </c>
      <c r="X78">
        <v>200</v>
      </c>
      <c r="Y78">
        <v>200</v>
      </c>
      <c r="Z78">
        <v>200</v>
      </c>
    </row>
    <row r="79" spans="1:26" hidden="1" x14ac:dyDescent="0.25">
      <c r="A79" t="s">
        <v>280</v>
      </c>
      <c r="B79" t="s">
        <v>38</v>
      </c>
      <c r="C79" s="4">
        <v>43171</v>
      </c>
      <c r="D79" s="4">
        <v>43405</v>
      </c>
      <c r="F79" s="4">
        <v>44075</v>
      </c>
      <c r="G79" t="s">
        <v>52</v>
      </c>
      <c r="H79" t="s">
        <v>275</v>
      </c>
      <c r="K79" t="s">
        <v>53</v>
      </c>
      <c r="L79" t="s">
        <v>29</v>
      </c>
      <c r="M79" t="s">
        <v>54</v>
      </c>
      <c r="N79" t="s">
        <v>31</v>
      </c>
      <c r="O79" t="s">
        <v>32</v>
      </c>
      <c r="P79" t="s">
        <v>276</v>
      </c>
      <c r="Q79">
        <v>250</v>
      </c>
      <c r="R79">
        <v>250</v>
      </c>
      <c r="S79" t="s">
        <v>56</v>
      </c>
      <c r="T79" t="s">
        <v>57</v>
      </c>
      <c r="U79" t="s">
        <v>44</v>
      </c>
      <c r="W79">
        <v>0</v>
      </c>
      <c r="X79">
        <v>0</v>
      </c>
      <c r="Y79">
        <v>0</v>
      </c>
      <c r="Z79">
        <v>0</v>
      </c>
    </row>
    <row r="80" spans="1:26" hidden="1" x14ac:dyDescent="0.25">
      <c r="A80" t="s">
        <v>281</v>
      </c>
      <c r="B80" t="s">
        <v>38</v>
      </c>
      <c r="C80" s="4">
        <v>43171</v>
      </c>
      <c r="D80" s="4">
        <v>43706</v>
      </c>
      <c r="F80" s="4">
        <v>44454</v>
      </c>
      <c r="G80" t="s">
        <v>65</v>
      </c>
      <c r="H80" t="s">
        <v>125</v>
      </c>
      <c r="K80" t="s">
        <v>67</v>
      </c>
      <c r="L80" t="s">
        <v>29</v>
      </c>
      <c r="M80" t="s">
        <v>68</v>
      </c>
      <c r="N80" t="s">
        <v>31</v>
      </c>
      <c r="O80" t="s">
        <v>32</v>
      </c>
      <c r="P80" t="s">
        <v>282</v>
      </c>
      <c r="Q80">
        <v>300</v>
      </c>
      <c r="R80">
        <v>300</v>
      </c>
      <c r="S80" t="s">
        <v>34</v>
      </c>
      <c r="T80" t="s">
        <v>35</v>
      </c>
      <c r="U80" t="s">
        <v>44</v>
      </c>
      <c r="W80">
        <v>0</v>
      </c>
      <c r="X80">
        <v>0</v>
      </c>
      <c r="Y80">
        <v>0</v>
      </c>
      <c r="Z80">
        <v>0</v>
      </c>
    </row>
    <row r="81" spans="1:26" hidden="1" x14ac:dyDescent="0.25">
      <c r="A81" t="s">
        <v>283</v>
      </c>
      <c r="B81" t="s">
        <v>38</v>
      </c>
      <c r="C81" s="4">
        <v>43171</v>
      </c>
      <c r="D81" s="4">
        <v>43706</v>
      </c>
      <c r="F81" s="4">
        <v>44454</v>
      </c>
      <c r="G81" t="s">
        <v>144</v>
      </c>
      <c r="H81" t="s">
        <v>284</v>
      </c>
      <c r="K81" t="s">
        <v>146</v>
      </c>
      <c r="L81" t="s">
        <v>29</v>
      </c>
      <c r="M81" t="s">
        <v>68</v>
      </c>
      <c r="N81" t="s">
        <v>31</v>
      </c>
      <c r="O81" t="s">
        <v>32</v>
      </c>
      <c r="P81" t="s">
        <v>285</v>
      </c>
      <c r="Q81">
        <v>200</v>
      </c>
      <c r="R81">
        <v>200</v>
      </c>
      <c r="S81" t="s">
        <v>34</v>
      </c>
      <c r="T81" t="s">
        <v>35</v>
      </c>
      <c r="U81" t="s">
        <v>44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286</v>
      </c>
      <c r="B82" t="s">
        <v>38</v>
      </c>
      <c r="C82" s="4">
        <v>43171</v>
      </c>
      <c r="D82" s="4">
        <v>43546</v>
      </c>
      <c r="F82" s="4">
        <v>44075</v>
      </c>
      <c r="G82" t="s">
        <v>117</v>
      </c>
      <c r="H82" t="s">
        <v>7646</v>
      </c>
      <c r="I82" t="s">
        <v>121</v>
      </c>
      <c r="K82" t="s">
        <v>83</v>
      </c>
      <c r="L82" t="s">
        <v>29</v>
      </c>
      <c r="M82" t="s">
        <v>84</v>
      </c>
      <c r="N82" t="s">
        <v>31</v>
      </c>
      <c r="O82" t="s">
        <v>32</v>
      </c>
      <c r="P82" t="s">
        <v>287</v>
      </c>
      <c r="Q82">
        <v>99</v>
      </c>
      <c r="R82">
        <v>99</v>
      </c>
      <c r="S82" t="s">
        <v>56</v>
      </c>
      <c r="T82" t="s">
        <v>57</v>
      </c>
      <c r="U82" t="s">
        <v>44</v>
      </c>
      <c r="W82">
        <v>0</v>
      </c>
      <c r="X82">
        <v>0</v>
      </c>
      <c r="Y82">
        <v>0</v>
      </c>
      <c r="Z82">
        <v>0</v>
      </c>
    </row>
    <row r="83" spans="1:26" hidden="1" x14ac:dyDescent="0.25">
      <c r="A83" t="s">
        <v>288</v>
      </c>
      <c r="B83" t="s">
        <v>38</v>
      </c>
      <c r="C83" s="4">
        <v>43171</v>
      </c>
      <c r="D83" s="4">
        <v>43552</v>
      </c>
      <c r="F83" s="4">
        <v>44075</v>
      </c>
      <c r="G83" t="s">
        <v>177</v>
      </c>
      <c r="H83" t="s">
        <v>150</v>
      </c>
      <c r="K83" t="s">
        <v>41</v>
      </c>
      <c r="L83" t="s">
        <v>29</v>
      </c>
      <c r="M83" t="s">
        <v>42</v>
      </c>
      <c r="N83" t="s">
        <v>31</v>
      </c>
      <c r="O83" t="s">
        <v>32</v>
      </c>
      <c r="P83" t="s">
        <v>289</v>
      </c>
      <c r="Q83">
        <v>300</v>
      </c>
      <c r="R83">
        <v>300</v>
      </c>
      <c r="S83" t="s">
        <v>56</v>
      </c>
      <c r="T83" t="s">
        <v>57</v>
      </c>
      <c r="U83" t="s">
        <v>44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290</v>
      </c>
      <c r="B84" t="s">
        <v>38</v>
      </c>
      <c r="C84" s="4">
        <v>43171</v>
      </c>
      <c r="D84" s="4">
        <v>43552</v>
      </c>
      <c r="F84" s="4">
        <v>44075</v>
      </c>
      <c r="G84" t="s">
        <v>107</v>
      </c>
      <c r="H84" t="s">
        <v>7647</v>
      </c>
      <c r="I84" t="s">
        <v>567</v>
      </c>
      <c r="K84" t="s">
        <v>109</v>
      </c>
      <c r="L84" t="s">
        <v>29</v>
      </c>
      <c r="M84" t="s">
        <v>42</v>
      </c>
      <c r="N84" t="s">
        <v>31</v>
      </c>
      <c r="O84" t="s">
        <v>32</v>
      </c>
      <c r="P84" t="s">
        <v>291</v>
      </c>
      <c r="Q84">
        <v>400</v>
      </c>
      <c r="R84">
        <v>400</v>
      </c>
      <c r="S84" t="s">
        <v>56</v>
      </c>
      <c r="T84" t="s">
        <v>57</v>
      </c>
      <c r="U84" t="s">
        <v>44</v>
      </c>
      <c r="W84">
        <v>0</v>
      </c>
      <c r="X84">
        <v>0</v>
      </c>
      <c r="Y84">
        <v>0</v>
      </c>
      <c r="Z84">
        <v>0</v>
      </c>
    </row>
    <row r="85" spans="1:26" hidden="1" x14ac:dyDescent="0.25">
      <c r="A85" t="s">
        <v>292</v>
      </c>
      <c r="B85" t="s">
        <v>38</v>
      </c>
      <c r="C85" s="4">
        <v>43171</v>
      </c>
      <c r="D85" s="4">
        <v>43801</v>
      </c>
      <c r="F85" s="4">
        <v>44440</v>
      </c>
      <c r="G85" t="s">
        <v>52</v>
      </c>
      <c r="H85" t="s">
        <v>293</v>
      </c>
      <c r="K85" t="s">
        <v>53</v>
      </c>
      <c r="L85" t="s">
        <v>29</v>
      </c>
      <c r="M85" t="s">
        <v>54</v>
      </c>
      <c r="N85" t="s">
        <v>31</v>
      </c>
      <c r="O85" t="s">
        <v>32</v>
      </c>
      <c r="P85" t="s">
        <v>294</v>
      </c>
      <c r="Q85">
        <v>70</v>
      </c>
      <c r="R85">
        <v>70</v>
      </c>
      <c r="S85" t="s">
        <v>34</v>
      </c>
      <c r="T85" t="s">
        <v>35</v>
      </c>
      <c r="U85" t="s">
        <v>44</v>
      </c>
      <c r="W85">
        <v>0</v>
      </c>
      <c r="X85">
        <v>0</v>
      </c>
      <c r="Y85">
        <v>0</v>
      </c>
      <c r="Z85">
        <v>0</v>
      </c>
    </row>
    <row r="86" spans="1:26" hidden="1" x14ac:dyDescent="0.25">
      <c r="A86" t="s">
        <v>295</v>
      </c>
      <c r="B86" t="s">
        <v>25</v>
      </c>
      <c r="C86" s="4">
        <v>43171</v>
      </c>
      <c r="E86" s="4">
        <v>44362</v>
      </c>
      <c r="F86" s="4">
        <v>44075</v>
      </c>
      <c r="G86" t="s">
        <v>72</v>
      </c>
      <c r="H86" t="s">
        <v>242</v>
      </c>
      <c r="K86" t="s">
        <v>209</v>
      </c>
      <c r="L86" t="s">
        <v>29</v>
      </c>
      <c r="M86" t="s">
        <v>42</v>
      </c>
      <c r="N86" t="s">
        <v>31</v>
      </c>
      <c r="O86" t="s">
        <v>32</v>
      </c>
      <c r="P86" t="s">
        <v>296</v>
      </c>
      <c r="Q86">
        <v>150</v>
      </c>
      <c r="R86">
        <v>150</v>
      </c>
      <c r="S86" t="s">
        <v>34</v>
      </c>
      <c r="T86" t="s">
        <v>35</v>
      </c>
      <c r="U86" t="s">
        <v>70</v>
      </c>
      <c r="V86" s="4">
        <v>45170</v>
      </c>
      <c r="W86">
        <v>150</v>
      </c>
      <c r="X86">
        <v>150</v>
      </c>
      <c r="Y86">
        <v>150</v>
      </c>
      <c r="Z86">
        <v>150</v>
      </c>
    </row>
    <row r="87" spans="1:26" x14ac:dyDescent="0.25">
      <c r="A87" t="s">
        <v>297</v>
      </c>
      <c r="B87" t="s">
        <v>38</v>
      </c>
      <c r="C87" s="4">
        <v>43171</v>
      </c>
      <c r="D87" s="4">
        <v>43970</v>
      </c>
      <c r="F87" s="4">
        <v>44440</v>
      </c>
      <c r="G87" t="s">
        <v>26</v>
      </c>
      <c r="H87" t="s">
        <v>394</v>
      </c>
      <c r="I87" t="s">
        <v>7648</v>
      </c>
      <c r="J87" t="s">
        <v>7171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298</v>
      </c>
      <c r="Q87">
        <v>300</v>
      </c>
      <c r="R87">
        <v>300</v>
      </c>
      <c r="S87" t="s">
        <v>56</v>
      </c>
      <c r="T87" t="s">
        <v>57</v>
      </c>
      <c r="U87" t="s">
        <v>44</v>
      </c>
      <c r="W87">
        <v>300</v>
      </c>
      <c r="X87">
        <v>300</v>
      </c>
      <c r="Y87">
        <v>0</v>
      </c>
      <c r="Z87">
        <v>0</v>
      </c>
    </row>
    <row r="88" spans="1:26" hidden="1" x14ac:dyDescent="0.25">
      <c r="A88" t="s">
        <v>299</v>
      </c>
      <c r="B88" t="s">
        <v>38</v>
      </c>
      <c r="C88" s="4">
        <v>43171</v>
      </c>
      <c r="D88" s="4">
        <v>43915</v>
      </c>
      <c r="F88" s="4">
        <v>44198</v>
      </c>
      <c r="G88" t="s">
        <v>72</v>
      </c>
      <c r="H88" t="s">
        <v>300</v>
      </c>
      <c r="K88" t="s">
        <v>41</v>
      </c>
      <c r="L88" t="s">
        <v>29</v>
      </c>
      <c r="M88" t="s">
        <v>42</v>
      </c>
      <c r="N88" t="s">
        <v>31</v>
      </c>
      <c r="O88" t="s">
        <v>32</v>
      </c>
      <c r="P88" t="s">
        <v>301</v>
      </c>
      <c r="Q88">
        <v>120</v>
      </c>
      <c r="R88">
        <v>120</v>
      </c>
      <c r="S88" t="s">
        <v>34</v>
      </c>
      <c r="T88" t="s">
        <v>35</v>
      </c>
      <c r="U88" t="s">
        <v>44</v>
      </c>
      <c r="W88">
        <v>0</v>
      </c>
      <c r="X88">
        <v>0</v>
      </c>
      <c r="Y88">
        <v>0</v>
      </c>
      <c r="Z88">
        <v>0</v>
      </c>
    </row>
    <row r="89" spans="1:26" hidden="1" x14ac:dyDescent="0.25">
      <c r="A89" t="s">
        <v>302</v>
      </c>
      <c r="B89" t="s">
        <v>25</v>
      </c>
      <c r="C89" s="4">
        <v>43171</v>
      </c>
      <c r="E89" s="4">
        <v>44481</v>
      </c>
      <c r="F89" s="4">
        <v>44198</v>
      </c>
      <c r="G89" t="s">
        <v>107</v>
      </c>
      <c r="H89" t="s">
        <v>82</v>
      </c>
      <c r="K89" t="s">
        <v>109</v>
      </c>
      <c r="L89" t="s">
        <v>29</v>
      </c>
      <c r="M89" t="s">
        <v>84</v>
      </c>
      <c r="N89" t="s">
        <v>31</v>
      </c>
      <c r="O89" t="s">
        <v>32</v>
      </c>
      <c r="P89" t="s">
        <v>303</v>
      </c>
      <c r="Q89">
        <v>200</v>
      </c>
      <c r="R89">
        <v>200</v>
      </c>
      <c r="S89" t="s">
        <v>34</v>
      </c>
      <c r="T89" t="s">
        <v>35</v>
      </c>
      <c r="U89" t="s">
        <v>70</v>
      </c>
      <c r="V89" s="4">
        <v>45262</v>
      </c>
      <c r="W89">
        <v>200</v>
      </c>
      <c r="X89">
        <v>200</v>
      </c>
      <c r="Y89">
        <v>200</v>
      </c>
      <c r="Z89">
        <v>200</v>
      </c>
    </row>
    <row r="90" spans="1:26" hidden="1" x14ac:dyDescent="0.25">
      <c r="A90" t="s">
        <v>304</v>
      </c>
      <c r="B90" t="s">
        <v>38</v>
      </c>
      <c r="C90" s="4">
        <v>43171</v>
      </c>
      <c r="D90" s="4">
        <v>44231</v>
      </c>
      <c r="F90" s="4">
        <v>44198</v>
      </c>
      <c r="G90" t="s">
        <v>52</v>
      </c>
      <c r="H90" t="s">
        <v>305</v>
      </c>
      <c r="K90" t="s">
        <v>53</v>
      </c>
      <c r="L90" t="s">
        <v>29</v>
      </c>
      <c r="M90" t="s">
        <v>54</v>
      </c>
      <c r="N90" t="s">
        <v>31</v>
      </c>
      <c r="O90" t="s">
        <v>32</v>
      </c>
      <c r="P90" t="s">
        <v>306</v>
      </c>
      <c r="Q90">
        <v>150</v>
      </c>
      <c r="R90">
        <v>150</v>
      </c>
      <c r="S90" t="s">
        <v>34</v>
      </c>
      <c r="T90" t="s">
        <v>35</v>
      </c>
      <c r="U90" t="s">
        <v>38</v>
      </c>
      <c r="W90">
        <v>150</v>
      </c>
      <c r="X90">
        <v>150</v>
      </c>
      <c r="Y90">
        <v>150</v>
      </c>
      <c r="Z90">
        <v>150</v>
      </c>
    </row>
    <row r="91" spans="1:26" hidden="1" x14ac:dyDescent="0.25">
      <c r="A91" t="s">
        <v>307</v>
      </c>
      <c r="B91" t="s">
        <v>38</v>
      </c>
      <c r="C91" s="4">
        <v>43171</v>
      </c>
      <c r="D91" s="4">
        <v>44231</v>
      </c>
      <c r="F91" s="4">
        <v>44198</v>
      </c>
      <c r="G91" t="s">
        <v>52</v>
      </c>
      <c r="H91" t="s">
        <v>305</v>
      </c>
      <c r="K91" t="s">
        <v>53</v>
      </c>
      <c r="L91" t="s">
        <v>29</v>
      </c>
      <c r="M91" t="s">
        <v>54</v>
      </c>
      <c r="N91" t="s">
        <v>31</v>
      </c>
      <c r="O91" t="s">
        <v>32</v>
      </c>
      <c r="P91" t="s">
        <v>308</v>
      </c>
      <c r="Q91">
        <v>170</v>
      </c>
      <c r="R91">
        <v>170</v>
      </c>
      <c r="S91" t="s">
        <v>34</v>
      </c>
      <c r="T91" t="s">
        <v>35</v>
      </c>
      <c r="U91" t="s">
        <v>44</v>
      </c>
      <c r="W91">
        <v>170</v>
      </c>
      <c r="X91">
        <v>170</v>
      </c>
      <c r="Y91">
        <v>170</v>
      </c>
      <c r="Z91">
        <v>170</v>
      </c>
    </row>
    <row r="92" spans="1:26" hidden="1" x14ac:dyDescent="0.25">
      <c r="A92" t="s">
        <v>309</v>
      </c>
      <c r="B92" t="s">
        <v>38</v>
      </c>
      <c r="C92" s="4">
        <v>43171</v>
      </c>
      <c r="D92" s="4">
        <v>44231</v>
      </c>
      <c r="F92" s="4">
        <v>44198</v>
      </c>
      <c r="G92" t="s">
        <v>52</v>
      </c>
      <c r="H92" t="s">
        <v>310</v>
      </c>
      <c r="K92" t="s">
        <v>53</v>
      </c>
      <c r="L92" t="s">
        <v>29</v>
      </c>
      <c r="M92" t="s">
        <v>54</v>
      </c>
      <c r="N92" t="s">
        <v>31</v>
      </c>
      <c r="O92" t="s">
        <v>32</v>
      </c>
      <c r="P92" t="s">
        <v>311</v>
      </c>
      <c r="Q92">
        <v>90</v>
      </c>
      <c r="R92">
        <v>90</v>
      </c>
      <c r="S92" t="s">
        <v>34</v>
      </c>
      <c r="T92" t="s">
        <v>35</v>
      </c>
      <c r="U92" t="s">
        <v>44</v>
      </c>
      <c r="W92">
        <v>90</v>
      </c>
      <c r="X92">
        <v>90</v>
      </c>
      <c r="Y92">
        <v>90</v>
      </c>
      <c r="Z92">
        <v>90</v>
      </c>
    </row>
    <row r="93" spans="1:26" hidden="1" x14ac:dyDescent="0.25">
      <c r="A93" t="s">
        <v>312</v>
      </c>
      <c r="B93" t="s">
        <v>38</v>
      </c>
      <c r="C93" s="4">
        <v>43171</v>
      </c>
      <c r="D93" s="4">
        <v>43706</v>
      </c>
      <c r="F93" s="4">
        <v>44454</v>
      </c>
      <c r="G93" t="s">
        <v>65</v>
      </c>
      <c r="H93" t="s">
        <v>313</v>
      </c>
      <c r="K93" t="s">
        <v>67</v>
      </c>
      <c r="L93" t="s">
        <v>29</v>
      </c>
      <c r="M93" t="s">
        <v>68</v>
      </c>
      <c r="N93" t="s">
        <v>31</v>
      </c>
      <c r="O93" t="s">
        <v>32</v>
      </c>
      <c r="P93" t="s">
        <v>314</v>
      </c>
      <c r="Q93">
        <v>150</v>
      </c>
      <c r="R93">
        <v>150</v>
      </c>
      <c r="S93" t="s">
        <v>34</v>
      </c>
      <c r="T93" t="s">
        <v>35</v>
      </c>
      <c r="U93" t="s">
        <v>44</v>
      </c>
      <c r="W93">
        <v>0</v>
      </c>
      <c r="X93">
        <v>0</v>
      </c>
      <c r="Y93">
        <v>0</v>
      </c>
      <c r="Z93">
        <v>0</v>
      </c>
    </row>
    <row r="94" spans="1:26" hidden="1" x14ac:dyDescent="0.25">
      <c r="A94" t="s">
        <v>315</v>
      </c>
      <c r="B94" t="s">
        <v>25</v>
      </c>
      <c r="C94" s="4">
        <v>43171</v>
      </c>
      <c r="E94" s="4">
        <v>44362</v>
      </c>
      <c r="F94" s="4">
        <v>44834</v>
      </c>
      <c r="G94" t="s">
        <v>39</v>
      </c>
      <c r="H94" t="s">
        <v>316</v>
      </c>
      <c r="K94" t="s">
        <v>28</v>
      </c>
      <c r="L94" t="s">
        <v>29</v>
      </c>
      <c r="M94" t="s">
        <v>42</v>
      </c>
      <c r="N94" t="s">
        <v>31</v>
      </c>
      <c r="O94" t="s">
        <v>32</v>
      </c>
      <c r="P94" t="s">
        <v>317</v>
      </c>
      <c r="Q94">
        <v>100</v>
      </c>
      <c r="R94">
        <v>100</v>
      </c>
      <c r="S94" t="s">
        <v>34</v>
      </c>
      <c r="T94" t="s">
        <v>35</v>
      </c>
      <c r="U94" t="s">
        <v>44</v>
      </c>
      <c r="V94" s="4">
        <v>45200</v>
      </c>
      <c r="W94">
        <v>100</v>
      </c>
      <c r="X94">
        <v>100</v>
      </c>
      <c r="Y94">
        <v>100</v>
      </c>
      <c r="Z94">
        <v>100</v>
      </c>
    </row>
    <row r="95" spans="1:26" x14ac:dyDescent="0.25">
      <c r="A95" t="s">
        <v>318</v>
      </c>
      <c r="B95" t="s">
        <v>38</v>
      </c>
      <c r="C95" s="4">
        <v>43171</v>
      </c>
      <c r="D95" s="4">
        <v>43706</v>
      </c>
      <c r="F95" s="4">
        <v>44454</v>
      </c>
      <c r="G95" t="s">
        <v>65</v>
      </c>
      <c r="H95" t="s">
        <v>747</v>
      </c>
      <c r="I95" t="s">
        <v>7649</v>
      </c>
      <c r="K95" t="s">
        <v>67</v>
      </c>
      <c r="L95" t="s">
        <v>29</v>
      </c>
      <c r="M95" t="s">
        <v>68</v>
      </c>
      <c r="N95" t="s">
        <v>31</v>
      </c>
      <c r="O95" t="s">
        <v>32</v>
      </c>
      <c r="P95" t="s">
        <v>319</v>
      </c>
      <c r="Q95">
        <v>200</v>
      </c>
      <c r="R95">
        <v>200</v>
      </c>
      <c r="S95" t="s">
        <v>34</v>
      </c>
      <c r="T95" t="s">
        <v>35</v>
      </c>
      <c r="U95" t="s">
        <v>44</v>
      </c>
      <c r="W95">
        <v>0</v>
      </c>
      <c r="X95">
        <v>0</v>
      </c>
      <c r="Y95">
        <v>0</v>
      </c>
      <c r="Z95">
        <v>0</v>
      </c>
    </row>
    <row r="96" spans="1:26" hidden="1" x14ac:dyDescent="0.25">
      <c r="A96" t="s">
        <v>320</v>
      </c>
      <c r="B96" t="s">
        <v>25</v>
      </c>
      <c r="C96" s="4">
        <v>43171</v>
      </c>
      <c r="E96" s="4">
        <v>44481</v>
      </c>
      <c r="F96" s="4">
        <v>44198</v>
      </c>
      <c r="G96" t="s">
        <v>117</v>
      </c>
      <c r="H96" t="s">
        <v>166</v>
      </c>
      <c r="K96" t="s">
        <v>83</v>
      </c>
      <c r="L96" t="s">
        <v>29</v>
      </c>
      <c r="M96" t="s">
        <v>84</v>
      </c>
      <c r="N96" t="s">
        <v>31</v>
      </c>
      <c r="O96" t="s">
        <v>32</v>
      </c>
      <c r="P96" t="s">
        <v>321</v>
      </c>
      <c r="Q96">
        <v>150</v>
      </c>
      <c r="R96">
        <v>150</v>
      </c>
      <c r="S96" t="s">
        <v>34</v>
      </c>
      <c r="T96" t="s">
        <v>35</v>
      </c>
      <c r="U96" t="s">
        <v>70</v>
      </c>
      <c r="V96" s="4">
        <v>45306</v>
      </c>
      <c r="W96">
        <v>150</v>
      </c>
      <c r="X96">
        <v>150</v>
      </c>
      <c r="Y96">
        <v>150</v>
      </c>
      <c r="Z96">
        <v>150</v>
      </c>
    </row>
    <row r="97" spans="1:26" hidden="1" x14ac:dyDescent="0.25">
      <c r="A97" t="s">
        <v>322</v>
      </c>
      <c r="B97" t="s">
        <v>38</v>
      </c>
      <c r="C97" s="4">
        <v>43171</v>
      </c>
      <c r="D97" s="4">
        <v>43706</v>
      </c>
      <c r="F97" s="4">
        <v>44454</v>
      </c>
      <c r="G97" t="s">
        <v>261</v>
      </c>
      <c r="H97" t="s">
        <v>323</v>
      </c>
      <c r="K97" t="s">
        <v>114</v>
      </c>
      <c r="L97" t="s">
        <v>29</v>
      </c>
      <c r="M97" t="s">
        <v>68</v>
      </c>
      <c r="N97" t="s">
        <v>31</v>
      </c>
      <c r="O97" t="s">
        <v>32</v>
      </c>
      <c r="P97" t="s">
        <v>324</v>
      </c>
      <c r="Q97">
        <v>300</v>
      </c>
      <c r="R97">
        <v>300</v>
      </c>
      <c r="S97" t="s">
        <v>34</v>
      </c>
      <c r="T97" t="s">
        <v>35</v>
      </c>
      <c r="U97" t="s">
        <v>44</v>
      </c>
      <c r="W97">
        <v>0</v>
      </c>
      <c r="X97">
        <v>0</v>
      </c>
      <c r="Y97">
        <v>0</v>
      </c>
      <c r="Z97">
        <v>0</v>
      </c>
    </row>
    <row r="98" spans="1:26" hidden="1" x14ac:dyDescent="0.25">
      <c r="A98" t="s">
        <v>325</v>
      </c>
      <c r="B98" t="s">
        <v>25</v>
      </c>
      <c r="C98" s="4">
        <v>43171</v>
      </c>
      <c r="E98" s="4">
        <v>44481</v>
      </c>
      <c r="F98" s="4">
        <v>44198</v>
      </c>
      <c r="G98" t="s">
        <v>117</v>
      </c>
      <c r="H98" t="s">
        <v>326</v>
      </c>
      <c r="K98" t="s">
        <v>83</v>
      </c>
      <c r="L98" t="s">
        <v>29</v>
      </c>
      <c r="M98" t="s">
        <v>84</v>
      </c>
      <c r="N98" t="s">
        <v>31</v>
      </c>
      <c r="O98" t="s">
        <v>32</v>
      </c>
      <c r="P98" t="s">
        <v>327</v>
      </c>
      <c r="Q98">
        <v>150</v>
      </c>
      <c r="R98">
        <v>150</v>
      </c>
      <c r="S98" t="s">
        <v>34</v>
      </c>
      <c r="T98" t="s">
        <v>35</v>
      </c>
      <c r="U98" t="s">
        <v>70</v>
      </c>
      <c r="V98" s="4">
        <v>45292</v>
      </c>
      <c r="W98">
        <v>150</v>
      </c>
      <c r="X98">
        <v>150</v>
      </c>
      <c r="Y98">
        <v>150</v>
      </c>
      <c r="Z98">
        <v>150</v>
      </c>
    </row>
    <row r="99" spans="1:26" x14ac:dyDescent="0.25">
      <c r="A99" t="s">
        <v>328</v>
      </c>
      <c r="B99" t="s">
        <v>38</v>
      </c>
      <c r="C99" s="4">
        <v>43171</v>
      </c>
      <c r="D99" s="4">
        <v>43706</v>
      </c>
      <c r="F99" s="4">
        <v>44454</v>
      </c>
      <c r="G99" t="s">
        <v>65</v>
      </c>
      <c r="H99" t="s">
        <v>743</v>
      </c>
      <c r="I99" t="s">
        <v>1092</v>
      </c>
      <c r="K99" t="s">
        <v>67</v>
      </c>
      <c r="L99" t="s">
        <v>29</v>
      </c>
      <c r="M99" t="s">
        <v>68</v>
      </c>
      <c r="N99" t="s">
        <v>31</v>
      </c>
      <c r="O99" t="s">
        <v>32</v>
      </c>
      <c r="P99" t="s">
        <v>329</v>
      </c>
      <c r="Q99">
        <v>500</v>
      </c>
      <c r="R99">
        <v>500</v>
      </c>
      <c r="S99" t="s">
        <v>34</v>
      </c>
      <c r="T99" t="s">
        <v>35</v>
      </c>
      <c r="U99" t="s">
        <v>44</v>
      </c>
      <c r="W99">
        <v>0</v>
      </c>
      <c r="X99">
        <v>0</v>
      </c>
      <c r="Y99">
        <v>0</v>
      </c>
      <c r="Z99">
        <v>0</v>
      </c>
    </row>
    <row r="100" spans="1:26" hidden="1" x14ac:dyDescent="0.25">
      <c r="A100" t="s">
        <v>330</v>
      </c>
      <c r="B100" t="s">
        <v>38</v>
      </c>
      <c r="C100" s="4">
        <v>43171</v>
      </c>
      <c r="D100" s="4">
        <v>44264</v>
      </c>
      <c r="F100" s="4">
        <v>44834</v>
      </c>
      <c r="G100" t="s">
        <v>39</v>
      </c>
      <c r="H100" t="s">
        <v>90</v>
      </c>
      <c r="K100" t="s">
        <v>41</v>
      </c>
      <c r="L100" t="s">
        <v>29</v>
      </c>
      <c r="M100" t="s">
        <v>42</v>
      </c>
      <c r="N100" t="s">
        <v>31</v>
      </c>
      <c r="O100" t="s">
        <v>32</v>
      </c>
      <c r="P100" t="s">
        <v>331</v>
      </c>
      <c r="Q100">
        <v>40</v>
      </c>
      <c r="R100">
        <v>40</v>
      </c>
      <c r="S100" t="s">
        <v>34</v>
      </c>
      <c r="T100" t="s">
        <v>35</v>
      </c>
      <c r="U100" t="s">
        <v>44</v>
      </c>
      <c r="W100">
        <v>40</v>
      </c>
      <c r="X100">
        <v>40</v>
      </c>
      <c r="Y100">
        <v>0</v>
      </c>
      <c r="Z100">
        <v>0</v>
      </c>
    </row>
    <row r="101" spans="1:26" hidden="1" x14ac:dyDescent="0.25">
      <c r="A101" t="s">
        <v>332</v>
      </c>
      <c r="B101" t="s">
        <v>38</v>
      </c>
      <c r="C101" s="4">
        <v>43171</v>
      </c>
      <c r="D101" s="4">
        <v>43706</v>
      </c>
      <c r="F101" s="4">
        <v>44454</v>
      </c>
      <c r="G101" t="s">
        <v>144</v>
      </c>
      <c r="H101" t="s">
        <v>270</v>
      </c>
      <c r="K101" t="s">
        <v>146</v>
      </c>
      <c r="L101" t="s">
        <v>29</v>
      </c>
      <c r="M101" t="s">
        <v>68</v>
      </c>
      <c r="N101" t="s">
        <v>31</v>
      </c>
      <c r="O101" t="s">
        <v>32</v>
      </c>
      <c r="P101" t="s">
        <v>333</v>
      </c>
      <c r="Q101">
        <v>200</v>
      </c>
      <c r="R101">
        <v>200</v>
      </c>
      <c r="S101" t="s">
        <v>34</v>
      </c>
      <c r="T101" t="s">
        <v>35</v>
      </c>
      <c r="U101" t="s">
        <v>44</v>
      </c>
      <c r="W101">
        <v>0</v>
      </c>
      <c r="X101">
        <v>0</v>
      </c>
      <c r="Y101">
        <v>0</v>
      </c>
      <c r="Z101">
        <v>0</v>
      </c>
    </row>
    <row r="102" spans="1:26" hidden="1" x14ac:dyDescent="0.25">
      <c r="A102" t="s">
        <v>334</v>
      </c>
      <c r="B102" t="s">
        <v>38</v>
      </c>
      <c r="C102" s="4">
        <v>43171</v>
      </c>
      <c r="D102" s="4">
        <v>43706</v>
      </c>
      <c r="F102" s="4">
        <v>44454</v>
      </c>
      <c r="G102" t="s">
        <v>149</v>
      </c>
      <c r="H102" t="s">
        <v>335</v>
      </c>
      <c r="K102" t="s">
        <v>151</v>
      </c>
      <c r="L102" t="s">
        <v>29</v>
      </c>
      <c r="M102" t="s">
        <v>68</v>
      </c>
      <c r="N102" t="s">
        <v>31</v>
      </c>
      <c r="O102" t="s">
        <v>32</v>
      </c>
      <c r="P102" t="s">
        <v>336</v>
      </c>
      <c r="Q102">
        <v>200</v>
      </c>
      <c r="R102">
        <v>200</v>
      </c>
      <c r="S102" t="s">
        <v>34</v>
      </c>
      <c r="T102" t="s">
        <v>35</v>
      </c>
      <c r="U102" t="s">
        <v>44</v>
      </c>
      <c r="W102">
        <v>0</v>
      </c>
      <c r="X102">
        <v>0</v>
      </c>
      <c r="Y102">
        <v>0</v>
      </c>
      <c r="Z102">
        <v>0</v>
      </c>
    </row>
    <row r="103" spans="1:26" hidden="1" x14ac:dyDescent="0.25">
      <c r="A103" t="s">
        <v>337</v>
      </c>
      <c r="B103" t="s">
        <v>38</v>
      </c>
      <c r="C103" s="4">
        <v>43171</v>
      </c>
      <c r="D103" s="4">
        <v>45981</v>
      </c>
      <c r="E103" s="4">
        <v>44298</v>
      </c>
      <c r="F103" s="4">
        <v>44440</v>
      </c>
      <c r="G103" t="s">
        <v>26</v>
      </c>
      <c r="H103" t="s">
        <v>338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 t="s">
        <v>339</v>
      </c>
      <c r="Q103">
        <v>20</v>
      </c>
      <c r="R103">
        <v>20</v>
      </c>
      <c r="S103" t="s">
        <v>159</v>
      </c>
      <c r="T103" t="s">
        <v>159</v>
      </c>
      <c r="U103" t="s">
        <v>38</v>
      </c>
      <c r="V103" s="4">
        <v>45153</v>
      </c>
      <c r="W103">
        <v>20</v>
      </c>
      <c r="X103">
        <v>20</v>
      </c>
      <c r="Y103">
        <v>20</v>
      </c>
      <c r="Z103">
        <v>20</v>
      </c>
    </row>
    <row r="104" spans="1:26" hidden="1" x14ac:dyDescent="0.25">
      <c r="A104" t="s">
        <v>340</v>
      </c>
      <c r="B104" t="s">
        <v>25</v>
      </c>
      <c r="C104" s="4">
        <v>43171</v>
      </c>
      <c r="E104" s="4">
        <v>44452</v>
      </c>
      <c r="F104" s="4">
        <v>44360</v>
      </c>
      <c r="G104" t="s">
        <v>117</v>
      </c>
      <c r="H104" t="s">
        <v>341</v>
      </c>
      <c r="K104" t="s">
        <v>83</v>
      </c>
      <c r="L104" t="s">
        <v>29</v>
      </c>
      <c r="M104" t="s">
        <v>84</v>
      </c>
      <c r="N104" t="s">
        <v>31</v>
      </c>
      <c r="O104" t="s">
        <v>32</v>
      </c>
      <c r="P104" t="s">
        <v>342</v>
      </c>
      <c r="Q104">
        <v>70</v>
      </c>
      <c r="R104">
        <v>70</v>
      </c>
      <c r="S104" t="s">
        <v>34</v>
      </c>
      <c r="T104" t="s">
        <v>35</v>
      </c>
      <c r="U104" t="s">
        <v>70</v>
      </c>
      <c r="V104" s="4">
        <v>44545</v>
      </c>
      <c r="W104">
        <v>70</v>
      </c>
      <c r="X104">
        <v>70</v>
      </c>
      <c r="Y104">
        <v>70</v>
      </c>
      <c r="Z104">
        <v>70</v>
      </c>
    </row>
    <row r="105" spans="1:26" hidden="1" x14ac:dyDescent="0.25">
      <c r="A105" t="s">
        <v>343</v>
      </c>
      <c r="B105" t="s">
        <v>38</v>
      </c>
      <c r="C105" s="4">
        <v>43171</v>
      </c>
      <c r="D105" s="4">
        <v>44012</v>
      </c>
      <c r="F105" s="4">
        <v>44440</v>
      </c>
      <c r="G105" t="s">
        <v>72</v>
      </c>
      <c r="H105" t="s">
        <v>344</v>
      </c>
      <c r="K105" t="s">
        <v>53</v>
      </c>
      <c r="L105" t="s">
        <v>29</v>
      </c>
      <c r="M105" t="s">
        <v>54</v>
      </c>
      <c r="N105" t="s">
        <v>31</v>
      </c>
      <c r="O105" t="s">
        <v>32</v>
      </c>
      <c r="P105" t="s">
        <v>345</v>
      </c>
      <c r="Q105">
        <v>20</v>
      </c>
      <c r="R105">
        <v>20</v>
      </c>
      <c r="S105" t="s">
        <v>159</v>
      </c>
      <c r="T105" t="s">
        <v>159</v>
      </c>
      <c r="U105" t="s">
        <v>44</v>
      </c>
      <c r="W105">
        <v>20</v>
      </c>
      <c r="X105">
        <v>20</v>
      </c>
      <c r="Y105">
        <v>0</v>
      </c>
      <c r="Z105">
        <v>0</v>
      </c>
    </row>
    <row r="106" spans="1:26" x14ac:dyDescent="0.25">
      <c r="A106" t="s">
        <v>346</v>
      </c>
      <c r="B106" t="s">
        <v>38</v>
      </c>
      <c r="C106" s="4">
        <v>43171</v>
      </c>
      <c r="D106" s="4">
        <v>43762</v>
      </c>
      <c r="F106" s="4">
        <v>44440</v>
      </c>
      <c r="G106" t="s">
        <v>26</v>
      </c>
      <c r="H106" t="s">
        <v>166</v>
      </c>
      <c r="I106" t="s">
        <v>7650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347</v>
      </c>
      <c r="Q106">
        <v>100</v>
      </c>
      <c r="R106">
        <v>100</v>
      </c>
      <c r="S106" t="s">
        <v>159</v>
      </c>
      <c r="T106" t="s">
        <v>159</v>
      </c>
      <c r="U106" t="s">
        <v>44</v>
      </c>
      <c r="W106">
        <v>0</v>
      </c>
      <c r="X106">
        <v>0</v>
      </c>
      <c r="Y106">
        <v>0</v>
      </c>
      <c r="Z106">
        <v>0</v>
      </c>
    </row>
    <row r="107" spans="1:26" hidden="1" x14ac:dyDescent="0.25">
      <c r="A107" t="s">
        <v>348</v>
      </c>
      <c r="B107" t="s">
        <v>38</v>
      </c>
      <c r="C107" s="4">
        <v>43171</v>
      </c>
      <c r="D107" s="4">
        <v>44264</v>
      </c>
      <c r="F107" s="4">
        <v>44075</v>
      </c>
      <c r="G107" t="s">
        <v>39</v>
      </c>
      <c r="H107" t="s">
        <v>349</v>
      </c>
      <c r="K107" t="s">
        <v>41</v>
      </c>
      <c r="L107" t="s">
        <v>29</v>
      </c>
      <c r="M107" t="s">
        <v>42</v>
      </c>
      <c r="N107" t="s">
        <v>31</v>
      </c>
      <c r="O107" t="s">
        <v>32</v>
      </c>
      <c r="P107" t="s">
        <v>350</v>
      </c>
      <c r="Q107">
        <v>200</v>
      </c>
      <c r="R107">
        <v>200</v>
      </c>
      <c r="S107" t="s">
        <v>34</v>
      </c>
      <c r="T107" t="s">
        <v>35</v>
      </c>
      <c r="U107" t="s">
        <v>44</v>
      </c>
      <c r="W107">
        <v>200</v>
      </c>
      <c r="X107">
        <v>200</v>
      </c>
      <c r="Y107">
        <v>0</v>
      </c>
      <c r="Z107">
        <v>0</v>
      </c>
    </row>
    <row r="108" spans="1:26" hidden="1" x14ac:dyDescent="0.25">
      <c r="A108" t="s">
        <v>351</v>
      </c>
      <c r="B108" t="s">
        <v>38</v>
      </c>
      <c r="C108" s="4">
        <v>43171</v>
      </c>
      <c r="D108" s="4">
        <v>44264</v>
      </c>
      <c r="F108" s="4">
        <v>44409</v>
      </c>
      <c r="G108" t="s">
        <v>173</v>
      </c>
      <c r="H108" t="s">
        <v>352</v>
      </c>
      <c r="K108" t="s">
        <v>41</v>
      </c>
      <c r="L108" t="s">
        <v>29</v>
      </c>
      <c r="M108" t="s">
        <v>42</v>
      </c>
      <c r="N108" t="s">
        <v>31</v>
      </c>
      <c r="O108" t="s">
        <v>32</v>
      </c>
      <c r="P108" t="s">
        <v>353</v>
      </c>
      <c r="Q108">
        <v>414</v>
      </c>
      <c r="R108">
        <v>414</v>
      </c>
      <c r="S108" t="s">
        <v>56</v>
      </c>
      <c r="T108" t="s">
        <v>57</v>
      </c>
      <c r="U108" t="s">
        <v>44</v>
      </c>
      <c r="W108">
        <v>414</v>
      </c>
      <c r="X108">
        <v>414</v>
      </c>
      <c r="Y108">
        <v>0</v>
      </c>
      <c r="Z108">
        <v>0</v>
      </c>
    </row>
    <row r="109" spans="1:26" hidden="1" x14ac:dyDescent="0.25">
      <c r="A109" t="s">
        <v>354</v>
      </c>
      <c r="B109" t="s">
        <v>25</v>
      </c>
      <c r="C109" s="4">
        <v>43171</v>
      </c>
      <c r="E109" s="4">
        <v>44481</v>
      </c>
      <c r="F109" s="4">
        <v>44440</v>
      </c>
      <c r="G109" t="s">
        <v>107</v>
      </c>
      <c r="H109" t="s">
        <v>233</v>
      </c>
      <c r="K109" t="s">
        <v>109</v>
      </c>
      <c r="L109" t="s">
        <v>29</v>
      </c>
      <c r="M109" t="s">
        <v>84</v>
      </c>
      <c r="N109" t="s">
        <v>31</v>
      </c>
      <c r="O109" t="s">
        <v>32</v>
      </c>
      <c r="P109" t="s">
        <v>234</v>
      </c>
      <c r="Q109">
        <v>200</v>
      </c>
      <c r="R109">
        <v>200</v>
      </c>
      <c r="S109" t="s">
        <v>34</v>
      </c>
      <c r="T109" t="s">
        <v>35</v>
      </c>
      <c r="U109" t="s">
        <v>70</v>
      </c>
      <c r="V109" s="4">
        <v>45231</v>
      </c>
      <c r="W109">
        <v>200</v>
      </c>
      <c r="X109">
        <v>200</v>
      </c>
      <c r="Y109">
        <v>200</v>
      </c>
      <c r="Z109">
        <v>200</v>
      </c>
    </row>
    <row r="110" spans="1:26" hidden="1" x14ac:dyDescent="0.25">
      <c r="A110" t="s">
        <v>355</v>
      </c>
      <c r="B110" t="s">
        <v>38</v>
      </c>
      <c r="C110" s="4">
        <v>43171</v>
      </c>
      <c r="D110" s="4">
        <v>43915</v>
      </c>
      <c r="F110" s="4">
        <v>44360</v>
      </c>
      <c r="G110" t="s">
        <v>356</v>
      </c>
      <c r="H110" t="s">
        <v>357</v>
      </c>
      <c r="K110" t="s">
        <v>41</v>
      </c>
      <c r="L110" t="s">
        <v>29</v>
      </c>
      <c r="M110" t="s">
        <v>42</v>
      </c>
      <c r="N110" t="s">
        <v>31</v>
      </c>
      <c r="O110" t="s">
        <v>32</v>
      </c>
      <c r="P110" t="s">
        <v>358</v>
      </c>
      <c r="Q110">
        <v>150</v>
      </c>
      <c r="R110">
        <v>150</v>
      </c>
      <c r="S110" t="s">
        <v>34</v>
      </c>
      <c r="T110" t="s">
        <v>35</v>
      </c>
      <c r="U110" t="s">
        <v>44</v>
      </c>
      <c r="W110">
        <v>0</v>
      </c>
      <c r="X110">
        <v>0</v>
      </c>
      <c r="Y110">
        <v>0</v>
      </c>
      <c r="Z110">
        <v>0</v>
      </c>
    </row>
    <row r="111" spans="1:26" hidden="1" x14ac:dyDescent="0.25">
      <c r="A111" t="s">
        <v>359</v>
      </c>
      <c r="B111" t="s">
        <v>38</v>
      </c>
      <c r="C111" s="4">
        <v>43171</v>
      </c>
      <c r="D111" s="4">
        <v>43915</v>
      </c>
      <c r="F111" s="4">
        <v>44409</v>
      </c>
      <c r="G111" t="s">
        <v>39</v>
      </c>
      <c r="H111" t="s">
        <v>275</v>
      </c>
      <c r="K111" t="s">
        <v>185</v>
      </c>
      <c r="L111" t="s">
        <v>29</v>
      </c>
      <c r="M111" t="s">
        <v>42</v>
      </c>
      <c r="N111" t="s">
        <v>31</v>
      </c>
      <c r="O111" t="s">
        <v>32</v>
      </c>
      <c r="P111" t="s">
        <v>360</v>
      </c>
      <c r="Q111">
        <v>207</v>
      </c>
      <c r="R111">
        <v>207</v>
      </c>
      <c r="S111" t="s">
        <v>56</v>
      </c>
      <c r="T111" t="s">
        <v>57</v>
      </c>
      <c r="U111" t="s">
        <v>44</v>
      </c>
      <c r="W111">
        <v>0</v>
      </c>
      <c r="X111">
        <v>0</v>
      </c>
      <c r="Y111">
        <v>0</v>
      </c>
      <c r="Z111">
        <v>0</v>
      </c>
    </row>
    <row r="112" spans="1:26" hidden="1" x14ac:dyDescent="0.25">
      <c r="A112" t="s">
        <v>361</v>
      </c>
      <c r="B112" t="s">
        <v>38</v>
      </c>
      <c r="C112" s="4">
        <v>43171</v>
      </c>
      <c r="D112" s="4">
        <v>44365</v>
      </c>
      <c r="F112" s="4">
        <v>44454</v>
      </c>
      <c r="G112" t="s">
        <v>362</v>
      </c>
      <c r="H112" t="s">
        <v>267</v>
      </c>
      <c r="K112" t="s">
        <v>41</v>
      </c>
      <c r="L112" t="s">
        <v>29</v>
      </c>
      <c r="M112" t="s">
        <v>42</v>
      </c>
      <c r="N112" t="s">
        <v>31</v>
      </c>
      <c r="O112" t="s">
        <v>32</v>
      </c>
      <c r="P112" t="s">
        <v>363</v>
      </c>
      <c r="Q112">
        <v>100</v>
      </c>
      <c r="R112">
        <v>100</v>
      </c>
      <c r="S112" t="s">
        <v>34</v>
      </c>
      <c r="T112" t="s">
        <v>35</v>
      </c>
      <c r="U112" t="s">
        <v>44</v>
      </c>
      <c r="W112">
        <v>100</v>
      </c>
      <c r="X112">
        <v>100</v>
      </c>
      <c r="Y112">
        <v>100</v>
      </c>
      <c r="Z112">
        <v>100</v>
      </c>
    </row>
    <row r="113" spans="1:26" hidden="1" x14ac:dyDescent="0.25">
      <c r="A113" t="s">
        <v>364</v>
      </c>
      <c r="B113" t="s">
        <v>38</v>
      </c>
      <c r="C113" s="4">
        <v>43171</v>
      </c>
      <c r="D113" s="4">
        <v>44265</v>
      </c>
      <c r="F113" s="4">
        <v>44198</v>
      </c>
      <c r="G113" t="s">
        <v>365</v>
      </c>
      <c r="H113" t="s">
        <v>90</v>
      </c>
      <c r="K113" t="s">
        <v>83</v>
      </c>
      <c r="L113" t="s">
        <v>29</v>
      </c>
      <c r="M113" t="s">
        <v>84</v>
      </c>
      <c r="N113" t="s">
        <v>31</v>
      </c>
      <c r="O113" t="s">
        <v>32</v>
      </c>
      <c r="P113" t="s">
        <v>366</v>
      </c>
      <c r="Q113">
        <v>150</v>
      </c>
      <c r="R113">
        <v>150</v>
      </c>
      <c r="S113" t="s">
        <v>34</v>
      </c>
      <c r="T113" t="s">
        <v>35</v>
      </c>
      <c r="U113" t="s">
        <v>44</v>
      </c>
      <c r="W113">
        <v>150</v>
      </c>
      <c r="X113">
        <v>150</v>
      </c>
      <c r="Y113">
        <v>0</v>
      </c>
      <c r="Z113">
        <v>0</v>
      </c>
    </row>
    <row r="114" spans="1:26" hidden="1" x14ac:dyDescent="0.25">
      <c r="A114" t="s">
        <v>367</v>
      </c>
      <c r="B114" t="s">
        <v>38</v>
      </c>
      <c r="C114" s="4">
        <v>43171</v>
      </c>
      <c r="D114" s="4">
        <v>44265</v>
      </c>
      <c r="F114" s="4">
        <v>44454</v>
      </c>
      <c r="G114" t="s">
        <v>254</v>
      </c>
      <c r="H114" t="s">
        <v>368</v>
      </c>
      <c r="K114" t="s">
        <v>98</v>
      </c>
      <c r="L114" t="s">
        <v>29</v>
      </c>
      <c r="M114" t="s">
        <v>84</v>
      </c>
      <c r="N114" t="s">
        <v>31</v>
      </c>
      <c r="O114" t="s">
        <v>32</v>
      </c>
      <c r="P114" t="s">
        <v>369</v>
      </c>
      <c r="Q114">
        <v>150</v>
      </c>
      <c r="R114">
        <v>150</v>
      </c>
      <c r="S114" t="s">
        <v>34</v>
      </c>
      <c r="T114" t="s">
        <v>35</v>
      </c>
      <c r="U114" t="s">
        <v>44</v>
      </c>
      <c r="W114">
        <v>150</v>
      </c>
      <c r="X114">
        <v>150</v>
      </c>
      <c r="Y114">
        <v>0</v>
      </c>
      <c r="Z114">
        <v>0</v>
      </c>
    </row>
    <row r="115" spans="1:26" hidden="1" x14ac:dyDescent="0.25">
      <c r="A115" t="s">
        <v>370</v>
      </c>
      <c r="B115" t="s">
        <v>38</v>
      </c>
      <c r="C115" s="4">
        <v>43171</v>
      </c>
      <c r="D115" s="4">
        <v>43706</v>
      </c>
      <c r="F115" s="4">
        <v>44805</v>
      </c>
      <c r="G115" t="s">
        <v>261</v>
      </c>
      <c r="H115" t="s">
        <v>371</v>
      </c>
      <c r="K115" t="s">
        <v>114</v>
      </c>
      <c r="L115" t="s">
        <v>29</v>
      </c>
      <c r="M115" t="s">
        <v>68</v>
      </c>
      <c r="N115" t="s">
        <v>31</v>
      </c>
      <c r="O115" t="s">
        <v>32</v>
      </c>
      <c r="P115" t="s">
        <v>372</v>
      </c>
      <c r="Q115">
        <v>85</v>
      </c>
      <c r="R115">
        <v>85</v>
      </c>
      <c r="S115" t="s">
        <v>34</v>
      </c>
      <c r="T115" t="s">
        <v>35</v>
      </c>
      <c r="U115" t="s">
        <v>44</v>
      </c>
      <c r="W115">
        <v>0</v>
      </c>
      <c r="X115">
        <v>0</v>
      </c>
      <c r="Y115">
        <v>0</v>
      </c>
      <c r="Z115">
        <v>0</v>
      </c>
    </row>
    <row r="116" spans="1:26" hidden="1" x14ac:dyDescent="0.25">
      <c r="A116" t="s">
        <v>373</v>
      </c>
      <c r="B116" t="s">
        <v>38</v>
      </c>
      <c r="C116" s="4">
        <v>43171</v>
      </c>
      <c r="D116" s="4">
        <v>43915</v>
      </c>
      <c r="F116" s="4">
        <v>44454</v>
      </c>
      <c r="G116" t="s">
        <v>128</v>
      </c>
      <c r="H116" t="s">
        <v>374</v>
      </c>
      <c r="K116" t="s">
        <v>209</v>
      </c>
      <c r="L116" t="s">
        <v>29</v>
      </c>
      <c r="M116" t="s">
        <v>42</v>
      </c>
      <c r="N116" t="s">
        <v>31</v>
      </c>
      <c r="O116" t="s">
        <v>32</v>
      </c>
      <c r="P116" t="s">
        <v>375</v>
      </c>
      <c r="Q116">
        <v>200</v>
      </c>
      <c r="R116">
        <v>200</v>
      </c>
      <c r="S116" t="s">
        <v>56</v>
      </c>
      <c r="T116" t="s">
        <v>57</v>
      </c>
      <c r="U116" t="s">
        <v>44</v>
      </c>
      <c r="W116">
        <v>0</v>
      </c>
      <c r="X116">
        <v>0</v>
      </c>
      <c r="Y116">
        <v>0</v>
      </c>
      <c r="Z116">
        <v>0</v>
      </c>
    </row>
    <row r="117" spans="1:26" hidden="1" x14ac:dyDescent="0.25">
      <c r="A117" t="s">
        <v>376</v>
      </c>
      <c r="B117" t="s">
        <v>25</v>
      </c>
      <c r="C117" s="4">
        <v>43171</v>
      </c>
      <c r="E117" s="4">
        <v>44481</v>
      </c>
      <c r="F117" s="4">
        <v>44440</v>
      </c>
      <c r="G117" t="s">
        <v>117</v>
      </c>
      <c r="H117" t="s">
        <v>377</v>
      </c>
      <c r="K117" t="s">
        <v>83</v>
      </c>
      <c r="L117" t="s">
        <v>29</v>
      </c>
      <c r="M117" t="s">
        <v>84</v>
      </c>
      <c r="N117" t="s">
        <v>31</v>
      </c>
      <c r="O117" t="s">
        <v>32</v>
      </c>
      <c r="P117" t="s">
        <v>378</v>
      </c>
      <c r="Q117">
        <v>200</v>
      </c>
      <c r="R117">
        <v>200</v>
      </c>
      <c r="S117" t="s">
        <v>56</v>
      </c>
      <c r="T117" t="s">
        <v>57</v>
      </c>
      <c r="U117" t="s">
        <v>70</v>
      </c>
      <c r="V117" s="4">
        <v>45536</v>
      </c>
      <c r="W117">
        <v>200</v>
      </c>
      <c r="X117">
        <v>200</v>
      </c>
      <c r="Y117">
        <v>200</v>
      </c>
      <c r="Z117">
        <v>200</v>
      </c>
    </row>
    <row r="118" spans="1:26" hidden="1" x14ac:dyDescent="0.25">
      <c r="A118" t="s">
        <v>379</v>
      </c>
      <c r="B118" t="s">
        <v>38</v>
      </c>
      <c r="C118" s="4">
        <v>43171</v>
      </c>
      <c r="D118" s="4">
        <v>43376</v>
      </c>
      <c r="F118" s="4">
        <v>44440</v>
      </c>
      <c r="G118" t="s">
        <v>380</v>
      </c>
      <c r="H118" t="s">
        <v>381</v>
      </c>
      <c r="K118" t="s">
        <v>98</v>
      </c>
      <c r="L118" t="s">
        <v>29</v>
      </c>
      <c r="M118" t="s">
        <v>84</v>
      </c>
      <c r="N118" t="s">
        <v>31</v>
      </c>
      <c r="O118" t="s">
        <v>32</v>
      </c>
      <c r="P118" t="s">
        <v>382</v>
      </c>
      <c r="Q118">
        <v>100</v>
      </c>
      <c r="R118">
        <v>100</v>
      </c>
      <c r="S118" t="s">
        <v>56</v>
      </c>
      <c r="T118" t="s">
        <v>57</v>
      </c>
      <c r="U118" t="s">
        <v>44</v>
      </c>
      <c r="W118">
        <v>0</v>
      </c>
      <c r="X118">
        <v>0</v>
      </c>
      <c r="Y118">
        <v>0</v>
      </c>
      <c r="Z118">
        <v>0</v>
      </c>
    </row>
    <row r="119" spans="1:26" hidden="1" x14ac:dyDescent="0.25">
      <c r="A119" t="s">
        <v>383</v>
      </c>
      <c r="B119" t="s">
        <v>38</v>
      </c>
      <c r="C119" s="4">
        <v>43171</v>
      </c>
      <c r="D119" s="4">
        <v>43615</v>
      </c>
      <c r="F119" s="4">
        <v>44440</v>
      </c>
      <c r="G119" t="s">
        <v>52</v>
      </c>
      <c r="H119" t="s">
        <v>310</v>
      </c>
      <c r="K119" t="s">
        <v>53</v>
      </c>
      <c r="L119" t="s">
        <v>29</v>
      </c>
      <c r="M119" t="s">
        <v>54</v>
      </c>
      <c r="N119" t="s">
        <v>31</v>
      </c>
      <c r="O119" t="s">
        <v>32</v>
      </c>
      <c r="P119" t="s">
        <v>384</v>
      </c>
      <c r="Q119">
        <v>80</v>
      </c>
      <c r="R119">
        <v>80</v>
      </c>
      <c r="S119" t="s">
        <v>34</v>
      </c>
      <c r="T119" t="s">
        <v>35</v>
      </c>
      <c r="U119" t="s">
        <v>44</v>
      </c>
      <c r="W119">
        <v>0</v>
      </c>
      <c r="X119">
        <v>0</v>
      </c>
      <c r="Y119">
        <v>0</v>
      </c>
      <c r="Z119">
        <v>0</v>
      </c>
    </row>
    <row r="120" spans="1:26" hidden="1" x14ac:dyDescent="0.25">
      <c r="A120" t="s">
        <v>385</v>
      </c>
      <c r="B120" t="s">
        <v>38</v>
      </c>
      <c r="C120" s="4">
        <v>43171</v>
      </c>
      <c r="D120" s="4">
        <v>43376</v>
      </c>
      <c r="F120" s="4">
        <v>44440</v>
      </c>
      <c r="G120" t="s">
        <v>117</v>
      </c>
      <c r="H120" t="s">
        <v>118</v>
      </c>
      <c r="K120" t="s">
        <v>83</v>
      </c>
      <c r="L120" t="s">
        <v>29</v>
      </c>
      <c r="M120" t="s">
        <v>84</v>
      </c>
      <c r="N120" t="s">
        <v>31</v>
      </c>
      <c r="O120" t="s">
        <v>32</v>
      </c>
      <c r="P120" t="s">
        <v>386</v>
      </c>
      <c r="Q120">
        <v>150</v>
      </c>
      <c r="R120">
        <v>150</v>
      </c>
      <c r="S120" t="s">
        <v>56</v>
      </c>
      <c r="T120" t="s">
        <v>57</v>
      </c>
      <c r="U120" t="s">
        <v>44</v>
      </c>
      <c r="W120">
        <v>0</v>
      </c>
      <c r="X120">
        <v>0</v>
      </c>
      <c r="Y120">
        <v>0</v>
      </c>
      <c r="Z120">
        <v>0</v>
      </c>
    </row>
    <row r="121" spans="1:26" hidden="1" x14ac:dyDescent="0.25">
      <c r="A121" t="s">
        <v>387</v>
      </c>
      <c r="B121" t="s">
        <v>38</v>
      </c>
      <c r="C121" s="4">
        <v>43171</v>
      </c>
      <c r="D121" s="4">
        <v>43626</v>
      </c>
      <c r="F121" s="4">
        <v>44197</v>
      </c>
      <c r="G121" t="s">
        <v>52</v>
      </c>
      <c r="H121" t="s">
        <v>90</v>
      </c>
      <c r="K121" t="s">
        <v>53</v>
      </c>
      <c r="L121" t="s">
        <v>29</v>
      </c>
      <c r="M121" t="s">
        <v>54</v>
      </c>
      <c r="N121" t="s">
        <v>31</v>
      </c>
      <c r="O121" t="s">
        <v>32</v>
      </c>
      <c r="P121" t="s">
        <v>388</v>
      </c>
      <c r="Q121">
        <v>600</v>
      </c>
      <c r="R121">
        <v>600</v>
      </c>
      <c r="S121" t="s">
        <v>389</v>
      </c>
      <c r="T121" t="s">
        <v>390</v>
      </c>
      <c r="U121" t="s">
        <v>44</v>
      </c>
      <c r="W121">
        <v>0</v>
      </c>
      <c r="X121">
        <v>0</v>
      </c>
      <c r="Y121">
        <v>0</v>
      </c>
      <c r="Z121">
        <v>0</v>
      </c>
    </row>
    <row r="122" spans="1:26" hidden="1" x14ac:dyDescent="0.25">
      <c r="A122" t="s">
        <v>391</v>
      </c>
      <c r="B122" t="s">
        <v>38</v>
      </c>
      <c r="C122" s="4">
        <v>43171</v>
      </c>
      <c r="D122" s="4">
        <v>43700</v>
      </c>
      <c r="F122" s="4">
        <v>44440</v>
      </c>
      <c r="G122" t="s">
        <v>149</v>
      </c>
      <c r="H122" t="s">
        <v>212</v>
      </c>
      <c r="K122" t="s">
        <v>151</v>
      </c>
      <c r="L122" t="s">
        <v>29</v>
      </c>
      <c r="M122" t="s">
        <v>68</v>
      </c>
      <c r="N122" t="s">
        <v>31</v>
      </c>
      <c r="O122" t="s">
        <v>32</v>
      </c>
      <c r="P122" t="s">
        <v>392</v>
      </c>
      <c r="Q122">
        <v>145</v>
      </c>
      <c r="R122">
        <v>145</v>
      </c>
      <c r="S122" t="s">
        <v>56</v>
      </c>
      <c r="T122" t="s">
        <v>57</v>
      </c>
      <c r="U122" t="s">
        <v>44</v>
      </c>
      <c r="W122">
        <v>0</v>
      </c>
      <c r="X122">
        <v>0</v>
      </c>
      <c r="Y122">
        <v>0</v>
      </c>
      <c r="Z122">
        <v>0</v>
      </c>
    </row>
    <row r="123" spans="1:26" hidden="1" x14ac:dyDescent="0.25">
      <c r="A123" t="s">
        <v>393</v>
      </c>
      <c r="B123" t="s">
        <v>38</v>
      </c>
      <c r="C123" s="4">
        <v>43171</v>
      </c>
      <c r="D123" s="4">
        <v>43970</v>
      </c>
      <c r="F123" s="4">
        <v>44440</v>
      </c>
      <c r="G123" t="s">
        <v>26</v>
      </c>
      <c r="H123" t="s">
        <v>394</v>
      </c>
      <c r="K123" t="s">
        <v>28</v>
      </c>
      <c r="L123" t="s">
        <v>29</v>
      </c>
      <c r="M123" t="s">
        <v>30</v>
      </c>
      <c r="N123" t="s">
        <v>31</v>
      </c>
      <c r="O123" t="s">
        <v>32</v>
      </c>
      <c r="P123" t="s">
        <v>395</v>
      </c>
      <c r="Q123">
        <v>200</v>
      </c>
      <c r="R123">
        <v>200</v>
      </c>
      <c r="S123" t="s">
        <v>34</v>
      </c>
      <c r="T123" t="s">
        <v>35</v>
      </c>
      <c r="U123" t="s">
        <v>44</v>
      </c>
      <c r="W123">
        <v>200</v>
      </c>
      <c r="X123">
        <v>200</v>
      </c>
      <c r="Y123">
        <v>0</v>
      </c>
      <c r="Z123">
        <v>0</v>
      </c>
    </row>
    <row r="124" spans="1:26" hidden="1" x14ac:dyDescent="0.25">
      <c r="A124" t="s">
        <v>396</v>
      </c>
      <c r="B124" t="s">
        <v>38</v>
      </c>
      <c r="C124" s="4">
        <v>43171</v>
      </c>
      <c r="D124" s="4">
        <v>44264</v>
      </c>
      <c r="F124" s="4">
        <v>44805</v>
      </c>
      <c r="G124" t="s">
        <v>128</v>
      </c>
      <c r="H124" t="s">
        <v>397</v>
      </c>
      <c r="K124" t="s">
        <v>209</v>
      </c>
      <c r="L124" t="s">
        <v>29</v>
      </c>
      <c r="M124" t="s">
        <v>42</v>
      </c>
      <c r="N124" t="s">
        <v>31</v>
      </c>
      <c r="O124" t="s">
        <v>32</v>
      </c>
      <c r="P124" t="s">
        <v>398</v>
      </c>
      <c r="Q124">
        <v>200</v>
      </c>
      <c r="R124">
        <v>200</v>
      </c>
      <c r="S124" t="s">
        <v>56</v>
      </c>
      <c r="T124" t="s">
        <v>57</v>
      </c>
      <c r="U124" t="s">
        <v>44</v>
      </c>
      <c r="W124">
        <v>200</v>
      </c>
      <c r="X124">
        <v>200</v>
      </c>
      <c r="Y124">
        <v>0</v>
      </c>
      <c r="Z124">
        <v>0</v>
      </c>
    </row>
    <row r="125" spans="1:26" hidden="1" x14ac:dyDescent="0.25">
      <c r="A125" t="s">
        <v>399</v>
      </c>
      <c r="B125" t="s">
        <v>38</v>
      </c>
      <c r="C125" s="4">
        <v>43171</v>
      </c>
      <c r="D125" s="4">
        <v>43832</v>
      </c>
      <c r="F125" s="4">
        <v>44440</v>
      </c>
      <c r="G125" t="s">
        <v>107</v>
      </c>
      <c r="H125" t="s">
        <v>400</v>
      </c>
      <c r="K125" t="s">
        <v>109</v>
      </c>
      <c r="L125" t="s">
        <v>29</v>
      </c>
      <c r="M125" t="s">
        <v>84</v>
      </c>
      <c r="N125" t="s">
        <v>31</v>
      </c>
      <c r="O125" t="s">
        <v>32</v>
      </c>
      <c r="P125" t="s">
        <v>136</v>
      </c>
      <c r="Q125">
        <v>150</v>
      </c>
      <c r="R125">
        <v>150</v>
      </c>
      <c r="S125" t="s">
        <v>56</v>
      </c>
      <c r="T125" t="s">
        <v>57</v>
      </c>
      <c r="U125" t="s">
        <v>44</v>
      </c>
      <c r="W125">
        <v>0</v>
      </c>
      <c r="X125">
        <v>0</v>
      </c>
      <c r="Y125">
        <v>0</v>
      </c>
      <c r="Z125">
        <v>0</v>
      </c>
    </row>
    <row r="126" spans="1:26" hidden="1" x14ac:dyDescent="0.25">
      <c r="A126" t="s">
        <v>401</v>
      </c>
      <c r="B126" t="s">
        <v>25</v>
      </c>
      <c r="C126" s="4">
        <v>43171</v>
      </c>
      <c r="E126" s="4">
        <v>44362</v>
      </c>
      <c r="F126" s="4">
        <v>44454</v>
      </c>
      <c r="G126" t="s">
        <v>362</v>
      </c>
      <c r="H126" t="s">
        <v>402</v>
      </c>
      <c r="K126" t="s">
        <v>41</v>
      </c>
      <c r="L126" t="s">
        <v>29</v>
      </c>
      <c r="M126" t="s">
        <v>42</v>
      </c>
      <c r="N126" t="s">
        <v>31</v>
      </c>
      <c r="O126" t="s">
        <v>32</v>
      </c>
      <c r="P126" t="s">
        <v>403</v>
      </c>
      <c r="Q126">
        <v>100</v>
      </c>
      <c r="R126">
        <v>100</v>
      </c>
      <c r="S126" t="s">
        <v>34</v>
      </c>
      <c r="T126" t="s">
        <v>35</v>
      </c>
      <c r="U126" t="s">
        <v>70</v>
      </c>
      <c r="V126" s="4">
        <v>45444</v>
      </c>
      <c r="W126">
        <v>100</v>
      </c>
      <c r="X126">
        <v>100</v>
      </c>
      <c r="Y126">
        <v>100</v>
      </c>
      <c r="Z126">
        <v>100</v>
      </c>
    </row>
    <row r="127" spans="1:26" hidden="1" x14ac:dyDescent="0.25">
      <c r="A127" t="s">
        <v>404</v>
      </c>
      <c r="B127" t="s">
        <v>25</v>
      </c>
      <c r="C127" s="4">
        <v>43171</v>
      </c>
      <c r="E127" s="4">
        <v>44055</v>
      </c>
      <c r="F127" s="4">
        <v>44408</v>
      </c>
      <c r="G127" t="s">
        <v>65</v>
      </c>
      <c r="H127" t="s">
        <v>405</v>
      </c>
      <c r="K127" t="s">
        <v>67</v>
      </c>
      <c r="L127" t="s">
        <v>29</v>
      </c>
      <c r="M127" t="s">
        <v>68</v>
      </c>
      <c r="N127" t="s">
        <v>31</v>
      </c>
      <c r="O127" t="s">
        <v>32</v>
      </c>
      <c r="P127" t="s">
        <v>406</v>
      </c>
      <c r="Q127">
        <v>135</v>
      </c>
      <c r="R127">
        <v>135</v>
      </c>
      <c r="S127" t="s">
        <v>34</v>
      </c>
      <c r="T127" t="s">
        <v>35</v>
      </c>
      <c r="U127" t="s">
        <v>70</v>
      </c>
      <c r="V127" s="4">
        <v>44986</v>
      </c>
      <c r="W127">
        <v>135</v>
      </c>
      <c r="X127">
        <v>135</v>
      </c>
      <c r="Y127">
        <v>135</v>
      </c>
      <c r="Z127">
        <v>135</v>
      </c>
    </row>
    <row r="128" spans="1:26" hidden="1" x14ac:dyDescent="0.25">
      <c r="A128" t="s">
        <v>407</v>
      </c>
      <c r="B128" t="s">
        <v>38</v>
      </c>
      <c r="C128" s="4">
        <v>43171</v>
      </c>
      <c r="D128" s="4">
        <v>43405</v>
      </c>
      <c r="F128" s="4">
        <v>44075</v>
      </c>
      <c r="G128" t="s">
        <v>72</v>
      </c>
      <c r="H128" t="s">
        <v>344</v>
      </c>
      <c r="K128" t="s">
        <v>53</v>
      </c>
      <c r="L128" t="s">
        <v>29</v>
      </c>
      <c r="M128" t="s">
        <v>54</v>
      </c>
      <c r="N128" t="s">
        <v>31</v>
      </c>
      <c r="O128" t="s">
        <v>32</v>
      </c>
      <c r="P128" t="s">
        <v>408</v>
      </c>
      <c r="Q128">
        <v>1.1000000000000001</v>
      </c>
      <c r="R128">
        <v>1.1000000000000001</v>
      </c>
      <c r="S128" t="s">
        <v>56</v>
      </c>
      <c r="T128" t="s">
        <v>57</v>
      </c>
      <c r="U128" t="s">
        <v>44</v>
      </c>
      <c r="W128">
        <v>0</v>
      </c>
      <c r="X128">
        <v>0</v>
      </c>
      <c r="Y128">
        <v>0</v>
      </c>
      <c r="Z128">
        <v>0</v>
      </c>
    </row>
    <row r="129" spans="1:26" hidden="1" x14ac:dyDescent="0.25">
      <c r="A129" t="s">
        <v>409</v>
      </c>
      <c r="B129" t="s">
        <v>38</v>
      </c>
      <c r="C129" s="4">
        <v>43171</v>
      </c>
      <c r="D129" s="4">
        <v>43763</v>
      </c>
      <c r="F129" s="4">
        <v>44198</v>
      </c>
      <c r="G129" t="s">
        <v>26</v>
      </c>
      <c r="H129" t="s">
        <v>410</v>
      </c>
      <c r="K129" t="s">
        <v>28</v>
      </c>
      <c r="L129" t="s">
        <v>29</v>
      </c>
      <c r="M129" t="s">
        <v>30</v>
      </c>
      <c r="N129" t="s">
        <v>31</v>
      </c>
      <c r="O129" t="s">
        <v>32</v>
      </c>
      <c r="P129" t="s">
        <v>411</v>
      </c>
      <c r="Q129">
        <v>49.9</v>
      </c>
      <c r="R129">
        <v>49.9</v>
      </c>
      <c r="S129" t="s">
        <v>34</v>
      </c>
      <c r="T129" t="s">
        <v>35</v>
      </c>
      <c r="U129" t="s">
        <v>44</v>
      </c>
      <c r="W129">
        <v>0</v>
      </c>
      <c r="X129">
        <v>0</v>
      </c>
      <c r="Y129">
        <v>0</v>
      </c>
      <c r="Z129">
        <v>0</v>
      </c>
    </row>
    <row r="130" spans="1:26" hidden="1" x14ac:dyDescent="0.25">
      <c r="A130" t="s">
        <v>412</v>
      </c>
      <c r="B130" t="s">
        <v>38</v>
      </c>
      <c r="C130" s="4">
        <v>43171</v>
      </c>
      <c r="D130" s="4">
        <v>44264</v>
      </c>
      <c r="F130" s="4">
        <v>44198</v>
      </c>
      <c r="G130" t="s">
        <v>362</v>
      </c>
      <c r="H130" t="s">
        <v>413</v>
      </c>
      <c r="K130" t="s">
        <v>41</v>
      </c>
      <c r="L130" t="s">
        <v>29</v>
      </c>
      <c r="M130" t="s">
        <v>42</v>
      </c>
      <c r="N130" t="s">
        <v>31</v>
      </c>
      <c r="O130" t="s">
        <v>32</v>
      </c>
      <c r="P130" t="s">
        <v>414</v>
      </c>
      <c r="Q130">
        <v>150</v>
      </c>
      <c r="R130">
        <v>150</v>
      </c>
      <c r="S130" t="s">
        <v>34</v>
      </c>
      <c r="T130" t="s">
        <v>35</v>
      </c>
      <c r="U130" t="s">
        <v>44</v>
      </c>
      <c r="W130">
        <v>150</v>
      </c>
      <c r="X130">
        <v>150</v>
      </c>
      <c r="Y130">
        <v>0</v>
      </c>
      <c r="Z130">
        <v>0</v>
      </c>
    </row>
    <row r="131" spans="1:26" hidden="1" x14ac:dyDescent="0.25">
      <c r="A131" t="s">
        <v>415</v>
      </c>
      <c r="B131" t="s">
        <v>38</v>
      </c>
      <c r="C131" s="4">
        <v>43171</v>
      </c>
      <c r="D131" s="4">
        <v>43763</v>
      </c>
      <c r="F131" s="4">
        <v>44198</v>
      </c>
      <c r="G131" t="s">
        <v>26</v>
      </c>
      <c r="H131" t="s">
        <v>416</v>
      </c>
      <c r="K131" t="s">
        <v>28</v>
      </c>
      <c r="L131" t="s">
        <v>29</v>
      </c>
      <c r="M131" t="s">
        <v>30</v>
      </c>
      <c r="N131" t="s">
        <v>31</v>
      </c>
      <c r="O131" t="s">
        <v>32</v>
      </c>
      <c r="P131" t="s">
        <v>417</v>
      </c>
      <c r="Q131">
        <v>65</v>
      </c>
      <c r="R131">
        <v>65</v>
      </c>
      <c r="S131" t="s">
        <v>34</v>
      </c>
      <c r="T131" t="s">
        <v>35</v>
      </c>
      <c r="U131" t="s">
        <v>44</v>
      </c>
      <c r="W131">
        <v>0</v>
      </c>
      <c r="X131">
        <v>0</v>
      </c>
      <c r="Y131">
        <v>0</v>
      </c>
      <c r="Z131">
        <v>0</v>
      </c>
    </row>
    <row r="132" spans="1:26" hidden="1" x14ac:dyDescent="0.25">
      <c r="A132" t="s">
        <v>418</v>
      </c>
      <c r="B132" t="s">
        <v>38</v>
      </c>
      <c r="C132" s="4">
        <v>43171</v>
      </c>
      <c r="D132" s="4">
        <v>43706</v>
      </c>
      <c r="F132" s="4">
        <v>45047</v>
      </c>
      <c r="G132" t="s">
        <v>261</v>
      </c>
      <c r="H132" t="s">
        <v>180</v>
      </c>
      <c r="K132" t="s">
        <v>114</v>
      </c>
      <c r="L132" t="s">
        <v>29</v>
      </c>
      <c r="M132" t="s">
        <v>68</v>
      </c>
      <c r="N132" t="s">
        <v>31</v>
      </c>
      <c r="O132" t="s">
        <v>32</v>
      </c>
      <c r="P132" t="s">
        <v>419</v>
      </c>
      <c r="Q132">
        <v>966</v>
      </c>
      <c r="R132">
        <v>1110</v>
      </c>
      <c r="S132" t="s">
        <v>389</v>
      </c>
      <c r="T132" t="s">
        <v>390</v>
      </c>
      <c r="U132" t="s">
        <v>44</v>
      </c>
      <c r="W132">
        <v>0</v>
      </c>
      <c r="X132">
        <v>0</v>
      </c>
      <c r="Y132">
        <v>0</v>
      </c>
      <c r="Z132">
        <v>0</v>
      </c>
    </row>
    <row r="133" spans="1:26" hidden="1" x14ac:dyDescent="0.25">
      <c r="A133" t="s">
        <v>420</v>
      </c>
      <c r="B133" t="s">
        <v>25</v>
      </c>
      <c r="C133" s="4">
        <v>43171</v>
      </c>
      <c r="E133" s="4">
        <v>44363</v>
      </c>
      <c r="F133" s="4">
        <v>45200</v>
      </c>
      <c r="G133" t="s">
        <v>128</v>
      </c>
      <c r="H133" t="s">
        <v>82</v>
      </c>
      <c r="K133" t="s">
        <v>209</v>
      </c>
      <c r="L133" t="s">
        <v>29</v>
      </c>
      <c r="M133" t="s">
        <v>42</v>
      </c>
      <c r="N133" t="s">
        <v>31</v>
      </c>
      <c r="O133" t="s">
        <v>32</v>
      </c>
      <c r="P133" t="s">
        <v>421</v>
      </c>
      <c r="Q133">
        <v>100</v>
      </c>
      <c r="R133">
        <v>100</v>
      </c>
      <c r="S133" t="s">
        <v>34</v>
      </c>
      <c r="T133" t="s">
        <v>35</v>
      </c>
      <c r="U133" t="s">
        <v>70</v>
      </c>
      <c r="V133" s="4">
        <v>45473</v>
      </c>
      <c r="W133">
        <v>100</v>
      </c>
      <c r="X133">
        <v>100</v>
      </c>
      <c r="Y133">
        <v>100</v>
      </c>
      <c r="Z133">
        <v>100</v>
      </c>
    </row>
    <row r="134" spans="1:26" hidden="1" x14ac:dyDescent="0.25">
      <c r="A134" t="s">
        <v>422</v>
      </c>
      <c r="B134" t="s">
        <v>25</v>
      </c>
      <c r="C134" s="4">
        <v>43171</v>
      </c>
      <c r="E134" s="4">
        <v>44599</v>
      </c>
      <c r="F134" s="4">
        <v>44470</v>
      </c>
      <c r="G134" t="s">
        <v>72</v>
      </c>
      <c r="H134" t="s">
        <v>423</v>
      </c>
      <c r="K134" t="s">
        <v>209</v>
      </c>
      <c r="L134" t="s">
        <v>29</v>
      </c>
      <c r="M134" t="s">
        <v>42</v>
      </c>
      <c r="N134" t="s">
        <v>31</v>
      </c>
      <c r="O134" t="s">
        <v>32</v>
      </c>
      <c r="P134" t="s">
        <v>424</v>
      </c>
      <c r="Q134">
        <v>50</v>
      </c>
      <c r="R134">
        <v>50</v>
      </c>
      <c r="S134" t="s">
        <v>34</v>
      </c>
      <c r="T134" t="s">
        <v>35</v>
      </c>
      <c r="U134" t="s">
        <v>70</v>
      </c>
      <c r="V134" s="4">
        <v>45444</v>
      </c>
      <c r="W134">
        <v>50</v>
      </c>
      <c r="X134">
        <v>50</v>
      </c>
      <c r="Y134">
        <v>50</v>
      </c>
      <c r="Z134">
        <v>0</v>
      </c>
    </row>
    <row r="135" spans="1:26" hidden="1" x14ac:dyDescent="0.25">
      <c r="A135" t="s">
        <v>425</v>
      </c>
      <c r="B135" t="s">
        <v>38</v>
      </c>
      <c r="C135" s="4">
        <v>43171</v>
      </c>
      <c r="D135" s="4">
        <v>43374</v>
      </c>
      <c r="F135" s="4">
        <v>44419</v>
      </c>
      <c r="G135" t="s">
        <v>144</v>
      </c>
      <c r="H135" t="s">
        <v>426</v>
      </c>
      <c r="K135" t="s">
        <v>146</v>
      </c>
      <c r="L135" t="s">
        <v>29</v>
      </c>
      <c r="M135" t="s">
        <v>68</v>
      </c>
      <c r="N135" t="s">
        <v>31</v>
      </c>
      <c r="O135" t="s">
        <v>32</v>
      </c>
      <c r="P135" t="s">
        <v>427</v>
      </c>
      <c r="Q135">
        <v>100</v>
      </c>
      <c r="R135">
        <v>100</v>
      </c>
      <c r="S135" t="s">
        <v>34</v>
      </c>
      <c r="T135" t="s">
        <v>35</v>
      </c>
      <c r="U135" t="s">
        <v>44</v>
      </c>
      <c r="W135">
        <v>0</v>
      </c>
      <c r="X135">
        <v>0</v>
      </c>
      <c r="Y135">
        <v>0</v>
      </c>
      <c r="Z135">
        <v>0</v>
      </c>
    </row>
    <row r="136" spans="1:26" hidden="1" x14ac:dyDescent="0.25">
      <c r="A136" t="s">
        <v>428</v>
      </c>
      <c r="B136" t="s">
        <v>38</v>
      </c>
      <c r="C136" s="4">
        <v>43171</v>
      </c>
      <c r="D136" s="4">
        <v>43256</v>
      </c>
      <c r="F136" s="4">
        <v>44419</v>
      </c>
      <c r="G136" t="s">
        <v>65</v>
      </c>
      <c r="H136" t="s">
        <v>429</v>
      </c>
      <c r="K136" t="s">
        <v>67</v>
      </c>
      <c r="L136" t="s">
        <v>29</v>
      </c>
      <c r="M136" t="s">
        <v>68</v>
      </c>
      <c r="N136" t="s">
        <v>31</v>
      </c>
      <c r="O136" t="s">
        <v>32</v>
      </c>
      <c r="P136" t="s">
        <v>430</v>
      </c>
      <c r="Q136">
        <v>100</v>
      </c>
      <c r="R136">
        <v>100</v>
      </c>
      <c r="S136" t="s">
        <v>34</v>
      </c>
      <c r="T136" t="s">
        <v>35</v>
      </c>
      <c r="U136" t="s">
        <v>44</v>
      </c>
      <c r="W136">
        <v>0</v>
      </c>
      <c r="X136">
        <v>0</v>
      </c>
      <c r="Y136">
        <v>0</v>
      </c>
      <c r="Z136">
        <v>0</v>
      </c>
    </row>
    <row r="137" spans="1:26" hidden="1" x14ac:dyDescent="0.25">
      <c r="A137" t="s">
        <v>431</v>
      </c>
      <c r="B137" t="s">
        <v>25</v>
      </c>
      <c r="C137" s="4">
        <v>43171</v>
      </c>
      <c r="E137" s="4">
        <v>44599</v>
      </c>
      <c r="F137" s="4">
        <v>44470</v>
      </c>
      <c r="G137" t="s">
        <v>72</v>
      </c>
      <c r="H137" t="s">
        <v>432</v>
      </c>
      <c r="K137" t="s">
        <v>209</v>
      </c>
      <c r="L137" t="s">
        <v>29</v>
      </c>
      <c r="M137" t="s">
        <v>42</v>
      </c>
      <c r="N137" t="s">
        <v>31</v>
      </c>
      <c r="O137" t="s">
        <v>32</v>
      </c>
      <c r="P137" t="s">
        <v>433</v>
      </c>
      <c r="Q137">
        <v>50</v>
      </c>
      <c r="R137">
        <v>50</v>
      </c>
      <c r="S137" t="s">
        <v>34</v>
      </c>
      <c r="T137" t="s">
        <v>35</v>
      </c>
      <c r="U137" t="s">
        <v>44</v>
      </c>
      <c r="V137" s="4">
        <v>45444</v>
      </c>
      <c r="W137">
        <v>50</v>
      </c>
      <c r="X137">
        <v>50</v>
      </c>
      <c r="Y137">
        <v>50</v>
      </c>
      <c r="Z137">
        <v>50</v>
      </c>
    </row>
    <row r="138" spans="1:26" hidden="1" x14ac:dyDescent="0.25">
      <c r="A138" t="s">
        <v>434</v>
      </c>
      <c r="B138" t="s">
        <v>38</v>
      </c>
      <c r="C138" s="4">
        <v>43171</v>
      </c>
      <c r="D138" s="4">
        <v>43256</v>
      </c>
      <c r="F138" s="4">
        <v>44419</v>
      </c>
      <c r="G138" t="s">
        <v>261</v>
      </c>
      <c r="H138" t="s">
        <v>435</v>
      </c>
      <c r="K138" t="s">
        <v>114</v>
      </c>
      <c r="L138" t="s">
        <v>29</v>
      </c>
      <c r="M138" t="s">
        <v>68</v>
      </c>
      <c r="N138" t="s">
        <v>31</v>
      </c>
      <c r="O138" t="s">
        <v>32</v>
      </c>
      <c r="P138" t="s">
        <v>436</v>
      </c>
      <c r="Q138">
        <v>100</v>
      </c>
      <c r="R138">
        <v>100</v>
      </c>
      <c r="S138" t="s">
        <v>34</v>
      </c>
      <c r="T138" t="s">
        <v>35</v>
      </c>
      <c r="U138" t="s">
        <v>44</v>
      </c>
      <c r="W138">
        <v>0</v>
      </c>
      <c r="X138">
        <v>0</v>
      </c>
      <c r="Y138">
        <v>0</v>
      </c>
      <c r="Z138">
        <v>0</v>
      </c>
    </row>
    <row r="139" spans="1:26" hidden="1" x14ac:dyDescent="0.25">
      <c r="A139" t="s">
        <v>437</v>
      </c>
      <c r="B139" t="s">
        <v>38</v>
      </c>
      <c r="C139" s="4">
        <v>43171</v>
      </c>
      <c r="D139" s="4">
        <v>43705</v>
      </c>
      <c r="F139" s="4">
        <v>44469</v>
      </c>
      <c r="G139" t="s">
        <v>65</v>
      </c>
      <c r="H139" t="s">
        <v>90</v>
      </c>
      <c r="K139" t="s">
        <v>67</v>
      </c>
      <c r="L139" t="s">
        <v>29</v>
      </c>
      <c r="M139" t="s">
        <v>68</v>
      </c>
      <c r="N139" t="s">
        <v>31</v>
      </c>
      <c r="O139" t="s">
        <v>32</v>
      </c>
      <c r="P139" t="s">
        <v>438</v>
      </c>
      <c r="Q139">
        <v>100</v>
      </c>
      <c r="R139">
        <v>100</v>
      </c>
      <c r="S139" t="s">
        <v>34</v>
      </c>
      <c r="T139" t="s">
        <v>35</v>
      </c>
      <c r="U139" t="s">
        <v>44</v>
      </c>
      <c r="W139">
        <v>0</v>
      </c>
      <c r="X139">
        <v>0</v>
      </c>
      <c r="Y139">
        <v>0</v>
      </c>
      <c r="Z139">
        <v>0</v>
      </c>
    </row>
    <row r="140" spans="1:26" hidden="1" x14ac:dyDescent="0.25">
      <c r="A140" t="s">
        <v>439</v>
      </c>
      <c r="B140" t="s">
        <v>38</v>
      </c>
      <c r="C140" s="4">
        <v>43171</v>
      </c>
      <c r="D140" s="4">
        <v>43441</v>
      </c>
      <c r="F140" s="4">
        <v>44097</v>
      </c>
      <c r="G140" t="s">
        <v>26</v>
      </c>
      <c r="H140" t="s">
        <v>440</v>
      </c>
      <c r="K140" t="s">
        <v>53</v>
      </c>
      <c r="L140" t="s">
        <v>29</v>
      </c>
      <c r="M140" t="s">
        <v>30</v>
      </c>
      <c r="N140" t="s">
        <v>31</v>
      </c>
      <c r="O140" t="s">
        <v>32</v>
      </c>
      <c r="P140" t="s">
        <v>441</v>
      </c>
      <c r="Q140">
        <v>70</v>
      </c>
      <c r="R140">
        <v>70</v>
      </c>
      <c r="S140" t="s">
        <v>56</v>
      </c>
      <c r="T140" t="s">
        <v>57</v>
      </c>
      <c r="U140" t="s">
        <v>44</v>
      </c>
      <c r="W140">
        <v>0</v>
      </c>
      <c r="X140">
        <v>0</v>
      </c>
      <c r="Y140">
        <v>0</v>
      </c>
      <c r="Z140">
        <v>0</v>
      </c>
    </row>
    <row r="141" spans="1:26" hidden="1" x14ac:dyDescent="0.25">
      <c r="A141" t="s">
        <v>442</v>
      </c>
      <c r="B141" t="s">
        <v>25</v>
      </c>
      <c r="C141" s="4">
        <v>43171</v>
      </c>
      <c r="F141" s="4">
        <v>44135</v>
      </c>
      <c r="G141" t="s">
        <v>117</v>
      </c>
      <c r="H141" t="s">
        <v>443</v>
      </c>
      <c r="K141" t="s">
        <v>83</v>
      </c>
      <c r="L141" t="s">
        <v>29</v>
      </c>
      <c r="M141" t="s">
        <v>84</v>
      </c>
      <c r="N141" t="s">
        <v>31</v>
      </c>
      <c r="O141" t="s">
        <v>32</v>
      </c>
      <c r="P141" t="s">
        <v>444</v>
      </c>
      <c r="Q141">
        <v>150</v>
      </c>
      <c r="R141">
        <v>150</v>
      </c>
      <c r="S141" t="s">
        <v>34</v>
      </c>
      <c r="T141" t="s">
        <v>35</v>
      </c>
      <c r="U141" t="s">
        <v>36</v>
      </c>
      <c r="V141" s="4">
        <v>45200</v>
      </c>
      <c r="W141">
        <v>150</v>
      </c>
      <c r="X141">
        <v>150</v>
      </c>
      <c r="Y141">
        <v>135</v>
      </c>
      <c r="Z141">
        <v>135</v>
      </c>
    </row>
    <row r="142" spans="1:26" hidden="1" x14ac:dyDescent="0.25">
      <c r="A142" t="s">
        <v>445</v>
      </c>
      <c r="B142" t="s">
        <v>38</v>
      </c>
      <c r="C142" s="4">
        <v>43171</v>
      </c>
      <c r="D142" s="4">
        <v>44264</v>
      </c>
      <c r="F142" s="4">
        <v>44044</v>
      </c>
      <c r="G142" t="s">
        <v>446</v>
      </c>
      <c r="H142" t="s">
        <v>447</v>
      </c>
      <c r="K142" t="s">
        <v>41</v>
      </c>
      <c r="L142" t="s">
        <v>29</v>
      </c>
      <c r="M142" t="s">
        <v>42</v>
      </c>
      <c r="N142" t="s">
        <v>31</v>
      </c>
      <c r="O142" t="s">
        <v>32</v>
      </c>
      <c r="P142" t="s">
        <v>448</v>
      </c>
      <c r="Q142">
        <v>80</v>
      </c>
      <c r="R142">
        <v>80</v>
      </c>
      <c r="S142" t="s">
        <v>34</v>
      </c>
      <c r="T142" t="s">
        <v>35</v>
      </c>
      <c r="U142" t="s">
        <v>44</v>
      </c>
      <c r="W142">
        <v>80</v>
      </c>
      <c r="X142">
        <v>80</v>
      </c>
      <c r="Y142">
        <v>0</v>
      </c>
      <c r="Z142">
        <v>0</v>
      </c>
    </row>
    <row r="143" spans="1:26" hidden="1" x14ac:dyDescent="0.25">
      <c r="A143" t="s">
        <v>449</v>
      </c>
      <c r="B143" t="s">
        <v>38</v>
      </c>
      <c r="C143" s="4">
        <v>43171</v>
      </c>
      <c r="D143" s="4">
        <v>43350</v>
      </c>
      <c r="F143" s="4">
        <v>43739</v>
      </c>
      <c r="G143" t="s">
        <v>52</v>
      </c>
      <c r="H143" t="s">
        <v>450</v>
      </c>
      <c r="K143" t="s">
        <v>53</v>
      </c>
      <c r="L143" t="s">
        <v>29</v>
      </c>
      <c r="M143" t="s">
        <v>54</v>
      </c>
      <c r="N143" t="s">
        <v>31</v>
      </c>
      <c r="O143" t="s">
        <v>32</v>
      </c>
      <c r="P143" t="s">
        <v>451</v>
      </c>
      <c r="Q143">
        <v>17</v>
      </c>
      <c r="R143">
        <v>17</v>
      </c>
      <c r="S143" t="s">
        <v>389</v>
      </c>
      <c r="T143" t="s">
        <v>390</v>
      </c>
      <c r="U143" t="s">
        <v>44</v>
      </c>
      <c r="W143">
        <v>0</v>
      </c>
      <c r="X143">
        <v>0</v>
      </c>
      <c r="Y143">
        <v>0</v>
      </c>
      <c r="Z143">
        <v>0</v>
      </c>
    </row>
    <row r="144" spans="1:26" hidden="1" x14ac:dyDescent="0.25">
      <c r="A144" t="s">
        <v>452</v>
      </c>
      <c r="B144" t="s">
        <v>25</v>
      </c>
      <c r="C144" s="4">
        <v>43171</v>
      </c>
      <c r="E144" s="4">
        <v>44022</v>
      </c>
      <c r="F144" s="4">
        <v>43983</v>
      </c>
      <c r="G144" t="s">
        <v>144</v>
      </c>
      <c r="H144" t="s">
        <v>278</v>
      </c>
      <c r="K144" t="s">
        <v>146</v>
      </c>
      <c r="L144" t="s">
        <v>29</v>
      </c>
      <c r="M144" t="s">
        <v>68</v>
      </c>
      <c r="N144" t="s">
        <v>31</v>
      </c>
      <c r="O144" t="s">
        <v>32</v>
      </c>
      <c r="P144" t="s">
        <v>453</v>
      </c>
      <c r="Q144">
        <v>20</v>
      </c>
      <c r="R144">
        <v>20</v>
      </c>
      <c r="S144" t="s">
        <v>34</v>
      </c>
      <c r="T144" t="s">
        <v>35</v>
      </c>
      <c r="U144" t="s">
        <v>454</v>
      </c>
      <c r="V144" s="4">
        <v>44013</v>
      </c>
      <c r="W144">
        <v>20</v>
      </c>
      <c r="X144">
        <v>20</v>
      </c>
      <c r="Y144">
        <v>20</v>
      </c>
      <c r="Z144">
        <v>20</v>
      </c>
    </row>
    <row r="145" spans="1:26" hidden="1" x14ac:dyDescent="0.25">
      <c r="A145" t="s">
        <v>455</v>
      </c>
      <c r="B145" t="s">
        <v>38</v>
      </c>
      <c r="C145" s="4">
        <v>43171</v>
      </c>
      <c r="D145" s="4">
        <v>43915</v>
      </c>
      <c r="F145" s="4">
        <v>44044</v>
      </c>
      <c r="G145" t="s">
        <v>446</v>
      </c>
      <c r="H145" t="s">
        <v>456</v>
      </c>
      <c r="K145" t="s">
        <v>41</v>
      </c>
      <c r="L145" t="s">
        <v>29</v>
      </c>
      <c r="M145" t="s">
        <v>42</v>
      </c>
      <c r="N145" t="s">
        <v>31</v>
      </c>
      <c r="O145" t="s">
        <v>32</v>
      </c>
      <c r="P145" t="s">
        <v>457</v>
      </c>
      <c r="Q145">
        <v>100</v>
      </c>
      <c r="R145">
        <v>100</v>
      </c>
      <c r="S145" t="s">
        <v>34</v>
      </c>
      <c r="T145" t="s">
        <v>35</v>
      </c>
      <c r="U145" t="s">
        <v>44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458</v>
      </c>
      <c r="B146" t="s">
        <v>25</v>
      </c>
      <c r="C146" s="4">
        <v>43171</v>
      </c>
      <c r="E146" s="4">
        <v>44084</v>
      </c>
      <c r="F146" s="4">
        <v>44440</v>
      </c>
      <c r="G146" t="s">
        <v>112</v>
      </c>
      <c r="H146" t="s">
        <v>7651</v>
      </c>
      <c r="I146" t="s">
        <v>725</v>
      </c>
      <c r="K146" t="s">
        <v>114</v>
      </c>
      <c r="L146" t="s">
        <v>29</v>
      </c>
      <c r="M146" t="s">
        <v>68</v>
      </c>
      <c r="N146" t="s">
        <v>31</v>
      </c>
      <c r="O146" t="s">
        <v>32</v>
      </c>
      <c r="P146" t="s">
        <v>459</v>
      </c>
      <c r="Q146">
        <v>96</v>
      </c>
      <c r="R146">
        <v>96</v>
      </c>
      <c r="S146" t="s">
        <v>34</v>
      </c>
      <c r="T146" t="s">
        <v>35</v>
      </c>
      <c r="U146" t="s">
        <v>70</v>
      </c>
      <c r="V146" s="4">
        <v>44713</v>
      </c>
      <c r="W146">
        <v>96</v>
      </c>
      <c r="X146">
        <v>96</v>
      </c>
      <c r="Y146">
        <v>96</v>
      </c>
      <c r="Z146">
        <v>96</v>
      </c>
    </row>
    <row r="147" spans="1:26" hidden="1" x14ac:dyDescent="0.25">
      <c r="A147" t="s">
        <v>460</v>
      </c>
      <c r="B147" t="s">
        <v>25</v>
      </c>
      <c r="C147" s="4">
        <v>43171</v>
      </c>
      <c r="E147" s="4">
        <v>44651</v>
      </c>
      <c r="F147" s="4">
        <v>44287</v>
      </c>
      <c r="G147" t="s">
        <v>107</v>
      </c>
      <c r="H147" t="s">
        <v>461</v>
      </c>
      <c r="K147" t="s">
        <v>109</v>
      </c>
      <c r="L147" t="s">
        <v>29</v>
      </c>
      <c r="M147" t="s">
        <v>84</v>
      </c>
      <c r="N147" t="s">
        <v>31</v>
      </c>
      <c r="O147" t="s">
        <v>32</v>
      </c>
      <c r="P147" t="s">
        <v>462</v>
      </c>
      <c r="Q147">
        <v>250</v>
      </c>
      <c r="R147">
        <v>250</v>
      </c>
      <c r="S147" t="s">
        <v>34</v>
      </c>
      <c r="T147" t="s">
        <v>35</v>
      </c>
      <c r="U147" t="s">
        <v>44</v>
      </c>
      <c r="V147" s="4">
        <v>45444</v>
      </c>
      <c r="W147">
        <v>250</v>
      </c>
      <c r="X147">
        <v>250</v>
      </c>
      <c r="Y147">
        <v>250</v>
      </c>
      <c r="Z147">
        <v>250</v>
      </c>
    </row>
    <row r="148" spans="1:26" hidden="1" x14ac:dyDescent="0.25">
      <c r="A148" t="s">
        <v>463</v>
      </c>
      <c r="B148" t="s">
        <v>25</v>
      </c>
      <c r="C148" s="4">
        <v>43171</v>
      </c>
      <c r="E148" s="4">
        <v>44055</v>
      </c>
      <c r="F148" s="4">
        <v>43469</v>
      </c>
      <c r="G148" t="s">
        <v>65</v>
      </c>
      <c r="H148" t="s">
        <v>125</v>
      </c>
      <c r="K148" t="s">
        <v>67</v>
      </c>
      <c r="L148" t="s">
        <v>29</v>
      </c>
      <c r="M148" t="s">
        <v>68</v>
      </c>
      <c r="N148" t="s">
        <v>31</v>
      </c>
      <c r="O148" t="s">
        <v>32</v>
      </c>
      <c r="P148" t="s">
        <v>282</v>
      </c>
      <c r="Q148">
        <v>10</v>
      </c>
      <c r="R148">
        <v>10</v>
      </c>
      <c r="S148" t="s">
        <v>464</v>
      </c>
      <c r="T148" t="s">
        <v>390</v>
      </c>
      <c r="U148" t="s">
        <v>36</v>
      </c>
      <c r="V148" s="4">
        <v>44114</v>
      </c>
      <c r="W148">
        <v>10</v>
      </c>
      <c r="X148">
        <v>10</v>
      </c>
      <c r="Y148">
        <v>10</v>
      </c>
      <c r="Z148">
        <v>10</v>
      </c>
    </row>
    <row r="149" spans="1:26" hidden="1" x14ac:dyDescent="0.25">
      <c r="A149" t="s">
        <v>465</v>
      </c>
      <c r="B149" t="s">
        <v>38</v>
      </c>
      <c r="C149" s="4">
        <v>43171</v>
      </c>
      <c r="D149" s="4">
        <v>43854</v>
      </c>
      <c r="F149" s="4">
        <v>44469</v>
      </c>
      <c r="G149" t="s">
        <v>65</v>
      </c>
      <c r="H149" t="s">
        <v>236</v>
      </c>
      <c r="K149" t="s">
        <v>67</v>
      </c>
      <c r="L149" t="s">
        <v>29</v>
      </c>
      <c r="M149" t="s">
        <v>68</v>
      </c>
      <c r="N149" t="s">
        <v>31</v>
      </c>
      <c r="O149" t="s">
        <v>122</v>
      </c>
      <c r="P149" t="s">
        <v>466</v>
      </c>
      <c r="Q149">
        <v>100</v>
      </c>
      <c r="R149">
        <v>100</v>
      </c>
      <c r="S149" t="s">
        <v>34</v>
      </c>
      <c r="T149" t="s">
        <v>35</v>
      </c>
      <c r="U149" t="s">
        <v>44</v>
      </c>
      <c r="W149">
        <v>100</v>
      </c>
      <c r="X149">
        <v>0</v>
      </c>
      <c r="Y149">
        <v>0</v>
      </c>
      <c r="Z149">
        <v>0</v>
      </c>
    </row>
    <row r="150" spans="1:26" hidden="1" x14ac:dyDescent="0.25">
      <c r="A150" t="s">
        <v>467</v>
      </c>
      <c r="B150" t="s">
        <v>38</v>
      </c>
      <c r="C150" s="4">
        <v>43171</v>
      </c>
      <c r="D150" s="4">
        <v>43837</v>
      </c>
      <c r="F150" s="4">
        <v>44713</v>
      </c>
      <c r="G150" t="s">
        <v>96</v>
      </c>
      <c r="H150" t="s">
        <v>468</v>
      </c>
      <c r="K150" t="s">
        <v>98</v>
      </c>
      <c r="L150" t="s">
        <v>29</v>
      </c>
      <c r="M150" t="s">
        <v>84</v>
      </c>
      <c r="N150" t="s">
        <v>31</v>
      </c>
      <c r="O150" t="s">
        <v>32</v>
      </c>
      <c r="P150" t="s">
        <v>469</v>
      </c>
      <c r="Q150">
        <v>54</v>
      </c>
      <c r="R150">
        <v>54</v>
      </c>
      <c r="S150" t="s">
        <v>389</v>
      </c>
      <c r="T150" t="s">
        <v>390</v>
      </c>
      <c r="U150" t="s">
        <v>44</v>
      </c>
      <c r="W150">
        <v>0</v>
      </c>
      <c r="X150">
        <v>0</v>
      </c>
      <c r="Y150">
        <v>0</v>
      </c>
      <c r="Z150">
        <v>0</v>
      </c>
    </row>
    <row r="151" spans="1:26" hidden="1" x14ac:dyDescent="0.25">
      <c r="A151" t="s">
        <v>470</v>
      </c>
      <c r="B151" t="s">
        <v>38</v>
      </c>
      <c r="C151" s="4">
        <v>43171</v>
      </c>
      <c r="D151" s="4">
        <v>43915</v>
      </c>
      <c r="F151" s="4">
        <v>44515</v>
      </c>
      <c r="G151" t="s">
        <v>39</v>
      </c>
      <c r="H151" t="s">
        <v>471</v>
      </c>
      <c r="K151" t="s">
        <v>41</v>
      </c>
      <c r="L151" t="s">
        <v>29</v>
      </c>
      <c r="M151" t="s">
        <v>42</v>
      </c>
      <c r="N151" t="s">
        <v>31</v>
      </c>
      <c r="O151" t="s">
        <v>32</v>
      </c>
      <c r="P151" t="s">
        <v>472</v>
      </c>
      <c r="Q151">
        <v>200</v>
      </c>
      <c r="R151">
        <v>200</v>
      </c>
      <c r="S151" t="s">
        <v>34</v>
      </c>
      <c r="T151" t="s">
        <v>35</v>
      </c>
      <c r="U151" t="s">
        <v>44</v>
      </c>
      <c r="W151">
        <v>0</v>
      </c>
      <c r="X151">
        <v>0</v>
      </c>
      <c r="Y151">
        <v>0</v>
      </c>
      <c r="Z151">
        <v>0</v>
      </c>
    </row>
    <row r="152" spans="1:26" hidden="1" x14ac:dyDescent="0.25">
      <c r="A152" t="s">
        <v>473</v>
      </c>
      <c r="B152" t="s">
        <v>38</v>
      </c>
      <c r="C152" s="4">
        <v>43171</v>
      </c>
      <c r="D152" s="4">
        <v>43322</v>
      </c>
      <c r="F152" s="4">
        <v>44104</v>
      </c>
      <c r="G152" t="s">
        <v>101</v>
      </c>
      <c r="H152" t="s">
        <v>104</v>
      </c>
      <c r="K152" t="s">
        <v>98</v>
      </c>
      <c r="L152" t="s">
        <v>29</v>
      </c>
      <c r="M152" t="s">
        <v>84</v>
      </c>
      <c r="N152" t="s">
        <v>31</v>
      </c>
      <c r="O152" t="s">
        <v>32</v>
      </c>
      <c r="P152" t="s">
        <v>474</v>
      </c>
      <c r="Q152">
        <v>30</v>
      </c>
      <c r="R152">
        <v>30</v>
      </c>
      <c r="S152" t="s">
        <v>56</v>
      </c>
      <c r="T152" t="s">
        <v>57</v>
      </c>
      <c r="U152" t="s">
        <v>44</v>
      </c>
      <c r="W152">
        <v>0</v>
      </c>
      <c r="X152">
        <v>0</v>
      </c>
      <c r="Y152">
        <v>0</v>
      </c>
      <c r="Z152">
        <v>0</v>
      </c>
    </row>
    <row r="153" spans="1:26" hidden="1" x14ac:dyDescent="0.25">
      <c r="A153" t="s">
        <v>475</v>
      </c>
      <c r="B153" t="s">
        <v>38</v>
      </c>
      <c r="C153" s="4">
        <v>43171</v>
      </c>
      <c r="D153" s="4">
        <v>43706</v>
      </c>
      <c r="F153" s="4">
        <v>44075</v>
      </c>
      <c r="G153" t="s">
        <v>144</v>
      </c>
      <c r="H153" t="s">
        <v>476</v>
      </c>
      <c r="K153" t="s">
        <v>146</v>
      </c>
      <c r="L153" t="s">
        <v>29</v>
      </c>
      <c r="M153" t="s">
        <v>68</v>
      </c>
      <c r="N153" t="s">
        <v>31</v>
      </c>
      <c r="O153" t="s">
        <v>32</v>
      </c>
      <c r="P153" t="s">
        <v>477</v>
      </c>
      <c r="Q153">
        <v>219</v>
      </c>
      <c r="R153">
        <v>252</v>
      </c>
      <c r="S153" t="s">
        <v>389</v>
      </c>
      <c r="T153" t="s">
        <v>390</v>
      </c>
      <c r="U153" t="s">
        <v>44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478</v>
      </c>
      <c r="B154" t="s">
        <v>38</v>
      </c>
      <c r="C154" s="4">
        <v>43171</v>
      </c>
      <c r="D154" s="4">
        <v>44761</v>
      </c>
      <c r="F154" s="4">
        <v>44287</v>
      </c>
      <c r="G154" t="s">
        <v>101</v>
      </c>
      <c r="H154" t="s">
        <v>381</v>
      </c>
      <c r="I154" t="s">
        <v>6806</v>
      </c>
      <c r="K154" t="s">
        <v>98</v>
      </c>
      <c r="L154" t="s">
        <v>29</v>
      </c>
      <c r="M154" t="s">
        <v>84</v>
      </c>
      <c r="N154" t="s">
        <v>31</v>
      </c>
      <c r="O154" t="s">
        <v>32</v>
      </c>
      <c r="P154" t="s">
        <v>479</v>
      </c>
      <c r="Q154">
        <v>200</v>
      </c>
      <c r="R154">
        <v>200</v>
      </c>
      <c r="S154" t="s">
        <v>34</v>
      </c>
      <c r="T154" t="s">
        <v>35</v>
      </c>
      <c r="U154" t="s">
        <v>44</v>
      </c>
      <c r="W154">
        <v>200</v>
      </c>
      <c r="X154">
        <v>200</v>
      </c>
      <c r="Y154">
        <v>200</v>
      </c>
      <c r="Z154">
        <v>200</v>
      </c>
    </row>
    <row r="155" spans="1:26" hidden="1" x14ac:dyDescent="0.25">
      <c r="A155" t="s">
        <v>480</v>
      </c>
      <c r="B155" t="s">
        <v>25</v>
      </c>
      <c r="C155" s="4">
        <v>43171</v>
      </c>
      <c r="E155" s="4">
        <v>44335</v>
      </c>
      <c r="F155" s="4">
        <v>44287</v>
      </c>
      <c r="G155" t="s">
        <v>26</v>
      </c>
      <c r="H155" t="s">
        <v>481</v>
      </c>
      <c r="K155" t="s">
        <v>28</v>
      </c>
      <c r="L155" t="s">
        <v>29</v>
      </c>
      <c r="M155" t="s">
        <v>30</v>
      </c>
      <c r="N155" t="s">
        <v>31</v>
      </c>
      <c r="O155" t="s">
        <v>32</v>
      </c>
      <c r="P155" t="s">
        <v>482</v>
      </c>
      <c r="Q155">
        <v>150</v>
      </c>
      <c r="R155">
        <v>150</v>
      </c>
      <c r="S155" t="s">
        <v>34</v>
      </c>
      <c r="T155" t="s">
        <v>35</v>
      </c>
      <c r="U155" t="s">
        <v>36</v>
      </c>
      <c r="V155" s="4">
        <v>44713</v>
      </c>
      <c r="W155">
        <v>150</v>
      </c>
      <c r="X155">
        <v>150</v>
      </c>
      <c r="Y155">
        <v>150</v>
      </c>
      <c r="Z155">
        <v>150</v>
      </c>
    </row>
    <row r="156" spans="1:26" hidden="1" x14ac:dyDescent="0.25">
      <c r="A156" t="s">
        <v>483</v>
      </c>
      <c r="B156" t="s">
        <v>25</v>
      </c>
      <c r="C156" s="4">
        <v>43171</v>
      </c>
      <c r="E156" s="4">
        <v>44335</v>
      </c>
      <c r="F156" s="4">
        <v>44287</v>
      </c>
      <c r="G156" t="s">
        <v>26</v>
      </c>
      <c r="H156" t="s">
        <v>212</v>
      </c>
      <c r="K156" t="s">
        <v>28</v>
      </c>
      <c r="L156" t="s">
        <v>29</v>
      </c>
      <c r="M156" t="s">
        <v>30</v>
      </c>
      <c r="N156" t="s">
        <v>31</v>
      </c>
      <c r="O156" t="s">
        <v>32</v>
      </c>
      <c r="P156" t="s">
        <v>484</v>
      </c>
      <c r="Q156">
        <v>75</v>
      </c>
      <c r="R156">
        <v>75</v>
      </c>
      <c r="S156" t="s">
        <v>34</v>
      </c>
      <c r="T156" t="s">
        <v>35</v>
      </c>
      <c r="U156" t="s">
        <v>70</v>
      </c>
      <c r="V156" s="4">
        <v>45061</v>
      </c>
      <c r="W156">
        <v>75</v>
      </c>
      <c r="X156">
        <v>75</v>
      </c>
      <c r="Y156">
        <v>75</v>
      </c>
      <c r="Z156">
        <v>75</v>
      </c>
    </row>
    <row r="157" spans="1:26" hidden="1" x14ac:dyDescent="0.25">
      <c r="A157" t="s">
        <v>485</v>
      </c>
      <c r="B157" t="s">
        <v>25</v>
      </c>
      <c r="C157" s="4">
        <v>43171</v>
      </c>
      <c r="E157" s="4">
        <v>44055</v>
      </c>
      <c r="F157" s="4">
        <v>43983</v>
      </c>
      <c r="G157" t="s">
        <v>65</v>
      </c>
      <c r="H157" t="s">
        <v>125</v>
      </c>
      <c r="K157" t="s">
        <v>67</v>
      </c>
      <c r="L157" t="s">
        <v>29</v>
      </c>
      <c r="M157" t="s">
        <v>68</v>
      </c>
      <c r="N157" t="s">
        <v>31</v>
      </c>
      <c r="O157" t="s">
        <v>32</v>
      </c>
      <c r="P157" t="s">
        <v>486</v>
      </c>
      <c r="Q157">
        <v>150</v>
      </c>
      <c r="R157">
        <v>150</v>
      </c>
      <c r="S157" t="s">
        <v>34</v>
      </c>
      <c r="T157" t="s">
        <v>35</v>
      </c>
      <c r="U157" t="s">
        <v>70</v>
      </c>
      <c r="V157" s="4">
        <v>44805</v>
      </c>
      <c r="W157">
        <v>150</v>
      </c>
      <c r="X157">
        <v>150</v>
      </c>
      <c r="Y157">
        <v>150</v>
      </c>
      <c r="Z157">
        <v>150</v>
      </c>
    </row>
    <row r="158" spans="1:26" hidden="1" x14ac:dyDescent="0.25">
      <c r="A158" t="s">
        <v>487</v>
      </c>
      <c r="B158" t="s">
        <v>38</v>
      </c>
      <c r="C158" s="4">
        <v>43171</v>
      </c>
      <c r="D158" s="4">
        <v>43705</v>
      </c>
      <c r="F158" s="4">
        <v>43983</v>
      </c>
      <c r="G158" t="s">
        <v>65</v>
      </c>
      <c r="H158" t="s">
        <v>66</v>
      </c>
      <c r="K158" t="s">
        <v>67</v>
      </c>
      <c r="L158" t="s">
        <v>29</v>
      </c>
      <c r="M158" t="s">
        <v>68</v>
      </c>
      <c r="N158" t="s">
        <v>31</v>
      </c>
      <c r="O158" t="s">
        <v>32</v>
      </c>
      <c r="P158" t="s">
        <v>488</v>
      </c>
      <c r="Q158">
        <v>150</v>
      </c>
      <c r="R158">
        <v>150</v>
      </c>
      <c r="S158" t="s">
        <v>34</v>
      </c>
      <c r="T158" t="s">
        <v>35</v>
      </c>
      <c r="U158" t="s">
        <v>44</v>
      </c>
      <c r="W158">
        <v>0</v>
      </c>
      <c r="X158">
        <v>0</v>
      </c>
      <c r="Y158">
        <v>0</v>
      </c>
      <c r="Z158">
        <v>0</v>
      </c>
    </row>
    <row r="159" spans="1:26" hidden="1" x14ac:dyDescent="0.25">
      <c r="A159" t="s">
        <v>489</v>
      </c>
      <c r="B159" t="s">
        <v>38</v>
      </c>
      <c r="C159" s="4">
        <v>43171</v>
      </c>
      <c r="D159" s="4">
        <v>43705</v>
      </c>
      <c r="F159" s="4">
        <v>43983</v>
      </c>
      <c r="G159" t="s">
        <v>261</v>
      </c>
      <c r="H159" t="s">
        <v>435</v>
      </c>
      <c r="K159" t="s">
        <v>114</v>
      </c>
      <c r="L159" t="s">
        <v>29</v>
      </c>
      <c r="M159" t="s">
        <v>68</v>
      </c>
      <c r="N159" t="s">
        <v>31</v>
      </c>
      <c r="O159" t="s">
        <v>32</v>
      </c>
      <c r="P159" t="s">
        <v>490</v>
      </c>
      <c r="Q159">
        <v>100</v>
      </c>
      <c r="R159">
        <v>100</v>
      </c>
      <c r="S159" t="s">
        <v>34</v>
      </c>
      <c r="T159" t="s">
        <v>35</v>
      </c>
      <c r="U159" t="s">
        <v>44</v>
      </c>
      <c r="W159">
        <v>0</v>
      </c>
      <c r="X159">
        <v>0</v>
      </c>
      <c r="Y159">
        <v>0</v>
      </c>
      <c r="Z159">
        <v>0</v>
      </c>
    </row>
    <row r="160" spans="1:26" hidden="1" x14ac:dyDescent="0.25">
      <c r="A160" t="s">
        <v>491</v>
      </c>
      <c r="B160" t="s">
        <v>25</v>
      </c>
      <c r="C160" s="4">
        <v>43171</v>
      </c>
      <c r="E160" s="4">
        <v>44172</v>
      </c>
      <c r="F160" s="4">
        <v>43983</v>
      </c>
      <c r="G160" t="s">
        <v>144</v>
      </c>
      <c r="H160" t="s">
        <v>278</v>
      </c>
      <c r="K160" t="s">
        <v>146</v>
      </c>
      <c r="L160" t="s">
        <v>29</v>
      </c>
      <c r="M160" t="s">
        <v>68</v>
      </c>
      <c r="N160" t="s">
        <v>31</v>
      </c>
      <c r="O160" t="s">
        <v>32</v>
      </c>
      <c r="P160" t="s">
        <v>492</v>
      </c>
      <c r="Q160">
        <v>70</v>
      </c>
      <c r="R160">
        <v>70</v>
      </c>
      <c r="S160" t="s">
        <v>34</v>
      </c>
      <c r="T160" t="s">
        <v>35</v>
      </c>
      <c r="U160" t="s">
        <v>70</v>
      </c>
      <c r="V160" s="4">
        <v>44896</v>
      </c>
      <c r="W160">
        <v>70</v>
      </c>
      <c r="X160">
        <v>70</v>
      </c>
      <c r="Y160">
        <v>70</v>
      </c>
      <c r="Z160">
        <v>70</v>
      </c>
    </row>
    <row r="161" spans="1:26" hidden="1" x14ac:dyDescent="0.25">
      <c r="A161" t="s">
        <v>493</v>
      </c>
      <c r="B161" t="s">
        <v>38</v>
      </c>
      <c r="C161" s="4">
        <v>43171</v>
      </c>
      <c r="D161" s="4">
        <v>43705</v>
      </c>
      <c r="F161" s="4">
        <v>43983</v>
      </c>
      <c r="G161" t="s">
        <v>149</v>
      </c>
      <c r="H161" t="s">
        <v>494</v>
      </c>
      <c r="K161" t="s">
        <v>151</v>
      </c>
      <c r="L161" t="s">
        <v>29</v>
      </c>
      <c r="M161" t="s">
        <v>68</v>
      </c>
      <c r="N161" t="s">
        <v>31</v>
      </c>
      <c r="O161" t="s">
        <v>32</v>
      </c>
      <c r="P161" t="s">
        <v>495</v>
      </c>
      <c r="Q161">
        <v>100</v>
      </c>
      <c r="R161">
        <v>100</v>
      </c>
      <c r="S161" t="s">
        <v>34</v>
      </c>
      <c r="T161" t="s">
        <v>35</v>
      </c>
      <c r="U161" t="s">
        <v>44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496</v>
      </c>
      <c r="B162" t="s">
        <v>38</v>
      </c>
      <c r="C162" s="4">
        <v>43171</v>
      </c>
      <c r="D162" s="4">
        <v>43496</v>
      </c>
      <c r="F162" s="4">
        <v>44470</v>
      </c>
      <c r="G162" t="s">
        <v>26</v>
      </c>
      <c r="H162" t="s">
        <v>7652</v>
      </c>
      <c r="I162" t="s">
        <v>7171</v>
      </c>
      <c r="K162" t="s">
        <v>28</v>
      </c>
      <c r="L162" t="s">
        <v>29</v>
      </c>
      <c r="M162" t="s">
        <v>30</v>
      </c>
      <c r="N162" t="s">
        <v>31</v>
      </c>
      <c r="O162" t="s">
        <v>32</v>
      </c>
      <c r="P162" t="s">
        <v>497</v>
      </c>
      <c r="Q162">
        <v>100.23</v>
      </c>
      <c r="R162">
        <v>100.23</v>
      </c>
      <c r="S162" t="s">
        <v>34</v>
      </c>
      <c r="T162" t="s">
        <v>35</v>
      </c>
      <c r="U162" t="s">
        <v>44</v>
      </c>
      <c r="W162">
        <v>0</v>
      </c>
      <c r="X162">
        <v>0</v>
      </c>
      <c r="Y162">
        <v>0</v>
      </c>
      <c r="Z162">
        <v>0</v>
      </c>
    </row>
    <row r="163" spans="1:26" hidden="1" x14ac:dyDescent="0.25">
      <c r="A163" t="s">
        <v>498</v>
      </c>
      <c r="B163" t="s">
        <v>38</v>
      </c>
      <c r="C163" s="4">
        <v>43171</v>
      </c>
      <c r="D163" s="4">
        <v>43837</v>
      </c>
      <c r="F163" s="4">
        <v>44470</v>
      </c>
      <c r="G163" t="s">
        <v>107</v>
      </c>
      <c r="H163" t="s">
        <v>82</v>
      </c>
      <c r="K163" t="s">
        <v>109</v>
      </c>
      <c r="L163" t="s">
        <v>29</v>
      </c>
      <c r="M163" t="s">
        <v>84</v>
      </c>
      <c r="N163" t="s">
        <v>31</v>
      </c>
      <c r="O163" t="s">
        <v>32</v>
      </c>
      <c r="P163" t="s">
        <v>303</v>
      </c>
      <c r="Q163">
        <v>100.23</v>
      </c>
      <c r="R163">
        <v>100.23</v>
      </c>
      <c r="S163" t="s">
        <v>34</v>
      </c>
      <c r="T163" t="s">
        <v>35</v>
      </c>
      <c r="U163" t="s">
        <v>44</v>
      </c>
      <c r="W163">
        <v>0</v>
      </c>
      <c r="X163">
        <v>0</v>
      </c>
      <c r="Y163">
        <v>0</v>
      </c>
      <c r="Z163">
        <v>0</v>
      </c>
    </row>
    <row r="164" spans="1:26" hidden="1" x14ac:dyDescent="0.25">
      <c r="A164" t="s">
        <v>499</v>
      </c>
      <c r="B164" t="s">
        <v>38</v>
      </c>
      <c r="C164" s="4">
        <v>43171</v>
      </c>
      <c r="D164" s="4">
        <v>43705</v>
      </c>
      <c r="F164" s="4">
        <v>43983</v>
      </c>
      <c r="G164" t="s">
        <v>149</v>
      </c>
      <c r="H164" t="s">
        <v>212</v>
      </c>
      <c r="K164" t="s">
        <v>151</v>
      </c>
      <c r="L164" t="s">
        <v>29</v>
      </c>
      <c r="M164" t="s">
        <v>68</v>
      </c>
      <c r="N164" t="s">
        <v>31</v>
      </c>
      <c r="O164" t="s">
        <v>32</v>
      </c>
      <c r="P164" t="s">
        <v>500</v>
      </c>
      <c r="Q164">
        <v>80</v>
      </c>
      <c r="R164">
        <v>80</v>
      </c>
      <c r="S164" t="s">
        <v>34</v>
      </c>
      <c r="T164" t="s">
        <v>35</v>
      </c>
      <c r="U164" t="s">
        <v>44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501</v>
      </c>
      <c r="B165" t="s">
        <v>38</v>
      </c>
      <c r="C165" s="4">
        <v>43171</v>
      </c>
      <c r="D165" s="4">
        <v>43705</v>
      </c>
      <c r="F165" s="4">
        <v>43983</v>
      </c>
      <c r="G165" t="s">
        <v>261</v>
      </c>
      <c r="H165" t="s">
        <v>7653</v>
      </c>
      <c r="I165" t="s">
        <v>812</v>
      </c>
      <c r="K165" t="s">
        <v>114</v>
      </c>
      <c r="L165" t="s">
        <v>29</v>
      </c>
      <c r="M165" t="s">
        <v>68</v>
      </c>
      <c r="N165" t="s">
        <v>31</v>
      </c>
      <c r="O165" t="s">
        <v>32</v>
      </c>
      <c r="P165" t="s">
        <v>502</v>
      </c>
      <c r="Q165">
        <v>120</v>
      </c>
      <c r="R165">
        <v>120</v>
      </c>
      <c r="S165" t="s">
        <v>34</v>
      </c>
      <c r="T165" t="s">
        <v>35</v>
      </c>
      <c r="U165" t="s">
        <v>44</v>
      </c>
      <c r="W165">
        <v>0</v>
      </c>
      <c r="X165">
        <v>0</v>
      </c>
      <c r="Y165">
        <v>0</v>
      </c>
      <c r="Z165">
        <v>0</v>
      </c>
    </row>
    <row r="166" spans="1:26" hidden="1" x14ac:dyDescent="0.25">
      <c r="A166" t="s">
        <v>503</v>
      </c>
      <c r="B166" t="s">
        <v>25</v>
      </c>
      <c r="C166" s="4">
        <v>43171</v>
      </c>
      <c r="E166" s="4">
        <v>44657</v>
      </c>
      <c r="F166" s="4">
        <v>44409</v>
      </c>
      <c r="G166" t="s">
        <v>72</v>
      </c>
      <c r="H166" t="s">
        <v>416</v>
      </c>
      <c r="K166" t="s">
        <v>41</v>
      </c>
      <c r="L166" t="s">
        <v>29</v>
      </c>
      <c r="M166" t="s">
        <v>42</v>
      </c>
      <c r="N166" t="s">
        <v>31</v>
      </c>
      <c r="O166" t="s">
        <v>122</v>
      </c>
      <c r="P166" t="s">
        <v>504</v>
      </c>
      <c r="Q166">
        <v>80</v>
      </c>
      <c r="R166">
        <v>80</v>
      </c>
      <c r="S166" t="s">
        <v>34</v>
      </c>
      <c r="T166" t="s">
        <v>35</v>
      </c>
      <c r="U166" t="s">
        <v>44</v>
      </c>
      <c r="V166" s="4">
        <v>45505</v>
      </c>
      <c r="W166">
        <v>80</v>
      </c>
      <c r="X166">
        <v>80</v>
      </c>
      <c r="Y166">
        <v>80</v>
      </c>
      <c r="Z166">
        <v>0</v>
      </c>
    </row>
    <row r="167" spans="1:26" hidden="1" x14ac:dyDescent="0.25">
      <c r="A167" t="s">
        <v>505</v>
      </c>
      <c r="B167" t="s">
        <v>38</v>
      </c>
      <c r="C167" s="4">
        <v>43171</v>
      </c>
      <c r="D167" s="4">
        <v>43705</v>
      </c>
      <c r="F167" s="4">
        <v>43983</v>
      </c>
      <c r="G167" t="s">
        <v>144</v>
      </c>
      <c r="H167" t="s">
        <v>506</v>
      </c>
      <c r="K167" t="s">
        <v>146</v>
      </c>
      <c r="L167" t="s">
        <v>29</v>
      </c>
      <c r="M167" t="s">
        <v>68</v>
      </c>
      <c r="N167" t="s">
        <v>31</v>
      </c>
      <c r="O167" t="s">
        <v>32</v>
      </c>
      <c r="P167" t="s">
        <v>507</v>
      </c>
      <c r="Q167">
        <v>150</v>
      </c>
      <c r="R167">
        <v>150</v>
      </c>
      <c r="S167" t="s">
        <v>34</v>
      </c>
      <c r="T167" t="s">
        <v>35</v>
      </c>
      <c r="U167" t="s">
        <v>44</v>
      </c>
      <c r="W167">
        <v>0</v>
      </c>
      <c r="X167">
        <v>0</v>
      </c>
      <c r="Y167">
        <v>0</v>
      </c>
      <c r="Z167">
        <v>0</v>
      </c>
    </row>
    <row r="168" spans="1:26" hidden="1" x14ac:dyDescent="0.25">
      <c r="A168" t="s">
        <v>508</v>
      </c>
      <c r="B168" t="s">
        <v>38</v>
      </c>
      <c r="C168" s="4">
        <v>43171</v>
      </c>
      <c r="D168" s="4">
        <v>43705</v>
      </c>
      <c r="F168" s="4">
        <v>43983</v>
      </c>
      <c r="G168" t="s">
        <v>144</v>
      </c>
      <c r="H168" t="s">
        <v>509</v>
      </c>
      <c r="K168" t="s">
        <v>146</v>
      </c>
      <c r="L168" t="s">
        <v>29</v>
      </c>
      <c r="M168" t="s">
        <v>68</v>
      </c>
      <c r="N168" t="s">
        <v>31</v>
      </c>
      <c r="O168" t="s">
        <v>32</v>
      </c>
      <c r="P168" t="s">
        <v>510</v>
      </c>
      <c r="Q168">
        <v>50</v>
      </c>
      <c r="R168">
        <v>50</v>
      </c>
      <c r="S168" t="s">
        <v>34</v>
      </c>
      <c r="T168" t="s">
        <v>35</v>
      </c>
      <c r="U168" t="s">
        <v>44</v>
      </c>
      <c r="W168">
        <v>0</v>
      </c>
      <c r="X168">
        <v>0</v>
      </c>
      <c r="Y168">
        <v>0</v>
      </c>
      <c r="Z168">
        <v>0</v>
      </c>
    </row>
    <row r="169" spans="1:26" hidden="1" x14ac:dyDescent="0.25">
      <c r="A169" t="s">
        <v>511</v>
      </c>
      <c r="B169" t="s">
        <v>38</v>
      </c>
      <c r="C169" s="4">
        <v>43171</v>
      </c>
      <c r="D169" s="4">
        <v>43479</v>
      </c>
      <c r="F169" s="4">
        <v>43983</v>
      </c>
      <c r="G169" t="s">
        <v>65</v>
      </c>
      <c r="H169" t="s">
        <v>236</v>
      </c>
      <c r="K169" t="s">
        <v>67</v>
      </c>
      <c r="L169" t="s">
        <v>29</v>
      </c>
      <c r="M169" t="s">
        <v>68</v>
      </c>
      <c r="N169" t="s">
        <v>31</v>
      </c>
      <c r="O169" t="s">
        <v>32</v>
      </c>
      <c r="P169" t="s">
        <v>512</v>
      </c>
      <c r="Q169">
        <v>50</v>
      </c>
      <c r="R169">
        <v>50</v>
      </c>
      <c r="S169" t="s">
        <v>34</v>
      </c>
      <c r="T169" t="s">
        <v>35</v>
      </c>
      <c r="U169" t="s">
        <v>44</v>
      </c>
      <c r="W169">
        <v>0</v>
      </c>
      <c r="X169">
        <v>0</v>
      </c>
      <c r="Y169">
        <v>0</v>
      </c>
      <c r="Z169">
        <v>0</v>
      </c>
    </row>
    <row r="170" spans="1:26" hidden="1" x14ac:dyDescent="0.25">
      <c r="A170" t="s">
        <v>513</v>
      </c>
      <c r="B170" t="s">
        <v>38</v>
      </c>
      <c r="C170" s="4">
        <v>43171</v>
      </c>
      <c r="D170" s="4">
        <v>43705</v>
      </c>
      <c r="F170" s="4">
        <v>43983</v>
      </c>
      <c r="G170" t="s">
        <v>149</v>
      </c>
      <c r="H170" t="s">
        <v>514</v>
      </c>
      <c r="K170" t="s">
        <v>151</v>
      </c>
      <c r="L170" t="s">
        <v>29</v>
      </c>
      <c r="M170" t="s">
        <v>68</v>
      </c>
      <c r="N170" t="s">
        <v>31</v>
      </c>
      <c r="O170" t="s">
        <v>32</v>
      </c>
      <c r="P170" t="s">
        <v>515</v>
      </c>
      <c r="Q170">
        <v>80</v>
      </c>
      <c r="R170">
        <v>80</v>
      </c>
      <c r="S170" t="s">
        <v>34</v>
      </c>
      <c r="T170" t="s">
        <v>35</v>
      </c>
      <c r="U170" t="s">
        <v>44</v>
      </c>
      <c r="W170">
        <v>0</v>
      </c>
      <c r="X170">
        <v>0</v>
      </c>
      <c r="Y170">
        <v>0</v>
      </c>
      <c r="Z170">
        <v>0</v>
      </c>
    </row>
    <row r="171" spans="1:26" hidden="1" x14ac:dyDescent="0.25">
      <c r="A171" t="s">
        <v>516</v>
      </c>
      <c r="B171" t="s">
        <v>25</v>
      </c>
      <c r="C171" s="4">
        <v>43171</v>
      </c>
      <c r="E171" s="4">
        <v>44599</v>
      </c>
      <c r="F171" s="4">
        <v>44439</v>
      </c>
      <c r="G171" t="s">
        <v>39</v>
      </c>
      <c r="H171" t="s">
        <v>517</v>
      </c>
      <c r="K171" t="s">
        <v>62</v>
      </c>
      <c r="L171" t="s">
        <v>29</v>
      </c>
      <c r="M171" t="s">
        <v>42</v>
      </c>
      <c r="N171" t="s">
        <v>31</v>
      </c>
      <c r="O171" t="s">
        <v>122</v>
      </c>
      <c r="P171" t="s">
        <v>518</v>
      </c>
      <c r="Q171">
        <v>50</v>
      </c>
      <c r="R171">
        <v>50</v>
      </c>
      <c r="S171" t="s">
        <v>34</v>
      </c>
      <c r="T171" t="s">
        <v>35</v>
      </c>
      <c r="U171" t="s">
        <v>44</v>
      </c>
      <c r="V171" s="4">
        <v>45503</v>
      </c>
      <c r="W171">
        <v>50</v>
      </c>
      <c r="X171">
        <v>50</v>
      </c>
      <c r="Y171">
        <v>50</v>
      </c>
      <c r="Z171">
        <v>0</v>
      </c>
    </row>
    <row r="172" spans="1:26" hidden="1" x14ac:dyDescent="0.25">
      <c r="A172" t="s">
        <v>519</v>
      </c>
      <c r="B172" t="s">
        <v>38</v>
      </c>
      <c r="C172" s="4">
        <v>43171</v>
      </c>
      <c r="D172" s="4">
        <v>43915</v>
      </c>
      <c r="F172" s="4">
        <v>44409</v>
      </c>
      <c r="G172" t="s">
        <v>39</v>
      </c>
      <c r="H172" t="s">
        <v>275</v>
      </c>
      <c r="K172" t="s">
        <v>185</v>
      </c>
      <c r="L172" t="s">
        <v>29</v>
      </c>
      <c r="M172" t="s">
        <v>42</v>
      </c>
      <c r="N172" t="s">
        <v>31</v>
      </c>
      <c r="O172" t="s">
        <v>32</v>
      </c>
      <c r="P172" t="s">
        <v>520</v>
      </c>
      <c r="Q172">
        <v>200</v>
      </c>
      <c r="R172">
        <v>200</v>
      </c>
      <c r="S172" t="s">
        <v>34</v>
      </c>
      <c r="T172" t="s">
        <v>35</v>
      </c>
      <c r="U172" t="s">
        <v>44</v>
      </c>
      <c r="W172">
        <v>0</v>
      </c>
      <c r="X172">
        <v>0</v>
      </c>
      <c r="Y172">
        <v>0</v>
      </c>
      <c r="Z172">
        <v>0</v>
      </c>
    </row>
    <row r="173" spans="1:26" hidden="1" x14ac:dyDescent="0.25">
      <c r="A173" t="s">
        <v>521</v>
      </c>
      <c r="B173" t="s">
        <v>25</v>
      </c>
      <c r="C173" s="4">
        <v>43171</v>
      </c>
      <c r="E173" s="4">
        <v>44335</v>
      </c>
      <c r="F173" s="4">
        <v>44409</v>
      </c>
      <c r="G173" t="s">
        <v>26</v>
      </c>
      <c r="H173" t="s">
        <v>49</v>
      </c>
      <c r="K173" t="s">
        <v>28</v>
      </c>
      <c r="L173" t="s">
        <v>29</v>
      </c>
      <c r="M173" t="s">
        <v>30</v>
      </c>
      <c r="N173" t="s">
        <v>31</v>
      </c>
      <c r="O173" t="s">
        <v>32</v>
      </c>
      <c r="P173" t="s">
        <v>522</v>
      </c>
      <c r="Q173">
        <v>100</v>
      </c>
      <c r="R173">
        <v>100</v>
      </c>
      <c r="S173" t="s">
        <v>34</v>
      </c>
      <c r="T173" t="s">
        <v>35</v>
      </c>
      <c r="U173" t="s">
        <v>70</v>
      </c>
      <c r="V173" s="4">
        <v>44952</v>
      </c>
      <c r="W173">
        <v>100</v>
      </c>
      <c r="X173">
        <v>100</v>
      </c>
      <c r="Y173">
        <v>100</v>
      </c>
      <c r="Z173">
        <v>100</v>
      </c>
    </row>
    <row r="174" spans="1:26" hidden="1" x14ac:dyDescent="0.25">
      <c r="A174" t="s">
        <v>523</v>
      </c>
      <c r="B174" t="s">
        <v>25</v>
      </c>
      <c r="C174" s="4">
        <v>43171</v>
      </c>
      <c r="E174" s="4">
        <v>44319</v>
      </c>
      <c r="F174" s="4">
        <v>44378</v>
      </c>
      <c r="G174" t="s">
        <v>52</v>
      </c>
      <c r="H174" t="s">
        <v>524</v>
      </c>
      <c r="K174" t="s">
        <v>53</v>
      </c>
      <c r="L174" t="s">
        <v>29</v>
      </c>
      <c r="M174" t="s">
        <v>54</v>
      </c>
      <c r="N174" t="s">
        <v>31</v>
      </c>
      <c r="O174" t="s">
        <v>32</v>
      </c>
      <c r="P174" t="s">
        <v>525</v>
      </c>
      <c r="Q174">
        <v>50</v>
      </c>
      <c r="R174">
        <v>50</v>
      </c>
      <c r="S174" t="s">
        <v>34</v>
      </c>
      <c r="T174" t="s">
        <v>35</v>
      </c>
      <c r="U174" t="s">
        <v>70</v>
      </c>
      <c r="V174" s="4">
        <v>45139</v>
      </c>
      <c r="W174">
        <v>50</v>
      </c>
      <c r="X174">
        <v>50</v>
      </c>
      <c r="Y174">
        <v>50</v>
      </c>
      <c r="Z174">
        <v>50</v>
      </c>
    </row>
    <row r="175" spans="1:26" hidden="1" x14ac:dyDescent="0.25">
      <c r="A175" t="s">
        <v>526</v>
      </c>
      <c r="B175" t="s">
        <v>38</v>
      </c>
      <c r="C175" s="4">
        <v>43171</v>
      </c>
      <c r="D175" s="4">
        <v>44012</v>
      </c>
      <c r="F175" s="4">
        <v>43800</v>
      </c>
      <c r="G175" t="s">
        <v>527</v>
      </c>
      <c r="H175" t="s">
        <v>528</v>
      </c>
      <c r="K175" t="s">
        <v>53</v>
      </c>
      <c r="L175" t="s">
        <v>29</v>
      </c>
      <c r="M175" t="s">
        <v>54</v>
      </c>
      <c r="N175" t="s">
        <v>31</v>
      </c>
      <c r="O175" t="s">
        <v>32</v>
      </c>
      <c r="P175" t="s">
        <v>529</v>
      </c>
      <c r="Q175">
        <v>80</v>
      </c>
      <c r="R175">
        <v>80</v>
      </c>
      <c r="S175" t="s">
        <v>34</v>
      </c>
      <c r="T175" t="s">
        <v>35</v>
      </c>
      <c r="U175" t="s">
        <v>44</v>
      </c>
      <c r="W175">
        <v>80</v>
      </c>
      <c r="X175">
        <v>80</v>
      </c>
      <c r="Y175">
        <v>0</v>
      </c>
      <c r="Z175">
        <v>0</v>
      </c>
    </row>
    <row r="176" spans="1:26" hidden="1" x14ac:dyDescent="0.25">
      <c r="A176" t="s">
        <v>530</v>
      </c>
      <c r="B176" t="s">
        <v>25</v>
      </c>
      <c r="C176" s="4">
        <v>43171</v>
      </c>
      <c r="E176" s="4">
        <v>44599</v>
      </c>
      <c r="F176" s="4">
        <v>44500</v>
      </c>
      <c r="G176" t="s">
        <v>72</v>
      </c>
      <c r="H176" t="s">
        <v>531</v>
      </c>
      <c r="K176" t="s">
        <v>209</v>
      </c>
      <c r="L176" t="s">
        <v>29</v>
      </c>
      <c r="M176" t="s">
        <v>42</v>
      </c>
      <c r="N176" t="s">
        <v>31</v>
      </c>
      <c r="O176" t="s">
        <v>32</v>
      </c>
      <c r="P176" t="s">
        <v>532</v>
      </c>
      <c r="Q176">
        <v>165</v>
      </c>
      <c r="R176">
        <v>165</v>
      </c>
      <c r="S176" t="s">
        <v>34</v>
      </c>
      <c r="T176" t="s">
        <v>35</v>
      </c>
      <c r="U176" t="s">
        <v>70</v>
      </c>
      <c r="V176" s="4">
        <v>45473</v>
      </c>
      <c r="W176">
        <v>165</v>
      </c>
      <c r="X176">
        <v>165</v>
      </c>
      <c r="Y176">
        <v>165</v>
      </c>
      <c r="Z176">
        <v>165</v>
      </c>
    </row>
    <row r="177" spans="1:26" hidden="1" x14ac:dyDescent="0.25">
      <c r="A177" t="s">
        <v>533</v>
      </c>
      <c r="B177" t="s">
        <v>25</v>
      </c>
      <c r="C177" s="4">
        <v>43171</v>
      </c>
      <c r="E177" s="4">
        <v>44599</v>
      </c>
      <c r="F177" s="4">
        <v>44500</v>
      </c>
      <c r="G177" t="s">
        <v>72</v>
      </c>
      <c r="H177" t="s">
        <v>531</v>
      </c>
      <c r="K177" t="s">
        <v>209</v>
      </c>
      <c r="L177" t="s">
        <v>29</v>
      </c>
      <c r="M177" t="s">
        <v>42</v>
      </c>
      <c r="N177" t="s">
        <v>31</v>
      </c>
      <c r="O177" t="s">
        <v>122</v>
      </c>
      <c r="P177" t="s">
        <v>534</v>
      </c>
      <c r="Q177">
        <v>165</v>
      </c>
      <c r="R177">
        <v>165</v>
      </c>
      <c r="S177" t="s">
        <v>56</v>
      </c>
      <c r="T177" t="s">
        <v>57</v>
      </c>
      <c r="U177" t="s">
        <v>44</v>
      </c>
      <c r="V177" s="4">
        <v>45473</v>
      </c>
      <c r="W177">
        <v>165</v>
      </c>
      <c r="X177">
        <v>165</v>
      </c>
      <c r="Y177">
        <v>165</v>
      </c>
      <c r="Z177">
        <v>0</v>
      </c>
    </row>
    <row r="178" spans="1:26" x14ac:dyDescent="0.25">
      <c r="A178" t="s">
        <v>535</v>
      </c>
      <c r="B178" t="s">
        <v>38</v>
      </c>
      <c r="C178" s="4">
        <v>43171</v>
      </c>
      <c r="D178" s="4">
        <v>43692</v>
      </c>
      <c r="F178" s="4">
        <v>44500</v>
      </c>
      <c r="G178" t="s">
        <v>72</v>
      </c>
      <c r="H178" t="s">
        <v>930</v>
      </c>
      <c r="I178" t="s">
        <v>531</v>
      </c>
      <c r="K178" t="s">
        <v>209</v>
      </c>
      <c r="L178" t="s">
        <v>29</v>
      </c>
      <c r="M178" t="s">
        <v>42</v>
      </c>
      <c r="N178" t="s">
        <v>31</v>
      </c>
      <c r="O178" t="s">
        <v>32</v>
      </c>
      <c r="P178" t="s">
        <v>536</v>
      </c>
      <c r="Q178">
        <v>145</v>
      </c>
      <c r="R178">
        <v>145</v>
      </c>
      <c r="S178" t="s">
        <v>56</v>
      </c>
      <c r="T178" t="s">
        <v>57</v>
      </c>
      <c r="U178" t="s">
        <v>44</v>
      </c>
      <c r="W178">
        <v>0</v>
      </c>
      <c r="X178">
        <v>0</v>
      </c>
      <c r="Y178">
        <v>0</v>
      </c>
      <c r="Z178">
        <v>0</v>
      </c>
    </row>
    <row r="179" spans="1:26" hidden="1" x14ac:dyDescent="0.25">
      <c r="A179" t="s">
        <v>537</v>
      </c>
      <c r="B179" t="s">
        <v>38</v>
      </c>
      <c r="C179" s="4">
        <v>43171</v>
      </c>
      <c r="D179" s="4">
        <v>43915</v>
      </c>
      <c r="F179" s="4">
        <v>44104</v>
      </c>
      <c r="G179" t="s">
        <v>132</v>
      </c>
      <c r="H179" t="s">
        <v>538</v>
      </c>
      <c r="K179" t="s">
        <v>109</v>
      </c>
      <c r="L179" t="s">
        <v>29</v>
      </c>
      <c r="M179" t="s">
        <v>42</v>
      </c>
      <c r="N179" t="s">
        <v>31</v>
      </c>
      <c r="O179" t="s">
        <v>32</v>
      </c>
      <c r="P179" t="s">
        <v>539</v>
      </c>
      <c r="Q179">
        <v>300</v>
      </c>
      <c r="R179">
        <v>300</v>
      </c>
      <c r="S179" t="s">
        <v>56</v>
      </c>
      <c r="T179" t="s">
        <v>57</v>
      </c>
      <c r="U179" t="s">
        <v>44</v>
      </c>
      <c r="W179">
        <v>0</v>
      </c>
      <c r="X179">
        <v>0</v>
      </c>
      <c r="Y179">
        <v>0</v>
      </c>
      <c r="Z179">
        <v>0</v>
      </c>
    </row>
    <row r="180" spans="1:26" hidden="1" x14ac:dyDescent="0.25">
      <c r="A180" t="s">
        <v>540</v>
      </c>
      <c r="B180" t="s">
        <v>38</v>
      </c>
      <c r="C180" s="4">
        <v>43171</v>
      </c>
      <c r="D180" s="4">
        <v>44414</v>
      </c>
      <c r="E180" s="4">
        <v>44319</v>
      </c>
      <c r="F180" s="4">
        <v>44013</v>
      </c>
      <c r="G180" t="s">
        <v>52</v>
      </c>
      <c r="H180" t="s">
        <v>293</v>
      </c>
      <c r="K180" t="s">
        <v>53</v>
      </c>
      <c r="L180" t="s">
        <v>29</v>
      </c>
      <c r="M180" t="s">
        <v>54</v>
      </c>
      <c r="N180" t="s">
        <v>31</v>
      </c>
      <c r="O180" t="s">
        <v>32</v>
      </c>
      <c r="P180" t="s">
        <v>541</v>
      </c>
      <c r="Q180">
        <v>65</v>
      </c>
      <c r="R180">
        <v>65</v>
      </c>
      <c r="S180" t="s">
        <v>34</v>
      </c>
      <c r="T180" t="s">
        <v>35</v>
      </c>
      <c r="U180" t="s">
        <v>38</v>
      </c>
      <c r="V180" s="4">
        <v>45139</v>
      </c>
      <c r="W180">
        <v>65</v>
      </c>
      <c r="X180">
        <v>65</v>
      </c>
      <c r="Y180">
        <v>65</v>
      </c>
      <c r="Z180">
        <v>65</v>
      </c>
    </row>
    <row r="181" spans="1:26" hidden="1" x14ac:dyDescent="0.25">
      <c r="A181" t="s">
        <v>542</v>
      </c>
      <c r="B181" t="s">
        <v>38</v>
      </c>
      <c r="C181" s="4">
        <v>43171</v>
      </c>
      <c r="D181" s="4">
        <v>43915</v>
      </c>
      <c r="F181" s="4">
        <v>44500</v>
      </c>
      <c r="G181" t="s">
        <v>39</v>
      </c>
      <c r="H181" t="s">
        <v>543</v>
      </c>
      <c r="K181" t="s">
        <v>41</v>
      </c>
      <c r="L181" t="s">
        <v>29</v>
      </c>
      <c r="M181" t="s">
        <v>42</v>
      </c>
      <c r="N181" t="s">
        <v>31</v>
      </c>
      <c r="O181" t="s">
        <v>32</v>
      </c>
      <c r="P181" t="s">
        <v>544</v>
      </c>
      <c r="Q181">
        <v>300</v>
      </c>
      <c r="R181">
        <v>300</v>
      </c>
      <c r="S181" t="s">
        <v>34</v>
      </c>
      <c r="T181" t="s">
        <v>35</v>
      </c>
      <c r="U181" t="s">
        <v>44</v>
      </c>
      <c r="W181">
        <v>0</v>
      </c>
      <c r="X181">
        <v>0</v>
      </c>
      <c r="Y181">
        <v>0</v>
      </c>
      <c r="Z181">
        <v>0</v>
      </c>
    </row>
    <row r="182" spans="1:26" hidden="1" x14ac:dyDescent="0.25">
      <c r="A182" t="s">
        <v>545</v>
      </c>
      <c r="B182" t="s">
        <v>25</v>
      </c>
      <c r="C182" s="4">
        <v>43171</v>
      </c>
      <c r="E182" s="4">
        <v>44481</v>
      </c>
      <c r="F182" s="4">
        <v>44057</v>
      </c>
      <c r="G182" t="s">
        <v>117</v>
      </c>
      <c r="H182" t="s">
        <v>546</v>
      </c>
      <c r="K182" t="s">
        <v>83</v>
      </c>
      <c r="L182" t="s">
        <v>29</v>
      </c>
      <c r="M182" t="s">
        <v>84</v>
      </c>
      <c r="N182" t="s">
        <v>31</v>
      </c>
      <c r="O182" t="s">
        <v>32</v>
      </c>
      <c r="P182" t="s">
        <v>547</v>
      </c>
      <c r="Q182">
        <v>75</v>
      </c>
      <c r="R182">
        <v>75</v>
      </c>
      <c r="S182" t="s">
        <v>34</v>
      </c>
      <c r="T182" t="s">
        <v>35</v>
      </c>
      <c r="U182" t="s">
        <v>70</v>
      </c>
      <c r="V182" s="4">
        <v>45047</v>
      </c>
      <c r="W182">
        <v>75</v>
      </c>
      <c r="X182">
        <v>75</v>
      </c>
      <c r="Y182">
        <v>75</v>
      </c>
      <c r="Z182">
        <v>75</v>
      </c>
    </row>
    <row r="183" spans="1:26" hidden="1" x14ac:dyDescent="0.25">
      <c r="A183" t="s">
        <v>548</v>
      </c>
      <c r="B183" t="s">
        <v>25</v>
      </c>
      <c r="C183" s="4">
        <v>43171</v>
      </c>
      <c r="E183" s="4">
        <v>44362</v>
      </c>
      <c r="F183" s="4">
        <v>44500</v>
      </c>
      <c r="G183" t="s">
        <v>72</v>
      </c>
      <c r="H183" t="s">
        <v>549</v>
      </c>
      <c r="K183" t="s">
        <v>209</v>
      </c>
      <c r="L183" t="s">
        <v>29</v>
      </c>
      <c r="M183" t="s">
        <v>42</v>
      </c>
      <c r="N183" t="s">
        <v>31</v>
      </c>
      <c r="O183" t="s">
        <v>32</v>
      </c>
      <c r="P183" t="s">
        <v>550</v>
      </c>
      <c r="Q183">
        <v>200</v>
      </c>
      <c r="R183">
        <v>200</v>
      </c>
      <c r="S183" t="s">
        <v>56</v>
      </c>
      <c r="T183" t="s">
        <v>57</v>
      </c>
      <c r="U183" t="s">
        <v>36</v>
      </c>
      <c r="V183" s="4">
        <v>44865</v>
      </c>
      <c r="W183">
        <v>200</v>
      </c>
      <c r="X183">
        <v>200</v>
      </c>
      <c r="Y183">
        <v>200</v>
      </c>
      <c r="Z183">
        <v>0</v>
      </c>
    </row>
    <row r="184" spans="1:26" hidden="1" x14ac:dyDescent="0.25">
      <c r="A184" t="s">
        <v>551</v>
      </c>
      <c r="B184" t="s">
        <v>25</v>
      </c>
      <c r="C184" s="4">
        <v>43171</v>
      </c>
      <c r="E184" s="4">
        <v>44638</v>
      </c>
      <c r="F184" s="4">
        <v>44515</v>
      </c>
      <c r="G184" t="s">
        <v>132</v>
      </c>
      <c r="H184" t="s">
        <v>552</v>
      </c>
      <c r="K184" t="s">
        <v>109</v>
      </c>
      <c r="L184" t="s">
        <v>29</v>
      </c>
      <c r="M184" t="s">
        <v>84</v>
      </c>
      <c r="N184" t="s">
        <v>31</v>
      </c>
      <c r="O184" t="s">
        <v>32</v>
      </c>
      <c r="P184" t="s">
        <v>553</v>
      </c>
      <c r="Q184">
        <v>250</v>
      </c>
      <c r="R184">
        <v>250</v>
      </c>
      <c r="S184" t="s">
        <v>34</v>
      </c>
      <c r="T184" t="s">
        <v>35</v>
      </c>
      <c r="U184" t="s">
        <v>36</v>
      </c>
      <c r="V184" s="4">
        <v>45611</v>
      </c>
      <c r="W184">
        <v>250</v>
      </c>
      <c r="X184">
        <v>250</v>
      </c>
      <c r="Y184">
        <v>250</v>
      </c>
      <c r="Z184">
        <v>250</v>
      </c>
    </row>
    <row r="185" spans="1:26" hidden="1" x14ac:dyDescent="0.25">
      <c r="A185" t="s">
        <v>554</v>
      </c>
      <c r="B185" t="s">
        <v>25</v>
      </c>
      <c r="C185" s="4">
        <v>43171</v>
      </c>
      <c r="E185" s="4">
        <v>44288</v>
      </c>
      <c r="F185" s="4">
        <v>43496</v>
      </c>
      <c r="G185" t="s">
        <v>26</v>
      </c>
      <c r="H185" t="s">
        <v>555</v>
      </c>
      <c r="K185" t="s">
        <v>53</v>
      </c>
      <c r="L185" t="s">
        <v>29</v>
      </c>
      <c r="M185" t="s">
        <v>30</v>
      </c>
      <c r="N185" t="s">
        <v>31</v>
      </c>
      <c r="O185" t="s">
        <v>122</v>
      </c>
      <c r="P185" t="s">
        <v>556</v>
      </c>
      <c r="Q185">
        <v>1.35</v>
      </c>
      <c r="R185">
        <v>1.35</v>
      </c>
      <c r="S185" t="s">
        <v>34</v>
      </c>
      <c r="T185" t="s">
        <v>35</v>
      </c>
      <c r="U185" t="s">
        <v>36</v>
      </c>
      <c r="V185" s="4">
        <v>43753</v>
      </c>
      <c r="W185">
        <v>1.35</v>
      </c>
      <c r="X185">
        <v>0</v>
      </c>
      <c r="Y185">
        <v>1.35</v>
      </c>
      <c r="Z185">
        <v>0</v>
      </c>
    </row>
    <row r="186" spans="1:26" hidden="1" x14ac:dyDescent="0.25">
      <c r="A186" t="s">
        <v>557</v>
      </c>
      <c r="B186" t="s">
        <v>25</v>
      </c>
      <c r="C186" s="4">
        <v>43171</v>
      </c>
      <c r="E186" s="4">
        <v>44113</v>
      </c>
      <c r="F186" s="4">
        <v>43983</v>
      </c>
      <c r="G186" t="s">
        <v>144</v>
      </c>
      <c r="H186" t="s">
        <v>558</v>
      </c>
      <c r="K186" t="s">
        <v>146</v>
      </c>
      <c r="L186" t="s">
        <v>29</v>
      </c>
      <c r="M186" t="s">
        <v>68</v>
      </c>
      <c r="N186" t="s">
        <v>31</v>
      </c>
      <c r="O186" t="s">
        <v>32</v>
      </c>
      <c r="P186" t="s">
        <v>559</v>
      </c>
      <c r="Q186">
        <v>50</v>
      </c>
      <c r="R186">
        <v>50</v>
      </c>
      <c r="S186" t="s">
        <v>34</v>
      </c>
      <c r="T186" t="s">
        <v>35</v>
      </c>
      <c r="U186" t="s">
        <v>70</v>
      </c>
      <c r="V186" s="4">
        <v>44295</v>
      </c>
      <c r="W186">
        <v>50</v>
      </c>
      <c r="X186">
        <v>50</v>
      </c>
      <c r="Y186">
        <v>50</v>
      </c>
      <c r="Z186">
        <v>50</v>
      </c>
    </row>
    <row r="187" spans="1:26" hidden="1" x14ac:dyDescent="0.25">
      <c r="A187" t="s">
        <v>560</v>
      </c>
      <c r="B187" t="s">
        <v>38</v>
      </c>
      <c r="C187" s="4">
        <v>43171</v>
      </c>
      <c r="D187" s="4">
        <v>43579</v>
      </c>
      <c r="F187" s="4">
        <v>44104</v>
      </c>
      <c r="G187" t="s">
        <v>107</v>
      </c>
      <c r="H187" t="s">
        <v>561</v>
      </c>
      <c r="K187" t="s">
        <v>109</v>
      </c>
      <c r="L187" t="s">
        <v>29</v>
      </c>
      <c r="M187" t="s">
        <v>42</v>
      </c>
      <c r="N187" t="s">
        <v>31</v>
      </c>
      <c r="O187" t="s">
        <v>32</v>
      </c>
      <c r="P187" t="s">
        <v>562</v>
      </c>
      <c r="Q187">
        <v>200</v>
      </c>
      <c r="R187">
        <v>200</v>
      </c>
      <c r="S187" t="s">
        <v>56</v>
      </c>
      <c r="T187" t="s">
        <v>57</v>
      </c>
      <c r="U187" t="s">
        <v>44</v>
      </c>
      <c r="W187">
        <v>0</v>
      </c>
      <c r="X187">
        <v>0</v>
      </c>
      <c r="Y187">
        <v>0</v>
      </c>
      <c r="Z187">
        <v>0</v>
      </c>
    </row>
    <row r="188" spans="1:26" hidden="1" x14ac:dyDescent="0.25">
      <c r="A188" t="s">
        <v>563</v>
      </c>
      <c r="B188" t="s">
        <v>38</v>
      </c>
      <c r="C188" s="4">
        <v>43171</v>
      </c>
      <c r="D188" s="4">
        <v>43705</v>
      </c>
      <c r="F188" s="4">
        <v>43983</v>
      </c>
      <c r="G188" t="s">
        <v>149</v>
      </c>
      <c r="H188" t="s">
        <v>564</v>
      </c>
      <c r="K188" t="s">
        <v>151</v>
      </c>
      <c r="L188" t="s">
        <v>29</v>
      </c>
      <c r="M188" t="s">
        <v>68</v>
      </c>
      <c r="N188" t="s">
        <v>31</v>
      </c>
      <c r="O188" t="s">
        <v>32</v>
      </c>
      <c r="P188" t="s">
        <v>565</v>
      </c>
      <c r="Q188">
        <v>100</v>
      </c>
      <c r="R188">
        <v>100</v>
      </c>
      <c r="S188" t="s">
        <v>34</v>
      </c>
      <c r="T188" t="s">
        <v>35</v>
      </c>
      <c r="U188" t="s">
        <v>44</v>
      </c>
      <c r="W188">
        <v>0</v>
      </c>
      <c r="X188">
        <v>0</v>
      </c>
      <c r="Y188">
        <v>0</v>
      </c>
      <c r="Z188">
        <v>0</v>
      </c>
    </row>
    <row r="189" spans="1:26" hidden="1" x14ac:dyDescent="0.25">
      <c r="A189" t="s">
        <v>566</v>
      </c>
      <c r="B189" t="s">
        <v>38</v>
      </c>
      <c r="C189" s="4">
        <v>43171</v>
      </c>
      <c r="D189" s="4">
        <v>44264</v>
      </c>
      <c r="F189" s="4">
        <v>44682</v>
      </c>
      <c r="G189" t="s">
        <v>173</v>
      </c>
      <c r="H189" t="s">
        <v>567</v>
      </c>
      <c r="K189" t="s">
        <v>185</v>
      </c>
      <c r="L189" t="s">
        <v>29</v>
      </c>
      <c r="M189" t="s">
        <v>42</v>
      </c>
      <c r="N189" t="s">
        <v>31</v>
      </c>
      <c r="O189" t="s">
        <v>32</v>
      </c>
      <c r="P189" t="s">
        <v>568</v>
      </c>
      <c r="Q189">
        <v>151.80000000000001</v>
      </c>
      <c r="R189">
        <v>151.80000000000001</v>
      </c>
      <c r="S189" t="s">
        <v>56</v>
      </c>
      <c r="T189" t="s">
        <v>57</v>
      </c>
      <c r="U189" t="s">
        <v>44</v>
      </c>
      <c r="W189">
        <v>151.80000000000001</v>
      </c>
      <c r="X189">
        <v>151.80000000000001</v>
      </c>
      <c r="Y189">
        <v>0</v>
      </c>
      <c r="Z189">
        <v>0</v>
      </c>
    </row>
    <row r="190" spans="1:26" hidden="1" x14ac:dyDescent="0.25">
      <c r="A190" t="s">
        <v>569</v>
      </c>
      <c r="B190" t="s">
        <v>25</v>
      </c>
      <c r="C190" s="4">
        <v>43171</v>
      </c>
      <c r="E190" s="4">
        <v>44334</v>
      </c>
      <c r="F190" s="4">
        <v>44439</v>
      </c>
      <c r="G190" t="s">
        <v>26</v>
      </c>
      <c r="H190" t="s">
        <v>416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 t="s">
        <v>570</v>
      </c>
      <c r="Q190">
        <v>50</v>
      </c>
      <c r="R190">
        <v>50</v>
      </c>
      <c r="S190" t="s">
        <v>34</v>
      </c>
      <c r="T190" t="s">
        <v>35</v>
      </c>
      <c r="U190" t="s">
        <v>36</v>
      </c>
      <c r="V190" s="4">
        <v>44713</v>
      </c>
      <c r="W190">
        <v>50</v>
      </c>
      <c r="X190">
        <v>50</v>
      </c>
      <c r="Y190">
        <v>50</v>
      </c>
      <c r="Z190">
        <v>50</v>
      </c>
    </row>
    <row r="191" spans="1:26" x14ac:dyDescent="0.25">
      <c r="A191" t="s">
        <v>571</v>
      </c>
      <c r="B191" t="s">
        <v>25</v>
      </c>
      <c r="C191" s="4">
        <v>43171</v>
      </c>
      <c r="F191" s="4">
        <v>43466</v>
      </c>
      <c r="G191" t="s">
        <v>101</v>
      </c>
      <c r="H191" t="s">
        <v>7654</v>
      </c>
      <c r="I191" t="s">
        <v>962</v>
      </c>
      <c r="K191" t="s">
        <v>98</v>
      </c>
      <c r="L191" t="s">
        <v>29</v>
      </c>
      <c r="M191" t="s">
        <v>84</v>
      </c>
      <c r="N191" t="s">
        <v>31</v>
      </c>
      <c r="O191" t="s">
        <v>32</v>
      </c>
      <c r="P191" t="s">
        <v>572</v>
      </c>
      <c r="Q191">
        <v>5</v>
      </c>
      <c r="R191">
        <v>5</v>
      </c>
      <c r="S191" t="s">
        <v>159</v>
      </c>
      <c r="T191" t="s">
        <v>159</v>
      </c>
      <c r="U191" t="s">
        <v>70</v>
      </c>
      <c r="W191">
        <v>4.95</v>
      </c>
      <c r="X191">
        <v>4.95</v>
      </c>
      <c r="Y191">
        <v>4.95</v>
      </c>
      <c r="Z191">
        <v>4.95</v>
      </c>
    </row>
    <row r="192" spans="1:26" hidden="1" x14ac:dyDescent="0.25">
      <c r="A192" t="s">
        <v>573</v>
      </c>
      <c r="B192" t="s">
        <v>25</v>
      </c>
      <c r="C192" s="4">
        <v>43487</v>
      </c>
      <c r="E192" s="4">
        <v>44952</v>
      </c>
      <c r="F192" s="4">
        <v>45200</v>
      </c>
      <c r="G192" t="s">
        <v>72</v>
      </c>
      <c r="H192" t="s">
        <v>242</v>
      </c>
      <c r="K192" t="s">
        <v>209</v>
      </c>
      <c r="L192" t="s">
        <v>574</v>
      </c>
      <c r="M192" t="s">
        <v>42</v>
      </c>
      <c r="N192" t="s">
        <v>31</v>
      </c>
      <c r="O192" t="s">
        <v>32</v>
      </c>
      <c r="P192" t="s">
        <v>575</v>
      </c>
      <c r="Q192">
        <v>200</v>
      </c>
      <c r="R192">
        <v>200</v>
      </c>
      <c r="S192" t="s">
        <v>34</v>
      </c>
      <c r="T192" t="s">
        <v>35</v>
      </c>
      <c r="U192" t="s">
        <v>44</v>
      </c>
      <c r="V192" s="4">
        <v>45870</v>
      </c>
      <c r="W192">
        <v>200</v>
      </c>
      <c r="X192">
        <v>200</v>
      </c>
      <c r="Y192">
        <v>200</v>
      </c>
      <c r="Z192">
        <v>200</v>
      </c>
    </row>
    <row r="193" spans="1:26" hidden="1" x14ac:dyDescent="0.25">
      <c r="A193" t="s">
        <v>576</v>
      </c>
      <c r="B193" t="s">
        <v>38</v>
      </c>
      <c r="C193" s="4">
        <v>43500</v>
      </c>
      <c r="D193" s="4">
        <v>45698</v>
      </c>
      <c r="F193" s="4">
        <v>44773</v>
      </c>
      <c r="G193" t="s">
        <v>577</v>
      </c>
      <c r="H193" t="s">
        <v>108</v>
      </c>
      <c r="K193" t="s">
        <v>109</v>
      </c>
      <c r="L193" t="s">
        <v>574</v>
      </c>
      <c r="M193" t="s">
        <v>84</v>
      </c>
      <c r="N193" t="s">
        <v>31</v>
      </c>
      <c r="O193" t="s">
        <v>32</v>
      </c>
      <c r="P193" t="s">
        <v>578</v>
      </c>
      <c r="Q193">
        <v>64</v>
      </c>
      <c r="R193">
        <v>64</v>
      </c>
      <c r="S193" t="s">
        <v>34</v>
      </c>
      <c r="T193" t="s">
        <v>35</v>
      </c>
      <c r="U193" t="s">
        <v>44</v>
      </c>
      <c r="V193" s="4">
        <v>45716</v>
      </c>
      <c r="W193">
        <v>64</v>
      </c>
      <c r="X193">
        <v>64</v>
      </c>
      <c r="Y193">
        <v>64</v>
      </c>
      <c r="Z193">
        <v>64</v>
      </c>
    </row>
    <row r="194" spans="1:26" hidden="1" x14ac:dyDescent="0.25">
      <c r="A194" t="s">
        <v>579</v>
      </c>
      <c r="B194" t="s">
        <v>38</v>
      </c>
      <c r="C194" s="4">
        <v>43549</v>
      </c>
      <c r="D194" s="4">
        <v>44859</v>
      </c>
      <c r="E194" s="4">
        <v>44790</v>
      </c>
      <c r="F194" s="4">
        <v>44378</v>
      </c>
      <c r="G194" t="s">
        <v>52</v>
      </c>
      <c r="H194" t="s">
        <v>293</v>
      </c>
      <c r="K194" t="s">
        <v>53</v>
      </c>
      <c r="L194" t="s">
        <v>574</v>
      </c>
      <c r="M194" t="s">
        <v>54</v>
      </c>
      <c r="N194" t="s">
        <v>31</v>
      </c>
      <c r="O194" t="s">
        <v>32</v>
      </c>
      <c r="P194" t="s">
        <v>580</v>
      </c>
      <c r="Q194">
        <v>35</v>
      </c>
      <c r="R194">
        <v>35</v>
      </c>
      <c r="S194" t="s">
        <v>34</v>
      </c>
      <c r="T194" t="s">
        <v>35</v>
      </c>
      <c r="U194" t="s">
        <v>38</v>
      </c>
      <c r="V194" s="4">
        <v>45474</v>
      </c>
      <c r="W194">
        <v>35</v>
      </c>
      <c r="X194">
        <v>35</v>
      </c>
      <c r="Y194">
        <v>35</v>
      </c>
      <c r="Z194">
        <v>35</v>
      </c>
    </row>
    <row r="195" spans="1:26" hidden="1" x14ac:dyDescent="0.25">
      <c r="A195" t="s">
        <v>581</v>
      </c>
      <c r="B195" t="s">
        <v>38</v>
      </c>
      <c r="C195" s="4">
        <v>43577</v>
      </c>
      <c r="D195" s="4">
        <v>43949</v>
      </c>
      <c r="F195" s="4">
        <v>45200</v>
      </c>
      <c r="G195" t="s">
        <v>183</v>
      </c>
      <c r="H195" t="s">
        <v>582</v>
      </c>
      <c r="K195" t="s">
        <v>185</v>
      </c>
      <c r="L195" t="s">
        <v>574</v>
      </c>
      <c r="M195" t="s">
        <v>42</v>
      </c>
      <c r="N195" t="s">
        <v>31</v>
      </c>
      <c r="O195" t="s">
        <v>32</v>
      </c>
      <c r="P195" t="s">
        <v>583</v>
      </c>
      <c r="Q195">
        <v>103.1</v>
      </c>
      <c r="R195">
        <v>103.1</v>
      </c>
      <c r="S195" t="s">
        <v>389</v>
      </c>
      <c r="T195" t="s">
        <v>584</v>
      </c>
      <c r="U195" t="s">
        <v>44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585</v>
      </c>
      <c r="B196" t="s">
        <v>25</v>
      </c>
      <c r="C196" s="4">
        <v>43579</v>
      </c>
      <c r="F196" s="4">
        <v>44470</v>
      </c>
      <c r="G196" t="s">
        <v>52</v>
      </c>
      <c r="H196" t="s">
        <v>7643</v>
      </c>
      <c r="I196" t="s">
        <v>1036</v>
      </c>
      <c r="K196" t="s">
        <v>53</v>
      </c>
      <c r="L196" t="s">
        <v>574</v>
      </c>
      <c r="M196" t="s">
        <v>54</v>
      </c>
      <c r="N196" t="s">
        <v>31</v>
      </c>
      <c r="O196" t="s">
        <v>32</v>
      </c>
      <c r="P196" t="s">
        <v>586</v>
      </c>
      <c r="Q196">
        <v>225.2</v>
      </c>
      <c r="R196">
        <v>225.2</v>
      </c>
      <c r="S196" t="s">
        <v>56</v>
      </c>
      <c r="T196" t="s">
        <v>57</v>
      </c>
      <c r="U196" t="s">
        <v>454</v>
      </c>
      <c r="V196" s="4">
        <v>44501</v>
      </c>
      <c r="W196">
        <v>225.2</v>
      </c>
      <c r="X196">
        <v>225.2</v>
      </c>
      <c r="Y196">
        <v>225.2</v>
      </c>
      <c r="Z196">
        <v>225.2</v>
      </c>
    </row>
    <row r="197" spans="1:26" hidden="1" x14ac:dyDescent="0.25">
      <c r="A197" t="s">
        <v>587</v>
      </c>
      <c r="B197" t="s">
        <v>38</v>
      </c>
      <c r="C197" s="4">
        <v>43579</v>
      </c>
      <c r="D197" s="4">
        <v>43833</v>
      </c>
      <c r="F197" s="4">
        <v>44470</v>
      </c>
      <c r="G197" t="s">
        <v>52</v>
      </c>
      <c r="H197" t="s">
        <v>87</v>
      </c>
      <c r="K197" t="s">
        <v>53</v>
      </c>
      <c r="L197" t="s">
        <v>574</v>
      </c>
      <c r="M197" t="s">
        <v>54</v>
      </c>
      <c r="N197" t="s">
        <v>31</v>
      </c>
      <c r="O197" t="s">
        <v>32</v>
      </c>
      <c r="P197" t="s">
        <v>588</v>
      </c>
      <c r="Q197">
        <v>150.4</v>
      </c>
      <c r="R197">
        <v>150.4</v>
      </c>
      <c r="S197" t="s">
        <v>56</v>
      </c>
      <c r="T197" t="s">
        <v>57</v>
      </c>
      <c r="U197" t="s">
        <v>44</v>
      </c>
      <c r="W197">
        <v>0</v>
      </c>
      <c r="X197">
        <v>0</v>
      </c>
      <c r="Y197">
        <v>0</v>
      </c>
      <c r="Z197">
        <v>0</v>
      </c>
    </row>
    <row r="198" spans="1:26" hidden="1" x14ac:dyDescent="0.25">
      <c r="A198" t="s">
        <v>589</v>
      </c>
      <c r="B198" t="s">
        <v>25</v>
      </c>
      <c r="C198" s="4">
        <v>43580</v>
      </c>
      <c r="E198" s="4">
        <v>44865</v>
      </c>
      <c r="F198" s="4">
        <v>44802</v>
      </c>
      <c r="G198" t="s">
        <v>72</v>
      </c>
      <c r="H198" t="s">
        <v>590</v>
      </c>
      <c r="K198" t="s">
        <v>53</v>
      </c>
      <c r="L198" t="s">
        <v>574</v>
      </c>
      <c r="M198" t="s">
        <v>54</v>
      </c>
      <c r="N198" t="s">
        <v>31</v>
      </c>
      <c r="O198" t="s">
        <v>32</v>
      </c>
      <c r="P198" t="s">
        <v>591</v>
      </c>
      <c r="Q198">
        <v>200</v>
      </c>
      <c r="R198">
        <v>200</v>
      </c>
      <c r="S198" t="s">
        <v>34</v>
      </c>
      <c r="T198" t="s">
        <v>35</v>
      </c>
      <c r="U198" t="s">
        <v>44</v>
      </c>
      <c r="V198" s="4">
        <v>45878</v>
      </c>
      <c r="W198">
        <v>200</v>
      </c>
      <c r="X198">
        <v>200</v>
      </c>
      <c r="Y198">
        <v>200</v>
      </c>
      <c r="Z198">
        <v>200</v>
      </c>
    </row>
    <row r="199" spans="1:26" hidden="1" x14ac:dyDescent="0.25">
      <c r="A199" t="s">
        <v>592</v>
      </c>
      <c r="B199" t="s">
        <v>38</v>
      </c>
      <c r="C199" s="4">
        <v>43580</v>
      </c>
      <c r="D199" s="4">
        <v>44413</v>
      </c>
      <c r="F199" s="4">
        <v>44362</v>
      </c>
      <c r="G199" t="s">
        <v>117</v>
      </c>
      <c r="H199" t="s">
        <v>593</v>
      </c>
      <c r="K199" t="s">
        <v>83</v>
      </c>
      <c r="L199" t="s">
        <v>574</v>
      </c>
      <c r="M199" t="s">
        <v>84</v>
      </c>
      <c r="N199" t="s">
        <v>31</v>
      </c>
      <c r="O199" t="s">
        <v>32</v>
      </c>
      <c r="P199" t="s">
        <v>594</v>
      </c>
      <c r="Q199">
        <v>75</v>
      </c>
      <c r="R199">
        <v>75</v>
      </c>
      <c r="S199" t="s">
        <v>159</v>
      </c>
      <c r="T199" t="s">
        <v>159</v>
      </c>
      <c r="U199" t="s">
        <v>44</v>
      </c>
      <c r="W199">
        <v>0</v>
      </c>
      <c r="X199">
        <v>0</v>
      </c>
      <c r="Y199">
        <v>0</v>
      </c>
      <c r="Z199">
        <v>0</v>
      </c>
    </row>
    <row r="200" spans="1:26" hidden="1" x14ac:dyDescent="0.25">
      <c r="A200" t="s">
        <v>595</v>
      </c>
      <c r="B200" t="s">
        <v>25</v>
      </c>
      <c r="C200" s="4">
        <v>43580</v>
      </c>
      <c r="F200" s="4">
        <v>44362</v>
      </c>
      <c r="G200" t="s">
        <v>117</v>
      </c>
      <c r="H200" t="s">
        <v>113</v>
      </c>
      <c r="K200" t="s">
        <v>83</v>
      </c>
      <c r="L200" t="s">
        <v>574</v>
      </c>
      <c r="M200" t="s">
        <v>84</v>
      </c>
      <c r="N200" t="s">
        <v>31</v>
      </c>
      <c r="O200" t="s">
        <v>32</v>
      </c>
      <c r="P200" t="s">
        <v>596</v>
      </c>
      <c r="Q200">
        <v>51.8</v>
      </c>
      <c r="R200">
        <v>51.8</v>
      </c>
      <c r="S200" t="s">
        <v>597</v>
      </c>
      <c r="T200" t="s">
        <v>598</v>
      </c>
      <c r="U200" t="s">
        <v>44</v>
      </c>
      <c r="V200" s="4">
        <v>45017</v>
      </c>
      <c r="W200">
        <v>51.8</v>
      </c>
      <c r="X200">
        <v>51.8</v>
      </c>
      <c r="Y200">
        <v>51.8</v>
      </c>
      <c r="Z200">
        <v>51.8</v>
      </c>
    </row>
    <row r="201" spans="1:26" hidden="1" x14ac:dyDescent="0.25">
      <c r="A201" t="s">
        <v>599</v>
      </c>
      <c r="B201" t="s">
        <v>25</v>
      </c>
      <c r="C201" s="4">
        <v>43580</v>
      </c>
      <c r="F201" s="4">
        <v>44362</v>
      </c>
      <c r="G201" t="s">
        <v>117</v>
      </c>
      <c r="H201" t="s">
        <v>600</v>
      </c>
      <c r="K201" t="s">
        <v>83</v>
      </c>
      <c r="L201" t="s">
        <v>574</v>
      </c>
      <c r="M201" t="s">
        <v>84</v>
      </c>
      <c r="N201" t="s">
        <v>31</v>
      </c>
      <c r="O201" t="s">
        <v>32</v>
      </c>
      <c r="P201" t="s">
        <v>601</v>
      </c>
      <c r="Q201">
        <v>20</v>
      </c>
      <c r="R201">
        <v>20</v>
      </c>
      <c r="S201" t="s">
        <v>597</v>
      </c>
      <c r="T201" t="s">
        <v>598</v>
      </c>
      <c r="U201" t="s">
        <v>44</v>
      </c>
      <c r="V201" s="4">
        <v>45078</v>
      </c>
      <c r="W201">
        <v>20</v>
      </c>
      <c r="X201">
        <v>20</v>
      </c>
      <c r="Y201">
        <v>20</v>
      </c>
      <c r="Z201">
        <v>20</v>
      </c>
    </row>
    <row r="202" spans="1:26" hidden="1" x14ac:dyDescent="0.25">
      <c r="A202" t="s">
        <v>602</v>
      </c>
      <c r="B202" t="s">
        <v>25</v>
      </c>
      <c r="C202" s="4">
        <v>43580</v>
      </c>
      <c r="F202" s="4">
        <v>44362</v>
      </c>
      <c r="G202" t="s">
        <v>117</v>
      </c>
      <c r="H202" t="s">
        <v>561</v>
      </c>
      <c r="K202" t="s">
        <v>83</v>
      </c>
      <c r="L202" t="s">
        <v>574</v>
      </c>
      <c r="M202" t="s">
        <v>84</v>
      </c>
      <c r="N202" t="s">
        <v>31</v>
      </c>
      <c r="O202" t="s">
        <v>32</v>
      </c>
      <c r="P202" t="s">
        <v>603</v>
      </c>
      <c r="Q202">
        <v>24.2</v>
      </c>
      <c r="R202">
        <v>24.2</v>
      </c>
      <c r="S202" t="s">
        <v>597</v>
      </c>
      <c r="T202" t="s">
        <v>598</v>
      </c>
      <c r="U202" t="s">
        <v>44</v>
      </c>
      <c r="V202" s="4">
        <v>45444</v>
      </c>
      <c r="W202">
        <v>24.2</v>
      </c>
      <c r="X202">
        <v>24.2</v>
      </c>
      <c r="Y202">
        <v>24.2</v>
      </c>
      <c r="Z202">
        <v>24.2</v>
      </c>
    </row>
    <row r="203" spans="1:26" hidden="1" x14ac:dyDescent="0.25">
      <c r="A203" t="s">
        <v>604</v>
      </c>
      <c r="B203" t="s">
        <v>25</v>
      </c>
      <c r="C203" s="4">
        <v>43580</v>
      </c>
      <c r="F203" s="4">
        <v>44362</v>
      </c>
      <c r="G203" t="s">
        <v>117</v>
      </c>
      <c r="H203" t="s">
        <v>605</v>
      </c>
      <c r="K203" t="s">
        <v>83</v>
      </c>
      <c r="L203" t="s">
        <v>574</v>
      </c>
      <c r="M203" t="s">
        <v>84</v>
      </c>
      <c r="N203" t="s">
        <v>31</v>
      </c>
      <c r="O203" t="s">
        <v>32</v>
      </c>
      <c r="P203" t="s">
        <v>606</v>
      </c>
      <c r="Q203">
        <v>44.2</v>
      </c>
      <c r="R203">
        <v>44.2</v>
      </c>
      <c r="S203" t="s">
        <v>597</v>
      </c>
      <c r="T203" t="s">
        <v>598</v>
      </c>
      <c r="U203" t="s">
        <v>44</v>
      </c>
      <c r="V203" s="4">
        <v>45444</v>
      </c>
      <c r="W203">
        <v>44.2</v>
      </c>
      <c r="X203">
        <v>44.2</v>
      </c>
      <c r="Y203">
        <v>44.2</v>
      </c>
      <c r="Z203">
        <v>44.2</v>
      </c>
    </row>
    <row r="204" spans="1:26" hidden="1" x14ac:dyDescent="0.25">
      <c r="A204" t="s">
        <v>607</v>
      </c>
      <c r="B204" t="s">
        <v>25</v>
      </c>
      <c r="C204" s="4">
        <v>43580</v>
      </c>
      <c r="F204" s="4">
        <v>44362</v>
      </c>
      <c r="G204" t="s">
        <v>117</v>
      </c>
      <c r="H204" t="s">
        <v>608</v>
      </c>
      <c r="K204" t="s">
        <v>83</v>
      </c>
      <c r="L204" t="s">
        <v>574</v>
      </c>
      <c r="M204" t="s">
        <v>84</v>
      </c>
      <c r="N204" t="s">
        <v>31</v>
      </c>
      <c r="O204" t="s">
        <v>32</v>
      </c>
      <c r="P204" t="s">
        <v>609</v>
      </c>
      <c r="Q204">
        <v>68.400000000000006</v>
      </c>
      <c r="R204">
        <v>68.400000000000006</v>
      </c>
      <c r="S204" t="s">
        <v>597</v>
      </c>
      <c r="T204" t="s">
        <v>598</v>
      </c>
      <c r="U204" t="s">
        <v>44</v>
      </c>
      <c r="V204" s="4">
        <v>45444</v>
      </c>
      <c r="W204">
        <v>68.400000000000006</v>
      </c>
      <c r="X204">
        <v>68.400000000000006</v>
      </c>
      <c r="Y204">
        <v>68.400000000000006</v>
      </c>
      <c r="Z204">
        <v>68.400000000000006</v>
      </c>
    </row>
    <row r="205" spans="1:26" hidden="1" x14ac:dyDescent="0.25">
      <c r="A205" t="s">
        <v>610</v>
      </c>
      <c r="B205" t="s">
        <v>25</v>
      </c>
      <c r="C205" s="4">
        <v>43580</v>
      </c>
      <c r="E205" s="4">
        <v>44790</v>
      </c>
      <c r="F205" s="4">
        <v>44713</v>
      </c>
      <c r="G205" t="s">
        <v>52</v>
      </c>
      <c r="H205" t="s">
        <v>524</v>
      </c>
      <c r="K205" t="s">
        <v>53</v>
      </c>
      <c r="L205" t="s">
        <v>574</v>
      </c>
      <c r="M205" t="s">
        <v>54</v>
      </c>
      <c r="N205" t="s">
        <v>31</v>
      </c>
      <c r="O205" t="s">
        <v>32</v>
      </c>
      <c r="P205" t="s">
        <v>611</v>
      </c>
      <c r="Q205">
        <v>125</v>
      </c>
      <c r="R205">
        <v>125</v>
      </c>
      <c r="S205" t="s">
        <v>34</v>
      </c>
      <c r="T205" t="s">
        <v>35</v>
      </c>
      <c r="U205" t="s">
        <v>70</v>
      </c>
      <c r="V205" s="4">
        <v>45792</v>
      </c>
      <c r="W205">
        <v>125</v>
      </c>
      <c r="X205">
        <v>125</v>
      </c>
      <c r="Y205">
        <v>125</v>
      </c>
      <c r="Z205">
        <v>125</v>
      </c>
    </row>
    <row r="206" spans="1:26" hidden="1" x14ac:dyDescent="0.25">
      <c r="A206" t="s">
        <v>612</v>
      </c>
      <c r="B206" t="s">
        <v>38</v>
      </c>
      <c r="C206" s="4">
        <v>43581</v>
      </c>
      <c r="D206" s="4">
        <v>45415</v>
      </c>
      <c r="F206" s="4">
        <v>44713</v>
      </c>
      <c r="G206" t="s">
        <v>117</v>
      </c>
      <c r="H206" t="s">
        <v>613</v>
      </c>
      <c r="K206" t="s">
        <v>83</v>
      </c>
      <c r="L206" t="s">
        <v>574</v>
      </c>
      <c r="M206" t="s">
        <v>84</v>
      </c>
      <c r="N206" t="s">
        <v>31</v>
      </c>
      <c r="O206" t="s">
        <v>32</v>
      </c>
      <c r="P206" t="s">
        <v>614</v>
      </c>
      <c r="Q206">
        <v>199.3</v>
      </c>
      <c r="R206">
        <v>199.3</v>
      </c>
      <c r="S206" t="s">
        <v>34</v>
      </c>
      <c r="T206" t="s">
        <v>35</v>
      </c>
      <c r="U206" t="s">
        <v>38</v>
      </c>
      <c r="V206" s="4">
        <v>45809</v>
      </c>
      <c r="W206">
        <v>199.3</v>
      </c>
      <c r="X206">
        <v>199.3</v>
      </c>
      <c r="Y206">
        <v>199.3</v>
      </c>
      <c r="Z206">
        <v>199.3</v>
      </c>
    </row>
    <row r="207" spans="1:26" hidden="1" x14ac:dyDescent="0.25">
      <c r="A207" t="s">
        <v>615</v>
      </c>
      <c r="B207" t="s">
        <v>25</v>
      </c>
      <c r="C207" s="4">
        <v>43581</v>
      </c>
      <c r="E207" s="4">
        <v>44530</v>
      </c>
      <c r="F207" s="4">
        <v>44500</v>
      </c>
      <c r="G207" t="s">
        <v>616</v>
      </c>
      <c r="H207" t="s">
        <v>617</v>
      </c>
      <c r="K207" t="s">
        <v>146</v>
      </c>
      <c r="L207" t="s">
        <v>574</v>
      </c>
      <c r="M207" t="s">
        <v>68</v>
      </c>
      <c r="N207" t="s">
        <v>31</v>
      </c>
      <c r="O207" t="s">
        <v>122</v>
      </c>
      <c r="P207" t="s">
        <v>618</v>
      </c>
      <c r="Q207">
        <v>125</v>
      </c>
      <c r="R207">
        <v>125</v>
      </c>
      <c r="S207" t="s">
        <v>34</v>
      </c>
      <c r="T207" t="s">
        <v>35</v>
      </c>
      <c r="U207" t="s">
        <v>36</v>
      </c>
      <c r="V207" s="4">
        <v>45199</v>
      </c>
      <c r="W207">
        <v>125</v>
      </c>
      <c r="X207">
        <v>125</v>
      </c>
      <c r="Y207">
        <v>125</v>
      </c>
      <c r="Z207">
        <v>0</v>
      </c>
    </row>
    <row r="208" spans="1:26" hidden="1" x14ac:dyDescent="0.25">
      <c r="A208" t="s">
        <v>619</v>
      </c>
      <c r="B208" t="s">
        <v>38</v>
      </c>
      <c r="C208" s="4">
        <v>43581</v>
      </c>
      <c r="D208" s="4">
        <v>44237</v>
      </c>
      <c r="F208" s="4">
        <v>44287</v>
      </c>
      <c r="G208" t="s">
        <v>52</v>
      </c>
      <c r="H208" t="s">
        <v>87</v>
      </c>
      <c r="K208" t="s">
        <v>53</v>
      </c>
      <c r="L208" t="s">
        <v>574</v>
      </c>
      <c r="M208" t="s">
        <v>54</v>
      </c>
      <c r="N208" t="s">
        <v>31</v>
      </c>
      <c r="O208" t="s">
        <v>32</v>
      </c>
      <c r="P208" t="s">
        <v>620</v>
      </c>
      <c r="Q208">
        <v>50</v>
      </c>
      <c r="R208">
        <v>50</v>
      </c>
      <c r="S208" t="s">
        <v>389</v>
      </c>
      <c r="T208" t="s">
        <v>584</v>
      </c>
      <c r="U208" t="s">
        <v>44</v>
      </c>
      <c r="W208">
        <v>0</v>
      </c>
      <c r="X208">
        <v>0</v>
      </c>
      <c r="Y208">
        <v>0</v>
      </c>
      <c r="Z208">
        <v>0</v>
      </c>
    </row>
    <row r="209" spans="1:26" hidden="1" x14ac:dyDescent="0.25">
      <c r="A209" t="s">
        <v>621</v>
      </c>
      <c r="B209" t="s">
        <v>38</v>
      </c>
      <c r="C209" s="4">
        <v>43581</v>
      </c>
      <c r="D209" s="4">
        <v>44897</v>
      </c>
      <c r="E209" s="4">
        <v>44790</v>
      </c>
      <c r="F209" s="4">
        <v>44287</v>
      </c>
      <c r="G209" t="s">
        <v>52</v>
      </c>
      <c r="H209" t="s">
        <v>87</v>
      </c>
      <c r="K209" t="s">
        <v>53</v>
      </c>
      <c r="L209" t="s">
        <v>574</v>
      </c>
      <c r="M209" t="s">
        <v>54</v>
      </c>
      <c r="N209" t="s">
        <v>31</v>
      </c>
      <c r="O209" t="s">
        <v>32</v>
      </c>
      <c r="P209" t="s">
        <v>620</v>
      </c>
      <c r="Q209">
        <v>50</v>
      </c>
      <c r="R209">
        <v>50</v>
      </c>
      <c r="S209" t="s">
        <v>389</v>
      </c>
      <c r="T209" t="s">
        <v>584</v>
      </c>
      <c r="U209" t="s">
        <v>38</v>
      </c>
      <c r="W209">
        <v>50</v>
      </c>
      <c r="X209">
        <v>49.5</v>
      </c>
      <c r="Y209">
        <v>49.5</v>
      </c>
      <c r="Z209">
        <v>49.5</v>
      </c>
    </row>
    <row r="210" spans="1:26" hidden="1" x14ac:dyDescent="0.25">
      <c r="A210" t="s">
        <v>622</v>
      </c>
      <c r="B210" t="s">
        <v>25</v>
      </c>
      <c r="C210" s="4">
        <v>43582</v>
      </c>
      <c r="F210" s="4">
        <v>45230</v>
      </c>
      <c r="G210" t="s">
        <v>117</v>
      </c>
      <c r="H210" t="s">
        <v>326</v>
      </c>
      <c r="K210" t="s">
        <v>83</v>
      </c>
      <c r="L210" t="s">
        <v>574</v>
      </c>
      <c r="M210" t="s">
        <v>84</v>
      </c>
      <c r="N210" t="s">
        <v>31</v>
      </c>
      <c r="O210" t="s">
        <v>32</v>
      </c>
      <c r="P210" t="s">
        <v>623</v>
      </c>
      <c r="Q210">
        <v>80</v>
      </c>
      <c r="R210">
        <v>80</v>
      </c>
      <c r="S210" t="s">
        <v>34</v>
      </c>
      <c r="T210" t="s">
        <v>35</v>
      </c>
      <c r="U210" t="s">
        <v>44</v>
      </c>
      <c r="V210" s="4">
        <v>45234</v>
      </c>
      <c r="W210">
        <v>80</v>
      </c>
      <c r="X210">
        <v>80</v>
      </c>
      <c r="Y210">
        <v>80</v>
      </c>
      <c r="Z210">
        <v>80</v>
      </c>
    </row>
    <row r="211" spans="1:26" hidden="1" x14ac:dyDescent="0.25">
      <c r="A211" t="s">
        <v>624</v>
      </c>
      <c r="B211" t="s">
        <v>25</v>
      </c>
      <c r="C211" s="4">
        <v>43582</v>
      </c>
      <c r="F211" s="4">
        <v>45230</v>
      </c>
      <c r="G211" t="s">
        <v>117</v>
      </c>
      <c r="H211" t="s">
        <v>326</v>
      </c>
      <c r="K211" t="s">
        <v>83</v>
      </c>
      <c r="L211" t="s">
        <v>574</v>
      </c>
      <c r="M211" t="s">
        <v>84</v>
      </c>
      <c r="N211" t="s">
        <v>31</v>
      </c>
      <c r="O211" t="s">
        <v>32</v>
      </c>
      <c r="P211" t="s">
        <v>625</v>
      </c>
      <c r="Q211">
        <v>80</v>
      </c>
      <c r="R211">
        <v>80</v>
      </c>
      <c r="S211" t="s">
        <v>34</v>
      </c>
      <c r="T211" t="s">
        <v>35</v>
      </c>
      <c r="U211" t="s">
        <v>44</v>
      </c>
      <c r="V211" s="4">
        <v>45234</v>
      </c>
      <c r="W211">
        <v>80</v>
      </c>
      <c r="X211">
        <v>80</v>
      </c>
      <c r="Y211">
        <v>80</v>
      </c>
      <c r="Z211">
        <v>80</v>
      </c>
    </row>
    <row r="212" spans="1:26" hidden="1" x14ac:dyDescent="0.25">
      <c r="A212" t="s">
        <v>626</v>
      </c>
      <c r="B212" t="s">
        <v>25</v>
      </c>
      <c r="C212" s="4">
        <v>43582</v>
      </c>
      <c r="E212" s="4">
        <v>44790</v>
      </c>
      <c r="F212" s="4">
        <v>45230</v>
      </c>
      <c r="G212" t="s">
        <v>52</v>
      </c>
      <c r="H212" t="s">
        <v>627</v>
      </c>
      <c r="K212" t="s">
        <v>53</v>
      </c>
      <c r="L212" t="s">
        <v>574</v>
      </c>
      <c r="M212" t="s">
        <v>54</v>
      </c>
      <c r="N212" t="s">
        <v>31</v>
      </c>
      <c r="O212" t="s">
        <v>32</v>
      </c>
      <c r="P212" t="s">
        <v>628</v>
      </c>
      <c r="Q212">
        <v>50</v>
      </c>
      <c r="R212">
        <v>50</v>
      </c>
      <c r="S212" t="s">
        <v>34</v>
      </c>
      <c r="T212" t="s">
        <v>35</v>
      </c>
      <c r="U212" t="s">
        <v>44</v>
      </c>
      <c r="V212" s="4">
        <v>45747</v>
      </c>
      <c r="W212">
        <v>50</v>
      </c>
      <c r="X212">
        <v>50</v>
      </c>
      <c r="Y212">
        <v>50</v>
      </c>
      <c r="Z212">
        <v>50</v>
      </c>
    </row>
    <row r="213" spans="1:26" hidden="1" x14ac:dyDescent="0.25">
      <c r="A213" t="s">
        <v>629</v>
      </c>
      <c r="B213" t="s">
        <v>38</v>
      </c>
      <c r="C213" s="4">
        <v>43582</v>
      </c>
      <c r="D213" s="4">
        <v>44238</v>
      </c>
      <c r="F213" s="4">
        <v>45230</v>
      </c>
      <c r="G213" t="s">
        <v>527</v>
      </c>
      <c r="H213" t="s">
        <v>630</v>
      </c>
      <c r="K213" t="s">
        <v>53</v>
      </c>
      <c r="L213" t="s">
        <v>574</v>
      </c>
      <c r="M213" t="s">
        <v>54</v>
      </c>
      <c r="N213" t="s">
        <v>31</v>
      </c>
      <c r="O213" t="s">
        <v>32</v>
      </c>
      <c r="P213" t="s">
        <v>631</v>
      </c>
      <c r="Q213">
        <v>50</v>
      </c>
      <c r="R213">
        <v>50</v>
      </c>
      <c r="S213" t="s">
        <v>34</v>
      </c>
      <c r="T213" t="s">
        <v>35</v>
      </c>
      <c r="U213" t="s">
        <v>44</v>
      </c>
      <c r="W213">
        <v>0</v>
      </c>
      <c r="X213">
        <v>0</v>
      </c>
      <c r="Y213">
        <v>0</v>
      </c>
      <c r="Z213">
        <v>0</v>
      </c>
    </row>
    <row r="214" spans="1:26" hidden="1" x14ac:dyDescent="0.25">
      <c r="A214" t="s">
        <v>632</v>
      </c>
      <c r="B214" t="s">
        <v>38</v>
      </c>
      <c r="C214" s="4">
        <v>43582</v>
      </c>
      <c r="D214" s="4">
        <v>44279</v>
      </c>
      <c r="F214" s="4">
        <v>45230</v>
      </c>
      <c r="G214" t="s">
        <v>39</v>
      </c>
      <c r="H214" t="s">
        <v>174</v>
      </c>
      <c r="K214" t="s">
        <v>41</v>
      </c>
      <c r="L214" t="s">
        <v>574</v>
      </c>
      <c r="M214" t="s">
        <v>42</v>
      </c>
      <c r="N214" t="s">
        <v>31</v>
      </c>
      <c r="O214" t="s">
        <v>32</v>
      </c>
      <c r="P214" t="s">
        <v>633</v>
      </c>
      <c r="Q214">
        <v>60</v>
      </c>
      <c r="R214">
        <v>60</v>
      </c>
      <c r="S214" t="s">
        <v>34</v>
      </c>
      <c r="T214" t="s">
        <v>35</v>
      </c>
      <c r="U214" t="s">
        <v>44</v>
      </c>
      <c r="W214">
        <v>0</v>
      </c>
      <c r="X214">
        <v>0</v>
      </c>
      <c r="Y214">
        <v>0</v>
      </c>
      <c r="Z214">
        <v>0</v>
      </c>
    </row>
    <row r="215" spans="1:26" hidden="1" x14ac:dyDescent="0.25">
      <c r="A215" t="s">
        <v>634</v>
      </c>
      <c r="B215" t="s">
        <v>25</v>
      </c>
      <c r="C215" s="4">
        <v>43582</v>
      </c>
      <c r="F215" s="4">
        <v>44926</v>
      </c>
      <c r="G215" t="s">
        <v>107</v>
      </c>
      <c r="H215" t="s">
        <v>635</v>
      </c>
      <c r="K215" t="s">
        <v>109</v>
      </c>
      <c r="L215" t="s">
        <v>574</v>
      </c>
      <c r="M215" t="s">
        <v>84</v>
      </c>
      <c r="N215" t="s">
        <v>31</v>
      </c>
      <c r="O215" t="s">
        <v>32</v>
      </c>
      <c r="P215" t="s">
        <v>636</v>
      </c>
      <c r="Q215">
        <v>60</v>
      </c>
      <c r="R215">
        <v>60</v>
      </c>
      <c r="S215" t="s">
        <v>637</v>
      </c>
      <c r="T215" t="s">
        <v>638</v>
      </c>
      <c r="U215" t="s">
        <v>44</v>
      </c>
      <c r="V215" s="4">
        <v>45598</v>
      </c>
      <c r="W215">
        <v>60</v>
      </c>
      <c r="X215">
        <v>60</v>
      </c>
      <c r="Y215">
        <v>60</v>
      </c>
      <c r="Z215">
        <v>60</v>
      </c>
    </row>
    <row r="216" spans="1:26" hidden="1" x14ac:dyDescent="0.25">
      <c r="A216" t="s">
        <v>639</v>
      </c>
      <c r="B216" t="s">
        <v>25</v>
      </c>
      <c r="C216" s="4">
        <v>43582</v>
      </c>
      <c r="F216" s="4">
        <v>44864</v>
      </c>
      <c r="G216" t="s">
        <v>26</v>
      </c>
      <c r="H216" t="s">
        <v>640</v>
      </c>
      <c r="K216" t="s">
        <v>28</v>
      </c>
      <c r="L216" t="s">
        <v>574</v>
      </c>
      <c r="M216" t="s">
        <v>30</v>
      </c>
      <c r="N216" t="s">
        <v>31</v>
      </c>
      <c r="O216" t="s">
        <v>32</v>
      </c>
      <c r="P216" t="s">
        <v>641</v>
      </c>
      <c r="Q216">
        <v>300</v>
      </c>
      <c r="R216">
        <v>300</v>
      </c>
      <c r="S216" t="s">
        <v>34</v>
      </c>
      <c r="T216" t="s">
        <v>35</v>
      </c>
      <c r="U216" t="s">
        <v>44</v>
      </c>
      <c r="V216" s="4">
        <v>45809</v>
      </c>
      <c r="W216">
        <v>300</v>
      </c>
      <c r="X216">
        <v>300</v>
      </c>
      <c r="Y216">
        <v>300</v>
      </c>
      <c r="Z216">
        <v>240</v>
      </c>
    </row>
    <row r="217" spans="1:26" hidden="1" x14ac:dyDescent="0.25">
      <c r="A217" t="s">
        <v>642</v>
      </c>
      <c r="B217" t="s">
        <v>25</v>
      </c>
      <c r="C217" s="4">
        <v>43582</v>
      </c>
      <c r="E217" s="4">
        <v>44586</v>
      </c>
      <c r="F217" s="4">
        <v>44864</v>
      </c>
      <c r="G217" t="s">
        <v>65</v>
      </c>
      <c r="H217" t="s">
        <v>643</v>
      </c>
      <c r="K217" t="s">
        <v>67</v>
      </c>
      <c r="L217" t="s">
        <v>574</v>
      </c>
      <c r="M217" t="s">
        <v>68</v>
      </c>
      <c r="N217" t="s">
        <v>31</v>
      </c>
      <c r="O217" t="s">
        <v>32</v>
      </c>
      <c r="P217" t="s">
        <v>644</v>
      </c>
      <c r="Q217">
        <v>200</v>
      </c>
      <c r="R217">
        <v>200</v>
      </c>
      <c r="S217" t="s">
        <v>34</v>
      </c>
      <c r="T217" t="s">
        <v>35</v>
      </c>
      <c r="U217" t="s">
        <v>44</v>
      </c>
      <c r="V217" s="4">
        <v>45444</v>
      </c>
      <c r="W217">
        <v>155</v>
      </c>
      <c r="X217">
        <v>155</v>
      </c>
      <c r="Y217">
        <v>155</v>
      </c>
      <c r="Z217">
        <v>155</v>
      </c>
    </row>
    <row r="218" spans="1:26" hidden="1" x14ac:dyDescent="0.25">
      <c r="A218" t="s">
        <v>645</v>
      </c>
      <c r="B218" t="s">
        <v>25</v>
      </c>
      <c r="C218" s="4">
        <v>43582</v>
      </c>
      <c r="F218" s="4">
        <v>45229</v>
      </c>
      <c r="G218" t="s">
        <v>117</v>
      </c>
      <c r="H218" t="s">
        <v>166</v>
      </c>
      <c r="K218" t="s">
        <v>83</v>
      </c>
      <c r="L218" t="s">
        <v>574</v>
      </c>
      <c r="M218" t="s">
        <v>84</v>
      </c>
      <c r="N218" t="s">
        <v>31</v>
      </c>
      <c r="O218" t="s">
        <v>32</v>
      </c>
      <c r="P218" t="s">
        <v>646</v>
      </c>
      <c r="Q218">
        <v>250</v>
      </c>
      <c r="R218">
        <v>250</v>
      </c>
      <c r="S218" t="s">
        <v>34</v>
      </c>
      <c r="T218" t="s">
        <v>35</v>
      </c>
      <c r="U218" t="s">
        <v>44</v>
      </c>
      <c r="V218" s="4">
        <v>46174</v>
      </c>
      <c r="W218">
        <v>185</v>
      </c>
      <c r="X218">
        <v>185</v>
      </c>
      <c r="Y218">
        <v>185</v>
      </c>
      <c r="Z218">
        <v>185</v>
      </c>
    </row>
    <row r="219" spans="1:26" hidden="1" x14ac:dyDescent="0.25">
      <c r="A219" t="s">
        <v>647</v>
      </c>
      <c r="B219" t="s">
        <v>38</v>
      </c>
      <c r="C219" s="4">
        <v>43582</v>
      </c>
      <c r="D219" s="4">
        <v>44273</v>
      </c>
      <c r="F219" s="4">
        <v>44864</v>
      </c>
      <c r="G219" t="s">
        <v>616</v>
      </c>
      <c r="H219" t="s">
        <v>648</v>
      </c>
      <c r="K219" t="s">
        <v>146</v>
      </c>
      <c r="L219" t="s">
        <v>574</v>
      </c>
      <c r="M219" t="s">
        <v>68</v>
      </c>
      <c r="N219" t="s">
        <v>31</v>
      </c>
      <c r="O219" t="s">
        <v>32</v>
      </c>
      <c r="P219" t="s">
        <v>649</v>
      </c>
      <c r="Q219">
        <v>200</v>
      </c>
      <c r="R219">
        <v>200</v>
      </c>
      <c r="S219" t="s">
        <v>34</v>
      </c>
      <c r="T219" t="s">
        <v>35</v>
      </c>
      <c r="U219" t="s">
        <v>44</v>
      </c>
      <c r="W219">
        <v>200</v>
      </c>
      <c r="X219">
        <v>200</v>
      </c>
      <c r="Y219">
        <v>0</v>
      </c>
      <c r="Z219">
        <v>0</v>
      </c>
    </row>
    <row r="220" spans="1:26" hidden="1" x14ac:dyDescent="0.25">
      <c r="A220" t="s">
        <v>650</v>
      </c>
      <c r="B220" t="s">
        <v>25</v>
      </c>
      <c r="C220" s="4">
        <v>43582</v>
      </c>
      <c r="E220" s="4">
        <v>44952</v>
      </c>
      <c r="F220" s="4">
        <v>45229</v>
      </c>
      <c r="G220" t="s">
        <v>128</v>
      </c>
      <c r="H220" t="s">
        <v>651</v>
      </c>
      <c r="K220" t="s">
        <v>209</v>
      </c>
      <c r="L220" t="s">
        <v>574</v>
      </c>
      <c r="M220" t="s">
        <v>42</v>
      </c>
      <c r="N220" t="s">
        <v>31</v>
      </c>
      <c r="O220" t="s">
        <v>32</v>
      </c>
      <c r="P220" t="s">
        <v>652</v>
      </c>
      <c r="Q220">
        <v>200</v>
      </c>
      <c r="R220">
        <v>200</v>
      </c>
      <c r="S220" t="s">
        <v>34</v>
      </c>
      <c r="T220" t="s">
        <v>35</v>
      </c>
      <c r="U220" t="s">
        <v>44</v>
      </c>
      <c r="V220" s="4">
        <v>46203</v>
      </c>
      <c r="W220">
        <v>200</v>
      </c>
      <c r="X220">
        <v>200</v>
      </c>
      <c r="Y220">
        <v>200</v>
      </c>
      <c r="Z220">
        <v>160</v>
      </c>
    </row>
    <row r="221" spans="1:26" hidden="1" x14ac:dyDescent="0.25">
      <c r="A221" t="s">
        <v>653</v>
      </c>
      <c r="B221" t="s">
        <v>25</v>
      </c>
      <c r="C221" s="4">
        <v>43582</v>
      </c>
      <c r="E221" s="4">
        <v>44530</v>
      </c>
      <c r="F221" s="4">
        <v>44864</v>
      </c>
      <c r="G221" t="s">
        <v>144</v>
      </c>
      <c r="H221" t="s">
        <v>654</v>
      </c>
      <c r="K221" t="s">
        <v>146</v>
      </c>
      <c r="L221" t="s">
        <v>574</v>
      </c>
      <c r="M221" t="s">
        <v>68</v>
      </c>
      <c r="N221" t="s">
        <v>31</v>
      </c>
      <c r="O221" t="s">
        <v>32</v>
      </c>
      <c r="P221" t="s">
        <v>655</v>
      </c>
      <c r="Q221">
        <v>100</v>
      </c>
      <c r="R221">
        <v>100</v>
      </c>
      <c r="S221" t="s">
        <v>34</v>
      </c>
      <c r="T221" t="s">
        <v>35</v>
      </c>
      <c r="U221" t="s">
        <v>70</v>
      </c>
      <c r="V221" s="4">
        <v>45559</v>
      </c>
      <c r="W221">
        <v>100</v>
      </c>
      <c r="X221">
        <v>100</v>
      </c>
      <c r="Y221">
        <v>100</v>
      </c>
      <c r="Z221">
        <v>100</v>
      </c>
    </row>
    <row r="222" spans="1:26" hidden="1" x14ac:dyDescent="0.25">
      <c r="A222" t="s">
        <v>656</v>
      </c>
      <c r="B222" t="s">
        <v>38</v>
      </c>
      <c r="C222" s="4">
        <v>43582</v>
      </c>
      <c r="D222" s="4">
        <v>44047</v>
      </c>
      <c r="F222" s="4">
        <v>44864</v>
      </c>
      <c r="G222" t="s">
        <v>616</v>
      </c>
      <c r="H222" t="s">
        <v>657</v>
      </c>
      <c r="K222" t="s">
        <v>146</v>
      </c>
      <c r="L222" t="s">
        <v>574</v>
      </c>
      <c r="M222" t="s">
        <v>68</v>
      </c>
      <c r="N222" t="s">
        <v>31</v>
      </c>
      <c r="O222" t="s">
        <v>32</v>
      </c>
      <c r="P222" t="s">
        <v>658</v>
      </c>
      <c r="Q222">
        <v>200</v>
      </c>
      <c r="R222">
        <v>200</v>
      </c>
      <c r="S222" t="s">
        <v>34</v>
      </c>
      <c r="T222" t="s">
        <v>35</v>
      </c>
      <c r="U222" t="s">
        <v>44</v>
      </c>
      <c r="W222">
        <v>0</v>
      </c>
      <c r="X222">
        <v>0</v>
      </c>
      <c r="Y222">
        <v>0</v>
      </c>
      <c r="Z222">
        <v>0</v>
      </c>
    </row>
    <row r="223" spans="1:26" hidden="1" x14ac:dyDescent="0.25">
      <c r="A223" t="s">
        <v>659</v>
      </c>
      <c r="B223" t="s">
        <v>25</v>
      </c>
      <c r="C223" s="4">
        <v>43582</v>
      </c>
      <c r="F223" s="4">
        <v>45229</v>
      </c>
      <c r="G223" t="s">
        <v>173</v>
      </c>
      <c r="H223" t="s">
        <v>660</v>
      </c>
      <c r="K223" t="s">
        <v>41</v>
      </c>
      <c r="L223" t="s">
        <v>574</v>
      </c>
      <c r="M223" t="s">
        <v>42</v>
      </c>
      <c r="N223" t="s">
        <v>31</v>
      </c>
      <c r="O223" t="s">
        <v>32</v>
      </c>
      <c r="P223" t="s">
        <v>661</v>
      </c>
      <c r="Q223">
        <v>150</v>
      </c>
      <c r="R223">
        <v>150</v>
      </c>
      <c r="S223" t="s">
        <v>34</v>
      </c>
      <c r="T223" t="s">
        <v>35</v>
      </c>
      <c r="U223" t="s">
        <v>44</v>
      </c>
      <c r="V223" s="4">
        <v>47056</v>
      </c>
      <c r="W223">
        <v>150</v>
      </c>
      <c r="X223">
        <v>150</v>
      </c>
      <c r="Y223">
        <v>150</v>
      </c>
      <c r="Z223">
        <v>120</v>
      </c>
    </row>
    <row r="224" spans="1:26" hidden="1" x14ac:dyDescent="0.25">
      <c r="A224" t="s">
        <v>662</v>
      </c>
      <c r="B224" t="s">
        <v>38</v>
      </c>
      <c r="C224" s="4">
        <v>43582</v>
      </c>
      <c r="D224" s="4">
        <v>44413</v>
      </c>
      <c r="F224" s="4">
        <v>44864</v>
      </c>
      <c r="G224" t="s">
        <v>107</v>
      </c>
      <c r="H224" t="s">
        <v>663</v>
      </c>
      <c r="K224" t="s">
        <v>109</v>
      </c>
      <c r="L224" t="s">
        <v>574</v>
      </c>
      <c r="M224" t="s">
        <v>84</v>
      </c>
      <c r="N224" t="s">
        <v>31</v>
      </c>
      <c r="O224" t="s">
        <v>32</v>
      </c>
      <c r="P224" t="s">
        <v>136</v>
      </c>
      <c r="Q224">
        <v>200</v>
      </c>
      <c r="R224">
        <v>200</v>
      </c>
      <c r="S224" t="s">
        <v>34</v>
      </c>
      <c r="T224" t="s">
        <v>35</v>
      </c>
      <c r="U224" t="s">
        <v>44</v>
      </c>
      <c r="W224">
        <v>0</v>
      </c>
      <c r="X224">
        <v>0</v>
      </c>
      <c r="Y224">
        <v>0</v>
      </c>
      <c r="Z224">
        <v>0</v>
      </c>
    </row>
    <row r="225" spans="1:26" hidden="1" x14ac:dyDescent="0.25">
      <c r="A225" t="s">
        <v>664</v>
      </c>
      <c r="B225" t="s">
        <v>38</v>
      </c>
      <c r="C225" s="4">
        <v>43582</v>
      </c>
      <c r="D225" s="4">
        <v>44273</v>
      </c>
      <c r="F225" s="4">
        <v>45229</v>
      </c>
      <c r="G225" t="s">
        <v>261</v>
      </c>
      <c r="H225" t="s">
        <v>139</v>
      </c>
      <c r="K225" t="s">
        <v>114</v>
      </c>
      <c r="L225" t="s">
        <v>574</v>
      </c>
      <c r="M225" t="s">
        <v>68</v>
      </c>
      <c r="N225" t="s">
        <v>31</v>
      </c>
      <c r="O225" t="s">
        <v>32</v>
      </c>
      <c r="P225" t="s">
        <v>665</v>
      </c>
      <c r="Q225">
        <v>150</v>
      </c>
      <c r="R225">
        <v>150</v>
      </c>
      <c r="S225" t="s">
        <v>34</v>
      </c>
      <c r="T225" t="s">
        <v>35</v>
      </c>
      <c r="U225" t="s">
        <v>44</v>
      </c>
      <c r="W225">
        <v>75</v>
      </c>
      <c r="X225">
        <v>75</v>
      </c>
      <c r="Y225">
        <v>0</v>
      </c>
      <c r="Z225">
        <v>0</v>
      </c>
    </row>
    <row r="226" spans="1:26" hidden="1" x14ac:dyDescent="0.25">
      <c r="A226" t="s">
        <v>666</v>
      </c>
      <c r="B226" t="s">
        <v>25</v>
      </c>
      <c r="C226" s="4">
        <v>43582</v>
      </c>
      <c r="F226" s="4">
        <v>44864</v>
      </c>
      <c r="G226" t="s">
        <v>72</v>
      </c>
      <c r="H226" t="s">
        <v>200</v>
      </c>
      <c r="K226" t="s">
        <v>53</v>
      </c>
      <c r="L226" t="s">
        <v>574</v>
      </c>
      <c r="M226" t="s">
        <v>54</v>
      </c>
      <c r="N226" t="s">
        <v>31</v>
      </c>
      <c r="O226" t="s">
        <v>32</v>
      </c>
      <c r="P226" t="s">
        <v>667</v>
      </c>
      <c r="Q226">
        <v>170</v>
      </c>
      <c r="R226">
        <v>170</v>
      </c>
      <c r="S226" t="s">
        <v>34</v>
      </c>
      <c r="T226" t="s">
        <v>35</v>
      </c>
      <c r="U226" t="s">
        <v>70</v>
      </c>
      <c r="V226" s="4">
        <v>45960</v>
      </c>
      <c r="W226">
        <v>170</v>
      </c>
      <c r="X226">
        <v>170</v>
      </c>
      <c r="Y226">
        <v>153</v>
      </c>
      <c r="Z226">
        <v>153</v>
      </c>
    </row>
    <row r="227" spans="1:26" hidden="1" x14ac:dyDescent="0.25">
      <c r="A227" t="s">
        <v>668</v>
      </c>
      <c r="B227" t="s">
        <v>38</v>
      </c>
      <c r="C227" s="4">
        <v>43582</v>
      </c>
      <c r="D227" s="4">
        <v>44413</v>
      </c>
      <c r="F227" s="4">
        <v>45198</v>
      </c>
      <c r="G227" t="s">
        <v>117</v>
      </c>
      <c r="H227" t="s">
        <v>166</v>
      </c>
      <c r="K227" t="s">
        <v>83</v>
      </c>
      <c r="L227" t="s">
        <v>574</v>
      </c>
      <c r="M227" t="s">
        <v>84</v>
      </c>
      <c r="N227" t="s">
        <v>31</v>
      </c>
      <c r="O227" t="s">
        <v>32</v>
      </c>
      <c r="P227" t="s">
        <v>669</v>
      </c>
      <c r="Q227">
        <v>160</v>
      </c>
      <c r="R227">
        <v>160</v>
      </c>
      <c r="S227" t="s">
        <v>34</v>
      </c>
      <c r="T227" t="s">
        <v>35</v>
      </c>
      <c r="U227" t="s">
        <v>44</v>
      </c>
      <c r="W227">
        <v>0</v>
      </c>
      <c r="X227">
        <v>0</v>
      </c>
      <c r="Y227">
        <v>0</v>
      </c>
      <c r="Z227">
        <v>0</v>
      </c>
    </row>
    <row r="228" spans="1:26" hidden="1" x14ac:dyDescent="0.25">
      <c r="A228" t="s">
        <v>670</v>
      </c>
      <c r="B228" t="s">
        <v>25</v>
      </c>
      <c r="C228" s="4">
        <v>43582</v>
      </c>
      <c r="E228" s="4">
        <v>44790</v>
      </c>
      <c r="F228" s="4">
        <v>45198</v>
      </c>
      <c r="G228" t="s">
        <v>52</v>
      </c>
      <c r="H228" t="s">
        <v>528</v>
      </c>
      <c r="K228" t="s">
        <v>53</v>
      </c>
      <c r="L228" t="s">
        <v>574</v>
      </c>
      <c r="M228" t="s">
        <v>54</v>
      </c>
      <c r="N228" t="s">
        <v>31</v>
      </c>
      <c r="O228" t="s">
        <v>32</v>
      </c>
      <c r="P228" t="s">
        <v>671</v>
      </c>
      <c r="Q228">
        <v>200</v>
      </c>
      <c r="R228">
        <v>200</v>
      </c>
      <c r="S228" t="s">
        <v>34</v>
      </c>
      <c r="T228" t="s">
        <v>35</v>
      </c>
      <c r="U228" t="s">
        <v>70</v>
      </c>
      <c r="V228" s="4">
        <v>45505</v>
      </c>
      <c r="W228">
        <v>200</v>
      </c>
      <c r="X228">
        <v>200</v>
      </c>
      <c r="Y228">
        <v>200</v>
      </c>
      <c r="Z228">
        <v>200</v>
      </c>
    </row>
    <row r="229" spans="1:26" hidden="1" x14ac:dyDescent="0.25">
      <c r="A229" t="s">
        <v>672</v>
      </c>
      <c r="B229" t="s">
        <v>38</v>
      </c>
      <c r="C229" s="4">
        <v>43582</v>
      </c>
      <c r="D229" s="4">
        <v>44413</v>
      </c>
      <c r="F229" s="4">
        <v>45198</v>
      </c>
      <c r="G229" t="s">
        <v>96</v>
      </c>
      <c r="H229" t="s">
        <v>673</v>
      </c>
      <c r="K229" t="s">
        <v>98</v>
      </c>
      <c r="L229" t="s">
        <v>574</v>
      </c>
      <c r="M229" t="s">
        <v>84</v>
      </c>
      <c r="N229" t="s">
        <v>31</v>
      </c>
      <c r="O229" t="s">
        <v>32</v>
      </c>
      <c r="P229" t="s">
        <v>674</v>
      </c>
      <c r="Q229">
        <v>125</v>
      </c>
      <c r="R229">
        <v>125</v>
      </c>
      <c r="S229" t="s">
        <v>34</v>
      </c>
      <c r="T229" t="s">
        <v>35</v>
      </c>
      <c r="U229" t="s">
        <v>44</v>
      </c>
      <c r="W229">
        <v>0</v>
      </c>
      <c r="X229">
        <v>0</v>
      </c>
      <c r="Y229">
        <v>0</v>
      </c>
      <c r="Z229">
        <v>0</v>
      </c>
    </row>
    <row r="230" spans="1:26" hidden="1" x14ac:dyDescent="0.25">
      <c r="A230" t="s">
        <v>675</v>
      </c>
      <c r="B230" t="s">
        <v>38</v>
      </c>
      <c r="C230" s="4">
        <v>43582</v>
      </c>
      <c r="D230" s="4">
        <v>43774</v>
      </c>
      <c r="F230" s="4">
        <v>45198</v>
      </c>
      <c r="G230" t="s">
        <v>72</v>
      </c>
      <c r="H230" t="s">
        <v>73</v>
      </c>
      <c r="K230" t="s">
        <v>41</v>
      </c>
      <c r="L230" t="s">
        <v>574</v>
      </c>
      <c r="M230" t="s">
        <v>42</v>
      </c>
      <c r="N230" t="s">
        <v>31</v>
      </c>
      <c r="O230" t="s">
        <v>32</v>
      </c>
      <c r="P230" t="s">
        <v>676</v>
      </c>
      <c r="Q230">
        <v>100</v>
      </c>
      <c r="R230">
        <v>100</v>
      </c>
      <c r="S230" t="s">
        <v>34</v>
      </c>
      <c r="T230" t="s">
        <v>35</v>
      </c>
      <c r="U230" t="s">
        <v>44</v>
      </c>
      <c r="W230">
        <v>0</v>
      </c>
      <c r="X230">
        <v>0</v>
      </c>
      <c r="Y230">
        <v>0</v>
      </c>
      <c r="Z230">
        <v>0</v>
      </c>
    </row>
    <row r="231" spans="1:26" hidden="1" x14ac:dyDescent="0.25">
      <c r="A231" t="s">
        <v>677</v>
      </c>
      <c r="B231" t="s">
        <v>25</v>
      </c>
      <c r="C231" s="4">
        <v>43584</v>
      </c>
      <c r="E231" s="4">
        <v>44952</v>
      </c>
      <c r="F231" s="4">
        <v>45229</v>
      </c>
      <c r="G231" t="s">
        <v>128</v>
      </c>
      <c r="H231" t="s">
        <v>651</v>
      </c>
      <c r="K231" t="s">
        <v>209</v>
      </c>
      <c r="L231" t="s">
        <v>574</v>
      </c>
      <c r="M231" t="s">
        <v>42</v>
      </c>
      <c r="N231" t="s">
        <v>31</v>
      </c>
      <c r="O231" t="s">
        <v>32</v>
      </c>
      <c r="P231" t="s">
        <v>678</v>
      </c>
      <c r="Q231">
        <v>50</v>
      </c>
      <c r="R231">
        <v>50</v>
      </c>
      <c r="S231" t="s">
        <v>159</v>
      </c>
      <c r="T231" t="s">
        <v>159</v>
      </c>
      <c r="U231" t="s">
        <v>44</v>
      </c>
      <c r="V231" s="4">
        <v>46203</v>
      </c>
      <c r="W231">
        <v>50</v>
      </c>
      <c r="X231">
        <v>50</v>
      </c>
      <c r="Y231">
        <v>50</v>
      </c>
      <c r="Z231">
        <v>50</v>
      </c>
    </row>
    <row r="232" spans="1:26" hidden="1" x14ac:dyDescent="0.25">
      <c r="A232" t="s">
        <v>679</v>
      </c>
      <c r="B232" t="s">
        <v>38</v>
      </c>
      <c r="C232" s="4">
        <v>43582</v>
      </c>
      <c r="D232" s="4">
        <v>44279</v>
      </c>
      <c r="F232" s="4">
        <v>45229</v>
      </c>
      <c r="G232" t="s">
        <v>173</v>
      </c>
      <c r="H232" t="s">
        <v>660</v>
      </c>
      <c r="K232" t="s">
        <v>41</v>
      </c>
      <c r="L232" t="s">
        <v>574</v>
      </c>
      <c r="M232" t="s">
        <v>42</v>
      </c>
      <c r="N232" t="s">
        <v>31</v>
      </c>
      <c r="O232" t="s">
        <v>32</v>
      </c>
      <c r="P232" t="s">
        <v>661</v>
      </c>
      <c r="Q232">
        <v>40</v>
      </c>
      <c r="R232">
        <v>40</v>
      </c>
      <c r="S232" t="s">
        <v>159</v>
      </c>
      <c r="T232" t="s">
        <v>159</v>
      </c>
      <c r="U232" t="s">
        <v>44</v>
      </c>
      <c r="W232">
        <v>0</v>
      </c>
      <c r="X232">
        <v>0</v>
      </c>
      <c r="Y232">
        <v>0</v>
      </c>
      <c r="Z232">
        <v>0</v>
      </c>
    </row>
    <row r="233" spans="1:26" hidden="1" x14ac:dyDescent="0.25">
      <c r="A233" t="s">
        <v>680</v>
      </c>
      <c r="B233" t="s">
        <v>38</v>
      </c>
      <c r="C233" s="4">
        <v>43583</v>
      </c>
      <c r="D233" s="4">
        <v>45639</v>
      </c>
      <c r="F233" s="4">
        <v>44805</v>
      </c>
      <c r="G233" t="s">
        <v>681</v>
      </c>
      <c r="H233" t="s">
        <v>682</v>
      </c>
      <c r="K233" t="s">
        <v>683</v>
      </c>
      <c r="L233" t="s">
        <v>574</v>
      </c>
      <c r="M233" t="s">
        <v>84</v>
      </c>
      <c r="N233" t="s">
        <v>31</v>
      </c>
      <c r="O233" t="s">
        <v>32</v>
      </c>
      <c r="P233" t="s">
        <v>684</v>
      </c>
      <c r="Q233">
        <v>125</v>
      </c>
      <c r="R233">
        <v>125</v>
      </c>
      <c r="S233" t="s">
        <v>34</v>
      </c>
      <c r="T233" t="s">
        <v>35</v>
      </c>
      <c r="U233" t="s">
        <v>38</v>
      </c>
      <c r="V233" s="4">
        <v>45901</v>
      </c>
      <c r="W233">
        <v>125</v>
      </c>
      <c r="X233">
        <v>125</v>
      </c>
      <c r="Y233">
        <v>125</v>
      </c>
      <c r="Z233">
        <v>125</v>
      </c>
    </row>
    <row r="234" spans="1:26" hidden="1" x14ac:dyDescent="0.25">
      <c r="A234" t="s">
        <v>685</v>
      </c>
      <c r="B234" t="s">
        <v>25</v>
      </c>
      <c r="C234" s="4">
        <v>43584</v>
      </c>
      <c r="F234" s="4">
        <v>44743</v>
      </c>
      <c r="G234" t="s">
        <v>117</v>
      </c>
      <c r="H234" t="s">
        <v>686</v>
      </c>
      <c r="K234" t="s">
        <v>83</v>
      </c>
      <c r="L234" t="s">
        <v>574</v>
      </c>
      <c r="M234" t="s">
        <v>84</v>
      </c>
      <c r="N234" t="s">
        <v>31</v>
      </c>
      <c r="O234" t="s">
        <v>32</v>
      </c>
      <c r="P234" t="s">
        <v>687</v>
      </c>
      <c r="Q234">
        <v>99</v>
      </c>
      <c r="R234">
        <v>99</v>
      </c>
      <c r="S234" t="s">
        <v>34</v>
      </c>
      <c r="T234" t="s">
        <v>35</v>
      </c>
      <c r="U234" t="s">
        <v>44</v>
      </c>
      <c r="V234" s="4">
        <v>45839</v>
      </c>
      <c r="W234">
        <v>99</v>
      </c>
      <c r="X234">
        <v>99</v>
      </c>
      <c r="Y234">
        <v>99</v>
      </c>
      <c r="Z234">
        <v>99</v>
      </c>
    </row>
    <row r="235" spans="1:26" hidden="1" x14ac:dyDescent="0.25">
      <c r="A235" t="s">
        <v>688</v>
      </c>
      <c r="B235" t="s">
        <v>38</v>
      </c>
      <c r="C235" s="4">
        <v>43584</v>
      </c>
      <c r="D235" s="4">
        <v>44963</v>
      </c>
      <c r="F235" s="4">
        <v>45229</v>
      </c>
      <c r="G235" t="s">
        <v>96</v>
      </c>
      <c r="H235" t="s">
        <v>139</v>
      </c>
      <c r="K235" t="s">
        <v>98</v>
      </c>
      <c r="L235" t="s">
        <v>574</v>
      </c>
      <c r="M235" t="s">
        <v>84</v>
      </c>
      <c r="N235" t="s">
        <v>31</v>
      </c>
      <c r="O235" t="s">
        <v>32</v>
      </c>
      <c r="P235" t="s">
        <v>689</v>
      </c>
      <c r="Q235">
        <v>32.5</v>
      </c>
      <c r="R235">
        <v>32.5</v>
      </c>
      <c r="S235" t="s">
        <v>159</v>
      </c>
      <c r="T235" t="s">
        <v>159</v>
      </c>
      <c r="U235" t="s">
        <v>44</v>
      </c>
      <c r="W235">
        <v>32.5</v>
      </c>
      <c r="X235">
        <v>32.5</v>
      </c>
      <c r="Y235">
        <v>32.5</v>
      </c>
      <c r="Z235">
        <v>32.5</v>
      </c>
    </row>
    <row r="236" spans="1:26" hidden="1" x14ac:dyDescent="0.25">
      <c r="A236" t="s">
        <v>690</v>
      </c>
      <c r="B236" t="s">
        <v>25</v>
      </c>
      <c r="C236" s="4">
        <v>43584</v>
      </c>
      <c r="F236" s="4">
        <v>45230</v>
      </c>
      <c r="G236" t="s">
        <v>691</v>
      </c>
      <c r="H236" t="s">
        <v>133</v>
      </c>
      <c r="K236" t="s">
        <v>98</v>
      </c>
      <c r="L236" t="s">
        <v>574</v>
      </c>
      <c r="M236" t="s">
        <v>84</v>
      </c>
      <c r="N236" t="s">
        <v>31</v>
      </c>
      <c r="O236" t="s">
        <v>32</v>
      </c>
      <c r="P236" t="s">
        <v>692</v>
      </c>
      <c r="Q236">
        <v>100</v>
      </c>
      <c r="R236">
        <v>100</v>
      </c>
      <c r="S236" t="s">
        <v>34</v>
      </c>
      <c r="T236" t="s">
        <v>35</v>
      </c>
      <c r="U236" t="s">
        <v>44</v>
      </c>
      <c r="V236" s="4">
        <v>45184</v>
      </c>
      <c r="W236">
        <v>100</v>
      </c>
      <c r="X236">
        <v>100</v>
      </c>
      <c r="Y236">
        <v>100</v>
      </c>
      <c r="Z236">
        <v>100</v>
      </c>
    </row>
    <row r="237" spans="1:26" hidden="1" x14ac:dyDescent="0.25">
      <c r="A237" t="s">
        <v>693</v>
      </c>
      <c r="B237" t="s">
        <v>25</v>
      </c>
      <c r="C237" s="4">
        <v>43584</v>
      </c>
      <c r="F237" s="4">
        <v>45230</v>
      </c>
      <c r="G237" t="s">
        <v>691</v>
      </c>
      <c r="H237" t="s">
        <v>133</v>
      </c>
      <c r="K237" t="s">
        <v>98</v>
      </c>
      <c r="L237" t="s">
        <v>574</v>
      </c>
      <c r="M237" t="s">
        <v>84</v>
      </c>
      <c r="N237" t="s">
        <v>31</v>
      </c>
      <c r="O237" t="s">
        <v>32</v>
      </c>
      <c r="P237" t="s">
        <v>692</v>
      </c>
      <c r="Q237">
        <v>50</v>
      </c>
      <c r="R237">
        <v>50</v>
      </c>
      <c r="S237" t="s">
        <v>34</v>
      </c>
      <c r="T237" t="s">
        <v>35</v>
      </c>
      <c r="U237" t="s">
        <v>44</v>
      </c>
      <c r="V237" s="4">
        <v>45184</v>
      </c>
      <c r="W237">
        <v>50</v>
      </c>
      <c r="X237">
        <v>50</v>
      </c>
      <c r="Y237">
        <v>50</v>
      </c>
      <c r="Z237">
        <v>50</v>
      </c>
    </row>
    <row r="238" spans="1:26" hidden="1" x14ac:dyDescent="0.25">
      <c r="A238" t="s">
        <v>694</v>
      </c>
      <c r="B238" t="s">
        <v>38</v>
      </c>
      <c r="C238" s="4">
        <v>43584</v>
      </c>
      <c r="D238" s="4">
        <v>44047</v>
      </c>
      <c r="F238" s="4">
        <v>44864</v>
      </c>
      <c r="G238" t="s">
        <v>616</v>
      </c>
      <c r="H238" t="s">
        <v>648</v>
      </c>
      <c r="K238" t="s">
        <v>146</v>
      </c>
      <c r="L238" t="s">
        <v>574</v>
      </c>
      <c r="M238" t="s">
        <v>68</v>
      </c>
      <c r="N238" t="s">
        <v>31</v>
      </c>
      <c r="O238" t="s">
        <v>32</v>
      </c>
      <c r="P238" t="s">
        <v>695</v>
      </c>
      <c r="Q238">
        <v>50</v>
      </c>
      <c r="R238">
        <v>50</v>
      </c>
      <c r="S238" t="s">
        <v>159</v>
      </c>
      <c r="T238" t="s">
        <v>159</v>
      </c>
      <c r="U238" t="s">
        <v>44</v>
      </c>
      <c r="W238">
        <v>0</v>
      </c>
      <c r="X238">
        <v>0</v>
      </c>
      <c r="Y238">
        <v>0</v>
      </c>
      <c r="Z238">
        <v>0</v>
      </c>
    </row>
    <row r="239" spans="1:26" hidden="1" x14ac:dyDescent="0.25">
      <c r="A239" t="s">
        <v>696</v>
      </c>
      <c r="B239" t="s">
        <v>38</v>
      </c>
      <c r="C239" s="4">
        <v>43584</v>
      </c>
      <c r="D239" s="4">
        <v>43833</v>
      </c>
      <c r="F239" s="4">
        <v>44805</v>
      </c>
      <c r="G239" t="s">
        <v>72</v>
      </c>
      <c r="H239" t="s">
        <v>200</v>
      </c>
      <c r="K239" t="s">
        <v>53</v>
      </c>
      <c r="L239" t="s">
        <v>574</v>
      </c>
      <c r="M239" t="s">
        <v>54</v>
      </c>
      <c r="N239" t="s">
        <v>31</v>
      </c>
      <c r="O239" t="s">
        <v>32</v>
      </c>
      <c r="P239" t="s">
        <v>697</v>
      </c>
      <c r="Q239">
        <v>175</v>
      </c>
      <c r="R239">
        <v>175</v>
      </c>
      <c r="S239" t="s">
        <v>34</v>
      </c>
      <c r="T239" t="s">
        <v>35</v>
      </c>
      <c r="U239" t="s">
        <v>44</v>
      </c>
      <c r="W239">
        <v>0</v>
      </c>
      <c r="X239">
        <v>0</v>
      </c>
      <c r="Y239">
        <v>0</v>
      </c>
      <c r="Z239">
        <v>0</v>
      </c>
    </row>
    <row r="240" spans="1:26" hidden="1" x14ac:dyDescent="0.25">
      <c r="A240" t="s">
        <v>698</v>
      </c>
      <c r="B240" t="s">
        <v>38</v>
      </c>
      <c r="C240" s="4">
        <v>43584</v>
      </c>
      <c r="D240" s="4">
        <v>44047</v>
      </c>
      <c r="F240" s="4">
        <v>44864</v>
      </c>
      <c r="G240" t="s">
        <v>616</v>
      </c>
      <c r="H240" t="s">
        <v>657</v>
      </c>
      <c r="K240" t="s">
        <v>146</v>
      </c>
      <c r="L240" t="s">
        <v>574</v>
      </c>
      <c r="M240" t="s">
        <v>68</v>
      </c>
      <c r="N240" t="s">
        <v>31</v>
      </c>
      <c r="O240" t="s">
        <v>32</v>
      </c>
      <c r="P240" t="s">
        <v>658</v>
      </c>
      <c r="Q240">
        <v>50</v>
      </c>
      <c r="R240">
        <v>50</v>
      </c>
      <c r="S240" t="s">
        <v>159</v>
      </c>
      <c r="T240" t="s">
        <v>159</v>
      </c>
      <c r="U240" t="s">
        <v>44</v>
      </c>
      <c r="W240">
        <v>0</v>
      </c>
      <c r="X240">
        <v>0</v>
      </c>
      <c r="Y240">
        <v>0</v>
      </c>
      <c r="Z240">
        <v>0</v>
      </c>
    </row>
    <row r="241" spans="1:26" hidden="1" x14ac:dyDescent="0.25">
      <c r="A241" t="s">
        <v>699</v>
      </c>
      <c r="B241" t="s">
        <v>25</v>
      </c>
      <c r="C241" s="4">
        <v>43584</v>
      </c>
      <c r="E241" s="4">
        <v>44529</v>
      </c>
      <c r="F241" s="4">
        <v>45017</v>
      </c>
      <c r="G241" t="s">
        <v>144</v>
      </c>
      <c r="H241" t="s">
        <v>700</v>
      </c>
      <c r="K241" t="s">
        <v>146</v>
      </c>
      <c r="L241" t="s">
        <v>574</v>
      </c>
      <c r="M241" t="s">
        <v>68</v>
      </c>
      <c r="N241" t="s">
        <v>31</v>
      </c>
      <c r="O241" t="s">
        <v>122</v>
      </c>
      <c r="P241" t="s">
        <v>701</v>
      </c>
      <c r="Q241">
        <v>100</v>
      </c>
      <c r="R241">
        <v>100</v>
      </c>
      <c r="S241" t="s">
        <v>34</v>
      </c>
      <c r="T241" t="s">
        <v>35</v>
      </c>
      <c r="U241" t="s">
        <v>70</v>
      </c>
      <c r="V241" s="4">
        <v>45580</v>
      </c>
      <c r="W241">
        <v>100</v>
      </c>
      <c r="X241">
        <v>70</v>
      </c>
      <c r="Y241">
        <v>100</v>
      </c>
      <c r="Z241">
        <v>0</v>
      </c>
    </row>
    <row r="242" spans="1:26" hidden="1" x14ac:dyDescent="0.25">
      <c r="A242" t="s">
        <v>702</v>
      </c>
      <c r="B242" t="s">
        <v>38</v>
      </c>
      <c r="C242" s="4">
        <v>43584</v>
      </c>
      <c r="D242" s="4">
        <v>43770</v>
      </c>
      <c r="F242" s="4">
        <v>44805</v>
      </c>
      <c r="G242" t="s">
        <v>107</v>
      </c>
      <c r="H242" t="s">
        <v>400</v>
      </c>
      <c r="K242" t="s">
        <v>109</v>
      </c>
      <c r="L242" t="s">
        <v>574</v>
      </c>
      <c r="M242" t="s">
        <v>84</v>
      </c>
      <c r="N242" t="s">
        <v>31</v>
      </c>
      <c r="O242" t="s">
        <v>32</v>
      </c>
      <c r="P242" t="s">
        <v>703</v>
      </c>
      <c r="Q242">
        <v>135</v>
      </c>
      <c r="R242">
        <v>135</v>
      </c>
      <c r="S242" t="s">
        <v>34</v>
      </c>
      <c r="T242" t="s">
        <v>35</v>
      </c>
      <c r="U242" t="s">
        <v>44</v>
      </c>
      <c r="W242">
        <v>0</v>
      </c>
      <c r="X242">
        <v>0</v>
      </c>
      <c r="Y242">
        <v>0</v>
      </c>
      <c r="Z242">
        <v>0</v>
      </c>
    </row>
    <row r="243" spans="1:26" hidden="1" x14ac:dyDescent="0.25">
      <c r="A243" t="s">
        <v>704</v>
      </c>
      <c r="B243" t="s">
        <v>25</v>
      </c>
      <c r="C243" s="4">
        <v>43584</v>
      </c>
      <c r="F243" s="4">
        <v>44805</v>
      </c>
      <c r="G243" t="s">
        <v>117</v>
      </c>
      <c r="H243" t="s">
        <v>212</v>
      </c>
      <c r="K243" t="s">
        <v>83</v>
      </c>
      <c r="L243" t="s">
        <v>574</v>
      </c>
      <c r="M243" t="s">
        <v>84</v>
      </c>
      <c r="N243" t="s">
        <v>31</v>
      </c>
      <c r="O243" t="s">
        <v>32</v>
      </c>
      <c r="P243" t="s">
        <v>705</v>
      </c>
      <c r="Q243">
        <v>200</v>
      </c>
      <c r="R243">
        <v>200</v>
      </c>
      <c r="S243" t="s">
        <v>34</v>
      </c>
      <c r="T243" t="s">
        <v>35</v>
      </c>
      <c r="U243" t="s">
        <v>44</v>
      </c>
      <c r="V243" s="4">
        <v>45636</v>
      </c>
      <c r="W243">
        <v>165</v>
      </c>
      <c r="X243">
        <v>165</v>
      </c>
      <c r="Y243">
        <v>165</v>
      </c>
      <c r="Z243">
        <v>165</v>
      </c>
    </row>
    <row r="244" spans="1:26" hidden="1" x14ac:dyDescent="0.25">
      <c r="A244" t="s">
        <v>706</v>
      </c>
      <c r="B244" t="s">
        <v>38</v>
      </c>
      <c r="C244" s="4">
        <v>43584</v>
      </c>
      <c r="D244" s="4">
        <v>44413</v>
      </c>
      <c r="F244" s="4">
        <v>44696</v>
      </c>
      <c r="G244" t="s">
        <v>117</v>
      </c>
      <c r="H244" t="s">
        <v>381</v>
      </c>
      <c r="K244" t="s">
        <v>83</v>
      </c>
      <c r="L244" t="s">
        <v>574</v>
      </c>
      <c r="M244" t="s">
        <v>84</v>
      </c>
      <c r="N244" t="s">
        <v>31</v>
      </c>
      <c r="O244" t="s">
        <v>251</v>
      </c>
      <c r="P244" t="s">
        <v>707</v>
      </c>
      <c r="Q244">
        <v>25</v>
      </c>
      <c r="R244">
        <v>25</v>
      </c>
      <c r="S244" t="s">
        <v>34</v>
      </c>
      <c r="T244" t="s">
        <v>35</v>
      </c>
      <c r="U244" t="s">
        <v>44</v>
      </c>
      <c r="W244">
        <v>0</v>
      </c>
      <c r="X244">
        <v>0</v>
      </c>
      <c r="Y244">
        <v>0</v>
      </c>
      <c r="Z244">
        <v>0</v>
      </c>
    </row>
    <row r="245" spans="1:26" hidden="1" x14ac:dyDescent="0.25">
      <c r="A245" t="s">
        <v>708</v>
      </c>
      <c r="B245" t="s">
        <v>38</v>
      </c>
      <c r="C245" s="4">
        <v>43584</v>
      </c>
      <c r="D245" s="4">
        <v>44413</v>
      </c>
      <c r="F245" s="4">
        <v>44696</v>
      </c>
      <c r="G245" t="s">
        <v>117</v>
      </c>
      <c r="H245" t="s">
        <v>709</v>
      </c>
      <c r="K245" t="s">
        <v>83</v>
      </c>
      <c r="L245" t="s">
        <v>574</v>
      </c>
      <c r="M245" t="s">
        <v>84</v>
      </c>
      <c r="N245" t="s">
        <v>31</v>
      </c>
      <c r="O245" t="s">
        <v>251</v>
      </c>
      <c r="P245" t="s">
        <v>710</v>
      </c>
      <c r="Q245">
        <v>25</v>
      </c>
      <c r="R245">
        <v>25</v>
      </c>
      <c r="S245" t="s">
        <v>34</v>
      </c>
      <c r="T245" t="s">
        <v>35</v>
      </c>
      <c r="U245" t="s">
        <v>44</v>
      </c>
      <c r="W245">
        <v>0</v>
      </c>
      <c r="X245">
        <v>0</v>
      </c>
      <c r="Y245">
        <v>0</v>
      </c>
      <c r="Z245">
        <v>0</v>
      </c>
    </row>
    <row r="246" spans="1:26" hidden="1" x14ac:dyDescent="0.25">
      <c r="A246" t="s">
        <v>711</v>
      </c>
      <c r="B246" t="s">
        <v>38</v>
      </c>
      <c r="C246" s="4">
        <v>43584</v>
      </c>
      <c r="D246" s="4">
        <v>44628</v>
      </c>
      <c r="F246" s="4">
        <v>44454</v>
      </c>
      <c r="G246" t="s">
        <v>26</v>
      </c>
      <c r="H246" t="s">
        <v>712</v>
      </c>
      <c r="K246" t="s">
        <v>53</v>
      </c>
      <c r="L246" t="s">
        <v>574</v>
      </c>
      <c r="M246" t="s">
        <v>30</v>
      </c>
      <c r="N246" t="s">
        <v>31</v>
      </c>
      <c r="O246" t="s">
        <v>32</v>
      </c>
      <c r="P246" t="s">
        <v>713</v>
      </c>
      <c r="Q246">
        <v>38.4</v>
      </c>
      <c r="R246">
        <v>38.4</v>
      </c>
      <c r="S246" t="s">
        <v>56</v>
      </c>
      <c r="T246" t="s">
        <v>57</v>
      </c>
      <c r="U246" t="s">
        <v>44</v>
      </c>
      <c r="W246">
        <v>38.4</v>
      </c>
      <c r="X246">
        <v>38.4</v>
      </c>
      <c r="Y246">
        <v>0</v>
      </c>
      <c r="Z246">
        <v>0</v>
      </c>
    </row>
    <row r="247" spans="1:26" hidden="1" x14ac:dyDescent="0.25">
      <c r="A247" t="s">
        <v>714</v>
      </c>
      <c r="B247" t="s">
        <v>38</v>
      </c>
      <c r="C247" s="4">
        <v>43584</v>
      </c>
      <c r="D247" s="4">
        <v>44047</v>
      </c>
      <c r="F247" s="4">
        <v>44864</v>
      </c>
      <c r="G247" t="s">
        <v>65</v>
      </c>
      <c r="H247" t="s">
        <v>643</v>
      </c>
      <c r="K247" t="s">
        <v>67</v>
      </c>
      <c r="L247" t="s">
        <v>574</v>
      </c>
      <c r="M247" t="s">
        <v>68</v>
      </c>
      <c r="N247" t="s">
        <v>31</v>
      </c>
      <c r="O247" t="s">
        <v>32</v>
      </c>
      <c r="P247" t="s">
        <v>644</v>
      </c>
      <c r="Q247">
        <v>50</v>
      </c>
      <c r="R247">
        <v>50</v>
      </c>
      <c r="S247" t="s">
        <v>159</v>
      </c>
      <c r="T247" t="s">
        <v>159</v>
      </c>
      <c r="U247" t="s">
        <v>44</v>
      </c>
      <c r="W247">
        <v>0</v>
      </c>
      <c r="X247">
        <v>0</v>
      </c>
      <c r="Y247">
        <v>0</v>
      </c>
      <c r="Z247">
        <v>0</v>
      </c>
    </row>
    <row r="248" spans="1:26" hidden="1" x14ac:dyDescent="0.25">
      <c r="A248" t="s">
        <v>715</v>
      </c>
      <c r="B248" t="s">
        <v>25</v>
      </c>
      <c r="C248" s="4">
        <v>43584</v>
      </c>
      <c r="E248" s="4">
        <v>44657</v>
      </c>
      <c r="F248" s="4">
        <v>45230</v>
      </c>
      <c r="G248" t="s">
        <v>144</v>
      </c>
      <c r="H248" t="s">
        <v>270</v>
      </c>
      <c r="K248" t="s">
        <v>146</v>
      </c>
      <c r="L248" t="s">
        <v>574</v>
      </c>
      <c r="M248" t="s">
        <v>68</v>
      </c>
      <c r="N248" t="s">
        <v>31</v>
      </c>
      <c r="O248" t="s">
        <v>32</v>
      </c>
      <c r="P248" t="s">
        <v>716</v>
      </c>
      <c r="Q248">
        <v>725.2</v>
      </c>
      <c r="R248">
        <v>725.2</v>
      </c>
      <c r="S248" t="s">
        <v>389</v>
      </c>
      <c r="T248" t="s">
        <v>390</v>
      </c>
      <c r="U248" t="s">
        <v>44</v>
      </c>
      <c r="V248" s="4">
        <v>45920</v>
      </c>
      <c r="W248">
        <v>705</v>
      </c>
      <c r="X248">
        <v>705</v>
      </c>
      <c r="Y248">
        <v>705.2</v>
      </c>
      <c r="Z248">
        <v>705.2</v>
      </c>
    </row>
    <row r="249" spans="1:26" x14ac:dyDescent="0.25">
      <c r="A249" t="s">
        <v>717</v>
      </c>
      <c r="B249" t="s">
        <v>25</v>
      </c>
      <c r="C249" s="4">
        <v>43584</v>
      </c>
      <c r="E249" s="4">
        <v>44712</v>
      </c>
      <c r="F249" s="4">
        <v>44044</v>
      </c>
      <c r="G249" t="s">
        <v>616</v>
      </c>
      <c r="H249" t="s">
        <v>2028</v>
      </c>
      <c r="I249" t="s">
        <v>7655</v>
      </c>
      <c r="K249" t="s">
        <v>146</v>
      </c>
      <c r="L249" t="s">
        <v>574</v>
      </c>
      <c r="M249" t="s">
        <v>68</v>
      </c>
      <c r="N249" t="s">
        <v>31</v>
      </c>
      <c r="O249" t="s">
        <v>122</v>
      </c>
      <c r="P249" t="s">
        <v>718</v>
      </c>
      <c r="Q249">
        <v>16.98</v>
      </c>
      <c r="R249">
        <v>16.98</v>
      </c>
      <c r="S249" t="s">
        <v>719</v>
      </c>
      <c r="T249" t="s">
        <v>720</v>
      </c>
      <c r="U249" t="s">
        <v>70</v>
      </c>
      <c r="V249" s="4">
        <v>44500</v>
      </c>
      <c r="W249">
        <v>30.98</v>
      </c>
      <c r="X249">
        <v>0</v>
      </c>
      <c r="Y249">
        <v>30.98</v>
      </c>
      <c r="Z249">
        <v>0</v>
      </c>
    </row>
    <row r="250" spans="1:26" hidden="1" x14ac:dyDescent="0.25">
      <c r="A250" t="s">
        <v>721</v>
      </c>
      <c r="B250" t="s">
        <v>25</v>
      </c>
      <c r="C250" s="4">
        <v>43584</v>
      </c>
      <c r="E250" s="4">
        <v>44790</v>
      </c>
      <c r="F250" s="4">
        <v>44409</v>
      </c>
      <c r="G250" t="s">
        <v>52</v>
      </c>
      <c r="H250" t="s">
        <v>722</v>
      </c>
      <c r="K250" t="s">
        <v>53</v>
      </c>
      <c r="L250" t="s">
        <v>574</v>
      </c>
      <c r="M250" t="s">
        <v>54</v>
      </c>
      <c r="N250" t="s">
        <v>31</v>
      </c>
      <c r="O250" t="s">
        <v>32</v>
      </c>
      <c r="P250" t="s">
        <v>723</v>
      </c>
      <c r="Q250">
        <v>100</v>
      </c>
      <c r="R250">
        <v>100</v>
      </c>
      <c r="S250" t="s">
        <v>34</v>
      </c>
      <c r="T250" t="s">
        <v>35</v>
      </c>
      <c r="U250" t="s">
        <v>44</v>
      </c>
      <c r="V250" s="4">
        <v>45901</v>
      </c>
      <c r="W250">
        <v>100</v>
      </c>
      <c r="X250">
        <v>100</v>
      </c>
      <c r="Y250">
        <v>100</v>
      </c>
      <c r="Z250">
        <v>100</v>
      </c>
    </row>
    <row r="251" spans="1:26" hidden="1" x14ac:dyDescent="0.25">
      <c r="A251" t="s">
        <v>724</v>
      </c>
      <c r="B251" t="s">
        <v>25</v>
      </c>
      <c r="C251" s="4">
        <v>43584</v>
      </c>
      <c r="E251" s="4">
        <v>44581</v>
      </c>
      <c r="F251" s="4">
        <v>44621</v>
      </c>
      <c r="G251" t="s">
        <v>112</v>
      </c>
      <c r="H251" t="s">
        <v>725</v>
      </c>
      <c r="K251" t="s">
        <v>114</v>
      </c>
      <c r="L251" t="s">
        <v>574</v>
      </c>
      <c r="M251" t="s">
        <v>68</v>
      </c>
      <c r="N251" t="s">
        <v>31</v>
      </c>
      <c r="O251" t="s">
        <v>32</v>
      </c>
      <c r="P251" t="s">
        <v>726</v>
      </c>
      <c r="Q251">
        <v>600</v>
      </c>
      <c r="R251">
        <v>600</v>
      </c>
      <c r="S251" t="s">
        <v>389</v>
      </c>
      <c r="T251" t="s">
        <v>390</v>
      </c>
      <c r="U251" t="s">
        <v>36</v>
      </c>
      <c r="V251" s="4">
        <v>44766</v>
      </c>
      <c r="W251">
        <v>600</v>
      </c>
      <c r="X251">
        <v>600</v>
      </c>
      <c r="Y251">
        <v>600</v>
      </c>
      <c r="Z251">
        <v>600</v>
      </c>
    </row>
    <row r="252" spans="1:26" hidden="1" x14ac:dyDescent="0.25">
      <c r="A252" t="s">
        <v>727</v>
      </c>
      <c r="B252" t="s">
        <v>38</v>
      </c>
      <c r="C252" s="4">
        <v>43584</v>
      </c>
      <c r="D252" s="4">
        <v>44047</v>
      </c>
      <c r="F252" s="4">
        <v>44864</v>
      </c>
      <c r="G252" t="s">
        <v>65</v>
      </c>
      <c r="H252" t="s">
        <v>728</v>
      </c>
      <c r="K252" t="s">
        <v>67</v>
      </c>
      <c r="L252" t="s">
        <v>574</v>
      </c>
      <c r="M252" t="s">
        <v>68</v>
      </c>
      <c r="N252" t="s">
        <v>31</v>
      </c>
      <c r="O252" t="s">
        <v>32</v>
      </c>
      <c r="P252" t="s">
        <v>729</v>
      </c>
      <c r="Q252">
        <v>35</v>
      </c>
      <c r="R252">
        <v>35</v>
      </c>
      <c r="S252" t="s">
        <v>159</v>
      </c>
      <c r="T252" t="s">
        <v>159</v>
      </c>
      <c r="U252" t="s">
        <v>44</v>
      </c>
      <c r="W252">
        <v>0</v>
      </c>
      <c r="X252">
        <v>0</v>
      </c>
      <c r="Y252">
        <v>0</v>
      </c>
      <c r="Z252">
        <v>0</v>
      </c>
    </row>
    <row r="253" spans="1:26" hidden="1" x14ac:dyDescent="0.25">
      <c r="A253" t="s">
        <v>730</v>
      </c>
      <c r="B253" t="s">
        <v>25</v>
      </c>
      <c r="C253" s="4">
        <v>43584</v>
      </c>
      <c r="E253" s="4">
        <v>44812</v>
      </c>
      <c r="F253" s="4">
        <v>44864</v>
      </c>
      <c r="G253" t="s">
        <v>26</v>
      </c>
      <c r="H253" t="s">
        <v>731</v>
      </c>
      <c r="K253" t="s">
        <v>53</v>
      </c>
      <c r="L253" t="s">
        <v>574</v>
      </c>
      <c r="M253" t="s">
        <v>30</v>
      </c>
      <c r="N253" t="s">
        <v>31</v>
      </c>
      <c r="O253" t="s">
        <v>32</v>
      </c>
      <c r="P253" t="s">
        <v>732</v>
      </c>
      <c r="Q253">
        <v>100</v>
      </c>
      <c r="R253">
        <v>100</v>
      </c>
      <c r="S253" t="s">
        <v>34</v>
      </c>
      <c r="T253" t="s">
        <v>35</v>
      </c>
      <c r="U253" t="s">
        <v>70</v>
      </c>
      <c r="V253" s="4">
        <v>45820</v>
      </c>
      <c r="W253">
        <v>100</v>
      </c>
      <c r="X253">
        <v>100</v>
      </c>
      <c r="Y253">
        <v>100</v>
      </c>
      <c r="Z253">
        <v>80</v>
      </c>
    </row>
    <row r="254" spans="1:26" hidden="1" x14ac:dyDescent="0.25">
      <c r="A254" t="s">
        <v>733</v>
      </c>
      <c r="B254" t="s">
        <v>38</v>
      </c>
      <c r="C254" s="4">
        <v>43584</v>
      </c>
      <c r="D254" s="4">
        <v>44235</v>
      </c>
      <c r="F254" s="4">
        <v>44864</v>
      </c>
      <c r="G254" t="s">
        <v>26</v>
      </c>
      <c r="H254" t="s">
        <v>731</v>
      </c>
      <c r="K254" t="s">
        <v>53</v>
      </c>
      <c r="L254" t="s">
        <v>574</v>
      </c>
      <c r="M254" t="s">
        <v>30</v>
      </c>
      <c r="N254" t="s">
        <v>31</v>
      </c>
      <c r="O254" t="s">
        <v>32</v>
      </c>
      <c r="P254" t="s">
        <v>732</v>
      </c>
      <c r="Q254">
        <v>20</v>
      </c>
      <c r="R254">
        <v>20</v>
      </c>
      <c r="S254" t="s">
        <v>159</v>
      </c>
      <c r="T254" t="s">
        <v>159</v>
      </c>
      <c r="U254" t="s">
        <v>44</v>
      </c>
      <c r="W254">
        <v>0</v>
      </c>
      <c r="X254">
        <v>0</v>
      </c>
      <c r="Y254">
        <v>0</v>
      </c>
      <c r="Z254">
        <v>0</v>
      </c>
    </row>
    <row r="255" spans="1:26" hidden="1" x14ac:dyDescent="0.25">
      <c r="A255" t="s">
        <v>734</v>
      </c>
      <c r="B255" t="s">
        <v>38</v>
      </c>
      <c r="C255" s="4">
        <v>43584</v>
      </c>
      <c r="D255" s="4">
        <v>45583</v>
      </c>
      <c r="F255" s="4">
        <v>44409</v>
      </c>
      <c r="G255" t="s">
        <v>26</v>
      </c>
      <c r="H255" t="s">
        <v>735</v>
      </c>
      <c r="K255" t="s">
        <v>28</v>
      </c>
      <c r="L255" t="s">
        <v>574</v>
      </c>
      <c r="M255" t="s">
        <v>30</v>
      </c>
      <c r="N255" t="s">
        <v>31</v>
      </c>
      <c r="O255" t="s">
        <v>32</v>
      </c>
      <c r="P255" t="s">
        <v>736</v>
      </c>
      <c r="Q255">
        <v>100</v>
      </c>
      <c r="R255">
        <v>100</v>
      </c>
      <c r="S255" t="s">
        <v>34</v>
      </c>
      <c r="T255" t="s">
        <v>35</v>
      </c>
      <c r="U255" t="s">
        <v>38</v>
      </c>
      <c r="V255" s="4">
        <v>45505</v>
      </c>
      <c r="W255">
        <v>100</v>
      </c>
      <c r="X255">
        <v>100</v>
      </c>
      <c r="Y255">
        <v>100</v>
      </c>
      <c r="Z255">
        <v>100</v>
      </c>
    </row>
    <row r="256" spans="1:26" hidden="1" x14ac:dyDescent="0.25">
      <c r="A256" t="s">
        <v>737</v>
      </c>
      <c r="B256" t="s">
        <v>38</v>
      </c>
      <c r="C256" s="4">
        <v>43584</v>
      </c>
      <c r="D256" s="4">
        <v>44413</v>
      </c>
      <c r="F256" s="4">
        <v>45230</v>
      </c>
      <c r="G256" t="s">
        <v>101</v>
      </c>
      <c r="H256" t="s">
        <v>133</v>
      </c>
      <c r="K256" t="s">
        <v>98</v>
      </c>
      <c r="L256" t="s">
        <v>574</v>
      </c>
      <c r="M256" t="s">
        <v>84</v>
      </c>
      <c r="N256" t="s">
        <v>31</v>
      </c>
      <c r="O256" t="s">
        <v>32</v>
      </c>
      <c r="P256" t="s">
        <v>738</v>
      </c>
      <c r="Q256">
        <v>150</v>
      </c>
      <c r="R256">
        <v>150</v>
      </c>
      <c r="S256" t="s">
        <v>34</v>
      </c>
      <c r="T256" t="s">
        <v>35</v>
      </c>
      <c r="U256" t="s">
        <v>44</v>
      </c>
      <c r="W256">
        <v>0</v>
      </c>
      <c r="X256">
        <v>0</v>
      </c>
      <c r="Y256">
        <v>0</v>
      </c>
      <c r="Z256">
        <v>0</v>
      </c>
    </row>
    <row r="257" spans="1:26" hidden="1" x14ac:dyDescent="0.25">
      <c r="A257" t="s">
        <v>739</v>
      </c>
      <c r="B257" t="s">
        <v>25</v>
      </c>
      <c r="C257" s="4">
        <v>43584</v>
      </c>
      <c r="E257" s="4">
        <v>44865</v>
      </c>
      <c r="F257" s="4">
        <v>44864</v>
      </c>
      <c r="G257" t="s">
        <v>52</v>
      </c>
      <c r="H257" t="s">
        <v>245</v>
      </c>
      <c r="K257" t="s">
        <v>53</v>
      </c>
      <c r="L257" t="s">
        <v>574</v>
      </c>
      <c r="M257" t="s">
        <v>54</v>
      </c>
      <c r="N257" t="s">
        <v>31</v>
      </c>
      <c r="O257" t="s">
        <v>32</v>
      </c>
      <c r="P257" t="s">
        <v>246</v>
      </c>
      <c r="Q257">
        <v>200</v>
      </c>
      <c r="R257">
        <v>200</v>
      </c>
      <c r="S257" t="s">
        <v>34</v>
      </c>
      <c r="T257" t="s">
        <v>35</v>
      </c>
      <c r="U257" t="s">
        <v>70</v>
      </c>
      <c r="V257" s="4">
        <v>45960</v>
      </c>
      <c r="W257">
        <v>100</v>
      </c>
      <c r="X257">
        <v>100</v>
      </c>
      <c r="Y257">
        <v>100</v>
      </c>
      <c r="Z257">
        <v>100</v>
      </c>
    </row>
    <row r="258" spans="1:26" hidden="1" x14ac:dyDescent="0.25">
      <c r="A258" t="s">
        <v>740</v>
      </c>
      <c r="B258" t="s">
        <v>38</v>
      </c>
      <c r="C258" s="4">
        <v>43584</v>
      </c>
      <c r="D258" s="4">
        <v>43957</v>
      </c>
      <c r="F258" s="4">
        <v>44864</v>
      </c>
      <c r="G258" t="s">
        <v>72</v>
      </c>
      <c r="H258" t="s">
        <v>200</v>
      </c>
      <c r="K258" t="s">
        <v>53</v>
      </c>
      <c r="L258" t="s">
        <v>574</v>
      </c>
      <c r="M258" t="s">
        <v>54</v>
      </c>
      <c r="N258" t="s">
        <v>31</v>
      </c>
      <c r="O258" t="s">
        <v>32</v>
      </c>
      <c r="P258" t="s">
        <v>257</v>
      </c>
      <c r="Q258">
        <v>150</v>
      </c>
      <c r="R258">
        <v>150</v>
      </c>
      <c r="S258" t="s">
        <v>34</v>
      </c>
      <c r="T258" t="s">
        <v>35</v>
      </c>
      <c r="U258" t="s">
        <v>44</v>
      </c>
      <c r="W258">
        <v>0</v>
      </c>
      <c r="X258">
        <v>0</v>
      </c>
      <c r="Y258">
        <v>0</v>
      </c>
      <c r="Z258">
        <v>0</v>
      </c>
    </row>
    <row r="259" spans="1:26" hidden="1" x14ac:dyDescent="0.25">
      <c r="A259" t="s">
        <v>741</v>
      </c>
      <c r="B259" t="s">
        <v>25</v>
      </c>
      <c r="C259" s="4">
        <v>43584</v>
      </c>
      <c r="E259" s="4">
        <v>44530</v>
      </c>
      <c r="F259" s="4">
        <v>44864</v>
      </c>
      <c r="G259" t="s">
        <v>144</v>
      </c>
      <c r="H259" t="s">
        <v>654</v>
      </c>
      <c r="K259" t="s">
        <v>146</v>
      </c>
      <c r="L259" t="s">
        <v>574</v>
      </c>
      <c r="M259" t="s">
        <v>68</v>
      </c>
      <c r="N259" t="s">
        <v>31</v>
      </c>
      <c r="O259" t="s">
        <v>32</v>
      </c>
      <c r="P259" t="s">
        <v>655</v>
      </c>
      <c r="Q259">
        <v>20</v>
      </c>
      <c r="R259">
        <v>20</v>
      </c>
      <c r="S259" t="s">
        <v>159</v>
      </c>
      <c r="T259" t="s">
        <v>159</v>
      </c>
      <c r="U259" t="s">
        <v>70</v>
      </c>
      <c r="V259" s="4">
        <v>45559</v>
      </c>
      <c r="W259">
        <v>20</v>
      </c>
      <c r="X259">
        <v>20</v>
      </c>
      <c r="Y259">
        <v>20</v>
      </c>
      <c r="Z259">
        <v>20</v>
      </c>
    </row>
    <row r="260" spans="1:26" hidden="1" x14ac:dyDescent="0.25">
      <c r="A260" t="s">
        <v>742</v>
      </c>
      <c r="B260" t="s">
        <v>25</v>
      </c>
      <c r="C260" s="4">
        <v>43584</v>
      </c>
      <c r="E260" s="4">
        <v>44529</v>
      </c>
      <c r="F260" s="4">
        <v>45229</v>
      </c>
      <c r="G260" t="s">
        <v>65</v>
      </c>
      <c r="H260" t="s">
        <v>743</v>
      </c>
      <c r="K260" t="s">
        <v>67</v>
      </c>
      <c r="L260" t="s">
        <v>574</v>
      </c>
      <c r="M260" t="s">
        <v>68</v>
      </c>
      <c r="N260" t="s">
        <v>31</v>
      </c>
      <c r="O260" t="s">
        <v>32</v>
      </c>
      <c r="P260" t="s">
        <v>329</v>
      </c>
      <c r="Q260">
        <v>50</v>
      </c>
      <c r="R260">
        <v>50</v>
      </c>
      <c r="S260" t="s">
        <v>34</v>
      </c>
      <c r="T260" t="s">
        <v>35</v>
      </c>
      <c r="U260" t="s">
        <v>44</v>
      </c>
      <c r="V260" s="4">
        <v>45580</v>
      </c>
      <c r="W260">
        <v>50</v>
      </c>
      <c r="X260">
        <v>50</v>
      </c>
      <c r="Y260">
        <v>50</v>
      </c>
      <c r="Z260">
        <v>50</v>
      </c>
    </row>
    <row r="261" spans="1:26" hidden="1" x14ac:dyDescent="0.25">
      <c r="A261" t="s">
        <v>744</v>
      </c>
      <c r="B261" t="s">
        <v>38</v>
      </c>
      <c r="C261" s="4">
        <v>43584</v>
      </c>
      <c r="D261" s="4">
        <v>44047</v>
      </c>
      <c r="F261" s="4">
        <v>44864</v>
      </c>
      <c r="G261" t="s">
        <v>261</v>
      </c>
      <c r="H261" t="s">
        <v>139</v>
      </c>
      <c r="K261" t="s">
        <v>114</v>
      </c>
      <c r="L261" t="s">
        <v>574</v>
      </c>
      <c r="M261" t="s">
        <v>68</v>
      </c>
      <c r="N261" t="s">
        <v>31</v>
      </c>
      <c r="O261" t="s">
        <v>32</v>
      </c>
      <c r="P261" t="s">
        <v>745</v>
      </c>
      <c r="Q261">
        <v>50</v>
      </c>
      <c r="R261">
        <v>50</v>
      </c>
      <c r="S261" t="s">
        <v>159</v>
      </c>
      <c r="T261" t="s">
        <v>159</v>
      </c>
      <c r="U261" t="s">
        <v>44</v>
      </c>
      <c r="W261">
        <v>0</v>
      </c>
      <c r="X261">
        <v>0</v>
      </c>
      <c r="Y261">
        <v>0</v>
      </c>
      <c r="Z261">
        <v>0</v>
      </c>
    </row>
    <row r="262" spans="1:26" hidden="1" x14ac:dyDescent="0.25">
      <c r="A262" t="s">
        <v>746</v>
      </c>
      <c r="B262" t="s">
        <v>38</v>
      </c>
      <c r="C262" s="4">
        <v>43584</v>
      </c>
      <c r="D262" s="4">
        <v>44048</v>
      </c>
      <c r="F262" s="4">
        <v>44470</v>
      </c>
      <c r="G262" t="s">
        <v>65</v>
      </c>
      <c r="H262" t="s">
        <v>747</v>
      </c>
      <c r="K262" t="s">
        <v>67</v>
      </c>
      <c r="L262" t="s">
        <v>574</v>
      </c>
      <c r="M262" t="s">
        <v>68</v>
      </c>
      <c r="N262" t="s">
        <v>31</v>
      </c>
      <c r="O262" t="s">
        <v>32</v>
      </c>
      <c r="P262" t="s">
        <v>748</v>
      </c>
      <c r="Q262">
        <v>164</v>
      </c>
      <c r="R262">
        <v>164</v>
      </c>
      <c r="S262" t="s">
        <v>34</v>
      </c>
      <c r="T262" t="s">
        <v>35</v>
      </c>
      <c r="U262" t="s">
        <v>44</v>
      </c>
      <c r="W262">
        <v>0</v>
      </c>
      <c r="X262">
        <v>0</v>
      </c>
      <c r="Y262">
        <v>0</v>
      </c>
      <c r="Z262">
        <v>0</v>
      </c>
    </row>
    <row r="263" spans="1:26" hidden="1" x14ac:dyDescent="0.25">
      <c r="A263" t="s">
        <v>749</v>
      </c>
      <c r="B263" t="s">
        <v>38</v>
      </c>
      <c r="C263" s="4">
        <v>43584</v>
      </c>
      <c r="D263" s="4">
        <v>44048</v>
      </c>
      <c r="F263" s="4">
        <v>44470</v>
      </c>
      <c r="G263" t="s">
        <v>65</v>
      </c>
      <c r="H263" t="s">
        <v>225</v>
      </c>
      <c r="K263" t="s">
        <v>67</v>
      </c>
      <c r="L263" t="s">
        <v>574</v>
      </c>
      <c r="M263" t="s">
        <v>68</v>
      </c>
      <c r="N263" t="s">
        <v>31</v>
      </c>
      <c r="O263" t="s">
        <v>32</v>
      </c>
      <c r="P263" t="s">
        <v>750</v>
      </c>
      <c r="Q263">
        <v>90</v>
      </c>
      <c r="R263">
        <v>90</v>
      </c>
      <c r="S263" t="s">
        <v>34</v>
      </c>
      <c r="T263" t="s">
        <v>35</v>
      </c>
      <c r="U263" t="s">
        <v>44</v>
      </c>
      <c r="W263">
        <v>0</v>
      </c>
      <c r="X263">
        <v>0</v>
      </c>
      <c r="Y263">
        <v>0</v>
      </c>
      <c r="Z263">
        <v>0</v>
      </c>
    </row>
    <row r="264" spans="1:26" hidden="1" x14ac:dyDescent="0.25">
      <c r="A264" t="s">
        <v>751</v>
      </c>
      <c r="B264" t="s">
        <v>25</v>
      </c>
      <c r="C264" s="4">
        <v>43584</v>
      </c>
      <c r="E264" s="4">
        <v>44790</v>
      </c>
      <c r="F264" s="4">
        <v>43617</v>
      </c>
      <c r="G264" t="s">
        <v>72</v>
      </c>
      <c r="H264" t="s">
        <v>752</v>
      </c>
      <c r="K264" t="s">
        <v>53</v>
      </c>
      <c r="L264" t="s">
        <v>574</v>
      </c>
      <c r="M264" t="s">
        <v>54</v>
      </c>
      <c r="N264" t="s">
        <v>31</v>
      </c>
      <c r="O264" t="s">
        <v>122</v>
      </c>
      <c r="P264" t="s">
        <v>753</v>
      </c>
      <c r="Q264">
        <v>25</v>
      </c>
      <c r="R264">
        <v>25</v>
      </c>
      <c r="S264" t="s">
        <v>389</v>
      </c>
      <c r="T264" t="s">
        <v>390</v>
      </c>
      <c r="U264" t="s">
        <v>44</v>
      </c>
      <c r="V264" s="4">
        <v>44713</v>
      </c>
      <c r="W264">
        <v>25</v>
      </c>
      <c r="X264">
        <v>0</v>
      </c>
      <c r="Y264">
        <v>25</v>
      </c>
      <c r="Z264">
        <v>0</v>
      </c>
    </row>
    <row r="265" spans="1:26" hidden="1" x14ac:dyDescent="0.25">
      <c r="A265" t="s">
        <v>754</v>
      </c>
      <c r="B265" t="s">
        <v>25</v>
      </c>
      <c r="C265" s="4">
        <v>43584</v>
      </c>
      <c r="F265" s="4">
        <v>44562</v>
      </c>
      <c r="G265" t="s">
        <v>117</v>
      </c>
      <c r="H265" t="s">
        <v>546</v>
      </c>
      <c r="K265" t="s">
        <v>83</v>
      </c>
      <c r="L265" t="s">
        <v>574</v>
      </c>
      <c r="M265" t="s">
        <v>84</v>
      </c>
      <c r="N265" t="s">
        <v>31</v>
      </c>
      <c r="O265" t="s">
        <v>32</v>
      </c>
      <c r="P265" t="s">
        <v>755</v>
      </c>
      <c r="Q265">
        <v>408.6</v>
      </c>
      <c r="R265">
        <v>408.6</v>
      </c>
      <c r="S265" t="s">
        <v>597</v>
      </c>
      <c r="T265" t="s">
        <v>598</v>
      </c>
      <c r="U265" t="s">
        <v>44</v>
      </c>
      <c r="V265" s="4">
        <v>45658</v>
      </c>
      <c r="W265">
        <v>408.6</v>
      </c>
      <c r="X265">
        <v>408.6</v>
      </c>
      <c r="Y265">
        <v>408.6</v>
      </c>
      <c r="Z265">
        <v>408.6</v>
      </c>
    </row>
    <row r="266" spans="1:26" hidden="1" x14ac:dyDescent="0.25">
      <c r="A266" t="s">
        <v>756</v>
      </c>
      <c r="B266" t="s">
        <v>38</v>
      </c>
      <c r="C266" s="4">
        <v>43584</v>
      </c>
      <c r="D266" s="4">
        <v>43962</v>
      </c>
      <c r="F266" s="4">
        <v>44440</v>
      </c>
      <c r="G266" t="s">
        <v>26</v>
      </c>
      <c r="H266" t="s">
        <v>757</v>
      </c>
      <c r="K266" t="s">
        <v>53</v>
      </c>
      <c r="L266" t="s">
        <v>574</v>
      </c>
      <c r="M266" t="s">
        <v>30</v>
      </c>
      <c r="N266" t="s">
        <v>31</v>
      </c>
      <c r="O266" t="s">
        <v>32</v>
      </c>
      <c r="P266" t="s">
        <v>758</v>
      </c>
      <c r="Q266">
        <v>20</v>
      </c>
      <c r="R266">
        <v>20</v>
      </c>
      <c r="S266" t="s">
        <v>389</v>
      </c>
      <c r="T266" t="s">
        <v>584</v>
      </c>
      <c r="U266" t="s">
        <v>44</v>
      </c>
      <c r="W266">
        <v>0</v>
      </c>
      <c r="X266">
        <v>0</v>
      </c>
      <c r="Y266">
        <v>0</v>
      </c>
      <c r="Z266">
        <v>0</v>
      </c>
    </row>
    <row r="267" spans="1:26" hidden="1" x14ac:dyDescent="0.25">
      <c r="A267" t="s">
        <v>759</v>
      </c>
      <c r="B267" t="s">
        <v>38</v>
      </c>
      <c r="C267" s="4">
        <v>43584</v>
      </c>
      <c r="D267" s="4">
        <v>44957</v>
      </c>
      <c r="F267" s="4">
        <v>44743</v>
      </c>
      <c r="G267" t="s">
        <v>254</v>
      </c>
      <c r="H267" t="s">
        <v>760</v>
      </c>
      <c r="K267" t="s">
        <v>98</v>
      </c>
      <c r="L267" t="s">
        <v>574</v>
      </c>
      <c r="M267" t="s">
        <v>84</v>
      </c>
      <c r="N267" t="s">
        <v>31</v>
      </c>
      <c r="O267" t="s">
        <v>32</v>
      </c>
      <c r="P267" t="s">
        <v>761</v>
      </c>
      <c r="Q267">
        <v>43</v>
      </c>
      <c r="R267">
        <v>43</v>
      </c>
      <c r="S267" t="s">
        <v>34</v>
      </c>
      <c r="T267" t="s">
        <v>35</v>
      </c>
      <c r="U267" t="s">
        <v>44</v>
      </c>
      <c r="W267">
        <v>43</v>
      </c>
      <c r="X267">
        <v>43</v>
      </c>
      <c r="Y267">
        <v>43</v>
      </c>
      <c r="Z267">
        <v>43</v>
      </c>
    </row>
    <row r="268" spans="1:26" hidden="1" x14ac:dyDescent="0.25">
      <c r="A268" t="s">
        <v>762</v>
      </c>
      <c r="B268" t="s">
        <v>25</v>
      </c>
      <c r="C268" s="4">
        <v>43584</v>
      </c>
      <c r="F268" s="4">
        <v>44743</v>
      </c>
      <c r="G268" t="s">
        <v>117</v>
      </c>
      <c r="H268" t="s">
        <v>763</v>
      </c>
      <c r="K268" t="s">
        <v>83</v>
      </c>
      <c r="L268" t="s">
        <v>574</v>
      </c>
      <c r="M268" t="s">
        <v>84</v>
      </c>
      <c r="N268" t="s">
        <v>31</v>
      </c>
      <c r="O268" t="s">
        <v>32</v>
      </c>
      <c r="P268" t="s">
        <v>764</v>
      </c>
      <c r="Q268">
        <v>99</v>
      </c>
      <c r="R268">
        <v>99</v>
      </c>
      <c r="S268" t="s">
        <v>34</v>
      </c>
      <c r="T268" t="s">
        <v>35</v>
      </c>
      <c r="U268" t="s">
        <v>44</v>
      </c>
      <c r="V268" s="4">
        <v>45839</v>
      </c>
      <c r="W268">
        <v>99</v>
      </c>
      <c r="X268">
        <v>99</v>
      </c>
      <c r="Y268">
        <v>99</v>
      </c>
      <c r="Z268">
        <v>99</v>
      </c>
    </row>
    <row r="269" spans="1:26" hidden="1" x14ac:dyDescent="0.25">
      <c r="A269" t="s">
        <v>765</v>
      </c>
      <c r="B269" t="s">
        <v>38</v>
      </c>
      <c r="C269" s="4">
        <v>43584</v>
      </c>
      <c r="D269" s="4">
        <v>44049</v>
      </c>
      <c r="F269" s="4">
        <v>44682</v>
      </c>
      <c r="G269" t="s">
        <v>65</v>
      </c>
      <c r="H269" t="s">
        <v>405</v>
      </c>
      <c r="K269" t="s">
        <v>67</v>
      </c>
      <c r="L269" t="s">
        <v>574</v>
      </c>
      <c r="M269" t="s">
        <v>68</v>
      </c>
      <c r="N269" t="s">
        <v>31</v>
      </c>
      <c r="O269" t="s">
        <v>32</v>
      </c>
      <c r="P269" t="s">
        <v>766</v>
      </c>
      <c r="Q269">
        <v>135</v>
      </c>
      <c r="R269">
        <v>135</v>
      </c>
      <c r="S269" t="s">
        <v>34</v>
      </c>
      <c r="T269" t="s">
        <v>35</v>
      </c>
      <c r="U269" t="s">
        <v>44</v>
      </c>
      <c r="W269">
        <v>0</v>
      </c>
      <c r="X269">
        <v>0</v>
      </c>
      <c r="Y269">
        <v>0</v>
      </c>
      <c r="Z269">
        <v>0</v>
      </c>
    </row>
    <row r="270" spans="1:26" hidden="1" x14ac:dyDescent="0.25">
      <c r="A270" t="s">
        <v>767</v>
      </c>
      <c r="B270" t="s">
        <v>25</v>
      </c>
      <c r="C270" s="4">
        <v>43584</v>
      </c>
      <c r="F270" s="4">
        <v>44895</v>
      </c>
      <c r="G270" t="s">
        <v>107</v>
      </c>
      <c r="H270" t="s">
        <v>40</v>
      </c>
      <c r="K270" t="s">
        <v>109</v>
      </c>
      <c r="L270" t="s">
        <v>574</v>
      </c>
      <c r="M270" t="s">
        <v>84</v>
      </c>
      <c r="N270" t="s">
        <v>31</v>
      </c>
      <c r="O270" t="s">
        <v>32</v>
      </c>
      <c r="P270" t="s">
        <v>768</v>
      </c>
      <c r="Q270">
        <v>150</v>
      </c>
      <c r="R270">
        <v>150</v>
      </c>
      <c r="S270" t="s">
        <v>34</v>
      </c>
      <c r="T270" t="s">
        <v>35</v>
      </c>
      <c r="U270" t="s">
        <v>44</v>
      </c>
      <c r="V270" s="4">
        <v>45261</v>
      </c>
      <c r="W270">
        <v>150</v>
      </c>
      <c r="X270">
        <v>88</v>
      </c>
      <c r="Y270">
        <v>150</v>
      </c>
      <c r="Z270">
        <v>70</v>
      </c>
    </row>
    <row r="271" spans="1:26" hidden="1" x14ac:dyDescent="0.25">
      <c r="A271" t="s">
        <v>769</v>
      </c>
      <c r="B271" t="s">
        <v>25</v>
      </c>
      <c r="C271" s="4">
        <v>43584</v>
      </c>
      <c r="F271" s="4">
        <v>44743</v>
      </c>
      <c r="G271" t="s">
        <v>96</v>
      </c>
      <c r="H271" t="s">
        <v>770</v>
      </c>
      <c r="K271" t="s">
        <v>98</v>
      </c>
      <c r="L271" t="s">
        <v>574</v>
      </c>
      <c r="M271" t="s">
        <v>84</v>
      </c>
      <c r="N271" t="s">
        <v>31</v>
      </c>
      <c r="O271" t="s">
        <v>122</v>
      </c>
      <c r="P271" t="s">
        <v>771</v>
      </c>
      <c r="Q271">
        <v>100</v>
      </c>
      <c r="R271">
        <v>100</v>
      </c>
      <c r="S271" t="s">
        <v>597</v>
      </c>
      <c r="T271" t="s">
        <v>598</v>
      </c>
      <c r="U271" t="s">
        <v>70</v>
      </c>
      <c r="V271" s="4">
        <v>45839</v>
      </c>
      <c r="W271">
        <v>100</v>
      </c>
      <c r="X271">
        <v>47.6</v>
      </c>
      <c r="Y271">
        <v>100</v>
      </c>
      <c r="Z271">
        <v>0</v>
      </c>
    </row>
    <row r="272" spans="1:26" hidden="1" x14ac:dyDescent="0.25">
      <c r="A272" t="s">
        <v>772</v>
      </c>
      <c r="B272" t="s">
        <v>25</v>
      </c>
      <c r="C272" s="4">
        <v>43584</v>
      </c>
      <c r="F272" s="4">
        <v>45198</v>
      </c>
      <c r="G272" t="s">
        <v>128</v>
      </c>
      <c r="H272" t="s">
        <v>773</v>
      </c>
      <c r="K272" t="s">
        <v>209</v>
      </c>
      <c r="L272" t="s">
        <v>574</v>
      </c>
      <c r="M272" t="s">
        <v>42</v>
      </c>
      <c r="N272" t="s">
        <v>31</v>
      </c>
      <c r="O272" t="s">
        <v>32</v>
      </c>
      <c r="P272" t="s">
        <v>774</v>
      </c>
      <c r="Q272">
        <v>200</v>
      </c>
      <c r="R272">
        <v>200</v>
      </c>
      <c r="S272" t="s">
        <v>56</v>
      </c>
      <c r="T272" t="s">
        <v>57</v>
      </c>
      <c r="U272" t="s">
        <v>44</v>
      </c>
      <c r="V272" s="4">
        <v>45584</v>
      </c>
      <c r="W272">
        <v>200</v>
      </c>
      <c r="X272">
        <v>200</v>
      </c>
      <c r="Y272">
        <v>200</v>
      </c>
      <c r="Z272">
        <v>0</v>
      </c>
    </row>
    <row r="273" spans="1:26" hidden="1" x14ac:dyDescent="0.25">
      <c r="A273" t="s">
        <v>775</v>
      </c>
      <c r="B273" t="s">
        <v>38</v>
      </c>
      <c r="C273" s="4">
        <v>43584</v>
      </c>
      <c r="D273" s="4">
        <v>44413</v>
      </c>
      <c r="F273" s="4">
        <v>44743</v>
      </c>
      <c r="G273" t="s">
        <v>96</v>
      </c>
      <c r="H273" t="s">
        <v>776</v>
      </c>
      <c r="K273" t="s">
        <v>98</v>
      </c>
      <c r="L273" t="s">
        <v>574</v>
      </c>
      <c r="M273" t="s">
        <v>84</v>
      </c>
      <c r="N273" t="s">
        <v>31</v>
      </c>
      <c r="O273" t="s">
        <v>32</v>
      </c>
      <c r="P273" t="s">
        <v>777</v>
      </c>
      <c r="Q273">
        <v>100</v>
      </c>
      <c r="R273">
        <v>100</v>
      </c>
      <c r="S273" t="s">
        <v>159</v>
      </c>
      <c r="T273" t="s">
        <v>159</v>
      </c>
      <c r="U273" t="s">
        <v>44</v>
      </c>
      <c r="W273">
        <v>0</v>
      </c>
      <c r="X273">
        <v>0</v>
      </c>
      <c r="Y273">
        <v>0</v>
      </c>
      <c r="Z273">
        <v>0</v>
      </c>
    </row>
    <row r="274" spans="1:26" hidden="1" x14ac:dyDescent="0.25">
      <c r="A274" t="s">
        <v>778</v>
      </c>
      <c r="B274" t="s">
        <v>25</v>
      </c>
      <c r="C274" s="4">
        <v>43584</v>
      </c>
      <c r="E274" s="4">
        <v>44806</v>
      </c>
      <c r="F274" s="4">
        <v>44743</v>
      </c>
      <c r="G274" t="s">
        <v>96</v>
      </c>
      <c r="H274" t="s">
        <v>776</v>
      </c>
      <c r="K274" t="s">
        <v>98</v>
      </c>
      <c r="L274" t="s">
        <v>574</v>
      </c>
      <c r="M274" t="s">
        <v>84</v>
      </c>
      <c r="N274" t="s">
        <v>31</v>
      </c>
      <c r="O274" t="s">
        <v>122</v>
      </c>
      <c r="P274" t="s">
        <v>779</v>
      </c>
      <c r="Q274">
        <v>50</v>
      </c>
      <c r="R274">
        <v>50</v>
      </c>
      <c r="S274" t="s">
        <v>159</v>
      </c>
      <c r="T274" t="s">
        <v>159</v>
      </c>
      <c r="U274" t="s">
        <v>70</v>
      </c>
      <c r="V274" s="4">
        <v>45839</v>
      </c>
      <c r="W274">
        <v>50</v>
      </c>
      <c r="X274">
        <v>23.6</v>
      </c>
      <c r="Y274">
        <v>50</v>
      </c>
      <c r="Z274">
        <v>0</v>
      </c>
    </row>
    <row r="275" spans="1:26" x14ac:dyDescent="0.25">
      <c r="A275" t="s">
        <v>780</v>
      </c>
      <c r="B275" t="s">
        <v>38</v>
      </c>
      <c r="C275" s="4">
        <v>43584</v>
      </c>
      <c r="D275" s="4">
        <v>43774</v>
      </c>
      <c r="F275" s="4">
        <v>45198</v>
      </c>
      <c r="G275" t="s">
        <v>254</v>
      </c>
      <c r="H275" t="s">
        <v>6683</v>
      </c>
      <c r="I275" t="s">
        <v>927</v>
      </c>
      <c r="K275" t="s">
        <v>98</v>
      </c>
      <c r="L275" t="s">
        <v>574</v>
      </c>
      <c r="M275" t="s">
        <v>84</v>
      </c>
      <c r="N275" t="s">
        <v>31</v>
      </c>
      <c r="O275" t="s">
        <v>32</v>
      </c>
      <c r="P275" t="s">
        <v>781</v>
      </c>
      <c r="Q275">
        <v>100</v>
      </c>
      <c r="R275">
        <v>100</v>
      </c>
      <c r="S275" t="s">
        <v>34</v>
      </c>
      <c r="T275" t="s">
        <v>35</v>
      </c>
      <c r="U275" t="s">
        <v>44</v>
      </c>
      <c r="W275">
        <v>0</v>
      </c>
      <c r="X275">
        <v>0</v>
      </c>
      <c r="Y275">
        <v>0</v>
      </c>
      <c r="Z275">
        <v>0</v>
      </c>
    </row>
    <row r="276" spans="1:26" hidden="1" x14ac:dyDescent="0.25">
      <c r="A276" t="s">
        <v>782</v>
      </c>
      <c r="B276" t="s">
        <v>38</v>
      </c>
      <c r="C276" s="4">
        <v>43584</v>
      </c>
      <c r="D276" s="4">
        <v>44413</v>
      </c>
      <c r="F276" s="4">
        <v>44743</v>
      </c>
      <c r="G276" t="s">
        <v>96</v>
      </c>
      <c r="H276" t="s">
        <v>468</v>
      </c>
      <c r="K276" t="s">
        <v>98</v>
      </c>
      <c r="L276" t="s">
        <v>574</v>
      </c>
      <c r="M276" t="s">
        <v>84</v>
      </c>
      <c r="N276" t="s">
        <v>31</v>
      </c>
      <c r="O276" t="s">
        <v>32</v>
      </c>
      <c r="P276" t="s">
        <v>783</v>
      </c>
      <c r="Q276">
        <v>100</v>
      </c>
      <c r="R276">
        <v>100</v>
      </c>
      <c r="S276" t="s">
        <v>597</v>
      </c>
      <c r="T276" t="s">
        <v>598</v>
      </c>
      <c r="U276" t="s">
        <v>44</v>
      </c>
      <c r="W276">
        <v>0</v>
      </c>
      <c r="X276">
        <v>0</v>
      </c>
      <c r="Y276">
        <v>0</v>
      </c>
      <c r="Z276">
        <v>0</v>
      </c>
    </row>
    <row r="277" spans="1:26" hidden="1" x14ac:dyDescent="0.25">
      <c r="A277" t="s">
        <v>784</v>
      </c>
      <c r="B277" t="s">
        <v>38</v>
      </c>
      <c r="C277" s="4">
        <v>43584</v>
      </c>
      <c r="D277" s="4">
        <v>44413</v>
      </c>
      <c r="F277" s="4">
        <v>45229</v>
      </c>
      <c r="G277" t="s">
        <v>681</v>
      </c>
      <c r="H277" t="s">
        <v>785</v>
      </c>
      <c r="K277" t="s">
        <v>683</v>
      </c>
      <c r="L277" t="s">
        <v>574</v>
      </c>
      <c r="M277" t="s">
        <v>84</v>
      </c>
      <c r="N277" t="s">
        <v>31</v>
      </c>
      <c r="O277" t="s">
        <v>32</v>
      </c>
      <c r="P277" t="s">
        <v>786</v>
      </c>
      <c r="Q277">
        <v>100</v>
      </c>
      <c r="R277">
        <v>100</v>
      </c>
      <c r="S277" t="s">
        <v>34</v>
      </c>
      <c r="T277" t="s">
        <v>35</v>
      </c>
      <c r="U277" t="s">
        <v>44</v>
      </c>
      <c r="W277">
        <v>0</v>
      </c>
      <c r="X277">
        <v>0</v>
      </c>
      <c r="Y277">
        <v>0</v>
      </c>
      <c r="Z277">
        <v>0</v>
      </c>
    </row>
    <row r="278" spans="1:26" hidden="1" x14ac:dyDescent="0.25">
      <c r="A278" t="s">
        <v>787</v>
      </c>
      <c r="B278" t="s">
        <v>38</v>
      </c>
      <c r="C278" s="4">
        <v>43584</v>
      </c>
      <c r="D278" s="4">
        <v>44992</v>
      </c>
      <c r="F278" s="4">
        <v>44743</v>
      </c>
      <c r="G278" t="s">
        <v>96</v>
      </c>
      <c r="H278" t="s">
        <v>468</v>
      </c>
      <c r="K278" t="s">
        <v>98</v>
      </c>
      <c r="L278" t="s">
        <v>574</v>
      </c>
      <c r="M278" t="s">
        <v>84</v>
      </c>
      <c r="N278" t="s">
        <v>31</v>
      </c>
      <c r="O278" t="s">
        <v>122</v>
      </c>
      <c r="P278" t="s">
        <v>783</v>
      </c>
      <c r="Q278">
        <v>100</v>
      </c>
      <c r="R278">
        <v>100</v>
      </c>
      <c r="S278" t="s">
        <v>597</v>
      </c>
      <c r="T278" t="s">
        <v>598</v>
      </c>
      <c r="U278" t="s">
        <v>44</v>
      </c>
      <c r="W278">
        <v>100</v>
      </c>
      <c r="X278">
        <v>47.1</v>
      </c>
      <c r="Y278">
        <v>100</v>
      </c>
      <c r="Z278">
        <v>0</v>
      </c>
    </row>
    <row r="279" spans="1:26" hidden="1" x14ac:dyDescent="0.25">
      <c r="A279" t="s">
        <v>788</v>
      </c>
      <c r="B279" t="s">
        <v>38</v>
      </c>
      <c r="C279" s="4">
        <v>43584</v>
      </c>
      <c r="D279" s="4">
        <v>44047</v>
      </c>
      <c r="F279" s="4">
        <v>44864</v>
      </c>
      <c r="G279" t="s">
        <v>149</v>
      </c>
      <c r="H279" t="s">
        <v>514</v>
      </c>
      <c r="K279" t="s">
        <v>151</v>
      </c>
      <c r="L279" t="s">
        <v>574</v>
      </c>
      <c r="M279" t="s">
        <v>68</v>
      </c>
      <c r="N279" t="s">
        <v>31</v>
      </c>
      <c r="O279" t="s">
        <v>32</v>
      </c>
      <c r="P279" t="s">
        <v>515</v>
      </c>
      <c r="Q279">
        <v>130</v>
      </c>
      <c r="R279">
        <v>130</v>
      </c>
      <c r="S279" t="s">
        <v>34</v>
      </c>
      <c r="T279" t="s">
        <v>35</v>
      </c>
      <c r="U279" t="s">
        <v>44</v>
      </c>
      <c r="W279">
        <v>0</v>
      </c>
      <c r="X279">
        <v>0</v>
      </c>
      <c r="Y279">
        <v>0</v>
      </c>
      <c r="Z279">
        <v>0</v>
      </c>
    </row>
    <row r="280" spans="1:26" hidden="1" x14ac:dyDescent="0.25">
      <c r="A280" t="s">
        <v>789</v>
      </c>
      <c r="B280" t="s">
        <v>38</v>
      </c>
      <c r="C280" s="4">
        <v>43584</v>
      </c>
      <c r="D280" s="4">
        <v>44048</v>
      </c>
      <c r="F280" s="4">
        <v>44621</v>
      </c>
      <c r="G280" t="s">
        <v>149</v>
      </c>
      <c r="H280" t="s">
        <v>150</v>
      </c>
      <c r="K280" t="s">
        <v>151</v>
      </c>
      <c r="L280" t="s">
        <v>574</v>
      </c>
      <c r="M280" t="s">
        <v>68</v>
      </c>
      <c r="N280" t="s">
        <v>31</v>
      </c>
      <c r="O280" t="s">
        <v>32</v>
      </c>
      <c r="P280" t="s">
        <v>790</v>
      </c>
      <c r="Q280">
        <v>100</v>
      </c>
      <c r="R280">
        <v>100</v>
      </c>
      <c r="S280" t="s">
        <v>34</v>
      </c>
      <c r="T280" t="s">
        <v>35</v>
      </c>
      <c r="U280" t="s">
        <v>44</v>
      </c>
      <c r="W280">
        <v>0</v>
      </c>
      <c r="X280">
        <v>0</v>
      </c>
      <c r="Y280">
        <v>0</v>
      </c>
      <c r="Z280">
        <v>0</v>
      </c>
    </row>
    <row r="281" spans="1:26" hidden="1" x14ac:dyDescent="0.25">
      <c r="A281" t="s">
        <v>791</v>
      </c>
      <c r="B281" t="s">
        <v>38</v>
      </c>
      <c r="C281" s="4">
        <v>43584</v>
      </c>
      <c r="D281" s="4">
        <v>44273</v>
      </c>
      <c r="F281" s="4">
        <v>44621</v>
      </c>
      <c r="G281" t="s">
        <v>149</v>
      </c>
      <c r="H281" t="s">
        <v>792</v>
      </c>
      <c r="K281" t="s">
        <v>151</v>
      </c>
      <c r="L281" t="s">
        <v>574</v>
      </c>
      <c r="M281" t="s">
        <v>68</v>
      </c>
      <c r="N281" t="s">
        <v>31</v>
      </c>
      <c r="O281" t="s">
        <v>32</v>
      </c>
      <c r="P281" t="s">
        <v>793</v>
      </c>
      <c r="Q281">
        <v>100</v>
      </c>
      <c r="R281">
        <v>100</v>
      </c>
      <c r="S281" t="s">
        <v>34</v>
      </c>
      <c r="T281" t="s">
        <v>35</v>
      </c>
      <c r="U281" t="s">
        <v>44</v>
      </c>
      <c r="W281">
        <v>100</v>
      </c>
      <c r="X281">
        <v>100</v>
      </c>
      <c r="Y281">
        <v>0</v>
      </c>
      <c r="Z281">
        <v>0</v>
      </c>
    </row>
    <row r="282" spans="1:26" hidden="1" x14ac:dyDescent="0.25">
      <c r="A282" t="s">
        <v>794</v>
      </c>
      <c r="B282" t="s">
        <v>38</v>
      </c>
      <c r="C282" s="4">
        <v>43584</v>
      </c>
      <c r="D282" s="4">
        <v>44048</v>
      </c>
      <c r="F282" s="4">
        <v>44621</v>
      </c>
      <c r="G282" t="s">
        <v>65</v>
      </c>
      <c r="H282" t="s">
        <v>225</v>
      </c>
      <c r="K282" t="s">
        <v>67</v>
      </c>
      <c r="L282" t="s">
        <v>574</v>
      </c>
      <c r="M282" t="s">
        <v>68</v>
      </c>
      <c r="N282" t="s">
        <v>31</v>
      </c>
      <c r="O282" t="s">
        <v>32</v>
      </c>
      <c r="P282" t="s">
        <v>795</v>
      </c>
      <c r="Q282">
        <v>100</v>
      </c>
      <c r="R282">
        <v>100</v>
      </c>
      <c r="S282" t="s">
        <v>34</v>
      </c>
      <c r="T282" t="s">
        <v>35</v>
      </c>
      <c r="U282" t="s">
        <v>44</v>
      </c>
      <c r="W282">
        <v>0</v>
      </c>
      <c r="X282">
        <v>0</v>
      </c>
      <c r="Y282">
        <v>0</v>
      </c>
      <c r="Z282">
        <v>0</v>
      </c>
    </row>
    <row r="283" spans="1:26" hidden="1" x14ac:dyDescent="0.25">
      <c r="A283" t="s">
        <v>796</v>
      </c>
      <c r="B283" t="s">
        <v>25</v>
      </c>
      <c r="C283" s="4">
        <v>43584</v>
      </c>
      <c r="F283" s="4">
        <v>44621</v>
      </c>
      <c r="G283" t="s">
        <v>65</v>
      </c>
      <c r="H283" t="s">
        <v>797</v>
      </c>
      <c r="K283" t="s">
        <v>67</v>
      </c>
      <c r="L283" t="s">
        <v>574</v>
      </c>
      <c r="M283" t="s">
        <v>68</v>
      </c>
      <c r="N283" t="s">
        <v>31</v>
      </c>
      <c r="O283" t="s">
        <v>32</v>
      </c>
      <c r="P283" t="s">
        <v>798</v>
      </c>
      <c r="Q283">
        <v>75</v>
      </c>
      <c r="R283">
        <v>75</v>
      </c>
      <c r="S283" t="s">
        <v>34</v>
      </c>
      <c r="T283" t="s">
        <v>35</v>
      </c>
      <c r="U283" t="s">
        <v>44</v>
      </c>
      <c r="V283" s="4">
        <v>45596</v>
      </c>
      <c r="W283">
        <v>75</v>
      </c>
      <c r="X283">
        <v>75</v>
      </c>
      <c r="Y283">
        <v>75</v>
      </c>
      <c r="Z283">
        <v>75</v>
      </c>
    </row>
    <row r="284" spans="1:26" hidden="1" x14ac:dyDescent="0.25">
      <c r="A284" t="s">
        <v>799</v>
      </c>
      <c r="B284" t="s">
        <v>38</v>
      </c>
      <c r="C284" s="4">
        <v>43584</v>
      </c>
      <c r="D284" s="4">
        <v>44273</v>
      </c>
      <c r="F284" s="4">
        <v>44621</v>
      </c>
      <c r="G284" t="s">
        <v>616</v>
      </c>
      <c r="H284" t="s">
        <v>800</v>
      </c>
      <c r="K284" t="s">
        <v>146</v>
      </c>
      <c r="L284" t="s">
        <v>574</v>
      </c>
      <c r="M284" t="s">
        <v>68</v>
      </c>
      <c r="N284" t="s">
        <v>31</v>
      </c>
      <c r="O284" t="s">
        <v>32</v>
      </c>
      <c r="P284" t="s">
        <v>801</v>
      </c>
      <c r="Q284">
        <v>200</v>
      </c>
      <c r="R284">
        <v>200</v>
      </c>
      <c r="S284" t="s">
        <v>34</v>
      </c>
      <c r="T284" t="s">
        <v>35</v>
      </c>
      <c r="U284" t="s">
        <v>44</v>
      </c>
      <c r="W284">
        <v>200</v>
      </c>
      <c r="X284">
        <v>200</v>
      </c>
      <c r="Y284">
        <v>0</v>
      </c>
      <c r="Z284">
        <v>0</v>
      </c>
    </row>
    <row r="285" spans="1:26" hidden="1" x14ac:dyDescent="0.25">
      <c r="A285" t="s">
        <v>802</v>
      </c>
      <c r="B285" t="s">
        <v>38</v>
      </c>
      <c r="C285" s="4">
        <v>43584</v>
      </c>
      <c r="D285" s="4">
        <v>43713</v>
      </c>
      <c r="F285" s="4">
        <v>44986</v>
      </c>
      <c r="G285" t="s">
        <v>65</v>
      </c>
      <c r="H285" t="s">
        <v>212</v>
      </c>
      <c r="K285" t="s">
        <v>67</v>
      </c>
      <c r="L285" t="s">
        <v>574</v>
      </c>
      <c r="M285" t="s">
        <v>68</v>
      </c>
      <c r="N285" t="s">
        <v>31</v>
      </c>
      <c r="O285" t="s">
        <v>32</v>
      </c>
      <c r="P285" t="s">
        <v>803</v>
      </c>
      <c r="Q285">
        <v>269.99</v>
      </c>
      <c r="R285">
        <v>269.99</v>
      </c>
      <c r="S285" t="s">
        <v>719</v>
      </c>
      <c r="T285" t="s">
        <v>720</v>
      </c>
      <c r="U285" t="s">
        <v>44</v>
      </c>
      <c r="W285">
        <v>0</v>
      </c>
      <c r="X285">
        <v>0</v>
      </c>
      <c r="Y285">
        <v>0</v>
      </c>
      <c r="Z285">
        <v>0</v>
      </c>
    </row>
    <row r="286" spans="1:26" hidden="1" x14ac:dyDescent="0.25">
      <c r="A286" t="s">
        <v>804</v>
      </c>
      <c r="B286" t="s">
        <v>38</v>
      </c>
      <c r="C286" s="4">
        <v>43584</v>
      </c>
      <c r="D286" s="4">
        <v>44279</v>
      </c>
      <c r="F286" s="4">
        <v>45229</v>
      </c>
      <c r="G286" t="s">
        <v>72</v>
      </c>
      <c r="H286" t="s">
        <v>805</v>
      </c>
      <c r="K286" t="s">
        <v>209</v>
      </c>
      <c r="L286" t="s">
        <v>574</v>
      </c>
      <c r="M286" t="s">
        <v>42</v>
      </c>
      <c r="N286" t="s">
        <v>31</v>
      </c>
      <c r="O286" t="s">
        <v>32</v>
      </c>
      <c r="P286" t="s">
        <v>806</v>
      </c>
      <c r="Q286">
        <v>250</v>
      </c>
      <c r="R286">
        <v>250</v>
      </c>
      <c r="S286" t="s">
        <v>34</v>
      </c>
      <c r="T286" t="s">
        <v>35</v>
      </c>
      <c r="U286" t="s">
        <v>44</v>
      </c>
      <c r="W286">
        <v>0</v>
      </c>
      <c r="X286">
        <v>0</v>
      </c>
      <c r="Y286">
        <v>0</v>
      </c>
      <c r="Z286">
        <v>0</v>
      </c>
    </row>
    <row r="287" spans="1:26" hidden="1" x14ac:dyDescent="0.25">
      <c r="A287" t="s">
        <v>807</v>
      </c>
      <c r="B287" t="s">
        <v>38</v>
      </c>
      <c r="C287" s="4">
        <v>43584</v>
      </c>
      <c r="D287" s="4">
        <v>44279</v>
      </c>
      <c r="F287" s="4">
        <v>45229</v>
      </c>
      <c r="G287" t="s">
        <v>72</v>
      </c>
      <c r="H287" t="s">
        <v>805</v>
      </c>
      <c r="K287" t="s">
        <v>209</v>
      </c>
      <c r="L287" t="s">
        <v>574</v>
      </c>
      <c r="M287" t="s">
        <v>42</v>
      </c>
      <c r="N287" t="s">
        <v>31</v>
      </c>
      <c r="O287" t="s">
        <v>32</v>
      </c>
      <c r="P287" t="s">
        <v>806</v>
      </c>
      <c r="Q287">
        <v>50</v>
      </c>
      <c r="R287">
        <v>50</v>
      </c>
      <c r="S287" t="s">
        <v>159</v>
      </c>
      <c r="T287" t="s">
        <v>159</v>
      </c>
      <c r="U287" t="s">
        <v>44</v>
      </c>
      <c r="W287">
        <v>0</v>
      </c>
      <c r="X287">
        <v>0</v>
      </c>
      <c r="Y287">
        <v>0</v>
      </c>
      <c r="Z287">
        <v>0</v>
      </c>
    </row>
    <row r="288" spans="1:26" hidden="1" x14ac:dyDescent="0.25">
      <c r="A288" t="s">
        <v>808</v>
      </c>
      <c r="B288" t="s">
        <v>25</v>
      </c>
      <c r="C288" s="4">
        <v>43584</v>
      </c>
      <c r="E288" s="4">
        <v>44529</v>
      </c>
      <c r="F288" s="4">
        <v>44864</v>
      </c>
      <c r="G288" t="s">
        <v>616</v>
      </c>
      <c r="H288" t="s">
        <v>809</v>
      </c>
      <c r="K288" t="s">
        <v>146</v>
      </c>
      <c r="L288" t="s">
        <v>574</v>
      </c>
      <c r="M288" t="s">
        <v>68</v>
      </c>
      <c r="N288" t="s">
        <v>31</v>
      </c>
      <c r="O288" t="s">
        <v>122</v>
      </c>
      <c r="P288" t="s">
        <v>810</v>
      </c>
      <c r="Q288">
        <v>150</v>
      </c>
      <c r="R288">
        <v>150</v>
      </c>
      <c r="S288" t="s">
        <v>34</v>
      </c>
      <c r="T288" t="s">
        <v>35</v>
      </c>
      <c r="U288" t="s">
        <v>70</v>
      </c>
      <c r="V288" s="4">
        <v>45748</v>
      </c>
      <c r="W288">
        <v>125</v>
      </c>
      <c r="X288">
        <v>125</v>
      </c>
      <c r="Y288">
        <v>125</v>
      </c>
      <c r="Z288">
        <v>0</v>
      </c>
    </row>
    <row r="289" spans="1:26" hidden="1" x14ac:dyDescent="0.25">
      <c r="A289" t="s">
        <v>811</v>
      </c>
      <c r="B289" t="s">
        <v>38</v>
      </c>
      <c r="C289" s="4">
        <v>43584</v>
      </c>
      <c r="D289" s="4">
        <v>44048</v>
      </c>
      <c r="F289" s="4">
        <v>44743</v>
      </c>
      <c r="G289" t="s">
        <v>261</v>
      </c>
      <c r="H289" t="s">
        <v>812</v>
      </c>
      <c r="K289" t="s">
        <v>114</v>
      </c>
      <c r="L289" t="s">
        <v>574</v>
      </c>
      <c r="M289" t="s">
        <v>68</v>
      </c>
      <c r="N289" t="s">
        <v>31</v>
      </c>
      <c r="O289" t="s">
        <v>32</v>
      </c>
      <c r="P289" t="s">
        <v>813</v>
      </c>
      <c r="Q289">
        <v>50</v>
      </c>
      <c r="R289">
        <v>50</v>
      </c>
      <c r="S289" t="s">
        <v>34</v>
      </c>
      <c r="T289" t="s">
        <v>35</v>
      </c>
      <c r="U289" t="s">
        <v>44</v>
      </c>
      <c r="W289">
        <v>0</v>
      </c>
      <c r="X289">
        <v>0</v>
      </c>
      <c r="Y289">
        <v>0</v>
      </c>
      <c r="Z289">
        <v>0</v>
      </c>
    </row>
    <row r="290" spans="1:26" hidden="1" x14ac:dyDescent="0.25">
      <c r="A290" t="s">
        <v>814</v>
      </c>
      <c r="B290" t="s">
        <v>38</v>
      </c>
      <c r="C290" s="4">
        <v>43584</v>
      </c>
      <c r="D290" s="4">
        <v>43937</v>
      </c>
      <c r="F290" s="4">
        <v>45139</v>
      </c>
      <c r="G290" t="s">
        <v>101</v>
      </c>
      <c r="H290" t="s">
        <v>815</v>
      </c>
      <c r="K290" t="s">
        <v>98</v>
      </c>
      <c r="L290" t="s">
        <v>574</v>
      </c>
      <c r="M290" t="s">
        <v>84</v>
      </c>
      <c r="N290" t="s">
        <v>31</v>
      </c>
      <c r="O290" t="s">
        <v>32</v>
      </c>
      <c r="P290" t="s">
        <v>816</v>
      </c>
      <c r="Q290">
        <v>606.70000000000005</v>
      </c>
      <c r="R290">
        <v>667.2</v>
      </c>
      <c r="S290" t="s">
        <v>389</v>
      </c>
      <c r="T290" t="s">
        <v>390</v>
      </c>
      <c r="U290" t="s">
        <v>44</v>
      </c>
      <c r="W290">
        <v>0</v>
      </c>
      <c r="X290">
        <v>0</v>
      </c>
      <c r="Y290">
        <v>0</v>
      </c>
      <c r="Z290">
        <v>0</v>
      </c>
    </row>
    <row r="291" spans="1:26" hidden="1" x14ac:dyDescent="0.25">
      <c r="A291" t="s">
        <v>817</v>
      </c>
      <c r="B291" t="s">
        <v>25</v>
      </c>
      <c r="C291" s="4">
        <v>43584</v>
      </c>
      <c r="F291" s="4">
        <v>44671</v>
      </c>
      <c r="G291" t="s">
        <v>117</v>
      </c>
      <c r="H291" t="s">
        <v>818</v>
      </c>
      <c r="K291" t="s">
        <v>83</v>
      </c>
      <c r="L291" t="s">
        <v>574</v>
      </c>
      <c r="M291" t="s">
        <v>84</v>
      </c>
      <c r="N291" t="s">
        <v>31</v>
      </c>
      <c r="O291" t="s">
        <v>32</v>
      </c>
      <c r="P291" t="s">
        <v>819</v>
      </c>
      <c r="Q291">
        <v>200</v>
      </c>
      <c r="R291">
        <v>200</v>
      </c>
      <c r="S291" t="s">
        <v>56</v>
      </c>
      <c r="T291" t="s">
        <v>57</v>
      </c>
      <c r="U291" t="s">
        <v>36</v>
      </c>
      <c r="V291" s="4">
        <v>45597</v>
      </c>
      <c r="W291">
        <v>200</v>
      </c>
      <c r="X291">
        <v>200</v>
      </c>
      <c r="Y291">
        <v>200</v>
      </c>
      <c r="Z291">
        <v>200</v>
      </c>
    </row>
    <row r="292" spans="1:26" hidden="1" x14ac:dyDescent="0.25">
      <c r="A292" t="s">
        <v>820</v>
      </c>
      <c r="B292" t="s">
        <v>38</v>
      </c>
      <c r="C292" s="4">
        <v>43584</v>
      </c>
      <c r="D292" s="4">
        <v>44047</v>
      </c>
      <c r="F292" s="4">
        <v>44864</v>
      </c>
      <c r="G292" t="s">
        <v>616</v>
      </c>
      <c r="H292" t="s">
        <v>809</v>
      </c>
      <c r="K292" t="s">
        <v>146</v>
      </c>
      <c r="L292" t="s">
        <v>574</v>
      </c>
      <c r="M292" t="s">
        <v>68</v>
      </c>
      <c r="N292" t="s">
        <v>31</v>
      </c>
      <c r="O292" t="s">
        <v>32</v>
      </c>
      <c r="P292" t="s">
        <v>810</v>
      </c>
      <c r="Q292">
        <v>25</v>
      </c>
      <c r="R292">
        <v>25</v>
      </c>
      <c r="S292" t="s">
        <v>159</v>
      </c>
      <c r="T292" t="s">
        <v>159</v>
      </c>
      <c r="U292" t="s">
        <v>44</v>
      </c>
      <c r="W292">
        <v>0</v>
      </c>
      <c r="X292">
        <v>0</v>
      </c>
      <c r="Y292">
        <v>0</v>
      </c>
      <c r="Z292">
        <v>0</v>
      </c>
    </row>
    <row r="293" spans="1:26" hidden="1" x14ac:dyDescent="0.25">
      <c r="A293" t="s">
        <v>821</v>
      </c>
      <c r="B293" t="s">
        <v>38</v>
      </c>
      <c r="C293" s="4">
        <v>43584</v>
      </c>
      <c r="D293" s="4">
        <v>43844</v>
      </c>
      <c r="F293" s="4">
        <v>44864</v>
      </c>
      <c r="G293" t="s">
        <v>144</v>
      </c>
      <c r="H293" t="s">
        <v>822</v>
      </c>
      <c r="K293" t="s">
        <v>146</v>
      </c>
      <c r="L293" t="s">
        <v>574</v>
      </c>
      <c r="M293" t="s">
        <v>68</v>
      </c>
      <c r="N293" t="s">
        <v>31</v>
      </c>
      <c r="O293" t="s">
        <v>32</v>
      </c>
      <c r="P293" t="s">
        <v>823</v>
      </c>
      <c r="Q293">
        <v>100</v>
      </c>
      <c r="R293">
        <v>100</v>
      </c>
      <c r="S293" t="s">
        <v>34</v>
      </c>
      <c r="T293" t="s">
        <v>35</v>
      </c>
      <c r="U293" t="s">
        <v>44</v>
      </c>
      <c r="W293">
        <v>0</v>
      </c>
      <c r="X293">
        <v>0</v>
      </c>
      <c r="Y293">
        <v>0</v>
      </c>
      <c r="Z293">
        <v>0</v>
      </c>
    </row>
    <row r="294" spans="1:26" hidden="1" x14ac:dyDescent="0.25">
      <c r="A294" t="s">
        <v>824</v>
      </c>
      <c r="B294" t="s">
        <v>25</v>
      </c>
      <c r="C294" s="4">
        <v>43584</v>
      </c>
      <c r="E294" s="4">
        <v>44790</v>
      </c>
      <c r="F294" s="4">
        <v>44317</v>
      </c>
      <c r="G294" t="s">
        <v>52</v>
      </c>
      <c r="H294" t="s">
        <v>245</v>
      </c>
      <c r="K294" t="s">
        <v>53</v>
      </c>
      <c r="L294" t="s">
        <v>574</v>
      </c>
      <c r="M294" t="s">
        <v>54</v>
      </c>
      <c r="N294" t="s">
        <v>31</v>
      </c>
      <c r="O294" t="s">
        <v>122</v>
      </c>
      <c r="P294" t="s">
        <v>825</v>
      </c>
      <c r="Q294">
        <v>198</v>
      </c>
      <c r="R294">
        <v>198</v>
      </c>
      <c r="S294" t="s">
        <v>56</v>
      </c>
      <c r="T294" t="s">
        <v>57</v>
      </c>
      <c r="U294" t="s">
        <v>44</v>
      </c>
      <c r="V294" s="4">
        <v>45536</v>
      </c>
      <c r="W294">
        <v>198</v>
      </c>
      <c r="X294">
        <v>198</v>
      </c>
      <c r="Y294">
        <v>198</v>
      </c>
      <c r="Z294">
        <v>0</v>
      </c>
    </row>
    <row r="295" spans="1:26" hidden="1" x14ac:dyDescent="0.25">
      <c r="A295" t="s">
        <v>826</v>
      </c>
      <c r="B295" t="s">
        <v>38</v>
      </c>
      <c r="C295" s="4">
        <v>43584</v>
      </c>
      <c r="D295" s="4">
        <v>44047</v>
      </c>
      <c r="F295" s="4">
        <v>44864</v>
      </c>
      <c r="G295" t="s">
        <v>65</v>
      </c>
      <c r="H295" t="s">
        <v>827</v>
      </c>
      <c r="K295" t="s">
        <v>67</v>
      </c>
      <c r="L295" t="s">
        <v>574</v>
      </c>
      <c r="M295" t="s">
        <v>68</v>
      </c>
      <c r="N295" t="s">
        <v>31</v>
      </c>
      <c r="O295" t="s">
        <v>32</v>
      </c>
      <c r="P295" t="s">
        <v>828</v>
      </c>
      <c r="Q295">
        <v>25</v>
      </c>
      <c r="R295">
        <v>25</v>
      </c>
      <c r="S295" t="s">
        <v>159</v>
      </c>
      <c r="T295" t="s">
        <v>159</v>
      </c>
      <c r="U295" t="s">
        <v>44</v>
      </c>
      <c r="W295">
        <v>0</v>
      </c>
      <c r="X295">
        <v>0</v>
      </c>
      <c r="Y295">
        <v>0</v>
      </c>
      <c r="Z295">
        <v>0</v>
      </c>
    </row>
    <row r="296" spans="1:26" hidden="1" x14ac:dyDescent="0.25">
      <c r="A296" t="s">
        <v>829</v>
      </c>
      <c r="B296" t="s">
        <v>25</v>
      </c>
      <c r="C296" s="4">
        <v>43584</v>
      </c>
      <c r="E296" s="4">
        <v>44586</v>
      </c>
      <c r="F296" s="4">
        <v>44713</v>
      </c>
      <c r="G296" t="s">
        <v>261</v>
      </c>
      <c r="H296" t="s">
        <v>371</v>
      </c>
      <c r="K296" t="s">
        <v>114</v>
      </c>
      <c r="L296" t="s">
        <v>574</v>
      </c>
      <c r="M296" t="s">
        <v>68</v>
      </c>
      <c r="N296" t="s">
        <v>31</v>
      </c>
      <c r="O296" t="s">
        <v>32</v>
      </c>
      <c r="P296" t="s">
        <v>830</v>
      </c>
      <c r="Q296">
        <v>99</v>
      </c>
      <c r="R296">
        <v>99</v>
      </c>
      <c r="S296" t="s">
        <v>34</v>
      </c>
      <c r="T296" t="s">
        <v>35</v>
      </c>
      <c r="U296" t="s">
        <v>70</v>
      </c>
      <c r="V296" s="4">
        <v>45291</v>
      </c>
      <c r="W296">
        <v>99</v>
      </c>
      <c r="X296">
        <v>99</v>
      </c>
      <c r="Y296">
        <v>99</v>
      </c>
      <c r="Z296">
        <v>99</v>
      </c>
    </row>
    <row r="297" spans="1:26" hidden="1" x14ac:dyDescent="0.25">
      <c r="A297" t="s">
        <v>831</v>
      </c>
      <c r="B297" t="s">
        <v>25</v>
      </c>
      <c r="C297" s="4">
        <v>43584</v>
      </c>
      <c r="F297" s="4">
        <v>44985</v>
      </c>
      <c r="G297" t="s">
        <v>691</v>
      </c>
      <c r="H297" t="s">
        <v>97</v>
      </c>
      <c r="K297" t="s">
        <v>98</v>
      </c>
      <c r="L297" t="s">
        <v>574</v>
      </c>
      <c r="M297" t="s">
        <v>84</v>
      </c>
      <c r="N297" t="s">
        <v>31</v>
      </c>
      <c r="O297" t="s">
        <v>32</v>
      </c>
      <c r="P297" t="s">
        <v>832</v>
      </c>
      <c r="Q297">
        <v>280</v>
      </c>
      <c r="R297">
        <v>280</v>
      </c>
      <c r="S297" t="s">
        <v>34</v>
      </c>
      <c r="T297" t="s">
        <v>35</v>
      </c>
      <c r="U297" t="s">
        <v>36</v>
      </c>
      <c r="V297" s="4">
        <v>45291</v>
      </c>
      <c r="W297">
        <v>280</v>
      </c>
      <c r="X297">
        <v>280</v>
      </c>
      <c r="Y297">
        <v>280</v>
      </c>
      <c r="Z297">
        <v>280</v>
      </c>
    </row>
    <row r="298" spans="1:26" hidden="1" x14ac:dyDescent="0.25">
      <c r="A298" t="s">
        <v>833</v>
      </c>
      <c r="B298" t="s">
        <v>38</v>
      </c>
      <c r="C298" s="4">
        <v>43584</v>
      </c>
      <c r="D298" s="4">
        <v>44413</v>
      </c>
      <c r="F298" s="4">
        <v>44896</v>
      </c>
      <c r="G298" t="s">
        <v>96</v>
      </c>
      <c r="H298" t="s">
        <v>97</v>
      </c>
      <c r="K298" t="s">
        <v>98</v>
      </c>
      <c r="L298" t="s">
        <v>574</v>
      </c>
      <c r="M298" t="s">
        <v>84</v>
      </c>
      <c r="N298" t="s">
        <v>31</v>
      </c>
      <c r="O298" t="s">
        <v>32</v>
      </c>
      <c r="P298" t="s">
        <v>834</v>
      </c>
      <c r="Q298">
        <v>200</v>
      </c>
      <c r="R298">
        <v>200</v>
      </c>
      <c r="S298" t="s">
        <v>34</v>
      </c>
      <c r="T298" t="s">
        <v>35</v>
      </c>
      <c r="U298" t="s">
        <v>44</v>
      </c>
      <c r="W298">
        <v>0</v>
      </c>
      <c r="X298">
        <v>0</v>
      </c>
      <c r="Y298">
        <v>0</v>
      </c>
      <c r="Z298">
        <v>0</v>
      </c>
    </row>
    <row r="299" spans="1:26" hidden="1" x14ac:dyDescent="0.25">
      <c r="A299" t="s">
        <v>835</v>
      </c>
      <c r="B299" t="s">
        <v>25</v>
      </c>
      <c r="C299" s="4">
        <v>43584</v>
      </c>
      <c r="E299" s="4">
        <v>44790</v>
      </c>
      <c r="F299" s="4">
        <v>44531</v>
      </c>
      <c r="G299" t="s">
        <v>52</v>
      </c>
      <c r="H299" t="s">
        <v>305</v>
      </c>
      <c r="K299" t="s">
        <v>53</v>
      </c>
      <c r="L299" t="s">
        <v>574</v>
      </c>
      <c r="M299" t="s">
        <v>54</v>
      </c>
      <c r="N299" t="s">
        <v>31</v>
      </c>
      <c r="O299" t="s">
        <v>32</v>
      </c>
      <c r="P299" t="s">
        <v>836</v>
      </c>
      <c r="Q299">
        <v>170</v>
      </c>
      <c r="R299">
        <v>170</v>
      </c>
      <c r="S299" t="s">
        <v>34</v>
      </c>
      <c r="T299" t="s">
        <v>35</v>
      </c>
      <c r="U299" t="s">
        <v>70</v>
      </c>
      <c r="V299" s="4">
        <v>45627</v>
      </c>
      <c r="W299">
        <v>170</v>
      </c>
      <c r="X299">
        <v>170</v>
      </c>
      <c r="Y299">
        <v>170</v>
      </c>
      <c r="Z299">
        <v>170</v>
      </c>
    </row>
    <row r="300" spans="1:26" hidden="1" x14ac:dyDescent="0.25">
      <c r="A300" t="s">
        <v>837</v>
      </c>
      <c r="B300" t="s">
        <v>38</v>
      </c>
      <c r="C300" s="4">
        <v>43584</v>
      </c>
      <c r="D300" s="4">
        <v>44959</v>
      </c>
      <c r="F300" s="4">
        <v>44531</v>
      </c>
      <c r="G300" t="s">
        <v>362</v>
      </c>
      <c r="H300" t="s">
        <v>413</v>
      </c>
      <c r="K300" t="s">
        <v>41</v>
      </c>
      <c r="L300" t="s">
        <v>574</v>
      </c>
      <c r="M300" t="s">
        <v>42</v>
      </c>
      <c r="N300" t="s">
        <v>31</v>
      </c>
      <c r="O300" t="s">
        <v>32</v>
      </c>
      <c r="P300" t="s">
        <v>838</v>
      </c>
      <c r="Q300">
        <v>150</v>
      </c>
      <c r="R300">
        <v>150</v>
      </c>
      <c r="S300" t="s">
        <v>34</v>
      </c>
      <c r="T300" t="s">
        <v>35</v>
      </c>
      <c r="U300" t="s">
        <v>44</v>
      </c>
      <c r="W300">
        <v>150</v>
      </c>
      <c r="X300">
        <v>150</v>
      </c>
      <c r="Y300">
        <v>150</v>
      </c>
      <c r="Z300">
        <v>150</v>
      </c>
    </row>
    <row r="301" spans="1:26" hidden="1" x14ac:dyDescent="0.25">
      <c r="A301" t="s">
        <v>839</v>
      </c>
      <c r="B301" t="s">
        <v>25</v>
      </c>
      <c r="C301" s="4">
        <v>43584</v>
      </c>
      <c r="F301" s="4">
        <v>44531</v>
      </c>
      <c r="G301" t="s">
        <v>107</v>
      </c>
      <c r="H301" t="s">
        <v>82</v>
      </c>
      <c r="K301" t="s">
        <v>109</v>
      </c>
      <c r="L301" t="s">
        <v>574</v>
      </c>
      <c r="M301" t="s">
        <v>84</v>
      </c>
      <c r="N301" t="s">
        <v>31</v>
      </c>
      <c r="O301" t="s">
        <v>32</v>
      </c>
      <c r="P301" t="s">
        <v>840</v>
      </c>
      <c r="Q301">
        <v>200</v>
      </c>
      <c r="R301">
        <v>200</v>
      </c>
      <c r="S301" t="s">
        <v>34</v>
      </c>
      <c r="T301" t="s">
        <v>35</v>
      </c>
      <c r="U301" t="s">
        <v>70</v>
      </c>
      <c r="V301" s="4">
        <v>45777</v>
      </c>
      <c r="W301">
        <v>149</v>
      </c>
      <c r="X301">
        <v>149</v>
      </c>
      <c r="Y301">
        <v>149</v>
      </c>
      <c r="Z301">
        <v>149</v>
      </c>
    </row>
    <row r="302" spans="1:26" hidden="1" x14ac:dyDescent="0.25">
      <c r="A302" t="s">
        <v>841</v>
      </c>
      <c r="B302" t="s">
        <v>38</v>
      </c>
      <c r="C302" s="4">
        <v>43584</v>
      </c>
      <c r="D302" s="4">
        <v>44279</v>
      </c>
      <c r="F302" s="4">
        <v>44531</v>
      </c>
      <c r="G302" t="s">
        <v>72</v>
      </c>
      <c r="H302" t="s">
        <v>300</v>
      </c>
      <c r="K302" t="s">
        <v>41</v>
      </c>
      <c r="L302" t="s">
        <v>574</v>
      </c>
      <c r="M302" t="s">
        <v>42</v>
      </c>
      <c r="N302" t="s">
        <v>31</v>
      </c>
      <c r="O302" t="s">
        <v>32</v>
      </c>
      <c r="P302" t="s">
        <v>842</v>
      </c>
      <c r="Q302">
        <v>120</v>
      </c>
      <c r="R302">
        <v>120</v>
      </c>
      <c r="S302" t="s">
        <v>34</v>
      </c>
      <c r="T302" t="s">
        <v>35</v>
      </c>
      <c r="U302" t="s">
        <v>44</v>
      </c>
      <c r="W302">
        <v>0</v>
      </c>
      <c r="X302">
        <v>0</v>
      </c>
      <c r="Y302">
        <v>0</v>
      </c>
      <c r="Z302">
        <v>0</v>
      </c>
    </row>
    <row r="303" spans="1:26" hidden="1" x14ac:dyDescent="0.25">
      <c r="A303" t="s">
        <v>843</v>
      </c>
      <c r="B303" t="s">
        <v>38</v>
      </c>
      <c r="C303" s="4">
        <v>43584</v>
      </c>
      <c r="D303" s="4">
        <v>44413</v>
      </c>
      <c r="F303" s="4">
        <v>44531</v>
      </c>
      <c r="G303" t="s">
        <v>117</v>
      </c>
      <c r="H303" t="s">
        <v>166</v>
      </c>
      <c r="K303" t="s">
        <v>83</v>
      </c>
      <c r="L303" t="s">
        <v>574</v>
      </c>
      <c r="M303" t="s">
        <v>84</v>
      </c>
      <c r="N303" t="s">
        <v>31</v>
      </c>
      <c r="O303" t="s">
        <v>32</v>
      </c>
      <c r="P303" t="s">
        <v>321</v>
      </c>
      <c r="Q303">
        <v>150</v>
      </c>
      <c r="R303">
        <v>150</v>
      </c>
      <c r="S303" t="s">
        <v>34</v>
      </c>
      <c r="T303" t="s">
        <v>35</v>
      </c>
      <c r="U303" t="s">
        <v>44</v>
      </c>
      <c r="W303">
        <v>0</v>
      </c>
      <c r="X303">
        <v>0</v>
      </c>
      <c r="Y303">
        <v>0</v>
      </c>
      <c r="Z303">
        <v>0</v>
      </c>
    </row>
    <row r="304" spans="1:26" hidden="1" x14ac:dyDescent="0.25">
      <c r="A304" t="s">
        <v>844</v>
      </c>
      <c r="B304" t="s">
        <v>25</v>
      </c>
      <c r="C304" s="4">
        <v>43584</v>
      </c>
      <c r="F304" s="4">
        <v>44896</v>
      </c>
      <c r="G304" t="s">
        <v>117</v>
      </c>
      <c r="H304" t="s">
        <v>326</v>
      </c>
      <c r="K304" t="s">
        <v>83</v>
      </c>
      <c r="L304" t="s">
        <v>574</v>
      </c>
      <c r="M304" t="s">
        <v>84</v>
      </c>
      <c r="N304" t="s">
        <v>31</v>
      </c>
      <c r="O304" t="s">
        <v>32</v>
      </c>
      <c r="P304" t="s">
        <v>845</v>
      </c>
      <c r="Q304">
        <v>150</v>
      </c>
      <c r="R304">
        <v>150</v>
      </c>
      <c r="S304" t="s">
        <v>34</v>
      </c>
      <c r="T304" t="s">
        <v>35</v>
      </c>
      <c r="U304" t="s">
        <v>44</v>
      </c>
      <c r="V304" s="4">
        <v>45689</v>
      </c>
      <c r="W304">
        <v>150</v>
      </c>
      <c r="X304">
        <v>150</v>
      </c>
      <c r="Y304">
        <v>150</v>
      </c>
      <c r="Z304">
        <v>150</v>
      </c>
    </row>
    <row r="305" spans="1:26" hidden="1" x14ac:dyDescent="0.25">
      <c r="A305" t="s">
        <v>846</v>
      </c>
      <c r="B305" t="s">
        <v>25</v>
      </c>
      <c r="C305" s="4">
        <v>43584</v>
      </c>
      <c r="F305" s="4">
        <v>44531</v>
      </c>
      <c r="G305" t="s">
        <v>365</v>
      </c>
      <c r="H305" t="s">
        <v>90</v>
      </c>
      <c r="K305" t="s">
        <v>83</v>
      </c>
      <c r="L305" t="s">
        <v>574</v>
      </c>
      <c r="M305" t="s">
        <v>84</v>
      </c>
      <c r="N305" t="s">
        <v>31</v>
      </c>
      <c r="O305" t="s">
        <v>32</v>
      </c>
      <c r="P305" t="s">
        <v>847</v>
      </c>
      <c r="Q305">
        <v>150</v>
      </c>
      <c r="R305">
        <v>150</v>
      </c>
      <c r="S305" t="s">
        <v>34</v>
      </c>
      <c r="T305" t="s">
        <v>35</v>
      </c>
      <c r="U305" t="s">
        <v>44</v>
      </c>
      <c r="V305" s="4">
        <v>46174</v>
      </c>
      <c r="W305">
        <v>95</v>
      </c>
      <c r="X305">
        <v>95</v>
      </c>
      <c r="Y305">
        <v>95</v>
      </c>
      <c r="Z305">
        <v>95</v>
      </c>
    </row>
    <row r="306" spans="1:26" hidden="1" x14ac:dyDescent="0.25">
      <c r="A306" t="s">
        <v>848</v>
      </c>
      <c r="B306" t="s">
        <v>25</v>
      </c>
      <c r="C306" s="4">
        <v>43584</v>
      </c>
      <c r="F306" s="4">
        <v>44531</v>
      </c>
      <c r="G306" t="s">
        <v>26</v>
      </c>
      <c r="H306" t="s">
        <v>416</v>
      </c>
      <c r="K306" t="s">
        <v>28</v>
      </c>
      <c r="L306" t="s">
        <v>574</v>
      </c>
      <c r="M306" t="s">
        <v>30</v>
      </c>
      <c r="N306" t="s">
        <v>31</v>
      </c>
      <c r="O306" t="s">
        <v>32</v>
      </c>
      <c r="P306" t="s">
        <v>849</v>
      </c>
      <c r="Q306">
        <v>65</v>
      </c>
      <c r="R306">
        <v>65</v>
      </c>
      <c r="S306" t="s">
        <v>34</v>
      </c>
      <c r="T306" t="s">
        <v>35</v>
      </c>
      <c r="U306" t="s">
        <v>36</v>
      </c>
      <c r="V306" s="4">
        <v>45149</v>
      </c>
      <c r="W306">
        <v>65</v>
      </c>
      <c r="X306">
        <v>65</v>
      </c>
      <c r="Y306">
        <v>65</v>
      </c>
      <c r="Z306">
        <v>65</v>
      </c>
    </row>
    <row r="307" spans="1:26" hidden="1" x14ac:dyDescent="0.25">
      <c r="A307" t="s">
        <v>850</v>
      </c>
      <c r="B307" t="s">
        <v>25</v>
      </c>
      <c r="C307" s="4">
        <v>43584</v>
      </c>
      <c r="F307" s="4">
        <v>44531</v>
      </c>
      <c r="G307" t="s">
        <v>26</v>
      </c>
      <c r="H307" t="s">
        <v>410</v>
      </c>
      <c r="K307" t="s">
        <v>28</v>
      </c>
      <c r="L307" t="s">
        <v>574</v>
      </c>
      <c r="M307" t="s">
        <v>30</v>
      </c>
      <c r="N307" t="s">
        <v>31</v>
      </c>
      <c r="O307" t="s">
        <v>32</v>
      </c>
      <c r="P307" t="s">
        <v>851</v>
      </c>
      <c r="Q307">
        <v>49.9</v>
      </c>
      <c r="R307">
        <v>49.9</v>
      </c>
      <c r="S307" t="s">
        <v>34</v>
      </c>
      <c r="T307" t="s">
        <v>35</v>
      </c>
      <c r="U307" t="s">
        <v>36</v>
      </c>
      <c r="V307" s="4">
        <v>45051</v>
      </c>
      <c r="W307">
        <v>49.9</v>
      </c>
      <c r="X307">
        <v>49.9</v>
      </c>
      <c r="Y307">
        <v>49.9</v>
      </c>
      <c r="Z307">
        <v>49.9</v>
      </c>
    </row>
    <row r="308" spans="1:26" hidden="1" x14ac:dyDescent="0.25">
      <c r="A308" t="s">
        <v>852</v>
      </c>
      <c r="B308" t="s">
        <v>25</v>
      </c>
      <c r="C308" s="4">
        <v>43584</v>
      </c>
      <c r="F308" s="4">
        <v>44531</v>
      </c>
      <c r="G308" t="s">
        <v>117</v>
      </c>
      <c r="H308" t="s">
        <v>853</v>
      </c>
      <c r="K308" t="s">
        <v>83</v>
      </c>
      <c r="L308" t="s">
        <v>574</v>
      </c>
      <c r="M308" t="s">
        <v>84</v>
      </c>
      <c r="N308" t="s">
        <v>31</v>
      </c>
      <c r="O308" t="s">
        <v>32</v>
      </c>
      <c r="P308" t="s">
        <v>854</v>
      </c>
      <c r="Q308">
        <v>200</v>
      </c>
      <c r="R308">
        <v>200</v>
      </c>
      <c r="S308" t="s">
        <v>34</v>
      </c>
      <c r="T308" t="s">
        <v>35</v>
      </c>
      <c r="U308" t="s">
        <v>44</v>
      </c>
      <c r="V308" s="4">
        <v>45627</v>
      </c>
      <c r="W308">
        <v>200</v>
      </c>
      <c r="X308">
        <v>200</v>
      </c>
      <c r="Y308">
        <v>200</v>
      </c>
      <c r="Z308">
        <v>200</v>
      </c>
    </row>
    <row r="309" spans="1:26" hidden="1" x14ac:dyDescent="0.25">
      <c r="A309" t="s">
        <v>855</v>
      </c>
      <c r="B309" t="s">
        <v>38</v>
      </c>
      <c r="C309" s="4">
        <v>43584</v>
      </c>
      <c r="D309" s="4">
        <v>44628</v>
      </c>
      <c r="F309" s="4">
        <v>44896</v>
      </c>
      <c r="G309" t="s">
        <v>52</v>
      </c>
      <c r="H309" t="s">
        <v>293</v>
      </c>
      <c r="K309" t="s">
        <v>53</v>
      </c>
      <c r="L309" t="s">
        <v>574</v>
      </c>
      <c r="M309" t="s">
        <v>54</v>
      </c>
      <c r="N309" t="s">
        <v>31</v>
      </c>
      <c r="O309" t="s">
        <v>32</v>
      </c>
      <c r="P309" t="s">
        <v>856</v>
      </c>
      <c r="Q309">
        <v>150</v>
      </c>
      <c r="R309">
        <v>150</v>
      </c>
      <c r="S309" t="s">
        <v>34</v>
      </c>
      <c r="T309" t="s">
        <v>35</v>
      </c>
      <c r="U309" t="s">
        <v>44</v>
      </c>
      <c r="W309">
        <v>150</v>
      </c>
      <c r="X309">
        <v>150</v>
      </c>
      <c r="Y309">
        <v>0</v>
      </c>
      <c r="Z309">
        <v>0</v>
      </c>
    </row>
    <row r="310" spans="1:26" hidden="1" x14ac:dyDescent="0.25">
      <c r="A310" t="s">
        <v>857</v>
      </c>
      <c r="B310" t="s">
        <v>25</v>
      </c>
      <c r="C310" s="4">
        <v>43584</v>
      </c>
      <c r="F310" s="4">
        <v>44531</v>
      </c>
      <c r="G310" t="s">
        <v>96</v>
      </c>
      <c r="H310" t="s">
        <v>468</v>
      </c>
      <c r="K310" t="s">
        <v>98</v>
      </c>
      <c r="L310" t="s">
        <v>574</v>
      </c>
      <c r="M310" t="s">
        <v>84</v>
      </c>
      <c r="N310" t="s">
        <v>31</v>
      </c>
      <c r="O310" t="s">
        <v>32</v>
      </c>
      <c r="P310" t="s">
        <v>858</v>
      </c>
      <c r="Q310">
        <v>300</v>
      </c>
      <c r="R310">
        <v>300</v>
      </c>
      <c r="S310" t="s">
        <v>34</v>
      </c>
      <c r="T310" t="s">
        <v>35</v>
      </c>
      <c r="U310" t="s">
        <v>44</v>
      </c>
      <c r="V310" s="4">
        <v>45383</v>
      </c>
      <c r="W310">
        <v>300</v>
      </c>
      <c r="X310">
        <v>300</v>
      </c>
      <c r="Y310">
        <v>270</v>
      </c>
      <c r="Z310">
        <v>270</v>
      </c>
    </row>
    <row r="311" spans="1:26" hidden="1" x14ac:dyDescent="0.25">
      <c r="A311" t="s">
        <v>859</v>
      </c>
      <c r="B311" t="s">
        <v>38</v>
      </c>
      <c r="C311" s="4">
        <v>43584</v>
      </c>
      <c r="D311" s="4">
        <v>43720</v>
      </c>
      <c r="F311" s="4">
        <v>44469</v>
      </c>
      <c r="G311" t="s">
        <v>65</v>
      </c>
      <c r="H311" t="s">
        <v>643</v>
      </c>
      <c r="K311" t="s">
        <v>67</v>
      </c>
      <c r="L311" t="s">
        <v>574</v>
      </c>
      <c r="M311" t="s">
        <v>68</v>
      </c>
      <c r="N311" t="s">
        <v>31</v>
      </c>
      <c r="O311" t="s">
        <v>32</v>
      </c>
      <c r="P311" t="s">
        <v>860</v>
      </c>
      <c r="Q311">
        <v>129.9</v>
      </c>
      <c r="R311">
        <v>129.9</v>
      </c>
      <c r="S311" t="s">
        <v>34</v>
      </c>
      <c r="T311" t="s">
        <v>35</v>
      </c>
      <c r="U311" t="s">
        <v>44</v>
      </c>
      <c r="W311">
        <v>0</v>
      </c>
      <c r="X311">
        <v>0</v>
      </c>
      <c r="Y311">
        <v>0</v>
      </c>
      <c r="Z311">
        <v>0</v>
      </c>
    </row>
    <row r="312" spans="1:26" hidden="1" x14ac:dyDescent="0.25">
      <c r="A312" t="s">
        <v>861</v>
      </c>
      <c r="B312" t="s">
        <v>25</v>
      </c>
      <c r="C312" s="4">
        <v>43584</v>
      </c>
      <c r="E312" s="4">
        <v>44790</v>
      </c>
      <c r="F312" s="4">
        <v>44742</v>
      </c>
      <c r="G312" t="s">
        <v>52</v>
      </c>
      <c r="H312" t="s">
        <v>90</v>
      </c>
      <c r="K312" t="s">
        <v>53</v>
      </c>
      <c r="L312" t="s">
        <v>574</v>
      </c>
      <c r="M312" t="s">
        <v>54</v>
      </c>
      <c r="N312" t="s">
        <v>31</v>
      </c>
      <c r="O312" t="s">
        <v>32</v>
      </c>
      <c r="P312" t="s">
        <v>862</v>
      </c>
      <c r="Q312">
        <v>125</v>
      </c>
      <c r="R312">
        <v>125</v>
      </c>
      <c r="S312" t="s">
        <v>34</v>
      </c>
      <c r="T312" t="s">
        <v>35</v>
      </c>
      <c r="U312" t="s">
        <v>70</v>
      </c>
      <c r="V312" s="4">
        <v>45566</v>
      </c>
      <c r="W312">
        <v>125</v>
      </c>
      <c r="X312">
        <v>125</v>
      </c>
      <c r="Y312">
        <v>125</v>
      </c>
      <c r="Z312">
        <v>125</v>
      </c>
    </row>
    <row r="313" spans="1:26" hidden="1" x14ac:dyDescent="0.25">
      <c r="A313" t="s">
        <v>863</v>
      </c>
      <c r="B313" t="s">
        <v>25</v>
      </c>
      <c r="C313" s="4">
        <v>43584</v>
      </c>
      <c r="F313" s="4">
        <v>46203</v>
      </c>
      <c r="G313" t="s">
        <v>138</v>
      </c>
      <c r="H313" t="s">
        <v>864</v>
      </c>
      <c r="K313" t="s">
        <v>83</v>
      </c>
      <c r="L313" t="s">
        <v>574</v>
      </c>
      <c r="M313" t="s">
        <v>84</v>
      </c>
      <c r="N313" t="s">
        <v>31</v>
      </c>
      <c r="O313" t="s">
        <v>32</v>
      </c>
      <c r="P313" t="s">
        <v>865</v>
      </c>
      <c r="Q313">
        <v>150</v>
      </c>
      <c r="R313">
        <v>150</v>
      </c>
      <c r="S313" t="s">
        <v>34</v>
      </c>
      <c r="T313" t="s">
        <v>35</v>
      </c>
      <c r="U313" t="s">
        <v>44</v>
      </c>
      <c r="V313" s="4">
        <v>45838</v>
      </c>
      <c r="W313">
        <v>150</v>
      </c>
      <c r="X313">
        <v>150</v>
      </c>
      <c r="Y313">
        <v>150</v>
      </c>
      <c r="Z313">
        <v>150</v>
      </c>
    </row>
    <row r="314" spans="1:26" hidden="1" x14ac:dyDescent="0.25">
      <c r="A314" t="s">
        <v>866</v>
      </c>
      <c r="B314" t="s">
        <v>25</v>
      </c>
      <c r="C314" s="4">
        <v>43584</v>
      </c>
      <c r="E314" s="4">
        <v>44952</v>
      </c>
      <c r="F314" s="4">
        <v>44742</v>
      </c>
      <c r="G314" t="s">
        <v>39</v>
      </c>
      <c r="H314" t="s">
        <v>517</v>
      </c>
      <c r="K314" t="s">
        <v>62</v>
      </c>
      <c r="L314" t="s">
        <v>574</v>
      </c>
      <c r="M314" t="s">
        <v>42</v>
      </c>
      <c r="N314" t="s">
        <v>31</v>
      </c>
      <c r="O314" t="s">
        <v>32</v>
      </c>
      <c r="P314" t="s">
        <v>518</v>
      </c>
      <c r="Q314">
        <v>50</v>
      </c>
      <c r="R314">
        <v>50</v>
      </c>
      <c r="S314" t="s">
        <v>34</v>
      </c>
      <c r="T314" t="s">
        <v>35</v>
      </c>
      <c r="U314" t="s">
        <v>44</v>
      </c>
      <c r="V314" s="4">
        <v>45838</v>
      </c>
      <c r="W314">
        <v>50</v>
      </c>
      <c r="X314">
        <v>50</v>
      </c>
      <c r="Y314">
        <v>50</v>
      </c>
      <c r="Z314">
        <v>50</v>
      </c>
    </row>
    <row r="315" spans="1:26" hidden="1" x14ac:dyDescent="0.25">
      <c r="A315" t="s">
        <v>867</v>
      </c>
      <c r="B315" t="s">
        <v>25</v>
      </c>
      <c r="C315" s="4">
        <v>43584</v>
      </c>
      <c r="E315" s="4">
        <v>44952</v>
      </c>
      <c r="F315" s="4">
        <v>44742</v>
      </c>
      <c r="G315" t="s">
        <v>72</v>
      </c>
      <c r="H315" t="s">
        <v>868</v>
      </c>
      <c r="K315" t="s">
        <v>209</v>
      </c>
      <c r="L315" t="s">
        <v>574</v>
      </c>
      <c r="M315" t="s">
        <v>42</v>
      </c>
      <c r="N315" t="s">
        <v>31</v>
      </c>
      <c r="O315" t="s">
        <v>32</v>
      </c>
      <c r="P315" t="s">
        <v>869</v>
      </c>
      <c r="Q315">
        <v>100</v>
      </c>
      <c r="R315">
        <v>100</v>
      </c>
      <c r="S315" t="s">
        <v>34</v>
      </c>
      <c r="T315" t="s">
        <v>35</v>
      </c>
      <c r="U315" t="s">
        <v>44</v>
      </c>
      <c r="V315" s="4">
        <v>45838</v>
      </c>
      <c r="W315">
        <v>100</v>
      </c>
      <c r="X315">
        <v>100</v>
      </c>
      <c r="Y315">
        <v>100</v>
      </c>
      <c r="Z315">
        <v>100</v>
      </c>
    </row>
    <row r="316" spans="1:26" hidden="1" x14ac:dyDescent="0.25">
      <c r="A316" t="s">
        <v>870</v>
      </c>
      <c r="B316" t="s">
        <v>25</v>
      </c>
      <c r="C316" s="4">
        <v>43584</v>
      </c>
      <c r="E316" s="4">
        <v>44799</v>
      </c>
      <c r="F316" s="4">
        <v>44742</v>
      </c>
      <c r="G316" t="s">
        <v>871</v>
      </c>
      <c r="H316" t="s">
        <v>150</v>
      </c>
      <c r="K316" t="s">
        <v>28</v>
      </c>
      <c r="L316" t="s">
        <v>574</v>
      </c>
      <c r="M316" t="s">
        <v>42</v>
      </c>
      <c r="N316" t="s">
        <v>31</v>
      </c>
      <c r="O316" t="s">
        <v>32</v>
      </c>
      <c r="P316" t="s">
        <v>872</v>
      </c>
      <c r="Q316">
        <v>100</v>
      </c>
      <c r="R316">
        <v>100</v>
      </c>
      <c r="S316" t="s">
        <v>34</v>
      </c>
      <c r="T316" t="s">
        <v>35</v>
      </c>
      <c r="U316" t="s">
        <v>70</v>
      </c>
      <c r="V316" s="4">
        <v>45838</v>
      </c>
      <c r="W316">
        <v>100</v>
      </c>
      <c r="X316">
        <v>100</v>
      </c>
      <c r="Y316">
        <v>100</v>
      </c>
      <c r="Z316">
        <v>100</v>
      </c>
    </row>
    <row r="317" spans="1:26" x14ac:dyDescent="0.25">
      <c r="A317" t="s">
        <v>873</v>
      </c>
      <c r="B317" t="s">
        <v>38</v>
      </c>
      <c r="C317" s="4">
        <v>43584</v>
      </c>
      <c r="D317" s="4">
        <v>44805</v>
      </c>
      <c r="F317" s="4">
        <v>44742</v>
      </c>
      <c r="G317" t="s">
        <v>39</v>
      </c>
      <c r="H317" t="s">
        <v>170</v>
      </c>
      <c r="I317" t="s">
        <v>174</v>
      </c>
      <c r="J317" t="s">
        <v>352</v>
      </c>
      <c r="K317" t="s">
        <v>41</v>
      </c>
      <c r="L317" t="s">
        <v>574</v>
      </c>
      <c r="M317" t="s">
        <v>42</v>
      </c>
      <c r="N317" t="s">
        <v>31</v>
      </c>
      <c r="O317" t="s">
        <v>32</v>
      </c>
      <c r="P317" t="s">
        <v>874</v>
      </c>
      <c r="Q317">
        <v>600</v>
      </c>
      <c r="R317">
        <v>600</v>
      </c>
      <c r="S317" t="s">
        <v>56</v>
      </c>
      <c r="T317" t="s">
        <v>57</v>
      </c>
      <c r="U317" t="s">
        <v>44</v>
      </c>
      <c r="W317">
        <v>600</v>
      </c>
      <c r="X317">
        <v>600</v>
      </c>
      <c r="Y317">
        <v>600</v>
      </c>
      <c r="Z317">
        <v>0</v>
      </c>
    </row>
    <row r="318" spans="1:26" hidden="1" x14ac:dyDescent="0.25">
      <c r="A318" t="s">
        <v>875</v>
      </c>
      <c r="B318" t="s">
        <v>25</v>
      </c>
      <c r="C318" s="4">
        <v>43584</v>
      </c>
      <c r="F318" s="4">
        <v>44864</v>
      </c>
      <c r="G318" t="s">
        <v>26</v>
      </c>
      <c r="H318" t="s">
        <v>876</v>
      </c>
      <c r="K318" t="s">
        <v>28</v>
      </c>
      <c r="L318" t="s">
        <v>574</v>
      </c>
      <c r="M318" t="s">
        <v>30</v>
      </c>
      <c r="N318" t="s">
        <v>31</v>
      </c>
      <c r="O318" t="s">
        <v>32</v>
      </c>
      <c r="P318" t="s">
        <v>877</v>
      </c>
      <c r="Q318">
        <v>50</v>
      </c>
      <c r="R318">
        <v>50</v>
      </c>
      <c r="S318" t="s">
        <v>159</v>
      </c>
      <c r="T318" t="s">
        <v>159</v>
      </c>
      <c r="U318" t="s">
        <v>44</v>
      </c>
      <c r="V318" s="4">
        <v>45960</v>
      </c>
      <c r="W318">
        <v>50</v>
      </c>
      <c r="X318">
        <v>50</v>
      </c>
      <c r="Y318">
        <v>50</v>
      </c>
      <c r="Z318">
        <v>50</v>
      </c>
    </row>
    <row r="319" spans="1:26" hidden="1" x14ac:dyDescent="0.25">
      <c r="A319" t="s">
        <v>878</v>
      </c>
      <c r="B319" t="s">
        <v>38</v>
      </c>
      <c r="C319" s="4">
        <v>43584</v>
      </c>
      <c r="D319" s="4">
        <v>43833</v>
      </c>
      <c r="F319" s="4">
        <v>44835</v>
      </c>
      <c r="G319" t="s">
        <v>72</v>
      </c>
      <c r="H319" t="s">
        <v>590</v>
      </c>
      <c r="K319" t="s">
        <v>53</v>
      </c>
      <c r="L319" t="s">
        <v>574</v>
      </c>
      <c r="M319" t="s">
        <v>54</v>
      </c>
      <c r="N319" t="s">
        <v>31</v>
      </c>
      <c r="O319" t="s">
        <v>32</v>
      </c>
      <c r="P319" t="s">
        <v>879</v>
      </c>
      <c r="Q319">
        <v>150</v>
      </c>
      <c r="R319">
        <v>150</v>
      </c>
      <c r="S319" t="s">
        <v>56</v>
      </c>
      <c r="T319" t="s">
        <v>57</v>
      </c>
      <c r="U319" t="s">
        <v>44</v>
      </c>
      <c r="W319">
        <v>0</v>
      </c>
      <c r="X319">
        <v>0</v>
      </c>
      <c r="Y319">
        <v>0</v>
      </c>
      <c r="Z319">
        <v>0</v>
      </c>
    </row>
    <row r="320" spans="1:26" hidden="1" x14ac:dyDescent="0.25">
      <c r="A320" t="s">
        <v>880</v>
      </c>
      <c r="B320" t="s">
        <v>38</v>
      </c>
      <c r="C320" s="4">
        <v>43584</v>
      </c>
      <c r="D320" s="4">
        <v>44413</v>
      </c>
      <c r="F320" s="4">
        <v>44743</v>
      </c>
      <c r="G320" t="s">
        <v>101</v>
      </c>
      <c r="H320" t="s">
        <v>881</v>
      </c>
      <c r="K320" t="s">
        <v>98</v>
      </c>
      <c r="L320" t="s">
        <v>574</v>
      </c>
      <c r="M320" t="s">
        <v>84</v>
      </c>
      <c r="N320" t="s">
        <v>31</v>
      </c>
      <c r="O320" t="s">
        <v>32</v>
      </c>
      <c r="P320" t="s">
        <v>882</v>
      </c>
      <c r="Q320">
        <v>25</v>
      </c>
      <c r="R320">
        <v>25</v>
      </c>
      <c r="S320" t="s">
        <v>34</v>
      </c>
      <c r="T320" t="s">
        <v>35</v>
      </c>
      <c r="U320" t="s">
        <v>44</v>
      </c>
      <c r="W320">
        <v>0</v>
      </c>
      <c r="X320">
        <v>0</v>
      </c>
      <c r="Y320">
        <v>0</v>
      </c>
      <c r="Z320">
        <v>0</v>
      </c>
    </row>
    <row r="321" spans="1:26" hidden="1" x14ac:dyDescent="0.25">
      <c r="A321" t="s">
        <v>883</v>
      </c>
      <c r="B321" t="s">
        <v>25</v>
      </c>
      <c r="C321" s="4">
        <v>43584</v>
      </c>
      <c r="F321" s="4">
        <v>44469</v>
      </c>
      <c r="G321" t="s">
        <v>72</v>
      </c>
      <c r="H321" t="s">
        <v>884</v>
      </c>
      <c r="K321" t="s">
        <v>53</v>
      </c>
      <c r="L321" t="s">
        <v>574</v>
      </c>
      <c r="M321" t="s">
        <v>54</v>
      </c>
      <c r="N321" t="s">
        <v>31</v>
      </c>
      <c r="O321" t="s">
        <v>32</v>
      </c>
      <c r="P321" t="s">
        <v>885</v>
      </c>
      <c r="Q321">
        <v>117.5</v>
      </c>
      <c r="R321">
        <v>117.5</v>
      </c>
      <c r="S321" t="s">
        <v>56</v>
      </c>
      <c r="T321" t="s">
        <v>57</v>
      </c>
      <c r="U321" t="s">
        <v>36</v>
      </c>
      <c r="V321" s="4">
        <v>44774</v>
      </c>
      <c r="W321">
        <v>117.5</v>
      </c>
      <c r="X321">
        <v>117.5</v>
      </c>
      <c r="Y321">
        <v>112</v>
      </c>
      <c r="Z321">
        <v>112</v>
      </c>
    </row>
    <row r="322" spans="1:26" hidden="1" x14ac:dyDescent="0.25">
      <c r="A322" t="s">
        <v>886</v>
      </c>
      <c r="B322" t="s">
        <v>25</v>
      </c>
      <c r="C322" s="4">
        <v>43584</v>
      </c>
      <c r="F322" s="4">
        <v>43575</v>
      </c>
      <c r="G322" t="s">
        <v>52</v>
      </c>
      <c r="H322" t="s">
        <v>87</v>
      </c>
      <c r="K322" t="s">
        <v>53</v>
      </c>
      <c r="L322" t="s">
        <v>574</v>
      </c>
      <c r="M322" t="s">
        <v>54</v>
      </c>
      <c r="N322" t="s">
        <v>31</v>
      </c>
      <c r="O322" t="s">
        <v>32</v>
      </c>
      <c r="P322" t="s">
        <v>887</v>
      </c>
      <c r="Q322">
        <v>150</v>
      </c>
      <c r="R322">
        <v>150</v>
      </c>
      <c r="S322" t="s">
        <v>34</v>
      </c>
      <c r="T322" t="s">
        <v>35</v>
      </c>
      <c r="U322" t="s">
        <v>44</v>
      </c>
      <c r="V322" s="4">
        <v>45767</v>
      </c>
      <c r="W322">
        <v>150</v>
      </c>
      <c r="X322">
        <v>150</v>
      </c>
      <c r="Y322">
        <v>150</v>
      </c>
      <c r="Z322">
        <v>150</v>
      </c>
    </row>
    <row r="323" spans="1:26" hidden="1" x14ac:dyDescent="0.25">
      <c r="A323" t="s">
        <v>888</v>
      </c>
      <c r="B323" t="s">
        <v>38</v>
      </c>
      <c r="C323" s="4">
        <v>43584</v>
      </c>
      <c r="D323" s="4">
        <v>44613</v>
      </c>
      <c r="F323" s="4">
        <v>45229</v>
      </c>
      <c r="G323" t="s">
        <v>128</v>
      </c>
      <c r="H323" t="s">
        <v>889</v>
      </c>
      <c r="K323" t="s">
        <v>209</v>
      </c>
      <c r="L323" t="s">
        <v>574</v>
      </c>
      <c r="M323" t="s">
        <v>42</v>
      </c>
      <c r="N323" t="s">
        <v>31</v>
      </c>
      <c r="O323" t="s">
        <v>32</v>
      </c>
      <c r="P323" t="s">
        <v>890</v>
      </c>
      <c r="Q323">
        <v>65</v>
      </c>
      <c r="R323">
        <v>65</v>
      </c>
      <c r="S323" t="s">
        <v>159</v>
      </c>
      <c r="T323" t="s">
        <v>159</v>
      </c>
      <c r="U323" t="s">
        <v>44</v>
      </c>
      <c r="W323">
        <v>65</v>
      </c>
      <c r="X323">
        <v>65</v>
      </c>
      <c r="Y323">
        <v>0</v>
      </c>
      <c r="Z323">
        <v>0</v>
      </c>
    </row>
    <row r="324" spans="1:26" hidden="1" x14ac:dyDescent="0.25">
      <c r="A324" t="s">
        <v>891</v>
      </c>
      <c r="B324" t="s">
        <v>38</v>
      </c>
      <c r="C324" s="4">
        <v>43584</v>
      </c>
      <c r="D324" s="4">
        <v>44222</v>
      </c>
      <c r="F324" s="4">
        <v>44671</v>
      </c>
      <c r="G324" t="s">
        <v>52</v>
      </c>
      <c r="H324" t="s">
        <v>293</v>
      </c>
      <c r="K324" t="s">
        <v>53</v>
      </c>
      <c r="L324" t="s">
        <v>574</v>
      </c>
      <c r="M324" t="s">
        <v>54</v>
      </c>
      <c r="N324" t="s">
        <v>31</v>
      </c>
      <c r="O324" t="s">
        <v>32</v>
      </c>
      <c r="P324" t="s">
        <v>892</v>
      </c>
      <c r="Q324">
        <v>200</v>
      </c>
      <c r="R324">
        <v>200</v>
      </c>
      <c r="S324" t="s">
        <v>34</v>
      </c>
      <c r="T324" t="s">
        <v>35</v>
      </c>
      <c r="U324" t="s">
        <v>44</v>
      </c>
      <c r="W324">
        <v>0</v>
      </c>
      <c r="X324">
        <v>0</v>
      </c>
      <c r="Y324">
        <v>0</v>
      </c>
      <c r="Z324">
        <v>0</v>
      </c>
    </row>
    <row r="325" spans="1:26" hidden="1" x14ac:dyDescent="0.25">
      <c r="A325" t="s">
        <v>893</v>
      </c>
      <c r="B325" t="s">
        <v>25</v>
      </c>
      <c r="C325" s="4">
        <v>43584</v>
      </c>
      <c r="F325" s="4">
        <v>45229</v>
      </c>
      <c r="G325" t="s">
        <v>254</v>
      </c>
      <c r="H325" t="s">
        <v>760</v>
      </c>
      <c r="K325" t="s">
        <v>98</v>
      </c>
      <c r="L325" t="s">
        <v>574</v>
      </c>
      <c r="M325" t="s">
        <v>84</v>
      </c>
      <c r="N325" t="s">
        <v>31</v>
      </c>
      <c r="O325" t="s">
        <v>32</v>
      </c>
      <c r="P325" t="s">
        <v>894</v>
      </c>
      <c r="Q325">
        <v>25</v>
      </c>
      <c r="R325">
        <v>25</v>
      </c>
      <c r="S325" t="s">
        <v>159</v>
      </c>
      <c r="T325" t="s">
        <v>159</v>
      </c>
      <c r="U325" t="s">
        <v>44</v>
      </c>
      <c r="V325" s="4">
        <v>45809</v>
      </c>
      <c r="W325">
        <v>25</v>
      </c>
      <c r="X325">
        <v>25</v>
      </c>
      <c r="Y325">
        <v>25</v>
      </c>
      <c r="Z325">
        <v>25</v>
      </c>
    </row>
    <row r="326" spans="1:26" hidden="1" x14ac:dyDescent="0.25">
      <c r="A326" t="s">
        <v>895</v>
      </c>
      <c r="B326" t="s">
        <v>38</v>
      </c>
      <c r="C326" s="4">
        <v>43584</v>
      </c>
      <c r="D326" s="4">
        <v>43962</v>
      </c>
      <c r="F326" s="4">
        <v>44671</v>
      </c>
      <c r="G326" t="s">
        <v>117</v>
      </c>
      <c r="H326" t="s">
        <v>605</v>
      </c>
      <c r="K326" t="s">
        <v>83</v>
      </c>
      <c r="O326" t="s">
        <v>32</v>
      </c>
      <c r="P326" t="s">
        <v>896</v>
      </c>
      <c r="Q326">
        <v>150</v>
      </c>
      <c r="R326">
        <v>150</v>
      </c>
      <c r="S326" t="s">
        <v>34</v>
      </c>
      <c r="T326" t="s">
        <v>35</v>
      </c>
      <c r="U326" t="s">
        <v>44</v>
      </c>
      <c r="W326">
        <v>0</v>
      </c>
      <c r="X326">
        <v>0</v>
      </c>
      <c r="Y326">
        <v>0</v>
      </c>
      <c r="Z326">
        <v>0</v>
      </c>
    </row>
    <row r="327" spans="1:26" hidden="1" x14ac:dyDescent="0.25">
      <c r="A327" t="s">
        <v>897</v>
      </c>
      <c r="B327" t="s">
        <v>25</v>
      </c>
      <c r="C327" s="4">
        <v>43584</v>
      </c>
      <c r="E327" s="4">
        <v>44796</v>
      </c>
      <c r="F327" s="4">
        <v>44742</v>
      </c>
      <c r="G327" t="s">
        <v>72</v>
      </c>
      <c r="H327" t="s">
        <v>416</v>
      </c>
      <c r="K327" t="s">
        <v>41</v>
      </c>
      <c r="L327" t="s">
        <v>574</v>
      </c>
      <c r="M327" t="s">
        <v>42</v>
      </c>
      <c r="N327" t="s">
        <v>31</v>
      </c>
      <c r="O327" t="s">
        <v>32</v>
      </c>
      <c r="P327" t="s">
        <v>898</v>
      </c>
      <c r="Q327">
        <v>200</v>
      </c>
      <c r="R327">
        <v>200</v>
      </c>
      <c r="S327" t="s">
        <v>34</v>
      </c>
      <c r="T327" t="s">
        <v>35</v>
      </c>
      <c r="U327" t="s">
        <v>70</v>
      </c>
      <c r="V327" s="4">
        <v>45838</v>
      </c>
      <c r="W327">
        <v>80</v>
      </c>
      <c r="X327">
        <v>80</v>
      </c>
      <c r="Y327">
        <v>80</v>
      </c>
      <c r="Z327">
        <v>72</v>
      </c>
    </row>
    <row r="328" spans="1:26" hidden="1" x14ac:dyDescent="0.25">
      <c r="A328" t="s">
        <v>899</v>
      </c>
      <c r="B328" t="s">
        <v>25</v>
      </c>
      <c r="C328" s="4">
        <v>43584</v>
      </c>
      <c r="F328" s="4">
        <v>44864</v>
      </c>
      <c r="G328" t="s">
        <v>26</v>
      </c>
      <c r="H328" t="s">
        <v>640</v>
      </c>
      <c r="K328" t="s">
        <v>28</v>
      </c>
      <c r="L328" t="s">
        <v>574</v>
      </c>
      <c r="M328" t="s">
        <v>30</v>
      </c>
      <c r="N328" t="s">
        <v>31</v>
      </c>
      <c r="O328" t="s">
        <v>32</v>
      </c>
      <c r="P328" t="s">
        <v>641</v>
      </c>
      <c r="Q328">
        <v>75</v>
      </c>
      <c r="R328">
        <v>75</v>
      </c>
      <c r="S328" t="s">
        <v>159</v>
      </c>
      <c r="T328" t="s">
        <v>159</v>
      </c>
      <c r="U328" t="s">
        <v>44</v>
      </c>
      <c r="V328" s="4">
        <v>45809</v>
      </c>
      <c r="W328">
        <v>75</v>
      </c>
      <c r="X328">
        <v>75</v>
      </c>
      <c r="Y328">
        <v>75</v>
      </c>
      <c r="Z328">
        <v>75</v>
      </c>
    </row>
    <row r="329" spans="1:26" hidden="1" x14ac:dyDescent="0.25">
      <c r="A329" t="s">
        <v>900</v>
      </c>
      <c r="B329" t="s">
        <v>38</v>
      </c>
      <c r="C329" s="4">
        <v>43584</v>
      </c>
      <c r="D329" s="4">
        <v>44235</v>
      </c>
      <c r="F329" s="4">
        <v>44864</v>
      </c>
      <c r="G329" t="s">
        <v>52</v>
      </c>
      <c r="H329" t="s">
        <v>245</v>
      </c>
      <c r="K329" t="s">
        <v>53</v>
      </c>
      <c r="L329" t="s">
        <v>574</v>
      </c>
      <c r="M329" t="s">
        <v>54</v>
      </c>
      <c r="N329" t="s">
        <v>31</v>
      </c>
      <c r="O329" t="s">
        <v>32</v>
      </c>
      <c r="P329" t="s">
        <v>246</v>
      </c>
      <c r="Q329">
        <v>20</v>
      </c>
      <c r="R329">
        <v>20</v>
      </c>
      <c r="S329" t="s">
        <v>159</v>
      </c>
      <c r="T329" t="s">
        <v>159</v>
      </c>
      <c r="U329" t="s">
        <v>44</v>
      </c>
      <c r="W329">
        <v>0</v>
      </c>
      <c r="X329">
        <v>0</v>
      </c>
      <c r="Y329">
        <v>0</v>
      </c>
      <c r="Z329">
        <v>0</v>
      </c>
    </row>
    <row r="330" spans="1:26" hidden="1" x14ac:dyDescent="0.25">
      <c r="A330" t="s">
        <v>901</v>
      </c>
      <c r="B330" t="s">
        <v>38</v>
      </c>
      <c r="C330" s="4">
        <v>43584</v>
      </c>
      <c r="D330" s="4">
        <v>44614</v>
      </c>
      <c r="F330" s="4">
        <v>44671</v>
      </c>
      <c r="G330" t="s">
        <v>177</v>
      </c>
      <c r="H330" t="s">
        <v>27</v>
      </c>
      <c r="K330" t="s">
        <v>62</v>
      </c>
      <c r="L330" t="s">
        <v>574</v>
      </c>
      <c r="M330" t="s">
        <v>42</v>
      </c>
      <c r="N330" t="s">
        <v>31</v>
      </c>
      <c r="O330" t="s">
        <v>32</v>
      </c>
      <c r="P330" t="s">
        <v>902</v>
      </c>
      <c r="Q330">
        <v>100</v>
      </c>
      <c r="R330">
        <v>100</v>
      </c>
      <c r="S330" t="s">
        <v>34</v>
      </c>
      <c r="T330" t="s">
        <v>35</v>
      </c>
      <c r="U330" t="s">
        <v>44</v>
      </c>
      <c r="W330">
        <v>100</v>
      </c>
      <c r="X330">
        <v>100</v>
      </c>
      <c r="Y330">
        <v>0</v>
      </c>
      <c r="Z330">
        <v>0</v>
      </c>
    </row>
    <row r="331" spans="1:26" hidden="1" x14ac:dyDescent="0.25">
      <c r="A331" t="s">
        <v>903</v>
      </c>
      <c r="B331" t="s">
        <v>25</v>
      </c>
      <c r="C331" s="4">
        <v>43584</v>
      </c>
      <c r="E331" s="4">
        <v>44865</v>
      </c>
      <c r="F331" s="4">
        <v>44864</v>
      </c>
      <c r="G331" t="s">
        <v>72</v>
      </c>
      <c r="H331" t="s">
        <v>200</v>
      </c>
      <c r="K331" t="s">
        <v>53</v>
      </c>
      <c r="L331" t="s">
        <v>574</v>
      </c>
      <c r="M331" t="s">
        <v>54</v>
      </c>
      <c r="N331" t="s">
        <v>31</v>
      </c>
      <c r="O331" t="s">
        <v>32</v>
      </c>
      <c r="P331" t="s">
        <v>667</v>
      </c>
      <c r="Q331">
        <v>20</v>
      </c>
      <c r="R331">
        <v>20</v>
      </c>
      <c r="S331" t="s">
        <v>159</v>
      </c>
      <c r="T331" t="s">
        <v>159</v>
      </c>
      <c r="U331" t="s">
        <v>70</v>
      </c>
      <c r="V331" s="4">
        <v>45960</v>
      </c>
      <c r="W331">
        <v>20</v>
      </c>
      <c r="X331">
        <v>20</v>
      </c>
      <c r="Y331">
        <v>20</v>
      </c>
      <c r="Z331">
        <v>20</v>
      </c>
    </row>
    <row r="332" spans="1:26" hidden="1" x14ac:dyDescent="0.25">
      <c r="A332" t="s">
        <v>904</v>
      </c>
      <c r="B332" t="s">
        <v>38</v>
      </c>
      <c r="C332" s="4">
        <v>43584</v>
      </c>
      <c r="D332" s="4">
        <v>44413</v>
      </c>
      <c r="F332" s="4">
        <v>44671</v>
      </c>
      <c r="G332" t="s">
        <v>117</v>
      </c>
      <c r="H332" t="s">
        <v>608</v>
      </c>
      <c r="K332" t="s">
        <v>83</v>
      </c>
      <c r="L332" t="s">
        <v>574</v>
      </c>
      <c r="M332" t="s">
        <v>84</v>
      </c>
      <c r="N332" t="s">
        <v>31</v>
      </c>
      <c r="O332" t="s">
        <v>32</v>
      </c>
      <c r="P332" t="s">
        <v>905</v>
      </c>
      <c r="Q332">
        <v>200</v>
      </c>
      <c r="R332">
        <v>200</v>
      </c>
      <c r="S332" t="s">
        <v>34</v>
      </c>
      <c r="T332" t="s">
        <v>35</v>
      </c>
      <c r="U332" t="s">
        <v>44</v>
      </c>
      <c r="W332">
        <v>0</v>
      </c>
      <c r="X332">
        <v>0</v>
      </c>
      <c r="Y332">
        <v>0</v>
      </c>
      <c r="Z332">
        <v>0</v>
      </c>
    </row>
    <row r="333" spans="1:26" hidden="1" x14ac:dyDescent="0.25">
      <c r="A333" t="s">
        <v>906</v>
      </c>
      <c r="B333" t="s">
        <v>25</v>
      </c>
      <c r="C333" s="4">
        <v>43584</v>
      </c>
      <c r="E333" s="4">
        <v>44790</v>
      </c>
      <c r="F333" s="4">
        <v>44742</v>
      </c>
      <c r="G333" t="s">
        <v>907</v>
      </c>
      <c r="H333" t="s">
        <v>864</v>
      </c>
      <c r="K333" t="s">
        <v>53</v>
      </c>
      <c r="L333" t="s">
        <v>574</v>
      </c>
      <c r="M333" t="s">
        <v>54</v>
      </c>
      <c r="N333" t="s">
        <v>31</v>
      </c>
      <c r="O333" t="s">
        <v>32</v>
      </c>
      <c r="P333" t="s">
        <v>908</v>
      </c>
      <c r="Q333">
        <v>100</v>
      </c>
      <c r="R333">
        <v>100</v>
      </c>
      <c r="S333" t="s">
        <v>34</v>
      </c>
      <c r="T333" t="s">
        <v>35</v>
      </c>
      <c r="U333" t="s">
        <v>44</v>
      </c>
      <c r="V333" s="4">
        <v>45716</v>
      </c>
      <c r="W333">
        <v>100</v>
      </c>
      <c r="X333">
        <v>100</v>
      </c>
      <c r="Y333">
        <v>100</v>
      </c>
      <c r="Z333">
        <v>100</v>
      </c>
    </row>
    <row r="334" spans="1:26" hidden="1" x14ac:dyDescent="0.25">
      <c r="A334" t="s">
        <v>909</v>
      </c>
      <c r="B334" t="s">
        <v>38</v>
      </c>
      <c r="C334" s="4">
        <v>43584</v>
      </c>
      <c r="D334" s="4">
        <v>45359</v>
      </c>
      <c r="F334" s="4">
        <v>44671</v>
      </c>
      <c r="G334" t="s">
        <v>254</v>
      </c>
      <c r="H334" t="s">
        <v>113</v>
      </c>
      <c r="K334" t="s">
        <v>98</v>
      </c>
      <c r="L334" t="s">
        <v>574</v>
      </c>
      <c r="M334" t="s">
        <v>84</v>
      </c>
      <c r="N334" t="s">
        <v>31</v>
      </c>
      <c r="O334" t="s">
        <v>32</v>
      </c>
      <c r="P334" t="s">
        <v>910</v>
      </c>
      <c r="Q334">
        <v>200</v>
      </c>
      <c r="R334">
        <v>200</v>
      </c>
      <c r="S334" t="s">
        <v>34</v>
      </c>
      <c r="T334" t="s">
        <v>35</v>
      </c>
      <c r="U334" t="s">
        <v>38</v>
      </c>
      <c r="V334" s="4">
        <v>45767</v>
      </c>
      <c r="W334">
        <v>200</v>
      </c>
      <c r="X334">
        <v>200</v>
      </c>
      <c r="Y334">
        <v>194</v>
      </c>
      <c r="Z334">
        <v>194</v>
      </c>
    </row>
    <row r="335" spans="1:26" x14ac:dyDescent="0.25">
      <c r="A335" t="s">
        <v>911</v>
      </c>
      <c r="B335" t="s">
        <v>25</v>
      </c>
      <c r="C335" s="4">
        <v>43584</v>
      </c>
      <c r="F335" s="4">
        <v>44743</v>
      </c>
      <c r="G335" t="s">
        <v>254</v>
      </c>
      <c r="H335" t="s">
        <v>113</v>
      </c>
      <c r="I335" t="s">
        <v>927</v>
      </c>
      <c r="K335" t="s">
        <v>98</v>
      </c>
      <c r="L335" t="s">
        <v>574</v>
      </c>
      <c r="M335" t="s">
        <v>84</v>
      </c>
      <c r="N335" t="s">
        <v>31</v>
      </c>
      <c r="O335" t="s">
        <v>32</v>
      </c>
      <c r="P335" t="s">
        <v>912</v>
      </c>
      <c r="Q335">
        <v>199.5</v>
      </c>
      <c r="R335">
        <v>199.5</v>
      </c>
      <c r="S335" t="s">
        <v>597</v>
      </c>
      <c r="T335" t="s">
        <v>598</v>
      </c>
      <c r="U335" t="s">
        <v>36</v>
      </c>
      <c r="V335" s="4">
        <v>45458</v>
      </c>
      <c r="W335">
        <v>199.5</v>
      </c>
      <c r="X335">
        <v>199.5</v>
      </c>
      <c r="Y335">
        <v>199.5</v>
      </c>
      <c r="Z335">
        <v>199.5</v>
      </c>
    </row>
    <row r="336" spans="1:26" x14ac:dyDescent="0.25">
      <c r="A336" t="s">
        <v>913</v>
      </c>
      <c r="B336" t="s">
        <v>25</v>
      </c>
      <c r="C336" s="4">
        <v>43584</v>
      </c>
      <c r="F336" s="4">
        <v>44743</v>
      </c>
      <c r="G336" t="s">
        <v>254</v>
      </c>
      <c r="H336" t="s">
        <v>113</v>
      </c>
      <c r="I336" t="s">
        <v>927</v>
      </c>
      <c r="K336" t="s">
        <v>98</v>
      </c>
      <c r="L336" t="s">
        <v>574</v>
      </c>
      <c r="M336" t="s">
        <v>84</v>
      </c>
      <c r="N336" t="s">
        <v>31</v>
      </c>
      <c r="O336" t="s">
        <v>32</v>
      </c>
      <c r="P336" t="s">
        <v>912</v>
      </c>
      <c r="Q336">
        <v>199.5</v>
      </c>
      <c r="R336">
        <v>199.5</v>
      </c>
      <c r="S336" t="s">
        <v>597</v>
      </c>
      <c r="T336" t="s">
        <v>598</v>
      </c>
      <c r="U336" t="s">
        <v>36</v>
      </c>
      <c r="V336" s="4">
        <v>45458</v>
      </c>
      <c r="W336">
        <v>199.5</v>
      </c>
      <c r="X336">
        <v>199.5</v>
      </c>
      <c r="Y336">
        <v>199.5</v>
      </c>
      <c r="Z336">
        <v>199.5</v>
      </c>
    </row>
    <row r="337" spans="1:26" x14ac:dyDescent="0.25">
      <c r="A337" t="s">
        <v>914</v>
      </c>
      <c r="B337" t="s">
        <v>25</v>
      </c>
      <c r="C337" s="4">
        <v>43584</v>
      </c>
      <c r="F337" s="4">
        <v>44743</v>
      </c>
      <c r="G337" t="s">
        <v>254</v>
      </c>
      <c r="H337" t="s">
        <v>113</v>
      </c>
      <c r="I337" t="s">
        <v>927</v>
      </c>
      <c r="K337" t="s">
        <v>98</v>
      </c>
      <c r="L337" t="s">
        <v>574</v>
      </c>
      <c r="M337" t="s">
        <v>84</v>
      </c>
      <c r="N337" t="s">
        <v>31</v>
      </c>
      <c r="O337" t="s">
        <v>32</v>
      </c>
      <c r="P337" t="s">
        <v>912</v>
      </c>
      <c r="Q337">
        <v>199.5</v>
      </c>
      <c r="R337">
        <v>199.5</v>
      </c>
      <c r="S337" t="s">
        <v>597</v>
      </c>
      <c r="T337" t="s">
        <v>598</v>
      </c>
      <c r="U337" t="s">
        <v>36</v>
      </c>
      <c r="V337" s="4">
        <v>45467</v>
      </c>
      <c r="W337">
        <v>199.5</v>
      </c>
      <c r="X337">
        <v>199.5</v>
      </c>
      <c r="Y337">
        <v>199.5</v>
      </c>
      <c r="Z337">
        <v>199.5</v>
      </c>
    </row>
    <row r="338" spans="1:26" x14ac:dyDescent="0.25">
      <c r="A338" t="s">
        <v>915</v>
      </c>
      <c r="B338" t="s">
        <v>25</v>
      </c>
      <c r="C338" s="4">
        <v>43584</v>
      </c>
      <c r="E338" s="4">
        <v>44956</v>
      </c>
      <c r="F338" s="4">
        <v>44743</v>
      </c>
      <c r="G338" t="s">
        <v>254</v>
      </c>
      <c r="H338" t="s">
        <v>113</v>
      </c>
      <c r="I338" t="s">
        <v>927</v>
      </c>
      <c r="K338" t="s">
        <v>98</v>
      </c>
      <c r="L338" t="s">
        <v>574</v>
      </c>
      <c r="M338" t="s">
        <v>84</v>
      </c>
      <c r="N338" t="s">
        <v>31</v>
      </c>
      <c r="O338" t="s">
        <v>32</v>
      </c>
      <c r="P338" t="s">
        <v>912</v>
      </c>
      <c r="Q338">
        <v>199.5</v>
      </c>
      <c r="R338">
        <v>199.5</v>
      </c>
      <c r="S338" t="s">
        <v>597</v>
      </c>
      <c r="T338" t="s">
        <v>598</v>
      </c>
      <c r="U338" t="s">
        <v>44</v>
      </c>
      <c r="V338" s="4">
        <v>45689</v>
      </c>
      <c r="W338">
        <v>199.5</v>
      </c>
      <c r="X338">
        <v>199.5</v>
      </c>
      <c r="Y338">
        <v>199.5</v>
      </c>
      <c r="Z338">
        <v>199.5</v>
      </c>
    </row>
    <row r="339" spans="1:26" hidden="1" x14ac:dyDescent="0.25">
      <c r="A339" t="s">
        <v>916</v>
      </c>
      <c r="B339" t="s">
        <v>38</v>
      </c>
      <c r="C339" s="4">
        <v>43584</v>
      </c>
      <c r="D339" s="4">
        <v>44279</v>
      </c>
      <c r="F339" s="4">
        <v>44742</v>
      </c>
      <c r="G339" t="s">
        <v>39</v>
      </c>
      <c r="H339" t="s">
        <v>917</v>
      </c>
      <c r="K339" t="s">
        <v>41</v>
      </c>
      <c r="L339" t="s">
        <v>574</v>
      </c>
      <c r="M339" t="s">
        <v>42</v>
      </c>
      <c r="N339" t="s">
        <v>31</v>
      </c>
      <c r="O339" t="s">
        <v>32</v>
      </c>
      <c r="P339" t="s">
        <v>918</v>
      </c>
      <c r="Q339">
        <v>300</v>
      </c>
      <c r="R339">
        <v>300</v>
      </c>
      <c r="S339" t="s">
        <v>34</v>
      </c>
      <c r="T339" t="s">
        <v>35</v>
      </c>
      <c r="U339" t="s">
        <v>44</v>
      </c>
      <c r="W339">
        <v>0</v>
      </c>
      <c r="X339">
        <v>0</v>
      </c>
      <c r="Y339">
        <v>0</v>
      </c>
      <c r="Z339">
        <v>0</v>
      </c>
    </row>
    <row r="340" spans="1:26" hidden="1" x14ac:dyDescent="0.25">
      <c r="A340" t="s">
        <v>919</v>
      </c>
      <c r="B340" t="s">
        <v>38</v>
      </c>
      <c r="C340" s="4">
        <v>43584</v>
      </c>
      <c r="D340" s="4">
        <v>44413</v>
      </c>
      <c r="F340" s="4">
        <v>44757</v>
      </c>
      <c r="G340" t="s">
        <v>107</v>
      </c>
      <c r="H340" t="s">
        <v>400</v>
      </c>
      <c r="K340" t="s">
        <v>109</v>
      </c>
      <c r="L340" t="s">
        <v>574</v>
      </c>
      <c r="M340" t="s">
        <v>84</v>
      </c>
      <c r="N340" t="s">
        <v>31</v>
      </c>
      <c r="O340" t="s">
        <v>32</v>
      </c>
      <c r="P340" t="s">
        <v>920</v>
      </c>
      <c r="Q340">
        <v>150</v>
      </c>
      <c r="R340">
        <v>150</v>
      </c>
      <c r="S340" t="s">
        <v>56</v>
      </c>
      <c r="T340" t="s">
        <v>57</v>
      </c>
      <c r="U340" t="s">
        <v>44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921</v>
      </c>
      <c r="B341" t="s">
        <v>25</v>
      </c>
      <c r="C341" s="4">
        <v>43584</v>
      </c>
      <c r="F341" s="4">
        <v>44743</v>
      </c>
      <c r="G341" t="s">
        <v>254</v>
      </c>
      <c r="H341" t="s">
        <v>113</v>
      </c>
      <c r="I341" t="s">
        <v>927</v>
      </c>
      <c r="K341" t="s">
        <v>98</v>
      </c>
      <c r="L341" t="s">
        <v>574</v>
      </c>
      <c r="M341" t="s">
        <v>84</v>
      </c>
      <c r="N341" t="s">
        <v>31</v>
      </c>
      <c r="O341" t="s">
        <v>32</v>
      </c>
      <c r="P341" t="s">
        <v>912</v>
      </c>
      <c r="Q341">
        <v>199.5</v>
      </c>
      <c r="R341">
        <v>199.5</v>
      </c>
      <c r="S341" t="s">
        <v>597</v>
      </c>
      <c r="T341" t="s">
        <v>598</v>
      </c>
      <c r="U341" t="s">
        <v>44</v>
      </c>
      <c r="V341" s="4">
        <v>45870</v>
      </c>
      <c r="W341">
        <v>199.5</v>
      </c>
      <c r="X341">
        <v>199.5</v>
      </c>
      <c r="Y341">
        <v>199.5</v>
      </c>
      <c r="Z341">
        <v>199.5</v>
      </c>
    </row>
    <row r="342" spans="1:26" x14ac:dyDescent="0.25">
      <c r="A342" t="s">
        <v>922</v>
      </c>
      <c r="B342" t="s">
        <v>25</v>
      </c>
      <c r="C342" s="4">
        <v>43584</v>
      </c>
      <c r="F342" s="4">
        <v>44743</v>
      </c>
      <c r="G342" t="s">
        <v>229</v>
      </c>
      <c r="H342" t="s">
        <v>113</v>
      </c>
      <c r="I342" t="s">
        <v>927</v>
      </c>
      <c r="K342" t="s">
        <v>98</v>
      </c>
      <c r="L342" t="s">
        <v>574</v>
      </c>
      <c r="M342" t="s">
        <v>84</v>
      </c>
      <c r="N342" t="s">
        <v>31</v>
      </c>
      <c r="O342" t="s">
        <v>32</v>
      </c>
      <c r="P342" t="s">
        <v>912</v>
      </c>
      <c r="Q342">
        <v>199.5</v>
      </c>
      <c r="R342">
        <v>199.5</v>
      </c>
      <c r="S342" t="s">
        <v>597</v>
      </c>
      <c r="T342" t="s">
        <v>598</v>
      </c>
      <c r="U342" t="s">
        <v>44</v>
      </c>
      <c r="V342" s="4">
        <v>45809</v>
      </c>
      <c r="W342">
        <v>199.5</v>
      </c>
      <c r="X342">
        <v>199.5</v>
      </c>
      <c r="Y342">
        <v>199.5</v>
      </c>
      <c r="Z342">
        <v>199.5</v>
      </c>
    </row>
    <row r="343" spans="1:26" hidden="1" x14ac:dyDescent="0.25">
      <c r="A343" t="s">
        <v>923</v>
      </c>
      <c r="B343" t="s">
        <v>38</v>
      </c>
      <c r="C343" s="4">
        <v>43584</v>
      </c>
      <c r="D343" s="4">
        <v>44279</v>
      </c>
      <c r="F343" s="4">
        <v>44743</v>
      </c>
      <c r="G343" t="s">
        <v>72</v>
      </c>
      <c r="H343" t="s">
        <v>924</v>
      </c>
      <c r="K343" t="s">
        <v>209</v>
      </c>
      <c r="L343" t="s">
        <v>574</v>
      </c>
      <c r="M343" t="s">
        <v>42</v>
      </c>
      <c r="N343" t="s">
        <v>31</v>
      </c>
      <c r="O343" t="s">
        <v>32</v>
      </c>
      <c r="P343" t="s">
        <v>925</v>
      </c>
      <c r="Q343">
        <v>398</v>
      </c>
      <c r="R343">
        <v>398</v>
      </c>
      <c r="S343" t="s">
        <v>56</v>
      </c>
      <c r="T343" t="s">
        <v>57</v>
      </c>
      <c r="U343" t="s">
        <v>44</v>
      </c>
      <c r="W343">
        <v>0</v>
      </c>
      <c r="X343">
        <v>0</v>
      </c>
      <c r="Y343">
        <v>0</v>
      </c>
      <c r="Z343">
        <v>0</v>
      </c>
    </row>
    <row r="344" spans="1:26" hidden="1" x14ac:dyDescent="0.25">
      <c r="A344" t="s">
        <v>926</v>
      </c>
      <c r="B344" t="s">
        <v>38</v>
      </c>
      <c r="C344" s="4">
        <v>43584</v>
      </c>
      <c r="D344" s="4">
        <v>44701</v>
      </c>
      <c r="F344" s="4">
        <v>45107</v>
      </c>
      <c r="G344" t="s">
        <v>254</v>
      </c>
      <c r="H344" t="s">
        <v>927</v>
      </c>
      <c r="K344" t="s">
        <v>98</v>
      </c>
      <c r="L344" t="s">
        <v>574</v>
      </c>
      <c r="M344" t="s">
        <v>84</v>
      </c>
      <c r="N344" t="s">
        <v>31</v>
      </c>
      <c r="O344" t="s">
        <v>32</v>
      </c>
      <c r="P344" t="s">
        <v>928</v>
      </c>
      <c r="Q344">
        <v>99</v>
      </c>
      <c r="R344">
        <v>99</v>
      </c>
      <c r="S344" t="s">
        <v>34</v>
      </c>
      <c r="T344" t="s">
        <v>35</v>
      </c>
      <c r="U344" t="s">
        <v>44</v>
      </c>
      <c r="W344">
        <v>99</v>
      </c>
      <c r="X344">
        <v>99</v>
      </c>
      <c r="Y344">
        <v>0</v>
      </c>
      <c r="Z344">
        <v>0</v>
      </c>
    </row>
    <row r="345" spans="1:26" hidden="1" x14ac:dyDescent="0.25">
      <c r="A345" t="s">
        <v>929</v>
      </c>
      <c r="B345" t="s">
        <v>38</v>
      </c>
      <c r="C345" s="4">
        <v>43584</v>
      </c>
      <c r="D345" s="4">
        <v>43895</v>
      </c>
      <c r="F345" s="4">
        <v>44819</v>
      </c>
      <c r="G345" t="s">
        <v>72</v>
      </c>
      <c r="H345" t="s">
        <v>930</v>
      </c>
      <c r="K345" t="s">
        <v>209</v>
      </c>
      <c r="L345" t="s">
        <v>574</v>
      </c>
      <c r="M345" t="s">
        <v>42</v>
      </c>
      <c r="N345" t="s">
        <v>31</v>
      </c>
      <c r="O345" t="s">
        <v>32</v>
      </c>
      <c r="P345" t="s">
        <v>931</v>
      </c>
      <c r="Q345">
        <v>96</v>
      </c>
      <c r="R345">
        <v>96</v>
      </c>
      <c r="S345" t="s">
        <v>34</v>
      </c>
      <c r="T345" t="s">
        <v>35</v>
      </c>
      <c r="U345" t="s">
        <v>44</v>
      </c>
      <c r="W345">
        <v>0</v>
      </c>
      <c r="X345">
        <v>0</v>
      </c>
      <c r="Y345">
        <v>0</v>
      </c>
      <c r="Z345">
        <v>0</v>
      </c>
    </row>
    <row r="346" spans="1:26" hidden="1" x14ac:dyDescent="0.25">
      <c r="A346" t="s">
        <v>932</v>
      </c>
      <c r="B346" t="s">
        <v>38</v>
      </c>
      <c r="C346" s="4">
        <v>43584</v>
      </c>
      <c r="D346" s="4">
        <v>43895</v>
      </c>
      <c r="F346" s="4">
        <v>44819</v>
      </c>
      <c r="G346" t="s">
        <v>128</v>
      </c>
      <c r="H346" t="s">
        <v>933</v>
      </c>
      <c r="K346" t="s">
        <v>209</v>
      </c>
      <c r="L346" t="s">
        <v>574</v>
      </c>
      <c r="M346" t="s">
        <v>42</v>
      </c>
      <c r="N346" t="s">
        <v>31</v>
      </c>
      <c r="O346" t="s">
        <v>32</v>
      </c>
      <c r="P346" t="s">
        <v>934</v>
      </c>
      <c r="Q346">
        <v>48</v>
      </c>
      <c r="R346">
        <v>48</v>
      </c>
      <c r="S346" t="s">
        <v>34</v>
      </c>
      <c r="T346" t="s">
        <v>35</v>
      </c>
      <c r="U346" t="s">
        <v>44</v>
      </c>
      <c r="W346">
        <v>0</v>
      </c>
      <c r="X346">
        <v>0</v>
      </c>
      <c r="Y346">
        <v>0</v>
      </c>
      <c r="Z346">
        <v>0</v>
      </c>
    </row>
    <row r="347" spans="1:26" hidden="1" x14ac:dyDescent="0.25">
      <c r="A347" t="s">
        <v>935</v>
      </c>
      <c r="B347" t="s">
        <v>38</v>
      </c>
      <c r="C347" s="4">
        <v>43584</v>
      </c>
      <c r="D347" s="4">
        <v>44628</v>
      </c>
      <c r="F347" s="4">
        <v>44470</v>
      </c>
      <c r="G347" t="s">
        <v>26</v>
      </c>
      <c r="H347" t="s">
        <v>49</v>
      </c>
      <c r="K347" t="s">
        <v>28</v>
      </c>
      <c r="L347" t="s">
        <v>574</v>
      </c>
      <c r="M347" t="s">
        <v>30</v>
      </c>
      <c r="N347" t="s">
        <v>31</v>
      </c>
      <c r="O347" t="s">
        <v>32</v>
      </c>
      <c r="P347" t="s">
        <v>936</v>
      </c>
      <c r="Q347">
        <v>25</v>
      </c>
      <c r="R347">
        <v>25</v>
      </c>
      <c r="S347" t="s">
        <v>159</v>
      </c>
      <c r="T347" t="s">
        <v>159</v>
      </c>
      <c r="U347" t="s">
        <v>44</v>
      </c>
      <c r="W347">
        <v>25</v>
      </c>
      <c r="X347">
        <v>25</v>
      </c>
      <c r="Y347">
        <v>0</v>
      </c>
      <c r="Z347">
        <v>0</v>
      </c>
    </row>
    <row r="348" spans="1:26" hidden="1" x14ac:dyDescent="0.25">
      <c r="A348" t="s">
        <v>937</v>
      </c>
      <c r="B348" t="s">
        <v>38</v>
      </c>
      <c r="C348" s="4">
        <v>43584</v>
      </c>
      <c r="D348" s="4">
        <v>43980</v>
      </c>
      <c r="F348" s="4">
        <v>44562</v>
      </c>
      <c r="G348" t="s">
        <v>72</v>
      </c>
      <c r="H348" t="s">
        <v>752</v>
      </c>
      <c r="K348" t="s">
        <v>53</v>
      </c>
      <c r="L348" t="s">
        <v>574</v>
      </c>
      <c r="M348" t="s">
        <v>54</v>
      </c>
      <c r="N348" t="s">
        <v>31</v>
      </c>
      <c r="O348" t="s">
        <v>32</v>
      </c>
      <c r="P348" t="s">
        <v>938</v>
      </c>
      <c r="Q348">
        <v>334</v>
      </c>
      <c r="R348">
        <v>382</v>
      </c>
      <c r="S348" t="s">
        <v>389</v>
      </c>
      <c r="T348" t="s">
        <v>584</v>
      </c>
      <c r="U348" t="s">
        <v>44</v>
      </c>
      <c r="W348">
        <v>0</v>
      </c>
      <c r="X348">
        <v>0</v>
      </c>
      <c r="Y348">
        <v>0</v>
      </c>
      <c r="Z348">
        <v>0</v>
      </c>
    </row>
    <row r="349" spans="1:26" hidden="1" x14ac:dyDescent="0.25">
      <c r="A349" t="s">
        <v>939</v>
      </c>
      <c r="B349" t="s">
        <v>25</v>
      </c>
      <c r="C349" s="4">
        <v>43581</v>
      </c>
      <c r="F349" s="4">
        <v>44774</v>
      </c>
      <c r="G349" t="s">
        <v>261</v>
      </c>
      <c r="H349" t="s">
        <v>82</v>
      </c>
      <c r="K349" t="s">
        <v>114</v>
      </c>
      <c r="L349" t="s">
        <v>574</v>
      </c>
      <c r="M349" t="s">
        <v>68</v>
      </c>
      <c r="N349" t="s">
        <v>31</v>
      </c>
      <c r="O349" t="s">
        <v>122</v>
      </c>
      <c r="P349" t="s">
        <v>940</v>
      </c>
      <c r="Q349">
        <v>175</v>
      </c>
      <c r="R349">
        <v>175</v>
      </c>
      <c r="S349" t="s">
        <v>34</v>
      </c>
      <c r="T349" t="s">
        <v>35</v>
      </c>
      <c r="U349" t="s">
        <v>36</v>
      </c>
      <c r="V349" s="4">
        <v>45078</v>
      </c>
      <c r="W349">
        <v>175</v>
      </c>
      <c r="X349">
        <v>0</v>
      </c>
      <c r="Y349">
        <v>175</v>
      </c>
      <c r="Z349">
        <v>0</v>
      </c>
    </row>
    <row r="350" spans="1:26" hidden="1" x14ac:dyDescent="0.25">
      <c r="A350" t="s">
        <v>941</v>
      </c>
      <c r="B350" t="s">
        <v>25</v>
      </c>
      <c r="C350" s="4">
        <v>43584</v>
      </c>
      <c r="F350" s="4">
        <v>44671</v>
      </c>
      <c r="G350" t="s">
        <v>101</v>
      </c>
      <c r="H350" t="s">
        <v>815</v>
      </c>
      <c r="K350" t="s">
        <v>98</v>
      </c>
      <c r="L350" t="s">
        <v>574</v>
      </c>
      <c r="M350" t="s">
        <v>84</v>
      </c>
      <c r="N350" t="s">
        <v>31</v>
      </c>
      <c r="O350" t="s">
        <v>32</v>
      </c>
      <c r="P350" t="s">
        <v>942</v>
      </c>
      <c r="Q350">
        <v>200</v>
      </c>
      <c r="R350">
        <v>200</v>
      </c>
      <c r="S350" t="s">
        <v>34</v>
      </c>
      <c r="T350" t="s">
        <v>35</v>
      </c>
      <c r="U350" t="s">
        <v>44</v>
      </c>
      <c r="V350" s="4">
        <v>45767</v>
      </c>
      <c r="W350">
        <v>200</v>
      </c>
      <c r="X350">
        <v>200</v>
      </c>
      <c r="Y350">
        <v>0</v>
      </c>
      <c r="Z350">
        <v>0</v>
      </c>
    </row>
    <row r="351" spans="1:26" hidden="1" x14ac:dyDescent="0.25">
      <c r="A351" t="s">
        <v>943</v>
      </c>
      <c r="B351" t="s">
        <v>38</v>
      </c>
      <c r="C351" s="4">
        <v>43584</v>
      </c>
      <c r="D351" s="4">
        <v>44614</v>
      </c>
      <c r="F351" s="4">
        <v>45036</v>
      </c>
      <c r="G351" t="s">
        <v>39</v>
      </c>
      <c r="H351" t="s">
        <v>170</v>
      </c>
      <c r="K351" t="s">
        <v>41</v>
      </c>
      <c r="L351" t="s">
        <v>574</v>
      </c>
      <c r="M351" t="s">
        <v>42</v>
      </c>
      <c r="N351" t="s">
        <v>31</v>
      </c>
      <c r="O351" t="s">
        <v>32</v>
      </c>
      <c r="P351" t="s">
        <v>944</v>
      </c>
      <c r="Q351">
        <v>335</v>
      </c>
      <c r="R351">
        <v>335</v>
      </c>
      <c r="S351" t="s">
        <v>597</v>
      </c>
      <c r="T351" t="s">
        <v>945</v>
      </c>
      <c r="U351" t="s">
        <v>44</v>
      </c>
      <c r="W351">
        <v>335</v>
      </c>
      <c r="X351">
        <v>335</v>
      </c>
      <c r="Y351">
        <v>0</v>
      </c>
      <c r="Z351">
        <v>0</v>
      </c>
    </row>
    <row r="352" spans="1:26" hidden="1" x14ac:dyDescent="0.25">
      <c r="A352" t="s">
        <v>946</v>
      </c>
      <c r="B352" t="s">
        <v>38</v>
      </c>
      <c r="C352" s="4">
        <v>43584</v>
      </c>
      <c r="D352" s="4">
        <v>45023</v>
      </c>
      <c r="E352" s="4">
        <v>44865</v>
      </c>
      <c r="F352" s="4">
        <v>44671</v>
      </c>
      <c r="G352" t="s">
        <v>52</v>
      </c>
      <c r="H352" t="s">
        <v>225</v>
      </c>
      <c r="K352" t="s">
        <v>53</v>
      </c>
      <c r="L352" t="s">
        <v>574</v>
      </c>
      <c r="M352" t="s">
        <v>54</v>
      </c>
      <c r="N352" t="s">
        <v>31</v>
      </c>
      <c r="O352" t="s">
        <v>32</v>
      </c>
      <c r="P352" t="s">
        <v>947</v>
      </c>
      <c r="Q352">
        <v>150</v>
      </c>
      <c r="R352">
        <v>150</v>
      </c>
      <c r="S352" t="s">
        <v>34</v>
      </c>
      <c r="T352" t="s">
        <v>35</v>
      </c>
      <c r="U352" t="s">
        <v>38</v>
      </c>
      <c r="V352" s="4">
        <v>45767</v>
      </c>
      <c r="W352">
        <v>150</v>
      </c>
      <c r="X352">
        <v>150</v>
      </c>
      <c r="Y352">
        <v>150</v>
      </c>
      <c r="Z352">
        <v>150</v>
      </c>
    </row>
    <row r="353" spans="1:26" hidden="1" x14ac:dyDescent="0.25">
      <c r="A353" t="s">
        <v>948</v>
      </c>
      <c r="B353" t="s">
        <v>38</v>
      </c>
      <c r="C353" s="4">
        <v>43584</v>
      </c>
      <c r="D353" s="4">
        <v>44048</v>
      </c>
      <c r="F353" s="4">
        <v>44774</v>
      </c>
      <c r="G353" t="s">
        <v>144</v>
      </c>
      <c r="H353" t="s">
        <v>949</v>
      </c>
      <c r="K353" t="s">
        <v>146</v>
      </c>
      <c r="L353" t="s">
        <v>574</v>
      </c>
      <c r="M353" t="s">
        <v>68</v>
      </c>
      <c r="N353" t="s">
        <v>31</v>
      </c>
      <c r="O353" t="s">
        <v>32</v>
      </c>
      <c r="P353" t="s">
        <v>950</v>
      </c>
      <c r="Q353">
        <v>120</v>
      </c>
      <c r="R353">
        <v>120</v>
      </c>
      <c r="S353" t="s">
        <v>34</v>
      </c>
      <c r="T353" t="s">
        <v>35</v>
      </c>
      <c r="U353" t="s">
        <v>44</v>
      </c>
      <c r="W353">
        <v>0</v>
      </c>
      <c r="X353">
        <v>0</v>
      </c>
      <c r="Y353">
        <v>0</v>
      </c>
      <c r="Z353">
        <v>0</v>
      </c>
    </row>
    <row r="354" spans="1:26" hidden="1" x14ac:dyDescent="0.25">
      <c r="A354" t="s">
        <v>951</v>
      </c>
      <c r="B354" t="s">
        <v>25</v>
      </c>
      <c r="C354" s="4">
        <v>43584</v>
      </c>
      <c r="F354" s="4">
        <v>44671</v>
      </c>
      <c r="G354" t="s">
        <v>107</v>
      </c>
      <c r="H354" t="s">
        <v>605</v>
      </c>
      <c r="K354" t="s">
        <v>109</v>
      </c>
      <c r="L354" t="s">
        <v>574</v>
      </c>
      <c r="M354" t="s">
        <v>84</v>
      </c>
      <c r="N354" t="s">
        <v>31</v>
      </c>
      <c r="O354" t="s">
        <v>32</v>
      </c>
      <c r="P354" t="s">
        <v>952</v>
      </c>
      <c r="Q354">
        <v>100</v>
      </c>
      <c r="R354">
        <v>100</v>
      </c>
      <c r="S354" t="s">
        <v>34</v>
      </c>
      <c r="T354" t="s">
        <v>35</v>
      </c>
      <c r="U354" t="s">
        <v>44</v>
      </c>
      <c r="V354" s="4">
        <v>45627</v>
      </c>
      <c r="W354">
        <v>100</v>
      </c>
      <c r="X354">
        <v>100</v>
      </c>
      <c r="Y354">
        <v>100</v>
      </c>
      <c r="Z354">
        <v>100</v>
      </c>
    </row>
    <row r="355" spans="1:26" hidden="1" x14ac:dyDescent="0.25">
      <c r="A355" t="s">
        <v>953</v>
      </c>
      <c r="B355" t="s">
        <v>38</v>
      </c>
      <c r="C355" s="4">
        <v>43584</v>
      </c>
      <c r="D355" s="4">
        <v>45174</v>
      </c>
      <c r="F355" s="4">
        <v>45076</v>
      </c>
      <c r="G355" t="s">
        <v>254</v>
      </c>
      <c r="H355" t="s">
        <v>230</v>
      </c>
      <c r="K355" t="s">
        <v>98</v>
      </c>
      <c r="L355" t="s">
        <v>574</v>
      </c>
      <c r="M355" t="s">
        <v>84</v>
      </c>
      <c r="N355" t="s">
        <v>31</v>
      </c>
      <c r="O355" t="s">
        <v>32</v>
      </c>
      <c r="P355" t="s">
        <v>954</v>
      </c>
      <c r="Q355">
        <v>150</v>
      </c>
      <c r="R355">
        <v>150</v>
      </c>
      <c r="S355" t="s">
        <v>159</v>
      </c>
      <c r="T355" t="s">
        <v>159</v>
      </c>
      <c r="U355" t="s">
        <v>44</v>
      </c>
      <c r="W355">
        <v>150</v>
      </c>
      <c r="X355">
        <v>150</v>
      </c>
      <c r="Y355">
        <v>150</v>
      </c>
      <c r="Z355">
        <v>150</v>
      </c>
    </row>
    <row r="356" spans="1:26" hidden="1" x14ac:dyDescent="0.25">
      <c r="A356" t="s">
        <v>955</v>
      </c>
      <c r="B356" t="s">
        <v>25</v>
      </c>
      <c r="C356" s="4">
        <v>43584</v>
      </c>
      <c r="F356" s="4">
        <v>45076</v>
      </c>
      <c r="G356" t="s">
        <v>138</v>
      </c>
      <c r="H356" t="s">
        <v>956</v>
      </c>
      <c r="K356" t="s">
        <v>98</v>
      </c>
      <c r="L356" t="s">
        <v>574</v>
      </c>
      <c r="M356" t="s">
        <v>84</v>
      </c>
      <c r="N356" t="s">
        <v>31</v>
      </c>
      <c r="O356" t="s">
        <v>32</v>
      </c>
      <c r="P356" t="s">
        <v>957</v>
      </c>
      <c r="Q356">
        <v>146</v>
      </c>
      <c r="R356">
        <v>146</v>
      </c>
      <c r="S356" t="s">
        <v>159</v>
      </c>
      <c r="T356" t="s">
        <v>159</v>
      </c>
      <c r="U356" t="s">
        <v>44</v>
      </c>
      <c r="V356" s="4">
        <v>45945</v>
      </c>
      <c r="W356">
        <v>118</v>
      </c>
      <c r="X356">
        <v>118</v>
      </c>
      <c r="Y356">
        <v>118</v>
      </c>
      <c r="Z356">
        <v>118</v>
      </c>
    </row>
    <row r="357" spans="1:26" hidden="1" x14ac:dyDescent="0.25">
      <c r="A357" t="s">
        <v>958</v>
      </c>
      <c r="B357" t="s">
        <v>25</v>
      </c>
      <c r="C357" s="4">
        <v>43584</v>
      </c>
      <c r="F357" s="4">
        <v>45076</v>
      </c>
      <c r="G357" t="s">
        <v>254</v>
      </c>
      <c r="H357" t="s">
        <v>959</v>
      </c>
      <c r="K357" t="s">
        <v>98</v>
      </c>
      <c r="L357" t="s">
        <v>574</v>
      </c>
      <c r="M357" t="s">
        <v>84</v>
      </c>
      <c r="N357" t="s">
        <v>31</v>
      </c>
      <c r="O357" t="s">
        <v>32</v>
      </c>
      <c r="P357" t="s">
        <v>960</v>
      </c>
      <c r="Q357">
        <v>160</v>
      </c>
      <c r="R357">
        <v>160</v>
      </c>
      <c r="S357" t="s">
        <v>159</v>
      </c>
      <c r="T357" t="s">
        <v>159</v>
      </c>
      <c r="U357" t="s">
        <v>44</v>
      </c>
      <c r="V357" s="4">
        <v>46172</v>
      </c>
      <c r="W357">
        <v>131</v>
      </c>
      <c r="X357">
        <v>131</v>
      </c>
      <c r="Y357">
        <v>131</v>
      </c>
      <c r="Z357">
        <v>131</v>
      </c>
    </row>
    <row r="358" spans="1:26" hidden="1" x14ac:dyDescent="0.25">
      <c r="A358" t="s">
        <v>961</v>
      </c>
      <c r="B358" t="s">
        <v>38</v>
      </c>
      <c r="C358" s="4">
        <v>43584</v>
      </c>
      <c r="D358" s="4">
        <v>44701</v>
      </c>
      <c r="F358" s="4">
        <v>45076</v>
      </c>
      <c r="G358" t="s">
        <v>101</v>
      </c>
      <c r="H358" t="s">
        <v>962</v>
      </c>
      <c r="K358" t="s">
        <v>98</v>
      </c>
      <c r="L358" t="s">
        <v>574</v>
      </c>
      <c r="M358" t="s">
        <v>84</v>
      </c>
      <c r="N358" t="s">
        <v>31</v>
      </c>
      <c r="O358" t="s">
        <v>32</v>
      </c>
      <c r="P358" t="s">
        <v>963</v>
      </c>
      <c r="Q358">
        <v>160</v>
      </c>
      <c r="R358">
        <v>160</v>
      </c>
      <c r="S358" t="s">
        <v>34</v>
      </c>
      <c r="T358" t="s">
        <v>35</v>
      </c>
      <c r="U358" t="s">
        <v>44</v>
      </c>
      <c r="W358">
        <v>135</v>
      </c>
      <c r="X358">
        <v>74</v>
      </c>
      <c r="Y358">
        <v>0</v>
      </c>
      <c r="Z358">
        <v>0</v>
      </c>
    </row>
    <row r="359" spans="1:26" hidden="1" x14ac:dyDescent="0.25">
      <c r="A359" t="s">
        <v>964</v>
      </c>
      <c r="B359" t="s">
        <v>25</v>
      </c>
      <c r="C359" s="4">
        <v>43584</v>
      </c>
      <c r="E359" s="4">
        <v>44957</v>
      </c>
      <c r="F359" s="4">
        <v>45076</v>
      </c>
      <c r="G359" t="s">
        <v>101</v>
      </c>
      <c r="H359" t="s">
        <v>965</v>
      </c>
      <c r="K359" t="s">
        <v>98</v>
      </c>
      <c r="L359" t="s">
        <v>574</v>
      </c>
      <c r="M359" t="s">
        <v>84</v>
      </c>
      <c r="N359" t="s">
        <v>31</v>
      </c>
      <c r="O359" t="s">
        <v>32</v>
      </c>
      <c r="P359" t="s">
        <v>966</v>
      </c>
      <c r="Q359">
        <v>150</v>
      </c>
      <c r="R359">
        <v>150</v>
      </c>
      <c r="S359" t="s">
        <v>159</v>
      </c>
      <c r="T359" t="s">
        <v>159</v>
      </c>
      <c r="U359" t="s">
        <v>44</v>
      </c>
      <c r="V359" s="4">
        <v>45930</v>
      </c>
      <c r="W359">
        <v>150</v>
      </c>
      <c r="X359">
        <v>150</v>
      </c>
      <c r="Y359">
        <v>150</v>
      </c>
      <c r="Z359">
        <v>150</v>
      </c>
    </row>
    <row r="360" spans="1:26" hidden="1" x14ac:dyDescent="0.25">
      <c r="A360" t="s">
        <v>967</v>
      </c>
      <c r="B360" t="s">
        <v>25</v>
      </c>
      <c r="C360" s="4">
        <v>43584</v>
      </c>
      <c r="F360" s="4">
        <v>45076</v>
      </c>
      <c r="G360" t="s">
        <v>254</v>
      </c>
      <c r="H360" t="s">
        <v>959</v>
      </c>
      <c r="K360" t="s">
        <v>98</v>
      </c>
      <c r="L360" t="s">
        <v>574</v>
      </c>
      <c r="M360" t="s">
        <v>84</v>
      </c>
      <c r="N360" t="s">
        <v>31</v>
      </c>
      <c r="O360" t="s">
        <v>32</v>
      </c>
      <c r="P360" t="s">
        <v>968</v>
      </c>
      <c r="Q360">
        <v>125</v>
      </c>
      <c r="R360">
        <v>125</v>
      </c>
      <c r="S360" t="s">
        <v>159</v>
      </c>
      <c r="T360" t="s">
        <v>159</v>
      </c>
      <c r="U360" t="s">
        <v>44</v>
      </c>
      <c r="V360" s="4">
        <v>46172</v>
      </c>
      <c r="W360">
        <v>125</v>
      </c>
      <c r="X360">
        <v>125</v>
      </c>
      <c r="Y360">
        <v>125</v>
      </c>
      <c r="Z360">
        <v>125</v>
      </c>
    </row>
    <row r="361" spans="1:26" hidden="1" x14ac:dyDescent="0.25">
      <c r="A361" t="s">
        <v>969</v>
      </c>
      <c r="B361" t="s">
        <v>25</v>
      </c>
      <c r="C361" s="4">
        <v>43584</v>
      </c>
      <c r="F361" s="4">
        <v>44621</v>
      </c>
      <c r="G361" t="s">
        <v>72</v>
      </c>
      <c r="H361" t="s">
        <v>805</v>
      </c>
      <c r="K361" t="s">
        <v>209</v>
      </c>
      <c r="L361" t="s">
        <v>574</v>
      </c>
      <c r="M361" t="s">
        <v>42</v>
      </c>
      <c r="N361" t="s">
        <v>31</v>
      </c>
      <c r="O361" t="s">
        <v>32</v>
      </c>
      <c r="P361" t="s">
        <v>970</v>
      </c>
      <c r="Q361">
        <v>95</v>
      </c>
      <c r="R361">
        <v>95</v>
      </c>
      <c r="S361" t="s">
        <v>389</v>
      </c>
      <c r="T361" t="s">
        <v>584</v>
      </c>
      <c r="U361" t="s">
        <v>44</v>
      </c>
      <c r="V361" s="4">
        <v>45717</v>
      </c>
      <c r="W361">
        <v>95</v>
      </c>
      <c r="X361">
        <v>95</v>
      </c>
      <c r="Y361">
        <v>95</v>
      </c>
      <c r="Z361">
        <v>95</v>
      </c>
    </row>
    <row r="362" spans="1:26" hidden="1" x14ac:dyDescent="0.25">
      <c r="A362" t="s">
        <v>971</v>
      </c>
      <c r="B362" t="s">
        <v>25</v>
      </c>
      <c r="C362" s="4">
        <v>43584</v>
      </c>
      <c r="F362" s="4">
        <v>44671</v>
      </c>
      <c r="G362" t="s">
        <v>117</v>
      </c>
      <c r="H362" t="s">
        <v>118</v>
      </c>
      <c r="K362" t="s">
        <v>83</v>
      </c>
      <c r="L362" t="s">
        <v>574</v>
      </c>
      <c r="M362" t="s">
        <v>84</v>
      </c>
      <c r="N362" t="s">
        <v>31</v>
      </c>
      <c r="O362" t="s">
        <v>122</v>
      </c>
      <c r="P362" t="s">
        <v>119</v>
      </c>
      <c r="Q362">
        <v>300</v>
      </c>
      <c r="R362">
        <v>300</v>
      </c>
      <c r="S362" t="s">
        <v>56</v>
      </c>
      <c r="T362" t="s">
        <v>57</v>
      </c>
      <c r="U362" t="s">
        <v>44</v>
      </c>
      <c r="V362" s="4">
        <v>45444</v>
      </c>
      <c r="W362">
        <v>300</v>
      </c>
      <c r="X362">
        <v>300</v>
      </c>
      <c r="Y362">
        <v>300</v>
      </c>
      <c r="Z362">
        <v>0</v>
      </c>
    </row>
    <row r="363" spans="1:26" hidden="1" x14ac:dyDescent="0.25">
      <c r="A363" t="s">
        <v>972</v>
      </c>
      <c r="B363" t="s">
        <v>25</v>
      </c>
      <c r="C363" s="4">
        <v>43584</v>
      </c>
      <c r="E363" s="4">
        <v>44529</v>
      </c>
      <c r="F363" s="4">
        <v>44500</v>
      </c>
      <c r="G363" t="s">
        <v>144</v>
      </c>
      <c r="H363" t="s">
        <v>558</v>
      </c>
      <c r="K363" t="s">
        <v>146</v>
      </c>
      <c r="L363" t="s">
        <v>574</v>
      </c>
      <c r="M363" t="s">
        <v>68</v>
      </c>
      <c r="N363" t="s">
        <v>31</v>
      </c>
      <c r="O363" t="s">
        <v>32</v>
      </c>
      <c r="P363" t="s">
        <v>973</v>
      </c>
      <c r="Q363">
        <v>50</v>
      </c>
      <c r="R363">
        <v>50</v>
      </c>
      <c r="S363" t="s">
        <v>34</v>
      </c>
      <c r="T363" t="s">
        <v>35</v>
      </c>
      <c r="U363" t="s">
        <v>70</v>
      </c>
      <c r="V363" s="4">
        <v>45306</v>
      </c>
      <c r="W363">
        <v>50</v>
      </c>
      <c r="X363">
        <v>50</v>
      </c>
      <c r="Y363">
        <v>50</v>
      </c>
      <c r="Z363">
        <v>50</v>
      </c>
    </row>
    <row r="364" spans="1:26" hidden="1" x14ac:dyDescent="0.25">
      <c r="A364" t="s">
        <v>974</v>
      </c>
      <c r="B364" t="s">
        <v>38</v>
      </c>
      <c r="C364" s="4">
        <v>43584</v>
      </c>
      <c r="D364" s="4">
        <v>43874</v>
      </c>
      <c r="F364" s="4">
        <v>44435</v>
      </c>
      <c r="G364" t="s">
        <v>52</v>
      </c>
      <c r="H364" t="s">
        <v>975</v>
      </c>
      <c r="K364" t="s">
        <v>53</v>
      </c>
      <c r="L364" t="s">
        <v>574</v>
      </c>
      <c r="M364" t="s">
        <v>54</v>
      </c>
      <c r="N364" t="s">
        <v>31</v>
      </c>
      <c r="O364" t="s">
        <v>32</v>
      </c>
      <c r="P364" t="s">
        <v>976</v>
      </c>
      <c r="Q364">
        <v>150</v>
      </c>
      <c r="R364">
        <v>150</v>
      </c>
      <c r="S364" t="s">
        <v>34</v>
      </c>
      <c r="T364" t="s">
        <v>35</v>
      </c>
      <c r="U364" t="s">
        <v>44</v>
      </c>
      <c r="W364">
        <v>0</v>
      </c>
      <c r="X364">
        <v>0</v>
      </c>
      <c r="Y364">
        <v>0</v>
      </c>
      <c r="Z364">
        <v>0</v>
      </c>
    </row>
    <row r="365" spans="1:26" hidden="1" x14ac:dyDescent="0.25">
      <c r="A365" t="s">
        <v>977</v>
      </c>
      <c r="B365" t="s">
        <v>38</v>
      </c>
      <c r="C365" s="4">
        <v>43581</v>
      </c>
      <c r="D365" s="4">
        <v>44413</v>
      </c>
      <c r="F365" s="4">
        <v>44757</v>
      </c>
      <c r="G365" t="s">
        <v>107</v>
      </c>
      <c r="H365" t="s">
        <v>400</v>
      </c>
      <c r="K365" t="s">
        <v>109</v>
      </c>
      <c r="L365" t="s">
        <v>574</v>
      </c>
      <c r="M365" t="s">
        <v>84</v>
      </c>
      <c r="N365" t="s">
        <v>31</v>
      </c>
      <c r="O365" t="s">
        <v>32</v>
      </c>
      <c r="P365" t="s">
        <v>920</v>
      </c>
      <c r="Q365">
        <v>150</v>
      </c>
      <c r="R365">
        <v>150</v>
      </c>
      <c r="S365" t="s">
        <v>34</v>
      </c>
      <c r="T365" t="s">
        <v>35</v>
      </c>
      <c r="U365" t="s">
        <v>44</v>
      </c>
      <c r="W365">
        <v>0</v>
      </c>
      <c r="X365">
        <v>0</v>
      </c>
      <c r="Y365">
        <v>0</v>
      </c>
      <c r="Z365">
        <v>0</v>
      </c>
    </row>
    <row r="366" spans="1:26" hidden="1" x14ac:dyDescent="0.25">
      <c r="A366" t="s">
        <v>978</v>
      </c>
      <c r="B366" t="s">
        <v>38</v>
      </c>
      <c r="C366" s="4">
        <v>43584</v>
      </c>
      <c r="D366" s="4">
        <v>44048</v>
      </c>
      <c r="F366" s="4">
        <v>44757</v>
      </c>
      <c r="G366" t="s">
        <v>65</v>
      </c>
      <c r="H366" t="s">
        <v>66</v>
      </c>
      <c r="K366" t="s">
        <v>67</v>
      </c>
      <c r="L366" t="s">
        <v>574</v>
      </c>
      <c r="M366" t="s">
        <v>68</v>
      </c>
      <c r="N366" t="s">
        <v>31</v>
      </c>
      <c r="O366" t="s">
        <v>32</v>
      </c>
      <c r="P366" t="s">
        <v>979</v>
      </c>
      <c r="Q366">
        <v>150</v>
      </c>
      <c r="R366">
        <v>150</v>
      </c>
      <c r="S366" t="s">
        <v>34</v>
      </c>
      <c r="T366" t="s">
        <v>35</v>
      </c>
      <c r="U366" t="s">
        <v>44</v>
      </c>
      <c r="W366">
        <v>0</v>
      </c>
      <c r="X366">
        <v>0</v>
      </c>
      <c r="Y366">
        <v>0</v>
      </c>
      <c r="Z366">
        <v>0</v>
      </c>
    </row>
    <row r="367" spans="1:26" hidden="1" x14ac:dyDescent="0.25">
      <c r="A367" t="s">
        <v>980</v>
      </c>
      <c r="B367" t="s">
        <v>25</v>
      </c>
      <c r="C367" s="4">
        <v>43584</v>
      </c>
      <c r="F367" s="4">
        <v>44743</v>
      </c>
      <c r="G367" t="s">
        <v>72</v>
      </c>
      <c r="H367" t="s">
        <v>981</v>
      </c>
      <c r="K367" t="s">
        <v>209</v>
      </c>
      <c r="L367" t="s">
        <v>574</v>
      </c>
      <c r="M367" t="s">
        <v>42</v>
      </c>
      <c r="N367" t="s">
        <v>31</v>
      </c>
      <c r="O367" t="s">
        <v>32</v>
      </c>
      <c r="P367" t="s">
        <v>982</v>
      </c>
      <c r="Q367">
        <v>169.4</v>
      </c>
      <c r="R367">
        <v>169.4</v>
      </c>
      <c r="S367" t="s">
        <v>56</v>
      </c>
      <c r="T367" t="s">
        <v>57</v>
      </c>
      <c r="U367" t="s">
        <v>44</v>
      </c>
      <c r="V367" s="4">
        <v>45541</v>
      </c>
      <c r="W367">
        <v>169.4</v>
      </c>
      <c r="X367">
        <v>169.4</v>
      </c>
      <c r="Y367">
        <v>169.4</v>
      </c>
      <c r="Z367">
        <v>0</v>
      </c>
    </row>
    <row r="368" spans="1:26" hidden="1" x14ac:dyDescent="0.25">
      <c r="A368" t="s">
        <v>983</v>
      </c>
      <c r="B368" t="s">
        <v>38</v>
      </c>
      <c r="C368" s="4">
        <v>43584</v>
      </c>
      <c r="D368" s="4">
        <v>43923</v>
      </c>
      <c r="F368" s="4">
        <v>44805</v>
      </c>
      <c r="G368" t="s">
        <v>39</v>
      </c>
      <c r="H368" t="s">
        <v>984</v>
      </c>
      <c r="K368" t="s">
        <v>28</v>
      </c>
      <c r="L368" t="s">
        <v>574</v>
      </c>
      <c r="M368" t="s">
        <v>42</v>
      </c>
      <c r="N368" t="s">
        <v>31</v>
      </c>
      <c r="O368" t="s">
        <v>32</v>
      </c>
      <c r="P368" t="s">
        <v>985</v>
      </c>
      <c r="Q368">
        <v>200</v>
      </c>
      <c r="R368">
        <v>200</v>
      </c>
      <c r="S368" t="s">
        <v>56</v>
      </c>
      <c r="T368" t="s">
        <v>57</v>
      </c>
      <c r="U368" t="s">
        <v>44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986</v>
      </c>
      <c r="B369" t="s">
        <v>25</v>
      </c>
      <c r="C369" s="4">
        <v>43584</v>
      </c>
      <c r="E369" s="4">
        <v>44666</v>
      </c>
      <c r="F369" s="4">
        <v>44378</v>
      </c>
      <c r="G369" t="s">
        <v>616</v>
      </c>
      <c r="H369" t="s">
        <v>2028</v>
      </c>
      <c r="I369" t="s">
        <v>7655</v>
      </c>
      <c r="K369" t="s">
        <v>146</v>
      </c>
      <c r="L369" t="s">
        <v>574</v>
      </c>
      <c r="M369" t="s">
        <v>68</v>
      </c>
      <c r="N369" t="s">
        <v>31</v>
      </c>
      <c r="O369" t="s">
        <v>32</v>
      </c>
      <c r="P369" t="s">
        <v>987</v>
      </c>
      <c r="Q369">
        <v>95</v>
      </c>
      <c r="R369">
        <v>95</v>
      </c>
      <c r="S369" t="s">
        <v>34</v>
      </c>
      <c r="T369" t="s">
        <v>35</v>
      </c>
      <c r="U369" t="s">
        <v>70</v>
      </c>
      <c r="V369" s="4">
        <v>44823</v>
      </c>
      <c r="W369">
        <v>95</v>
      </c>
      <c r="X369">
        <v>95</v>
      </c>
      <c r="Y369">
        <v>95</v>
      </c>
      <c r="Z369">
        <v>48.65</v>
      </c>
    </row>
    <row r="370" spans="1:26" x14ac:dyDescent="0.25">
      <c r="A370" t="s">
        <v>988</v>
      </c>
      <c r="B370" t="s">
        <v>25</v>
      </c>
      <c r="C370" s="4">
        <v>43584</v>
      </c>
      <c r="E370" s="4">
        <v>44530</v>
      </c>
      <c r="F370" s="4">
        <v>44743</v>
      </c>
      <c r="G370" t="s">
        <v>144</v>
      </c>
      <c r="H370" t="s">
        <v>2846</v>
      </c>
      <c r="I370" t="s">
        <v>7656</v>
      </c>
      <c r="K370" t="s">
        <v>146</v>
      </c>
      <c r="L370" t="s">
        <v>574</v>
      </c>
      <c r="M370" t="s">
        <v>68</v>
      </c>
      <c r="N370" t="s">
        <v>31</v>
      </c>
      <c r="O370" t="s">
        <v>32</v>
      </c>
      <c r="P370" t="s">
        <v>989</v>
      </c>
      <c r="Q370">
        <v>200</v>
      </c>
      <c r="R370">
        <v>200</v>
      </c>
      <c r="S370" t="s">
        <v>34</v>
      </c>
      <c r="T370" t="s">
        <v>35</v>
      </c>
      <c r="U370" t="s">
        <v>36</v>
      </c>
      <c r="V370" s="4">
        <v>45078</v>
      </c>
      <c r="W370">
        <v>200</v>
      </c>
      <c r="X370">
        <v>130</v>
      </c>
      <c r="Y370">
        <v>200</v>
      </c>
      <c r="Z370">
        <v>40</v>
      </c>
    </row>
    <row r="371" spans="1:26" hidden="1" x14ac:dyDescent="0.25">
      <c r="A371" t="s">
        <v>990</v>
      </c>
      <c r="B371" t="s">
        <v>25</v>
      </c>
      <c r="C371" s="4">
        <v>43584</v>
      </c>
      <c r="F371" s="4">
        <v>44743</v>
      </c>
      <c r="G371" t="s">
        <v>96</v>
      </c>
      <c r="H371" t="s">
        <v>991</v>
      </c>
      <c r="K371" t="s">
        <v>98</v>
      </c>
      <c r="L371" t="s">
        <v>574</v>
      </c>
      <c r="M371" t="s">
        <v>84</v>
      </c>
      <c r="N371" t="s">
        <v>31</v>
      </c>
      <c r="O371" t="s">
        <v>32</v>
      </c>
      <c r="P371" t="s">
        <v>992</v>
      </c>
      <c r="Q371">
        <v>100</v>
      </c>
      <c r="R371">
        <v>100</v>
      </c>
      <c r="S371" t="s">
        <v>34</v>
      </c>
      <c r="T371" t="s">
        <v>35</v>
      </c>
      <c r="U371" t="s">
        <v>44</v>
      </c>
      <c r="V371" s="4">
        <v>45839</v>
      </c>
      <c r="W371">
        <v>100</v>
      </c>
      <c r="X371">
        <v>100</v>
      </c>
      <c r="Y371">
        <v>100</v>
      </c>
      <c r="Z371">
        <v>85</v>
      </c>
    </row>
    <row r="372" spans="1:26" hidden="1" x14ac:dyDescent="0.25">
      <c r="A372" t="s">
        <v>993</v>
      </c>
      <c r="B372" t="s">
        <v>38</v>
      </c>
      <c r="C372" s="4">
        <v>43584</v>
      </c>
      <c r="D372" s="4">
        <v>44628</v>
      </c>
      <c r="F372" s="4">
        <v>44256</v>
      </c>
      <c r="G372" t="s">
        <v>26</v>
      </c>
      <c r="H372" t="s">
        <v>994</v>
      </c>
      <c r="K372" t="s">
        <v>53</v>
      </c>
      <c r="L372" t="s">
        <v>574</v>
      </c>
      <c r="M372" t="s">
        <v>30</v>
      </c>
      <c r="N372" t="s">
        <v>31</v>
      </c>
      <c r="O372" t="s">
        <v>32</v>
      </c>
      <c r="P372" t="s">
        <v>995</v>
      </c>
      <c r="Q372">
        <v>50</v>
      </c>
      <c r="R372">
        <v>50</v>
      </c>
      <c r="S372" t="s">
        <v>389</v>
      </c>
      <c r="T372" t="s">
        <v>584</v>
      </c>
      <c r="U372" t="s">
        <v>44</v>
      </c>
      <c r="W372">
        <v>50</v>
      </c>
      <c r="X372">
        <v>50</v>
      </c>
      <c r="Y372">
        <v>0</v>
      </c>
      <c r="Z372">
        <v>0</v>
      </c>
    </row>
    <row r="373" spans="1:26" hidden="1" x14ac:dyDescent="0.25">
      <c r="A373" t="s">
        <v>996</v>
      </c>
      <c r="B373" t="s">
        <v>38</v>
      </c>
      <c r="C373" s="4">
        <v>43584</v>
      </c>
      <c r="D373" s="4">
        <v>44599</v>
      </c>
      <c r="F373" s="4">
        <v>45139</v>
      </c>
      <c r="G373" t="s">
        <v>177</v>
      </c>
      <c r="H373" t="s">
        <v>471</v>
      </c>
      <c r="K373" t="s">
        <v>41</v>
      </c>
      <c r="L373" t="s">
        <v>574</v>
      </c>
      <c r="M373" t="s">
        <v>42</v>
      </c>
      <c r="N373" t="s">
        <v>31</v>
      </c>
      <c r="O373" t="s">
        <v>32</v>
      </c>
      <c r="P373" t="s">
        <v>997</v>
      </c>
      <c r="Q373">
        <v>150</v>
      </c>
      <c r="R373">
        <v>150</v>
      </c>
      <c r="S373" t="s">
        <v>56</v>
      </c>
      <c r="T373" t="s">
        <v>57</v>
      </c>
      <c r="U373" t="s">
        <v>44</v>
      </c>
      <c r="W373">
        <v>150</v>
      </c>
      <c r="X373">
        <v>150</v>
      </c>
      <c r="Y373">
        <v>0</v>
      </c>
      <c r="Z373">
        <v>0</v>
      </c>
    </row>
    <row r="374" spans="1:26" x14ac:dyDescent="0.25">
      <c r="A374" t="s">
        <v>998</v>
      </c>
      <c r="B374" t="s">
        <v>25</v>
      </c>
      <c r="C374" s="4">
        <v>43584</v>
      </c>
      <c r="E374" s="4">
        <v>44530</v>
      </c>
      <c r="F374" s="4">
        <v>44743</v>
      </c>
      <c r="G374" t="s">
        <v>144</v>
      </c>
      <c r="H374" t="s">
        <v>2846</v>
      </c>
      <c r="I374" t="s">
        <v>7656</v>
      </c>
      <c r="K374" t="s">
        <v>146</v>
      </c>
      <c r="L374" t="s">
        <v>574</v>
      </c>
      <c r="M374" t="s">
        <v>68</v>
      </c>
      <c r="N374" t="s">
        <v>31</v>
      </c>
      <c r="O374" t="s">
        <v>32</v>
      </c>
      <c r="P374" t="s">
        <v>999</v>
      </c>
      <c r="Q374">
        <v>100</v>
      </c>
      <c r="R374">
        <v>100</v>
      </c>
      <c r="S374" t="s">
        <v>34</v>
      </c>
      <c r="T374" t="s">
        <v>35</v>
      </c>
      <c r="U374" t="s">
        <v>36</v>
      </c>
      <c r="V374" s="4">
        <v>45078</v>
      </c>
      <c r="W374">
        <v>100</v>
      </c>
      <c r="X374">
        <v>65</v>
      </c>
      <c r="Y374">
        <v>100</v>
      </c>
      <c r="Z374">
        <v>20</v>
      </c>
    </row>
    <row r="375" spans="1:26" hidden="1" x14ac:dyDescent="0.25">
      <c r="A375" t="s">
        <v>1000</v>
      </c>
      <c r="B375" t="s">
        <v>25</v>
      </c>
      <c r="C375" s="4">
        <v>43584</v>
      </c>
      <c r="F375" s="4">
        <v>44743</v>
      </c>
      <c r="G375" t="s">
        <v>65</v>
      </c>
      <c r="H375" t="s">
        <v>429</v>
      </c>
      <c r="K375" t="s">
        <v>67</v>
      </c>
      <c r="L375" t="s">
        <v>574</v>
      </c>
      <c r="M375" t="s">
        <v>68</v>
      </c>
      <c r="N375" t="s">
        <v>31</v>
      </c>
      <c r="O375" t="s">
        <v>32</v>
      </c>
      <c r="P375" t="s">
        <v>430</v>
      </c>
      <c r="Q375">
        <v>95</v>
      </c>
      <c r="R375">
        <v>95</v>
      </c>
      <c r="S375" t="s">
        <v>34</v>
      </c>
      <c r="T375" t="s">
        <v>35</v>
      </c>
      <c r="U375" t="s">
        <v>36</v>
      </c>
      <c r="V375" s="4">
        <v>45000</v>
      </c>
      <c r="W375">
        <v>95</v>
      </c>
      <c r="X375">
        <v>80.75</v>
      </c>
      <c r="Y375">
        <v>95</v>
      </c>
      <c r="Z375">
        <v>80.75</v>
      </c>
    </row>
    <row r="376" spans="1:26" hidden="1" x14ac:dyDescent="0.25">
      <c r="A376" t="s">
        <v>1001</v>
      </c>
      <c r="B376" t="s">
        <v>25</v>
      </c>
      <c r="C376" s="4">
        <v>43584</v>
      </c>
      <c r="E376" s="4">
        <v>44812</v>
      </c>
      <c r="F376" s="4">
        <v>44409</v>
      </c>
      <c r="G376" t="s">
        <v>26</v>
      </c>
      <c r="H376" t="s">
        <v>27</v>
      </c>
      <c r="K376" t="s">
        <v>28</v>
      </c>
      <c r="L376" t="s">
        <v>574</v>
      </c>
      <c r="M376" t="s">
        <v>30</v>
      </c>
      <c r="N376" t="s">
        <v>31</v>
      </c>
      <c r="O376" t="s">
        <v>32</v>
      </c>
      <c r="P376" t="s">
        <v>1002</v>
      </c>
      <c r="Q376">
        <v>95</v>
      </c>
      <c r="R376">
        <v>95</v>
      </c>
      <c r="S376" t="s">
        <v>56</v>
      </c>
      <c r="T376" t="s">
        <v>57</v>
      </c>
      <c r="U376" t="s">
        <v>44</v>
      </c>
      <c r="V376" s="4">
        <v>45512</v>
      </c>
      <c r="W376">
        <v>67.2</v>
      </c>
      <c r="X376">
        <v>67.2</v>
      </c>
      <c r="Y376">
        <v>67.2</v>
      </c>
      <c r="Z376">
        <v>67.2</v>
      </c>
    </row>
    <row r="377" spans="1:26" hidden="1" x14ac:dyDescent="0.25">
      <c r="A377" t="s">
        <v>1003</v>
      </c>
      <c r="B377" t="s">
        <v>25</v>
      </c>
      <c r="C377" s="4">
        <v>43584</v>
      </c>
      <c r="E377" s="4">
        <v>44790</v>
      </c>
      <c r="F377" s="4">
        <v>45198</v>
      </c>
      <c r="G377" t="s">
        <v>52</v>
      </c>
      <c r="H377" t="s">
        <v>975</v>
      </c>
      <c r="K377" t="s">
        <v>53</v>
      </c>
      <c r="L377" t="s">
        <v>574</v>
      </c>
      <c r="M377" t="s">
        <v>54</v>
      </c>
      <c r="N377" t="s">
        <v>31</v>
      </c>
      <c r="O377" t="s">
        <v>32</v>
      </c>
      <c r="P377" t="s">
        <v>1004</v>
      </c>
      <c r="Q377">
        <v>100</v>
      </c>
      <c r="R377">
        <v>100</v>
      </c>
      <c r="S377" t="s">
        <v>34</v>
      </c>
      <c r="T377" t="s">
        <v>35</v>
      </c>
      <c r="U377" t="s">
        <v>70</v>
      </c>
      <c r="V377" s="4">
        <v>45789</v>
      </c>
      <c r="W377">
        <v>100</v>
      </c>
      <c r="X377">
        <v>100</v>
      </c>
      <c r="Y377">
        <v>100</v>
      </c>
      <c r="Z377">
        <v>100</v>
      </c>
    </row>
    <row r="378" spans="1:26" hidden="1" x14ac:dyDescent="0.25">
      <c r="A378" t="s">
        <v>1005</v>
      </c>
      <c r="B378" t="s">
        <v>38</v>
      </c>
      <c r="C378" s="4">
        <v>43584</v>
      </c>
      <c r="D378" s="4">
        <v>44413</v>
      </c>
      <c r="F378" s="4">
        <v>44757</v>
      </c>
      <c r="G378" t="s">
        <v>107</v>
      </c>
      <c r="H378" t="s">
        <v>1006</v>
      </c>
      <c r="K378" t="s">
        <v>109</v>
      </c>
      <c r="L378" t="s">
        <v>574</v>
      </c>
      <c r="M378" t="s">
        <v>84</v>
      </c>
      <c r="N378" t="s">
        <v>31</v>
      </c>
      <c r="O378" t="s">
        <v>32</v>
      </c>
      <c r="P378" t="s">
        <v>1007</v>
      </c>
      <c r="Q378">
        <v>100</v>
      </c>
      <c r="R378">
        <v>100</v>
      </c>
      <c r="S378" t="s">
        <v>56</v>
      </c>
      <c r="T378" t="s">
        <v>57</v>
      </c>
      <c r="U378" t="s">
        <v>44</v>
      </c>
      <c r="W378">
        <v>0</v>
      </c>
      <c r="X378">
        <v>0</v>
      </c>
      <c r="Y378">
        <v>0</v>
      </c>
      <c r="Z378">
        <v>0</v>
      </c>
    </row>
    <row r="379" spans="1:26" hidden="1" x14ac:dyDescent="0.25">
      <c r="A379" t="s">
        <v>1008</v>
      </c>
      <c r="B379" t="s">
        <v>25</v>
      </c>
      <c r="C379" s="4">
        <v>43584</v>
      </c>
      <c r="F379" s="4">
        <v>44757</v>
      </c>
      <c r="G379" t="s">
        <v>26</v>
      </c>
      <c r="H379" t="s">
        <v>416</v>
      </c>
      <c r="K379" t="s">
        <v>28</v>
      </c>
      <c r="L379" t="s">
        <v>574</v>
      </c>
      <c r="M379" t="s">
        <v>30</v>
      </c>
      <c r="N379" t="s">
        <v>31</v>
      </c>
      <c r="O379" t="s">
        <v>32</v>
      </c>
      <c r="P379" t="s">
        <v>1009</v>
      </c>
      <c r="Q379">
        <v>98.56</v>
      </c>
      <c r="R379">
        <v>98.56</v>
      </c>
      <c r="S379" t="s">
        <v>34</v>
      </c>
      <c r="T379" t="s">
        <v>35</v>
      </c>
      <c r="U379" t="s">
        <v>44</v>
      </c>
      <c r="V379" s="4">
        <v>45853</v>
      </c>
      <c r="W379">
        <v>98.56</v>
      </c>
      <c r="X379">
        <v>98.56</v>
      </c>
      <c r="Y379">
        <v>98.56</v>
      </c>
      <c r="Z379">
        <v>98.56</v>
      </c>
    </row>
    <row r="380" spans="1:26" hidden="1" x14ac:dyDescent="0.25">
      <c r="A380" t="s">
        <v>1010</v>
      </c>
      <c r="B380" t="s">
        <v>25</v>
      </c>
      <c r="C380" s="4">
        <v>43584</v>
      </c>
      <c r="F380" s="4">
        <v>45200</v>
      </c>
      <c r="G380" t="s">
        <v>101</v>
      </c>
      <c r="H380" t="s">
        <v>1011</v>
      </c>
      <c r="K380" t="s">
        <v>98</v>
      </c>
      <c r="L380" t="s">
        <v>574</v>
      </c>
      <c r="M380" t="s">
        <v>84</v>
      </c>
      <c r="N380" t="s">
        <v>31</v>
      </c>
      <c r="O380" t="s">
        <v>32</v>
      </c>
      <c r="P380" t="s">
        <v>1012</v>
      </c>
      <c r="Q380">
        <v>200</v>
      </c>
      <c r="R380">
        <v>200</v>
      </c>
      <c r="S380" t="s">
        <v>34</v>
      </c>
      <c r="T380" t="s">
        <v>35</v>
      </c>
      <c r="U380" t="s">
        <v>44</v>
      </c>
      <c r="V380" s="4">
        <v>45611</v>
      </c>
      <c r="W380">
        <v>200</v>
      </c>
      <c r="X380">
        <v>200</v>
      </c>
      <c r="Y380">
        <v>200</v>
      </c>
      <c r="Z380">
        <v>200</v>
      </c>
    </row>
    <row r="381" spans="1:26" hidden="1" x14ac:dyDescent="0.25">
      <c r="A381" t="s">
        <v>1013</v>
      </c>
      <c r="B381" t="s">
        <v>25</v>
      </c>
      <c r="C381" s="4">
        <v>43584</v>
      </c>
      <c r="E381" s="4">
        <v>44790</v>
      </c>
      <c r="F381" s="4">
        <v>45200</v>
      </c>
      <c r="G381" t="s">
        <v>52</v>
      </c>
      <c r="H381" t="s">
        <v>193</v>
      </c>
      <c r="K381" t="s">
        <v>53</v>
      </c>
      <c r="L381" t="s">
        <v>574</v>
      </c>
      <c r="M381" t="s">
        <v>54</v>
      </c>
      <c r="N381" t="s">
        <v>31</v>
      </c>
      <c r="O381" t="s">
        <v>32</v>
      </c>
      <c r="P381" t="s">
        <v>1014</v>
      </c>
      <c r="Q381">
        <v>200</v>
      </c>
      <c r="R381">
        <v>200</v>
      </c>
      <c r="S381" t="s">
        <v>34</v>
      </c>
      <c r="T381" t="s">
        <v>35</v>
      </c>
      <c r="U381" t="s">
        <v>44</v>
      </c>
      <c r="V381" s="4">
        <v>46010</v>
      </c>
      <c r="W381">
        <v>200</v>
      </c>
      <c r="X381">
        <v>200</v>
      </c>
      <c r="Y381">
        <v>200</v>
      </c>
      <c r="Z381">
        <v>200</v>
      </c>
    </row>
    <row r="382" spans="1:26" hidden="1" x14ac:dyDescent="0.25">
      <c r="A382" t="s">
        <v>1015</v>
      </c>
      <c r="B382" t="s">
        <v>38</v>
      </c>
      <c r="C382" s="4">
        <v>43584</v>
      </c>
      <c r="D382" s="4">
        <v>44029</v>
      </c>
      <c r="F382" s="4">
        <v>45200</v>
      </c>
      <c r="G382" t="s">
        <v>616</v>
      </c>
      <c r="H382" t="s">
        <v>800</v>
      </c>
      <c r="K382" t="s">
        <v>146</v>
      </c>
      <c r="L382" t="s">
        <v>574</v>
      </c>
      <c r="M382" t="s">
        <v>68</v>
      </c>
      <c r="N382" t="s">
        <v>31</v>
      </c>
      <c r="O382" t="s">
        <v>32</v>
      </c>
      <c r="P382" t="s">
        <v>1016</v>
      </c>
      <c r="Q382">
        <v>200</v>
      </c>
      <c r="R382">
        <v>200</v>
      </c>
      <c r="S382" t="s">
        <v>34</v>
      </c>
      <c r="T382" t="s">
        <v>35</v>
      </c>
      <c r="U382" t="s">
        <v>44</v>
      </c>
      <c r="W382">
        <v>0</v>
      </c>
      <c r="X382">
        <v>0</v>
      </c>
      <c r="Y382">
        <v>0</v>
      </c>
      <c r="Z382">
        <v>0</v>
      </c>
    </row>
    <row r="383" spans="1:26" hidden="1" x14ac:dyDescent="0.25">
      <c r="A383" t="s">
        <v>1017</v>
      </c>
      <c r="B383" t="s">
        <v>25</v>
      </c>
      <c r="C383" s="4">
        <v>43584</v>
      </c>
      <c r="F383" s="4">
        <v>45200</v>
      </c>
      <c r="G383" t="s">
        <v>101</v>
      </c>
      <c r="H383" t="s">
        <v>1018</v>
      </c>
      <c r="K383" t="s">
        <v>98</v>
      </c>
      <c r="L383" t="s">
        <v>574</v>
      </c>
      <c r="M383" t="s">
        <v>84</v>
      </c>
      <c r="N383" t="s">
        <v>31</v>
      </c>
      <c r="O383" t="s">
        <v>32</v>
      </c>
      <c r="P383" t="s">
        <v>1019</v>
      </c>
      <c r="Q383">
        <v>200</v>
      </c>
      <c r="R383">
        <v>200</v>
      </c>
      <c r="S383" t="s">
        <v>34</v>
      </c>
      <c r="T383" t="s">
        <v>35</v>
      </c>
      <c r="U383" t="s">
        <v>44</v>
      </c>
      <c r="V383" s="4">
        <v>46296</v>
      </c>
      <c r="W383">
        <v>200</v>
      </c>
      <c r="X383">
        <v>200</v>
      </c>
      <c r="Y383">
        <v>200</v>
      </c>
      <c r="Z383">
        <v>200</v>
      </c>
    </row>
    <row r="384" spans="1:26" hidden="1" x14ac:dyDescent="0.25">
      <c r="A384" t="s">
        <v>1020</v>
      </c>
      <c r="B384" t="s">
        <v>25</v>
      </c>
      <c r="C384" s="4">
        <v>43584</v>
      </c>
      <c r="F384" s="4">
        <v>44774</v>
      </c>
      <c r="G384" t="s">
        <v>117</v>
      </c>
      <c r="H384" t="s">
        <v>546</v>
      </c>
      <c r="K384" t="s">
        <v>83</v>
      </c>
      <c r="L384" t="s">
        <v>574</v>
      </c>
      <c r="M384" t="s">
        <v>84</v>
      </c>
      <c r="N384" t="s">
        <v>31</v>
      </c>
      <c r="O384" t="s">
        <v>32</v>
      </c>
      <c r="P384" t="s">
        <v>1021</v>
      </c>
      <c r="Q384">
        <v>150</v>
      </c>
      <c r="R384">
        <v>150</v>
      </c>
      <c r="S384" t="s">
        <v>34</v>
      </c>
      <c r="T384" t="s">
        <v>35</v>
      </c>
      <c r="U384" t="s">
        <v>44</v>
      </c>
      <c r="V384" s="4">
        <v>45808</v>
      </c>
      <c r="W384">
        <v>150</v>
      </c>
      <c r="X384">
        <v>150</v>
      </c>
      <c r="Y384">
        <v>150</v>
      </c>
      <c r="Z384">
        <v>150</v>
      </c>
    </row>
    <row r="385" spans="1:26" hidden="1" x14ac:dyDescent="0.25">
      <c r="A385" t="s">
        <v>1022</v>
      </c>
      <c r="B385" t="s">
        <v>25</v>
      </c>
      <c r="C385" s="4">
        <v>43584</v>
      </c>
      <c r="F385" s="4">
        <v>44774</v>
      </c>
      <c r="G385" t="s">
        <v>117</v>
      </c>
      <c r="H385" t="s">
        <v>600</v>
      </c>
      <c r="K385" t="s">
        <v>83</v>
      </c>
      <c r="L385" t="s">
        <v>574</v>
      </c>
      <c r="M385" t="s">
        <v>84</v>
      </c>
      <c r="N385" t="s">
        <v>31</v>
      </c>
      <c r="O385" t="s">
        <v>32</v>
      </c>
      <c r="P385" t="s">
        <v>1023</v>
      </c>
      <c r="Q385">
        <v>150</v>
      </c>
      <c r="R385">
        <v>150</v>
      </c>
      <c r="S385" t="s">
        <v>34</v>
      </c>
      <c r="T385" t="s">
        <v>35</v>
      </c>
      <c r="U385" t="s">
        <v>44</v>
      </c>
      <c r="V385" s="4">
        <v>45823</v>
      </c>
      <c r="W385">
        <v>150</v>
      </c>
      <c r="X385">
        <v>150</v>
      </c>
      <c r="Y385">
        <v>150</v>
      </c>
      <c r="Z385">
        <v>150</v>
      </c>
    </row>
    <row r="386" spans="1:26" hidden="1" x14ac:dyDescent="0.25">
      <c r="A386" t="s">
        <v>1024</v>
      </c>
      <c r="B386" t="s">
        <v>38</v>
      </c>
      <c r="C386" s="4">
        <v>43584</v>
      </c>
      <c r="D386" s="4">
        <v>44034</v>
      </c>
      <c r="F386" s="4">
        <v>44681</v>
      </c>
      <c r="G386" t="s">
        <v>616</v>
      </c>
      <c r="H386" t="s">
        <v>809</v>
      </c>
      <c r="K386" t="s">
        <v>146</v>
      </c>
      <c r="L386" t="s">
        <v>574</v>
      </c>
      <c r="M386" t="s">
        <v>68</v>
      </c>
      <c r="N386" t="s">
        <v>31</v>
      </c>
      <c r="O386" t="s">
        <v>32</v>
      </c>
      <c r="P386" t="s">
        <v>1025</v>
      </c>
      <c r="Q386">
        <v>200</v>
      </c>
      <c r="R386">
        <v>200</v>
      </c>
      <c r="S386" t="s">
        <v>34</v>
      </c>
      <c r="T386" t="s">
        <v>35</v>
      </c>
      <c r="U386" t="s">
        <v>44</v>
      </c>
      <c r="W386">
        <v>0</v>
      </c>
      <c r="X386">
        <v>0</v>
      </c>
      <c r="Y386">
        <v>0</v>
      </c>
      <c r="Z386">
        <v>0</v>
      </c>
    </row>
    <row r="387" spans="1:26" hidden="1" x14ac:dyDescent="0.25">
      <c r="A387" t="s">
        <v>1026</v>
      </c>
      <c r="B387" t="s">
        <v>38</v>
      </c>
      <c r="C387" s="4">
        <v>43584</v>
      </c>
      <c r="D387" s="4">
        <v>44413</v>
      </c>
      <c r="F387" s="4">
        <v>44774</v>
      </c>
      <c r="G387" t="s">
        <v>101</v>
      </c>
      <c r="H387" t="s">
        <v>1027</v>
      </c>
      <c r="K387" t="s">
        <v>98</v>
      </c>
      <c r="L387" t="s">
        <v>574</v>
      </c>
      <c r="M387" t="s">
        <v>84</v>
      </c>
      <c r="N387" t="s">
        <v>31</v>
      </c>
      <c r="O387" t="s">
        <v>32</v>
      </c>
      <c r="P387" t="s">
        <v>1028</v>
      </c>
      <c r="Q387">
        <v>100</v>
      </c>
      <c r="R387">
        <v>100</v>
      </c>
      <c r="S387" t="s">
        <v>34</v>
      </c>
      <c r="T387" t="s">
        <v>35</v>
      </c>
      <c r="U387" t="s">
        <v>44</v>
      </c>
      <c r="W387">
        <v>0</v>
      </c>
      <c r="X387">
        <v>0</v>
      </c>
      <c r="Y387">
        <v>0</v>
      </c>
      <c r="Z387">
        <v>0</v>
      </c>
    </row>
    <row r="388" spans="1:26" hidden="1" x14ac:dyDescent="0.25">
      <c r="A388" t="s">
        <v>1029</v>
      </c>
      <c r="B388" t="s">
        <v>25</v>
      </c>
      <c r="C388" s="4">
        <v>43584</v>
      </c>
      <c r="F388" s="4">
        <v>44743</v>
      </c>
      <c r="G388" t="s">
        <v>254</v>
      </c>
      <c r="H388" t="s">
        <v>230</v>
      </c>
      <c r="K388" t="s">
        <v>98</v>
      </c>
      <c r="L388" t="s">
        <v>574</v>
      </c>
      <c r="M388" t="s">
        <v>84</v>
      </c>
      <c r="N388" t="s">
        <v>31</v>
      </c>
      <c r="O388" t="s">
        <v>32</v>
      </c>
      <c r="P388" t="s">
        <v>1030</v>
      </c>
      <c r="Q388">
        <v>100</v>
      </c>
      <c r="R388">
        <v>100</v>
      </c>
      <c r="S388" t="s">
        <v>34</v>
      </c>
      <c r="T388" t="s">
        <v>35</v>
      </c>
      <c r="U388" t="s">
        <v>44</v>
      </c>
      <c r="V388" s="4">
        <v>45839</v>
      </c>
      <c r="W388">
        <v>100</v>
      </c>
      <c r="X388">
        <v>100</v>
      </c>
      <c r="Y388">
        <v>100</v>
      </c>
      <c r="Z388">
        <v>100</v>
      </c>
    </row>
    <row r="389" spans="1:26" hidden="1" x14ac:dyDescent="0.25">
      <c r="A389" t="s">
        <v>1031</v>
      </c>
      <c r="B389" t="s">
        <v>25</v>
      </c>
      <c r="C389" s="4">
        <v>43584</v>
      </c>
      <c r="F389" s="4">
        <v>44561</v>
      </c>
      <c r="G389" t="s">
        <v>254</v>
      </c>
      <c r="H389" t="s">
        <v>113</v>
      </c>
      <c r="K389" t="s">
        <v>98</v>
      </c>
      <c r="L389" t="s">
        <v>574</v>
      </c>
      <c r="M389" t="s">
        <v>84</v>
      </c>
      <c r="N389" t="s">
        <v>31</v>
      </c>
      <c r="O389" t="s">
        <v>122</v>
      </c>
      <c r="P389" t="s">
        <v>1032</v>
      </c>
      <c r="Q389">
        <v>60</v>
      </c>
      <c r="R389">
        <v>60</v>
      </c>
      <c r="S389" t="s">
        <v>34</v>
      </c>
      <c r="T389" t="s">
        <v>35</v>
      </c>
      <c r="U389" t="s">
        <v>44</v>
      </c>
      <c r="V389" s="4">
        <v>45408</v>
      </c>
      <c r="W389">
        <v>60</v>
      </c>
      <c r="X389">
        <v>0</v>
      </c>
      <c r="Y389">
        <v>60</v>
      </c>
      <c r="Z389">
        <v>0</v>
      </c>
    </row>
    <row r="390" spans="1:26" hidden="1" x14ac:dyDescent="0.25">
      <c r="A390" t="s">
        <v>1033</v>
      </c>
      <c r="B390" t="s">
        <v>25</v>
      </c>
      <c r="C390" s="4">
        <v>43584</v>
      </c>
      <c r="F390" s="4">
        <v>44561</v>
      </c>
      <c r="G390" t="s">
        <v>101</v>
      </c>
      <c r="H390" t="s">
        <v>97</v>
      </c>
      <c r="K390" t="s">
        <v>98</v>
      </c>
      <c r="L390" t="s">
        <v>574</v>
      </c>
      <c r="M390" t="s">
        <v>84</v>
      </c>
      <c r="N390" t="s">
        <v>31</v>
      </c>
      <c r="O390" t="s">
        <v>122</v>
      </c>
      <c r="P390" t="s">
        <v>1034</v>
      </c>
      <c r="Q390">
        <v>150</v>
      </c>
      <c r="R390">
        <v>150</v>
      </c>
      <c r="S390" t="s">
        <v>34</v>
      </c>
      <c r="T390" t="s">
        <v>35</v>
      </c>
      <c r="U390" t="s">
        <v>44</v>
      </c>
      <c r="V390" s="4">
        <v>45641</v>
      </c>
      <c r="W390">
        <v>150</v>
      </c>
      <c r="X390">
        <v>0</v>
      </c>
      <c r="Y390">
        <v>150</v>
      </c>
      <c r="Z390">
        <v>0</v>
      </c>
    </row>
    <row r="391" spans="1:26" hidden="1" x14ac:dyDescent="0.25">
      <c r="A391" t="s">
        <v>1035</v>
      </c>
      <c r="B391" t="s">
        <v>25</v>
      </c>
      <c r="C391" s="4">
        <v>43584</v>
      </c>
      <c r="F391" s="4">
        <v>44774</v>
      </c>
      <c r="G391" t="s">
        <v>52</v>
      </c>
      <c r="H391" t="s">
        <v>1036</v>
      </c>
      <c r="K391" t="s">
        <v>53</v>
      </c>
      <c r="L391" t="s">
        <v>574</v>
      </c>
      <c r="M391" t="s">
        <v>54</v>
      </c>
      <c r="N391" t="s">
        <v>31</v>
      </c>
      <c r="O391" t="s">
        <v>32</v>
      </c>
      <c r="P391" t="s">
        <v>1037</v>
      </c>
      <c r="Q391">
        <v>120</v>
      </c>
      <c r="R391">
        <v>120</v>
      </c>
      <c r="S391" t="s">
        <v>34</v>
      </c>
      <c r="T391" t="s">
        <v>35</v>
      </c>
      <c r="U391" t="s">
        <v>44</v>
      </c>
      <c r="V391" s="4">
        <v>45748</v>
      </c>
      <c r="W391">
        <v>120</v>
      </c>
      <c r="X391">
        <v>120</v>
      </c>
      <c r="Y391">
        <v>120</v>
      </c>
      <c r="Z391">
        <v>120</v>
      </c>
    </row>
    <row r="392" spans="1:26" hidden="1" x14ac:dyDescent="0.25">
      <c r="A392" t="s">
        <v>1038</v>
      </c>
      <c r="B392" t="s">
        <v>25</v>
      </c>
      <c r="C392" s="4">
        <v>43584</v>
      </c>
      <c r="F392" s="4">
        <v>44774</v>
      </c>
      <c r="G392" t="s">
        <v>101</v>
      </c>
      <c r="H392" t="s">
        <v>1039</v>
      </c>
      <c r="K392" t="s">
        <v>98</v>
      </c>
      <c r="L392" t="s">
        <v>574</v>
      </c>
      <c r="M392" t="s">
        <v>84</v>
      </c>
      <c r="N392" t="s">
        <v>31</v>
      </c>
      <c r="O392" t="s">
        <v>32</v>
      </c>
      <c r="P392" t="s">
        <v>1040</v>
      </c>
      <c r="Q392">
        <v>150</v>
      </c>
      <c r="R392">
        <v>150</v>
      </c>
      <c r="S392" t="s">
        <v>34</v>
      </c>
      <c r="T392" t="s">
        <v>35</v>
      </c>
      <c r="U392" t="s">
        <v>70</v>
      </c>
      <c r="V392" s="4">
        <v>45870</v>
      </c>
      <c r="W392">
        <v>150</v>
      </c>
      <c r="X392">
        <v>150</v>
      </c>
      <c r="Y392">
        <v>150</v>
      </c>
      <c r="Z392">
        <v>150</v>
      </c>
    </row>
    <row r="393" spans="1:26" hidden="1" x14ac:dyDescent="0.25">
      <c r="A393" t="s">
        <v>1041</v>
      </c>
      <c r="B393" t="s">
        <v>25</v>
      </c>
      <c r="C393" s="4">
        <v>43584</v>
      </c>
      <c r="F393" s="4">
        <v>44774</v>
      </c>
      <c r="G393" t="s">
        <v>96</v>
      </c>
      <c r="H393" t="s">
        <v>991</v>
      </c>
      <c r="K393" t="s">
        <v>98</v>
      </c>
      <c r="L393" t="s">
        <v>574</v>
      </c>
      <c r="M393" t="s">
        <v>84</v>
      </c>
      <c r="N393" t="s">
        <v>31</v>
      </c>
      <c r="O393" t="s">
        <v>32</v>
      </c>
      <c r="P393" t="s">
        <v>1042</v>
      </c>
      <c r="Q393">
        <v>100</v>
      </c>
      <c r="R393">
        <v>100</v>
      </c>
      <c r="S393" t="s">
        <v>34</v>
      </c>
      <c r="T393" t="s">
        <v>35</v>
      </c>
      <c r="U393" t="s">
        <v>44</v>
      </c>
      <c r="V393" s="4">
        <v>45778</v>
      </c>
      <c r="W393">
        <v>100</v>
      </c>
      <c r="X393">
        <v>100</v>
      </c>
      <c r="Y393">
        <v>100</v>
      </c>
      <c r="Z393">
        <v>100</v>
      </c>
    </row>
    <row r="394" spans="1:26" hidden="1" x14ac:dyDescent="0.25">
      <c r="A394" t="s">
        <v>1043</v>
      </c>
      <c r="B394" t="s">
        <v>25</v>
      </c>
      <c r="C394" s="4">
        <v>43584</v>
      </c>
      <c r="F394" s="4">
        <v>45229</v>
      </c>
      <c r="G394" t="s">
        <v>254</v>
      </c>
      <c r="H394" t="s">
        <v>760</v>
      </c>
      <c r="K394" t="s">
        <v>98</v>
      </c>
      <c r="L394" t="s">
        <v>574</v>
      </c>
      <c r="M394" t="s">
        <v>84</v>
      </c>
      <c r="N394" t="s">
        <v>31</v>
      </c>
      <c r="O394" t="s">
        <v>32</v>
      </c>
      <c r="P394" t="s">
        <v>894</v>
      </c>
      <c r="Q394">
        <v>100</v>
      </c>
      <c r="R394">
        <v>100</v>
      </c>
      <c r="S394" t="s">
        <v>34</v>
      </c>
      <c r="T394" t="s">
        <v>35</v>
      </c>
      <c r="U394" t="s">
        <v>44</v>
      </c>
      <c r="V394" s="4">
        <v>45809</v>
      </c>
      <c r="W394">
        <v>100</v>
      </c>
      <c r="X394">
        <v>100</v>
      </c>
      <c r="Y394">
        <v>100</v>
      </c>
      <c r="Z394">
        <v>100</v>
      </c>
    </row>
    <row r="395" spans="1:26" hidden="1" x14ac:dyDescent="0.25">
      <c r="A395" t="s">
        <v>1044</v>
      </c>
      <c r="B395" t="s">
        <v>25</v>
      </c>
      <c r="C395" s="4">
        <v>43584</v>
      </c>
      <c r="F395" s="4">
        <v>45229</v>
      </c>
      <c r="G395" t="s">
        <v>96</v>
      </c>
      <c r="H395" t="s">
        <v>139</v>
      </c>
      <c r="K395" t="s">
        <v>98</v>
      </c>
      <c r="L395" t="s">
        <v>574</v>
      </c>
      <c r="M395" t="s">
        <v>84</v>
      </c>
      <c r="N395" t="s">
        <v>31</v>
      </c>
      <c r="O395" t="s">
        <v>32</v>
      </c>
      <c r="P395" t="s">
        <v>689</v>
      </c>
      <c r="Q395">
        <v>130</v>
      </c>
      <c r="R395">
        <v>130</v>
      </c>
      <c r="S395" t="s">
        <v>34</v>
      </c>
      <c r="T395" t="s">
        <v>35</v>
      </c>
      <c r="U395" t="s">
        <v>44</v>
      </c>
      <c r="V395" s="4">
        <v>46113</v>
      </c>
      <c r="W395">
        <v>130</v>
      </c>
      <c r="X395">
        <v>130</v>
      </c>
      <c r="Y395">
        <v>130</v>
      </c>
      <c r="Z395">
        <v>130</v>
      </c>
    </row>
    <row r="396" spans="1:26" hidden="1" x14ac:dyDescent="0.25">
      <c r="A396" t="s">
        <v>1045</v>
      </c>
      <c r="B396" t="s">
        <v>38</v>
      </c>
      <c r="C396" s="4">
        <v>43584</v>
      </c>
      <c r="D396" s="4">
        <v>44235</v>
      </c>
      <c r="F396" s="4">
        <v>44531</v>
      </c>
      <c r="G396" t="s">
        <v>52</v>
      </c>
      <c r="H396" t="s">
        <v>305</v>
      </c>
      <c r="K396" t="s">
        <v>53</v>
      </c>
      <c r="L396" t="s">
        <v>574</v>
      </c>
      <c r="M396" t="s">
        <v>54</v>
      </c>
      <c r="N396" t="s">
        <v>31</v>
      </c>
      <c r="O396" t="s">
        <v>32</v>
      </c>
      <c r="P396" t="s">
        <v>1046</v>
      </c>
      <c r="Q396">
        <v>150</v>
      </c>
      <c r="R396">
        <v>150</v>
      </c>
      <c r="S396" t="s">
        <v>34</v>
      </c>
      <c r="T396" t="s">
        <v>35</v>
      </c>
      <c r="U396" t="s">
        <v>44</v>
      </c>
      <c r="W396">
        <v>0</v>
      </c>
      <c r="X396">
        <v>0</v>
      </c>
      <c r="Y396">
        <v>0</v>
      </c>
      <c r="Z396">
        <v>0</v>
      </c>
    </row>
    <row r="397" spans="1:26" hidden="1" x14ac:dyDescent="0.25">
      <c r="A397" t="s">
        <v>1047</v>
      </c>
      <c r="B397" t="s">
        <v>38</v>
      </c>
      <c r="C397" s="4">
        <v>43584</v>
      </c>
      <c r="D397" s="4">
        <v>44805</v>
      </c>
      <c r="F397" s="4">
        <v>45170</v>
      </c>
      <c r="G397" t="s">
        <v>39</v>
      </c>
      <c r="H397" t="s">
        <v>682</v>
      </c>
      <c r="K397" t="s">
        <v>41</v>
      </c>
      <c r="L397" t="s">
        <v>574</v>
      </c>
      <c r="M397" t="s">
        <v>42</v>
      </c>
      <c r="N397" t="s">
        <v>31</v>
      </c>
      <c r="O397" t="s">
        <v>32</v>
      </c>
      <c r="P397" t="s">
        <v>1048</v>
      </c>
      <c r="Q397">
        <v>200</v>
      </c>
      <c r="R397">
        <v>200</v>
      </c>
      <c r="S397" t="s">
        <v>34</v>
      </c>
      <c r="T397" t="s">
        <v>35</v>
      </c>
      <c r="U397" t="s">
        <v>44</v>
      </c>
      <c r="W397">
        <v>200</v>
      </c>
      <c r="X397">
        <v>200</v>
      </c>
      <c r="Y397">
        <v>200</v>
      </c>
      <c r="Z397">
        <v>200</v>
      </c>
    </row>
    <row r="398" spans="1:26" hidden="1" x14ac:dyDescent="0.25">
      <c r="A398" t="s">
        <v>1049</v>
      </c>
      <c r="B398" t="s">
        <v>25</v>
      </c>
      <c r="C398" s="4">
        <v>43584</v>
      </c>
      <c r="F398" s="4">
        <v>44531</v>
      </c>
      <c r="G398" t="s">
        <v>138</v>
      </c>
      <c r="H398" t="s">
        <v>139</v>
      </c>
      <c r="K398" t="s">
        <v>98</v>
      </c>
      <c r="L398" t="s">
        <v>574</v>
      </c>
      <c r="M398" t="s">
        <v>84</v>
      </c>
      <c r="N398" t="s">
        <v>31</v>
      </c>
      <c r="O398" t="s">
        <v>32</v>
      </c>
      <c r="P398" t="s">
        <v>1050</v>
      </c>
      <c r="Q398">
        <v>150</v>
      </c>
      <c r="R398">
        <v>150</v>
      </c>
      <c r="S398" t="s">
        <v>34</v>
      </c>
      <c r="T398" t="s">
        <v>35</v>
      </c>
      <c r="U398" t="s">
        <v>36</v>
      </c>
      <c r="V398" s="4">
        <v>45524</v>
      </c>
      <c r="W398">
        <v>60</v>
      </c>
      <c r="X398">
        <v>60</v>
      </c>
      <c r="Y398">
        <v>60</v>
      </c>
      <c r="Z398">
        <v>60</v>
      </c>
    </row>
    <row r="399" spans="1:26" hidden="1" x14ac:dyDescent="0.25">
      <c r="A399" t="s">
        <v>1051</v>
      </c>
      <c r="B399" t="s">
        <v>38</v>
      </c>
      <c r="C399" s="4">
        <v>43584</v>
      </c>
      <c r="D399" s="4">
        <v>43969</v>
      </c>
      <c r="F399" s="4">
        <v>44864</v>
      </c>
      <c r="G399" t="s">
        <v>871</v>
      </c>
      <c r="H399" t="s">
        <v>1052</v>
      </c>
      <c r="K399" t="s">
        <v>28</v>
      </c>
      <c r="L399" t="s">
        <v>574</v>
      </c>
      <c r="M399" t="s">
        <v>30</v>
      </c>
      <c r="N399" t="s">
        <v>31</v>
      </c>
      <c r="O399" t="s">
        <v>32</v>
      </c>
      <c r="P399" t="s">
        <v>1053</v>
      </c>
      <c r="Q399">
        <v>25</v>
      </c>
      <c r="R399">
        <v>25</v>
      </c>
      <c r="S399" t="s">
        <v>34</v>
      </c>
      <c r="T399" t="s">
        <v>35</v>
      </c>
      <c r="U399" t="s">
        <v>44</v>
      </c>
      <c r="W399">
        <v>0</v>
      </c>
      <c r="X399">
        <v>0</v>
      </c>
      <c r="Y399">
        <v>0</v>
      </c>
      <c r="Z399">
        <v>0</v>
      </c>
    </row>
    <row r="400" spans="1:26" hidden="1" x14ac:dyDescent="0.25">
      <c r="A400" t="s">
        <v>1054</v>
      </c>
      <c r="B400" t="s">
        <v>38</v>
      </c>
      <c r="C400" s="4">
        <v>43584</v>
      </c>
      <c r="D400" s="4">
        <v>44413</v>
      </c>
      <c r="F400" s="4">
        <v>44896</v>
      </c>
      <c r="G400" t="s">
        <v>138</v>
      </c>
      <c r="H400" t="s">
        <v>139</v>
      </c>
      <c r="K400" t="s">
        <v>98</v>
      </c>
      <c r="L400" t="s">
        <v>574</v>
      </c>
      <c r="M400" t="s">
        <v>84</v>
      </c>
      <c r="N400" t="s">
        <v>31</v>
      </c>
      <c r="O400" t="s">
        <v>32</v>
      </c>
      <c r="P400" t="s">
        <v>1055</v>
      </c>
      <c r="Q400">
        <v>150</v>
      </c>
      <c r="R400">
        <v>150</v>
      </c>
      <c r="S400" t="s">
        <v>34</v>
      </c>
      <c r="T400" t="s">
        <v>35</v>
      </c>
      <c r="U400" t="s">
        <v>44</v>
      </c>
      <c r="W400">
        <v>0</v>
      </c>
      <c r="X400">
        <v>0</v>
      </c>
      <c r="Y400">
        <v>0</v>
      </c>
      <c r="Z400">
        <v>0</v>
      </c>
    </row>
    <row r="401" spans="1:26" hidden="1" x14ac:dyDescent="0.25">
      <c r="A401" t="s">
        <v>1056</v>
      </c>
      <c r="B401" t="s">
        <v>25</v>
      </c>
      <c r="C401" s="4">
        <v>43584</v>
      </c>
      <c r="E401" s="4">
        <v>44790</v>
      </c>
      <c r="F401" s="4">
        <v>44531</v>
      </c>
      <c r="G401" t="s">
        <v>52</v>
      </c>
      <c r="H401" t="s">
        <v>310</v>
      </c>
      <c r="K401" t="s">
        <v>53</v>
      </c>
      <c r="L401" t="s">
        <v>574</v>
      </c>
      <c r="M401" t="s">
        <v>54</v>
      </c>
      <c r="N401" t="s">
        <v>31</v>
      </c>
      <c r="O401" t="s">
        <v>32</v>
      </c>
      <c r="P401" t="s">
        <v>1057</v>
      </c>
      <c r="Q401">
        <v>90</v>
      </c>
      <c r="R401">
        <v>90</v>
      </c>
      <c r="S401" t="s">
        <v>34</v>
      </c>
      <c r="T401" t="s">
        <v>35</v>
      </c>
      <c r="U401" t="s">
        <v>44</v>
      </c>
      <c r="V401" s="4">
        <v>45717</v>
      </c>
      <c r="W401">
        <v>90</v>
      </c>
      <c r="X401">
        <v>90</v>
      </c>
      <c r="Y401">
        <v>90</v>
      </c>
      <c r="Z401">
        <v>90</v>
      </c>
    </row>
    <row r="402" spans="1:26" hidden="1" x14ac:dyDescent="0.25">
      <c r="A402" t="s">
        <v>1058</v>
      </c>
      <c r="B402" t="s">
        <v>38</v>
      </c>
      <c r="C402" s="4">
        <v>43584</v>
      </c>
      <c r="D402" s="4">
        <v>44042</v>
      </c>
      <c r="F402" s="4">
        <v>44409</v>
      </c>
      <c r="G402" t="s">
        <v>65</v>
      </c>
      <c r="H402" t="s">
        <v>66</v>
      </c>
      <c r="K402" t="s">
        <v>67</v>
      </c>
      <c r="L402" t="s">
        <v>574</v>
      </c>
      <c r="M402" t="s">
        <v>68</v>
      </c>
      <c r="N402" t="s">
        <v>31</v>
      </c>
      <c r="O402" t="s">
        <v>32</v>
      </c>
      <c r="P402" t="s">
        <v>1059</v>
      </c>
      <c r="Q402">
        <v>150</v>
      </c>
      <c r="R402">
        <v>150</v>
      </c>
      <c r="S402" t="s">
        <v>56</v>
      </c>
      <c r="T402" t="s">
        <v>57</v>
      </c>
      <c r="U402" t="s">
        <v>44</v>
      </c>
      <c r="W402">
        <v>0</v>
      </c>
      <c r="X402">
        <v>0</v>
      </c>
      <c r="Y402">
        <v>0</v>
      </c>
      <c r="Z402">
        <v>0</v>
      </c>
    </row>
    <row r="403" spans="1:26" hidden="1" x14ac:dyDescent="0.25">
      <c r="A403" t="s">
        <v>1060</v>
      </c>
      <c r="B403" t="s">
        <v>25</v>
      </c>
      <c r="C403" s="4">
        <v>43584</v>
      </c>
      <c r="E403" s="4">
        <v>44790</v>
      </c>
      <c r="F403" s="4">
        <v>45247</v>
      </c>
      <c r="G403" t="s">
        <v>52</v>
      </c>
      <c r="H403" t="s">
        <v>87</v>
      </c>
      <c r="K403" t="s">
        <v>53</v>
      </c>
      <c r="L403" t="s">
        <v>574</v>
      </c>
      <c r="M403" t="s">
        <v>54</v>
      </c>
      <c r="N403" t="s">
        <v>31</v>
      </c>
      <c r="O403" t="s">
        <v>32</v>
      </c>
      <c r="P403" t="s">
        <v>1061</v>
      </c>
      <c r="Q403">
        <v>150</v>
      </c>
      <c r="R403">
        <v>150</v>
      </c>
      <c r="S403" t="s">
        <v>34</v>
      </c>
      <c r="T403" t="s">
        <v>35</v>
      </c>
      <c r="U403" t="s">
        <v>36</v>
      </c>
      <c r="V403" s="4">
        <v>45383</v>
      </c>
      <c r="W403">
        <v>150</v>
      </c>
      <c r="X403">
        <v>150</v>
      </c>
      <c r="Y403">
        <v>150</v>
      </c>
      <c r="Z403">
        <v>150</v>
      </c>
    </row>
    <row r="404" spans="1:26" hidden="1" x14ac:dyDescent="0.25">
      <c r="A404" t="s">
        <v>1062</v>
      </c>
      <c r="B404" t="s">
        <v>25</v>
      </c>
      <c r="C404" s="4">
        <v>43584</v>
      </c>
      <c r="E404" s="4">
        <v>44529</v>
      </c>
      <c r="F404" s="4">
        <v>44409</v>
      </c>
      <c r="G404" t="s">
        <v>65</v>
      </c>
      <c r="H404" t="s">
        <v>90</v>
      </c>
      <c r="K404" t="s">
        <v>67</v>
      </c>
      <c r="L404" t="s">
        <v>574</v>
      </c>
      <c r="M404" t="s">
        <v>68</v>
      </c>
      <c r="N404" t="s">
        <v>31</v>
      </c>
      <c r="O404" t="s">
        <v>32</v>
      </c>
      <c r="P404" t="s">
        <v>1063</v>
      </c>
      <c r="Q404">
        <v>0</v>
      </c>
      <c r="R404">
        <v>0</v>
      </c>
      <c r="S404" t="s">
        <v>159</v>
      </c>
      <c r="T404" t="s">
        <v>159</v>
      </c>
      <c r="U404" t="s">
        <v>44</v>
      </c>
      <c r="V404" s="4">
        <v>44958</v>
      </c>
      <c r="W404">
        <v>0</v>
      </c>
      <c r="X404">
        <v>0</v>
      </c>
      <c r="Y404">
        <v>0</v>
      </c>
      <c r="Z404">
        <v>0</v>
      </c>
    </row>
    <row r="405" spans="1:26" hidden="1" x14ac:dyDescent="0.25">
      <c r="A405" t="s">
        <v>1064</v>
      </c>
      <c r="B405" t="s">
        <v>38</v>
      </c>
      <c r="C405" s="4">
        <v>43584</v>
      </c>
      <c r="D405" s="4">
        <v>44628</v>
      </c>
      <c r="F405" s="4">
        <v>45170</v>
      </c>
      <c r="G405" t="s">
        <v>52</v>
      </c>
      <c r="H405" t="s">
        <v>245</v>
      </c>
      <c r="K405" t="s">
        <v>53</v>
      </c>
      <c r="L405" t="s">
        <v>574</v>
      </c>
      <c r="M405" t="s">
        <v>54</v>
      </c>
      <c r="N405" t="s">
        <v>31</v>
      </c>
      <c r="O405" t="s">
        <v>32</v>
      </c>
      <c r="P405" t="s">
        <v>1065</v>
      </c>
      <c r="Q405">
        <v>200</v>
      </c>
      <c r="R405">
        <v>200</v>
      </c>
      <c r="S405" t="s">
        <v>34</v>
      </c>
      <c r="T405" t="s">
        <v>35</v>
      </c>
      <c r="U405" t="s">
        <v>44</v>
      </c>
      <c r="W405">
        <v>200</v>
      </c>
      <c r="X405">
        <v>200</v>
      </c>
      <c r="Y405">
        <v>0</v>
      </c>
      <c r="Z405">
        <v>0</v>
      </c>
    </row>
    <row r="406" spans="1:26" hidden="1" x14ac:dyDescent="0.25">
      <c r="A406" t="s">
        <v>1066</v>
      </c>
      <c r="B406" t="s">
        <v>38</v>
      </c>
      <c r="C406" s="4">
        <v>43584</v>
      </c>
      <c r="D406" s="4">
        <v>44035</v>
      </c>
      <c r="F406" s="4">
        <v>44835</v>
      </c>
      <c r="G406" t="s">
        <v>261</v>
      </c>
      <c r="H406" t="s">
        <v>371</v>
      </c>
      <c r="K406" t="s">
        <v>114</v>
      </c>
      <c r="L406" t="s">
        <v>574</v>
      </c>
      <c r="M406" t="s">
        <v>68</v>
      </c>
      <c r="N406" t="s">
        <v>31</v>
      </c>
      <c r="O406" t="s">
        <v>32</v>
      </c>
      <c r="P406" t="s">
        <v>1067</v>
      </c>
      <c r="Q406">
        <v>167</v>
      </c>
      <c r="R406">
        <v>167</v>
      </c>
      <c r="S406" t="s">
        <v>56</v>
      </c>
      <c r="T406" t="s">
        <v>57</v>
      </c>
      <c r="U406" t="s">
        <v>44</v>
      </c>
      <c r="W406">
        <v>0</v>
      </c>
      <c r="X406">
        <v>0</v>
      </c>
      <c r="Y406">
        <v>0</v>
      </c>
      <c r="Z406">
        <v>0</v>
      </c>
    </row>
    <row r="407" spans="1:26" hidden="1" x14ac:dyDescent="0.25">
      <c r="A407" t="s">
        <v>1068</v>
      </c>
      <c r="B407" t="s">
        <v>38</v>
      </c>
      <c r="C407" s="4">
        <v>43584</v>
      </c>
      <c r="D407" s="4">
        <v>44701</v>
      </c>
      <c r="F407" s="4">
        <v>44743</v>
      </c>
      <c r="G407" t="s">
        <v>101</v>
      </c>
      <c r="H407" t="s">
        <v>868</v>
      </c>
      <c r="K407" t="s">
        <v>98</v>
      </c>
      <c r="L407" t="s">
        <v>574</v>
      </c>
      <c r="M407" t="s">
        <v>84</v>
      </c>
      <c r="N407" t="s">
        <v>31</v>
      </c>
      <c r="O407" t="s">
        <v>32</v>
      </c>
      <c r="P407" t="s">
        <v>1069</v>
      </c>
      <c r="Q407">
        <v>140</v>
      </c>
      <c r="R407">
        <v>140</v>
      </c>
      <c r="S407" t="s">
        <v>34</v>
      </c>
      <c r="T407" t="s">
        <v>35</v>
      </c>
      <c r="U407" t="s">
        <v>44</v>
      </c>
      <c r="W407">
        <v>140</v>
      </c>
      <c r="X407">
        <v>140</v>
      </c>
      <c r="Y407">
        <v>0</v>
      </c>
      <c r="Z407">
        <v>0</v>
      </c>
    </row>
    <row r="408" spans="1:26" hidden="1" x14ac:dyDescent="0.25">
      <c r="A408" t="s">
        <v>1070</v>
      </c>
      <c r="B408" t="s">
        <v>38</v>
      </c>
      <c r="C408" s="4">
        <v>43584</v>
      </c>
      <c r="D408" s="4">
        <v>43868</v>
      </c>
      <c r="F408" s="4">
        <v>44442</v>
      </c>
      <c r="G408" t="s">
        <v>52</v>
      </c>
      <c r="H408" t="s">
        <v>975</v>
      </c>
      <c r="K408" t="s">
        <v>53</v>
      </c>
      <c r="L408" t="s">
        <v>574</v>
      </c>
      <c r="M408" t="s">
        <v>54</v>
      </c>
      <c r="N408" t="s">
        <v>31</v>
      </c>
      <c r="O408" t="s">
        <v>32</v>
      </c>
      <c r="P408" t="s">
        <v>976</v>
      </c>
      <c r="Q408">
        <v>25.2</v>
      </c>
      <c r="R408">
        <v>25.2</v>
      </c>
      <c r="S408" t="s">
        <v>56</v>
      </c>
      <c r="T408" t="s">
        <v>57</v>
      </c>
      <c r="U408" t="s">
        <v>44</v>
      </c>
      <c r="W408">
        <v>0</v>
      </c>
      <c r="X408">
        <v>0</v>
      </c>
      <c r="Y408">
        <v>0</v>
      </c>
      <c r="Z408">
        <v>0</v>
      </c>
    </row>
    <row r="409" spans="1:26" hidden="1" x14ac:dyDescent="0.25">
      <c r="A409" t="s">
        <v>1071</v>
      </c>
      <c r="B409" t="s">
        <v>25</v>
      </c>
      <c r="C409" s="4">
        <v>43584</v>
      </c>
      <c r="F409" s="4">
        <v>44774</v>
      </c>
      <c r="G409" t="s">
        <v>254</v>
      </c>
      <c r="H409" t="s">
        <v>1072</v>
      </c>
      <c r="K409" t="s">
        <v>98</v>
      </c>
      <c r="L409" t="s">
        <v>574</v>
      </c>
      <c r="M409" t="s">
        <v>84</v>
      </c>
      <c r="N409" t="s">
        <v>31</v>
      </c>
      <c r="O409" t="s">
        <v>32</v>
      </c>
      <c r="P409" t="s">
        <v>1073</v>
      </c>
      <c r="Q409">
        <v>100</v>
      </c>
      <c r="R409">
        <v>100</v>
      </c>
      <c r="S409" t="s">
        <v>34</v>
      </c>
      <c r="T409" t="s">
        <v>35</v>
      </c>
      <c r="U409" t="s">
        <v>44</v>
      </c>
      <c r="V409" s="4">
        <v>45870</v>
      </c>
      <c r="W409">
        <v>100</v>
      </c>
      <c r="X409">
        <v>100</v>
      </c>
      <c r="Y409">
        <v>100</v>
      </c>
      <c r="Z409">
        <v>70</v>
      </c>
    </row>
    <row r="410" spans="1:26" hidden="1" x14ac:dyDescent="0.25">
      <c r="A410" t="s">
        <v>1074</v>
      </c>
      <c r="B410" t="s">
        <v>38</v>
      </c>
      <c r="C410" s="4">
        <v>43584</v>
      </c>
      <c r="D410" s="4">
        <v>45874</v>
      </c>
      <c r="F410" s="4">
        <v>45092</v>
      </c>
      <c r="G410" t="s">
        <v>117</v>
      </c>
      <c r="H410" t="s">
        <v>1075</v>
      </c>
      <c r="K410" t="s">
        <v>83</v>
      </c>
      <c r="L410" t="s">
        <v>574</v>
      </c>
      <c r="M410" t="s">
        <v>84</v>
      </c>
      <c r="N410" t="s">
        <v>31</v>
      </c>
      <c r="O410" t="s">
        <v>32</v>
      </c>
      <c r="P410" t="s">
        <v>1076</v>
      </c>
      <c r="Q410">
        <v>100</v>
      </c>
      <c r="R410">
        <v>100</v>
      </c>
      <c r="S410" t="s">
        <v>597</v>
      </c>
      <c r="T410" t="s">
        <v>1077</v>
      </c>
      <c r="U410" t="s">
        <v>44</v>
      </c>
      <c r="V410" s="4">
        <v>46188</v>
      </c>
      <c r="W410">
        <v>100</v>
      </c>
      <c r="X410">
        <v>100</v>
      </c>
      <c r="Y410">
        <v>100</v>
      </c>
      <c r="Z410">
        <v>100</v>
      </c>
    </row>
    <row r="411" spans="1:26" hidden="1" x14ac:dyDescent="0.25">
      <c r="A411" t="s">
        <v>1078</v>
      </c>
      <c r="B411" t="s">
        <v>38</v>
      </c>
      <c r="C411" s="4">
        <v>43584</v>
      </c>
      <c r="D411" s="4">
        <v>44413</v>
      </c>
      <c r="F411" s="4">
        <v>45229</v>
      </c>
      <c r="G411" t="s">
        <v>681</v>
      </c>
      <c r="H411" t="s">
        <v>785</v>
      </c>
      <c r="K411" t="s">
        <v>683</v>
      </c>
      <c r="L411" t="s">
        <v>574</v>
      </c>
      <c r="M411" t="s">
        <v>84</v>
      </c>
      <c r="N411" t="s">
        <v>31</v>
      </c>
      <c r="O411" t="s">
        <v>32</v>
      </c>
      <c r="P411" t="s">
        <v>786</v>
      </c>
      <c r="Q411">
        <v>25</v>
      </c>
      <c r="R411">
        <v>25</v>
      </c>
      <c r="S411" t="s">
        <v>159</v>
      </c>
      <c r="T411" t="s">
        <v>159</v>
      </c>
      <c r="U411" t="s">
        <v>44</v>
      </c>
      <c r="W411">
        <v>0</v>
      </c>
      <c r="X411">
        <v>0</v>
      </c>
      <c r="Y411">
        <v>0</v>
      </c>
      <c r="Z411">
        <v>0</v>
      </c>
    </row>
    <row r="412" spans="1:26" hidden="1" x14ac:dyDescent="0.25">
      <c r="A412" t="s">
        <v>1079</v>
      </c>
      <c r="B412" t="s">
        <v>25</v>
      </c>
      <c r="C412" s="4">
        <v>43584</v>
      </c>
      <c r="F412" s="4">
        <v>44864</v>
      </c>
      <c r="G412" t="s">
        <v>26</v>
      </c>
      <c r="H412" t="s">
        <v>640</v>
      </c>
      <c r="K412" t="s">
        <v>28</v>
      </c>
      <c r="L412" t="s">
        <v>574</v>
      </c>
      <c r="M412" t="s">
        <v>30</v>
      </c>
      <c r="N412" t="s">
        <v>31</v>
      </c>
      <c r="O412" t="s">
        <v>32</v>
      </c>
      <c r="P412" t="s">
        <v>1080</v>
      </c>
      <c r="Q412">
        <v>300</v>
      </c>
      <c r="R412">
        <v>300</v>
      </c>
      <c r="S412" t="s">
        <v>34</v>
      </c>
      <c r="T412" t="s">
        <v>35</v>
      </c>
      <c r="U412" t="s">
        <v>70</v>
      </c>
      <c r="V412" s="4">
        <v>45960</v>
      </c>
      <c r="W412">
        <v>300</v>
      </c>
      <c r="X412">
        <v>300</v>
      </c>
      <c r="Y412">
        <v>300</v>
      </c>
      <c r="Z412">
        <v>240</v>
      </c>
    </row>
    <row r="413" spans="1:26" hidden="1" x14ac:dyDescent="0.25">
      <c r="A413" t="s">
        <v>1081</v>
      </c>
      <c r="B413" t="s">
        <v>25</v>
      </c>
      <c r="C413" s="4">
        <v>43584</v>
      </c>
      <c r="F413" s="4">
        <v>44864</v>
      </c>
      <c r="G413" t="s">
        <v>26</v>
      </c>
      <c r="H413" t="s">
        <v>640</v>
      </c>
      <c r="K413" t="s">
        <v>28</v>
      </c>
      <c r="L413" t="s">
        <v>574</v>
      </c>
      <c r="M413" t="s">
        <v>30</v>
      </c>
      <c r="N413" t="s">
        <v>31</v>
      </c>
      <c r="O413" t="s">
        <v>32</v>
      </c>
      <c r="P413" t="s">
        <v>1080</v>
      </c>
      <c r="Q413">
        <v>75</v>
      </c>
      <c r="R413">
        <v>75</v>
      </c>
      <c r="S413" t="s">
        <v>159</v>
      </c>
      <c r="T413" t="s">
        <v>159</v>
      </c>
      <c r="U413" t="s">
        <v>44</v>
      </c>
      <c r="V413" s="4">
        <v>45960</v>
      </c>
      <c r="W413">
        <v>75</v>
      </c>
      <c r="X413">
        <v>75</v>
      </c>
      <c r="Y413">
        <v>75</v>
      </c>
      <c r="Z413">
        <v>75</v>
      </c>
    </row>
    <row r="414" spans="1:26" hidden="1" x14ac:dyDescent="0.25">
      <c r="A414" t="s">
        <v>1082</v>
      </c>
      <c r="B414" t="s">
        <v>38</v>
      </c>
      <c r="C414" s="4">
        <v>43584</v>
      </c>
      <c r="D414" s="4">
        <v>43936</v>
      </c>
      <c r="F414" s="4">
        <v>45229</v>
      </c>
      <c r="G414" t="s">
        <v>254</v>
      </c>
      <c r="H414" t="s">
        <v>1072</v>
      </c>
      <c r="K414" t="s">
        <v>98</v>
      </c>
      <c r="L414" t="s">
        <v>574</v>
      </c>
      <c r="M414" t="s">
        <v>84</v>
      </c>
      <c r="N414" t="s">
        <v>31</v>
      </c>
      <c r="O414" t="s">
        <v>32</v>
      </c>
      <c r="P414" t="s">
        <v>1083</v>
      </c>
      <c r="Q414">
        <v>250</v>
      </c>
      <c r="R414">
        <v>250</v>
      </c>
      <c r="S414" t="s">
        <v>34</v>
      </c>
      <c r="T414" t="s">
        <v>35</v>
      </c>
      <c r="U414" t="s">
        <v>44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1084</v>
      </c>
      <c r="B415" t="s">
        <v>38</v>
      </c>
      <c r="C415" s="4">
        <v>43584</v>
      </c>
      <c r="D415" s="4">
        <v>44805</v>
      </c>
      <c r="F415" s="4">
        <v>44864</v>
      </c>
      <c r="G415" t="s">
        <v>72</v>
      </c>
      <c r="H415" t="s">
        <v>1018</v>
      </c>
      <c r="I415" t="s">
        <v>7541</v>
      </c>
      <c r="K415" t="s">
        <v>209</v>
      </c>
      <c r="L415" t="s">
        <v>574</v>
      </c>
      <c r="M415" t="s">
        <v>42</v>
      </c>
      <c r="N415" t="s">
        <v>31</v>
      </c>
      <c r="O415" t="s">
        <v>32</v>
      </c>
      <c r="P415" t="s">
        <v>1085</v>
      </c>
      <c r="Q415">
        <v>300</v>
      </c>
      <c r="R415">
        <v>300</v>
      </c>
      <c r="S415" t="s">
        <v>34</v>
      </c>
      <c r="T415" t="s">
        <v>35</v>
      </c>
      <c r="U415" t="s">
        <v>44</v>
      </c>
      <c r="W415">
        <v>235</v>
      </c>
      <c r="X415">
        <v>215</v>
      </c>
      <c r="Y415">
        <v>235</v>
      </c>
      <c r="Z415">
        <v>188</v>
      </c>
    </row>
    <row r="416" spans="1:26" hidden="1" x14ac:dyDescent="0.25">
      <c r="A416" t="s">
        <v>1086</v>
      </c>
      <c r="B416" t="s">
        <v>38</v>
      </c>
      <c r="C416" s="4">
        <v>43584</v>
      </c>
      <c r="D416" s="4">
        <v>44047</v>
      </c>
      <c r="F416" s="4">
        <v>44864</v>
      </c>
      <c r="G416" t="s">
        <v>65</v>
      </c>
      <c r="H416" t="s">
        <v>728</v>
      </c>
      <c r="K416" t="s">
        <v>67</v>
      </c>
      <c r="L416" t="s">
        <v>574</v>
      </c>
      <c r="M416" t="s">
        <v>68</v>
      </c>
      <c r="N416" t="s">
        <v>31</v>
      </c>
      <c r="O416" t="s">
        <v>32</v>
      </c>
      <c r="P416" t="s">
        <v>729</v>
      </c>
      <c r="Q416">
        <v>150</v>
      </c>
      <c r="R416">
        <v>150</v>
      </c>
      <c r="S416" t="s">
        <v>34</v>
      </c>
      <c r="T416" t="s">
        <v>35</v>
      </c>
      <c r="U416" t="s">
        <v>44</v>
      </c>
      <c r="W416">
        <v>0</v>
      </c>
      <c r="X416">
        <v>0</v>
      </c>
      <c r="Y416">
        <v>0</v>
      </c>
      <c r="Z416">
        <v>0</v>
      </c>
    </row>
    <row r="417" spans="1:26" hidden="1" x14ac:dyDescent="0.25">
      <c r="A417" t="s">
        <v>1087</v>
      </c>
      <c r="B417" t="s">
        <v>25</v>
      </c>
      <c r="C417" s="4">
        <v>43584</v>
      </c>
      <c r="E417" s="4">
        <v>44529</v>
      </c>
      <c r="F417" s="4">
        <v>45229</v>
      </c>
      <c r="G417" t="s">
        <v>65</v>
      </c>
      <c r="H417" t="s">
        <v>743</v>
      </c>
      <c r="K417" t="s">
        <v>67</v>
      </c>
      <c r="L417" t="s">
        <v>574</v>
      </c>
      <c r="M417" t="s">
        <v>68</v>
      </c>
      <c r="N417" t="s">
        <v>31</v>
      </c>
      <c r="O417" t="s">
        <v>32</v>
      </c>
      <c r="P417" t="s">
        <v>329</v>
      </c>
      <c r="Q417">
        <v>250</v>
      </c>
      <c r="R417">
        <v>250</v>
      </c>
      <c r="S417" t="s">
        <v>34</v>
      </c>
      <c r="T417" t="s">
        <v>35</v>
      </c>
      <c r="U417" t="s">
        <v>44</v>
      </c>
      <c r="V417" s="4">
        <v>45580</v>
      </c>
      <c r="W417">
        <v>250</v>
      </c>
      <c r="X417">
        <v>250</v>
      </c>
      <c r="Y417">
        <v>250</v>
      </c>
      <c r="Z417">
        <v>250</v>
      </c>
    </row>
    <row r="418" spans="1:26" hidden="1" x14ac:dyDescent="0.25">
      <c r="A418" t="s">
        <v>1088</v>
      </c>
      <c r="B418" t="s">
        <v>38</v>
      </c>
      <c r="C418" s="4">
        <v>43584</v>
      </c>
      <c r="D418" s="4">
        <v>44613</v>
      </c>
      <c r="F418" s="4">
        <v>44864</v>
      </c>
      <c r="G418" t="s">
        <v>72</v>
      </c>
      <c r="H418" t="s">
        <v>531</v>
      </c>
      <c r="K418" t="s">
        <v>209</v>
      </c>
      <c r="L418" t="s">
        <v>574</v>
      </c>
      <c r="M418" t="s">
        <v>42</v>
      </c>
      <c r="N418" t="s">
        <v>31</v>
      </c>
      <c r="O418" t="s">
        <v>32</v>
      </c>
      <c r="P418" t="s">
        <v>1089</v>
      </c>
      <c r="Q418">
        <v>149</v>
      </c>
      <c r="R418">
        <v>149</v>
      </c>
      <c r="S418" t="s">
        <v>34</v>
      </c>
      <c r="T418" t="s">
        <v>35</v>
      </c>
      <c r="U418" t="s">
        <v>44</v>
      </c>
      <c r="W418">
        <v>149</v>
      </c>
      <c r="X418">
        <v>149</v>
      </c>
      <c r="Y418">
        <v>0</v>
      </c>
      <c r="Z418">
        <v>0</v>
      </c>
    </row>
    <row r="419" spans="1:26" hidden="1" x14ac:dyDescent="0.25">
      <c r="A419" t="s">
        <v>1090</v>
      </c>
      <c r="B419" t="s">
        <v>38</v>
      </c>
      <c r="C419" s="4">
        <v>43584</v>
      </c>
      <c r="D419" s="4">
        <v>44613</v>
      </c>
      <c r="F419" s="4">
        <v>44864</v>
      </c>
      <c r="G419" t="s">
        <v>72</v>
      </c>
      <c r="H419" t="s">
        <v>531</v>
      </c>
      <c r="K419" t="s">
        <v>209</v>
      </c>
      <c r="L419" t="s">
        <v>574</v>
      </c>
      <c r="M419" t="s">
        <v>42</v>
      </c>
      <c r="N419" t="s">
        <v>31</v>
      </c>
      <c r="O419" t="s">
        <v>32</v>
      </c>
      <c r="P419" t="s">
        <v>532</v>
      </c>
      <c r="Q419">
        <v>75</v>
      </c>
      <c r="R419">
        <v>75</v>
      </c>
      <c r="S419" t="s">
        <v>159</v>
      </c>
      <c r="T419" t="s">
        <v>159</v>
      </c>
      <c r="U419" t="s">
        <v>44</v>
      </c>
      <c r="W419">
        <v>75</v>
      </c>
      <c r="X419">
        <v>75</v>
      </c>
      <c r="Y419">
        <v>0</v>
      </c>
      <c r="Z419">
        <v>0</v>
      </c>
    </row>
    <row r="420" spans="1:26" hidden="1" x14ac:dyDescent="0.25">
      <c r="A420" t="s">
        <v>1091</v>
      </c>
      <c r="B420" t="s">
        <v>38</v>
      </c>
      <c r="C420" s="4">
        <v>43584</v>
      </c>
      <c r="D420" s="4">
        <v>43832</v>
      </c>
      <c r="F420" s="4">
        <v>44531</v>
      </c>
      <c r="G420" t="s">
        <v>117</v>
      </c>
      <c r="H420" t="s">
        <v>1092</v>
      </c>
      <c r="K420" t="s">
        <v>83</v>
      </c>
      <c r="L420" t="s">
        <v>574</v>
      </c>
      <c r="M420" t="s">
        <v>84</v>
      </c>
      <c r="N420" t="s">
        <v>31</v>
      </c>
      <c r="O420" t="s">
        <v>32</v>
      </c>
      <c r="P420" t="s">
        <v>1093</v>
      </c>
      <c r="Q420">
        <v>100</v>
      </c>
      <c r="R420">
        <v>100</v>
      </c>
      <c r="S420" t="s">
        <v>34</v>
      </c>
      <c r="T420" t="s">
        <v>35</v>
      </c>
      <c r="U420" t="s">
        <v>44</v>
      </c>
      <c r="W420">
        <v>0</v>
      </c>
      <c r="X420">
        <v>0</v>
      </c>
      <c r="Y420">
        <v>0</v>
      </c>
      <c r="Z420">
        <v>0</v>
      </c>
    </row>
    <row r="421" spans="1:26" hidden="1" x14ac:dyDescent="0.25">
      <c r="A421" t="s">
        <v>1094</v>
      </c>
      <c r="B421" t="s">
        <v>38</v>
      </c>
      <c r="C421" s="4">
        <v>43584</v>
      </c>
      <c r="D421" s="4">
        <v>44701</v>
      </c>
      <c r="F421" s="4">
        <v>44743</v>
      </c>
      <c r="G421" t="s">
        <v>101</v>
      </c>
      <c r="H421" t="s">
        <v>868</v>
      </c>
      <c r="K421" t="s">
        <v>98</v>
      </c>
      <c r="L421" t="s">
        <v>574</v>
      </c>
      <c r="M421" t="s">
        <v>84</v>
      </c>
      <c r="N421" t="s">
        <v>31</v>
      </c>
      <c r="O421" t="s">
        <v>32</v>
      </c>
      <c r="P421" t="s">
        <v>1095</v>
      </c>
      <c r="Q421">
        <v>250</v>
      </c>
      <c r="R421">
        <v>250</v>
      </c>
      <c r="S421" t="s">
        <v>34</v>
      </c>
      <c r="T421" t="s">
        <v>35</v>
      </c>
      <c r="U421" t="s">
        <v>44</v>
      </c>
      <c r="W421">
        <v>250</v>
      </c>
      <c r="X421">
        <v>250</v>
      </c>
      <c r="Y421">
        <v>0</v>
      </c>
      <c r="Z421">
        <v>0</v>
      </c>
    </row>
    <row r="422" spans="1:26" hidden="1" x14ac:dyDescent="0.25">
      <c r="A422" t="s">
        <v>1096</v>
      </c>
      <c r="B422" t="s">
        <v>38</v>
      </c>
      <c r="C422" s="4">
        <v>43584</v>
      </c>
      <c r="D422" s="4">
        <v>43895</v>
      </c>
      <c r="F422" s="4">
        <v>44819</v>
      </c>
      <c r="G422" t="s">
        <v>128</v>
      </c>
      <c r="H422" t="s">
        <v>1097</v>
      </c>
      <c r="K422" t="s">
        <v>83</v>
      </c>
      <c r="L422" t="s">
        <v>574</v>
      </c>
      <c r="M422" t="s">
        <v>84</v>
      </c>
      <c r="N422" t="s">
        <v>31</v>
      </c>
      <c r="O422" t="s">
        <v>32</v>
      </c>
      <c r="P422" t="s">
        <v>1098</v>
      </c>
      <c r="Q422">
        <v>48</v>
      </c>
      <c r="R422">
        <v>48</v>
      </c>
      <c r="S422" t="s">
        <v>34</v>
      </c>
      <c r="T422" t="s">
        <v>35</v>
      </c>
      <c r="U422" t="s">
        <v>44</v>
      </c>
      <c r="W422">
        <v>0</v>
      </c>
      <c r="X422">
        <v>0</v>
      </c>
      <c r="Y422">
        <v>0</v>
      </c>
      <c r="Z422">
        <v>0</v>
      </c>
    </row>
    <row r="423" spans="1:26" hidden="1" x14ac:dyDescent="0.25">
      <c r="A423" t="s">
        <v>1099</v>
      </c>
      <c r="B423" t="s">
        <v>25</v>
      </c>
      <c r="C423" s="4">
        <v>43584</v>
      </c>
      <c r="F423" s="4">
        <v>44489</v>
      </c>
      <c r="G423" t="s">
        <v>144</v>
      </c>
      <c r="H423" t="s">
        <v>145</v>
      </c>
      <c r="K423" t="s">
        <v>146</v>
      </c>
      <c r="L423" t="s">
        <v>574</v>
      </c>
      <c r="M423" t="s">
        <v>68</v>
      </c>
      <c r="N423" t="s">
        <v>31</v>
      </c>
      <c r="O423" t="s">
        <v>32</v>
      </c>
      <c r="P423" t="s">
        <v>1100</v>
      </c>
      <c r="Q423">
        <v>300</v>
      </c>
      <c r="R423">
        <v>300</v>
      </c>
      <c r="S423" t="s">
        <v>34</v>
      </c>
      <c r="T423" t="s">
        <v>35</v>
      </c>
      <c r="U423" t="s">
        <v>70</v>
      </c>
      <c r="V423" s="4">
        <v>45627</v>
      </c>
      <c r="W423">
        <v>300</v>
      </c>
      <c r="X423">
        <v>300</v>
      </c>
      <c r="Y423">
        <v>300</v>
      </c>
      <c r="Z423">
        <v>300</v>
      </c>
    </row>
    <row r="424" spans="1:26" hidden="1" x14ac:dyDescent="0.25">
      <c r="A424" t="s">
        <v>1101</v>
      </c>
      <c r="B424" t="s">
        <v>25</v>
      </c>
      <c r="C424" s="4">
        <v>43584</v>
      </c>
      <c r="F424" s="4">
        <v>44489</v>
      </c>
      <c r="G424" t="s">
        <v>117</v>
      </c>
      <c r="H424" t="s">
        <v>1102</v>
      </c>
      <c r="K424" t="s">
        <v>83</v>
      </c>
      <c r="L424" t="s">
        <v>574</v>
      </c>
      <c r="M424" t="s">
        <v>84</v>
      </c>
      <c r="N424" t="s">
        <v>31</v>
      </c>
      <c r="O424" t="s">
        <v>32</v>
      </c>
      <c r="P424" t="s">
        <v>1103</v>
      </c>
      <c r="Q424">
        <v>150</v>
      </c>
      <c r="R424">
        <v>150</v>
      </c>
      <c r="S424" t="s">
        <v>597</v>
      </c>
      <c r="T424" t="s">
        <v>598</v>
      </c>
      <c r="U424" t="s">
        <v>44</v>
      </c>
      <c r="V424" s="4">
        <v>45585</v>
      </c>
      <c r="W424">
        <v>150</v>
      </c>
      <c r="X424">
        <v>150</v>
      </c>
      <c r="Y424">
        <v>150</v>
      </c>
      <c r="Z424">
        <v>150</v>
      </c>
    </row>
    <row r="425" spans="1:26" hidden="1" x14ac:dyDescent="0.25">
      <c r="A425" t="s">
        <v>1104</v>
      </c>
      <c r="B425" t="s">
        <v>38</v>
      </c>
      <c r="C425" s="4">
        <v>43584</v>
      </c>
      <c r="D425" s="4">
        <v>43993</v>
      </c>
      <c r="F425" s="4">
        <v>44671</v>
      </c>
      <c r="G425" t="s">
        <v>52</v>
      </c>
      <c r="H425" t="s">
        <v>1105</v>
      </c>
      <c r="K425" t="s">
        <v>53</v>
      </c>
      <c r="L425" t="s">
        <v>574</v>
      </c>
      <c r="M425" t="s">
        <v>54</v>
      </c>
      <c r="N425" t="s">
        <v>31</v>
      </c>
      <c r="O425" t="s">
        <v>32</v>
      </c>
      <c r="P425" t="s">
        <v>1106</v>
      </c>
      <c r="Q425">
        <v>100</v>
      </c>
      <c r="R425">
        <v>100</v>
      </c>
      <c r="S425" t="s">
        <v>34</v>
      </c>
      <c r="T425" t="s">
        <v>35</v>
      </c>
      <c r="U425" t="s">
        <v>44</v>
      </c>
      <c r="W425">
        <v>0</v>
      </c>
      <c r="X425">
        <v>0</v>
      </c>
      <c r="Y425">
        <v>0</v>
      </c>
      <c r="Z425">
        <v>0</v>
      </c>
    </row>
    <row r="426" spans="1:26" hidden="1" x14ac:dyDescent="0.25">
      <c r="A426" t="s">
        <v>1107</v>
      </c>
      <c r="B426" t="s">
        <v>25</v>
      </c>
      <c r="C426" s="4">
        <v>43584</v>
      </c>
      <c r="E426" s="4">
        <v>44529</v>
      </c>
      <c r="F426" s="4">
        <v>44774</v>
      </c>
      <c r="G426" t="s">
        <v>1108</v>
      </c>
      <c r="H426" t="s">
        <v>800</v>
      </c>
      <c r="K426" t="s">
        <v>146</v>
      </c>
      <c r="L426" t="s">
        <v>574</v>
      </c>
      <c r="M426" t="s">
        <v>68</v>
      </c>
      <c r="N426" t="s">
        <v>31</v>
      </c>
      <c r="O426" t="s">
        <v>122</v>
      </c>
      <c r="P426" t="s">
        <v>801</v>
      </c>
      <c r="Q426">
        <v>200</v>
      </c>
      <c r="R426">
        <v>200</v>
      </c>
      <c r="S426" t="s">
        <v>34</v>
      </c>
      <c r="T426" t="s">
        <v>35</v>
      </c>
      <c r="U426" t="s">
        <v>70</v>
      </c>
      <c r="V426" s="4">
        <v>45550</v>
      </c>
      <c r="W426">
        <v>200</v>
      </c>
      <c r="X426">
        <v>200</v>
      </c>
      <c r="Y426">
        <v>200</v>
      </c>
      <c r="Z426">
        <v>0</v>
      </c>
    </row>
    <row r="427" spans="1:26" hidden="1" x14ac:dyDescent="0.25">
      <c r="A427" t="s">
        <v>1109</v>
      </c>
      <c r="B427" t="s">
        <v>25</v>
      </c>
      <c r="C427" s="4">
        <v>43584</v>
      </c>
      <c r="E427" s="4">
        <v>44588</v>
      </c>
      <c r="F427" s="4">
        <v>43983</v>
      </c>
      <c r="G427" t="s">
        <v>65</v>
      </c>
      <c r="H427" t="s">
        <v>212</v>
      </c>
      <c r="K427" t="s">
        <v>67</v>
      </c>
      <c r="L427" t="s">
        <v>574</v>
      </c>
      <c r="M427" t="s">
        <v>68</v>
      </c>
      <c r="N427" t="s">
        <v>31</v>
      </c>
      <c r="O427" t="s">
        <v>1110</v>
      </c>
      <c r="P427" t="s">
        <v>1111</v>
      </c>
      <c r="Q427">
        <v>114</v>
      </c>
      <c r="R427">
        <v>114</v>
      </c>
      <c r="S427" t="s">
        <v>389</v>
      </c>
      <c r="T427" t="s">
        <v>390</v>
      </c>
      <c r="U427" t="s">
        <v>36</v>
      </c>
      <c r="V427" s="4">
        <v>44700</v>
      </c>
      <c r="W427">
        <v>0</v>
      </c>
      <c r="X427">
        <v>114</v>
      </c>
      <c r="Y427">
        <v>0</v>
      </c>
      <c r="Z427">
        <v>114</v>
      </c>
    </row>
    <row r="428" spans="1:26" hidden="1" x14ac:dyDescent="0.25">
      <c r="A428" t="s">
        <v>1112</v>
      </c>
      <c r="B428" t="s">
        <v>25</v>
      </c>
      <c r="C428" s="4">
        <v>43584</v>
      </c>
      <c r="E428" s="4">
        <v>44799</v>
      </c>
      <c r="F428" s="4">
        <v>44774</v>
      </c>
      <c r="G428" t="s">
        <v>173</v>
      </c>
      <c r="H428" t="s">
        <v>447</v>
      </c>
      <c r="K428" t="s">
        <v>41</v>
      </c>
      <c r="L428" t="s">
        <v>574</v>
      </c>
      <c r="M428" t="s">
        <v>42</v>
      </c>
      <c r="N428" t="s">
        <v>31</v>
      </c>
      <c r="O428" t="s">
        <v>32</v>
      </c>
      <c r="P428" t="s">
        <v>1113</v>
      </c>
      <c r="Q428">
        <v>100</v>
      </c>
      <c r="R428">
        <v>100</v>
      </c>
      <c r="S428" t="s">
        <v>34</v>
      </c>
      <c r="T428" t="s">
        <v>35</v>
      </c>
      <c r="U428" t="s">
        <v>70</v>
      </c>
      <c r="V428" s="4">
        <v>45870</v>
      </c>
      <c r="W428">
        <v>100</v>
      </c>
      <c r="X428">
        <v>100</v>
      </c>
      <c r="Y428">
        <v>100</v>
      </c>
      <c r="Z428">
        <v>100</v>
      </c>
    </row>
    <row r="429" spans="1:26" hidden="1" x14ac:dyDescent="0.25">
      <c r="A429" t="s">
        <v>1114</v>
      </c>
      <c r="B429" t="s">
        <v>38</v>
      </c>
      <c r="C429" s="4">
        <v>43584</v>
      </c>
      <c r="D429" s="4">
        <v>44279</v>
      </c>
      <c r="F429" s="4">
        <v>44774</v>
      </c>
      <c r="G429" t="s">
        <v>72</v>
      </c>
      <c r="H429" t="s">
        <v>447</v>
      </c>
      <c r="K429" t="s">
        <v>209</v>
      </c>
      <c r="L429" t="s">
        <v>574</v>
      </c>
      <c r="M429" t="s">
        <v>42</v>
      </c>
      <c r="N429" t="s">
        <v>31</v>
      </c>
      <c r="O429" t="s">
        <v>32</v>
      </c>
      <c r="P429" t="s">
        <v>1115</v>
      </c>
      <c r="Q429">
        <v>400</v>
      </c>
      <c r="R429">
        <v>400</v>
      </c>
      <c r="S429" t="s">
        <v>56</v>
      </c>
      <c r="T429" t="s">
        <v>57</v>
      </c>
      <c r="U429" t="s">
        <v>44</v>
      </c>
      <c r="W429">
        <v>0</v>
      </c>
      <c r="X429">
        <v>0</v>
      </c>
      <c r="Y429">
        <v>0</v>
      </c>
      <c r="Z429">
        <v>0</v>
      </c>
    </row>
    <row r="430" spans="1:26" hidden="1" x14ac:dyDescent="0.25">
      <c r="A430" t="s">
        <v>1116</v>
      </c>
      <c r="B430" t="s">
        <v>38</v>
      </c>
      <c r="C430" s="4">
        <v>43584</v>
      </c>
      <c r="D430" s="4">
        <v>44279</v>
      </c>
      <c r="F430" s="4">
        <v>44774</v>
      </c>
      <c r="G430" t="s">
        <v>177</v>
      </c>
      <c r="H430" t="s">
        <v>275</v>
      </c>
      <c r="K430" t="s">
        <v>185</v>
      </c>
      <c r="L430" t="s">
        <v>574</v>
      </c>
      <c r="M430" t="s">
        <v>42</v>
      </c>
      <c r="N430" t="s">
        <v>31</v>
      </c>
      <c r="O430" t="s">
        <v>32</v>
      </c>
      <c r="P430" t="s">
        <v>1117</v>
      </c>
      <c r="Q430">
        <v>200</v>
      </c>
      <c r="R430">
        <v>200</v>
      </c>
      <c r="S430" t="s">
        <v>34</v>
      </c>
      <c r="T430" t="s">
        <v>35</v>
      </c>
      <c r="U430" t="s">
        <v>44</v>
      </c>
      <c r="W430">
        <v>0</v>
      </c>
      <c r="X430">
        <v>0</v>
      </c>
      <c r="Y430">
        <v>0</v>
      </c>
      <c r="Z430">
        <v>0</v>
      </c>
    </row>
    <row r="431" spans="1:26" hidden="1" x14ac:dyDescent="0.25">
      <c r="A431" t="s">
        <v>1118</v>
      </c>
      <c r="B431" t="s">
        <v>38</v>
      </c>
      <c r="C431" s="4">
        <v>43584</v>
      </c>
      <c r="D431" s="4">
        <v>43969</v>
      </c>
      <c r="F431" s="4">
        <v>44864</v>
      </c>
      <c r="G431" t="s">
        <v>871</v>
      </c>
      <c r="H431" t="s">
        <v>1052</v>
      </c>
      <c r="K431" t="s">
        <v>28</v>
      </c>
      <c r="L431" t="s">
        <v>574</v>
      </c>
      <c r="M431" t="s">
        <v>30</v>
      </c>
      <c r="N431" t="s">
        <v>31</v>
      </c>
      <c r="O431" t="s">
        <v>32</v>
      </c>
      <c r="P431" t="s">
        <v>1119</v>
      </c>
      <c r="Q431">
        <v>24</v>
      </c>
      <c r="R431">
        <v>24</v>
      </c>
      <c r="S431" t="s">
        <v>159</v>
      </c>
      <c r="T431" t="s">
        <v>159</v>
      </c>
      <c r="U431" t="s">
        <v>44</v>
      </c>
      <c r="W431">
        <v>0</v>
      </c>
      <c r="X431">
        <v>0</v>
      </c>
      <c r="Y431">
        <v>0</v>
      </c>
      <c r="Z431">
        <v>0</v>
      </c>
    </row>
    <row r="432" spans="1:26" hidden="1" x14ac:dyDescent="0.25">
      <c r="A432" t="s">
        <v>1120</v>
      </c>
      <c r="B432" t="s">
        <v>25</v>
      </c>
      <c r="C432" s="4">
        <v>43584</v>
      </c>
      <c r="E432" s="4">
        <v>44790</v>
      </c>
      <c r="F432" s="4">
        <v>44774</v>
      </c>
      <c r="G432" t="s">
        <v>52</v>
      </c>
      <c r="H432" t="s">
        <v>722</v>
      </c>
      <c r="K432" t="s">
        <v>53</v>
      </c>
      <c r="L432" t="s">
        <v>574</v>
      </c>
      <c r="M432" t="s">
        <v>54</v>
      </c>
      <c r="N432" t="s">
        <v>31</v>
      </c>
      <c r="O432" t="s">
        <v>32</v>
      </c>
      <c r="P432" t="s">
        <v>1121</v>
      </c>
      <c r="Q432">
        <v>100</v>
      </c>
      <c r="R432">
        <v>100</v>
      </c>
      <c r="S432" t="s">
        <v>34</v>
      </c>
      <c r="T432" t="s">
        <v>35</v>
      </c>
      <c r="U432" t="s">
        <v>44</v>
      </c>
      <c r="V432" s="4">
        <v>45139</v>
      </c>
      <c r="W432">
        <v>100</v>
      </c>
      <c r="X432">
        <v>100</v>
      </c>
      <c r="Y432">
        <v>100</v>
      </c>
      <c r="Z432">
        <v>100</v>
      </c>
    </row>
    <row r="433" spans="1:26" hidden="1" x14ac:dyDescent="0.25">
      <c r="A433" t="s">
        <v>1122</v>
      </c>
      <c r="B433" t="s">
        <v>25</v>
      </c>
      <c r="C433" s="4">
        <v>43584</v>
      </c>
      <c r="E433" s="4">
        <v>44658</v>
      </c>
      <c r="F433" s="4">
        <v>44348</v>
      </c>
      <c r="G433" t="s">
        <v>144</v>
      </c>
      <c r="H433" t="s">
        <v>278</v>
      </c>
      <c r="K433" t="s">
        <v>146</v>
      </c>
      <c r="L433" t="s">
        <v>574</v>
      </c>
      <c r="M433" t="s">
        <v>68</v>
      </c>
      <c r="N433" t="s">
        <v>31</v>
      </c>
      <c r="O433" t="s">
        <v>32</v>
      </c>
      <c r="P433" t="s">
        <v>453</v>
      </c>
      <c r="Q433">
        <v>200</v>
      </c>
      <c r="R433">
        <v>200</v>
      </c>
      <c r="S433" t="s">
        <v>34</v>
      </c>
      <c r="T433" t="s">
        <v>35</v>
      </c>
      <c r="U433" t="s">
        <v>44</v>
      </c>
      <c r="V433" s="4">
        <v>45413</v>
      </c>
      <c r="W433">
        <v>90</v>
      </c>
      <c r="X433">
        <v>90</v>
      </c>
      <c r="Y433">
        <v>90</v>
      </c>
      <c r="Z433">
        <v>90</v>
      </c>
    </row>
    <row r="434" spans="1:26" hidden="1" x14ac:dyDescent="0.25">
      <c r="A434" t="s">
        <v>1123</v>
      </c>
      <c r="B434" t="s">
        <v>25</v>
      </c>
      <c r="C434" s="4">
        <v>43584</v>
      </c>
      <c r="E434" s="4">
        <v>44865</v>
      </c>
      <c r="F434" s="4">
        <v>44774</v>
      </c>
      <c r="G434" t="s">
        <v>72</v>
      </c>
      <c r="H434" t="s">
        <v>242</v>
      </c>
      <c r="K434" t="s">
        <v>209</v>
      </c>
      <c r="L434" t="s">
        <v>574</v>
      </c>
      <c r="M434" t="s">
        <v>42</v>
      </c>
      <c r="N434" t="s">
        <v>31</v>
      </c>
      <c r="O434" t="s">
        <v>32</v>
      </c>
      <c r="P434" t="s">
        <v>1124</v>
      </c>
      <c r="Q434">
        <v>250</v>
      </c>
      <c r="R434">
        <v>250</v>
      </c>
      <c r="S434" t="s">
        <v>56</v>
      </c>
      <c r="T434" t="s">
        <v>57</v>
      </c>
      <c r="U434" t="s">
        <v>44</v>
      </c>
      <c r="V434" s="4">
        <v>45901</v>
      </c>
      <c r="W434">
        <v>250</v>
      </c>
      <c r="X434">
        <v>250</v>
      </c>
      <c r="Y434">
        <v>250</v>
      </c>
      <c r="Z434">
        <v>0</v>
      </c>
    </row>
    <row r="435" spans="1:26" hidden="1" x14ac:dyDescent="0.25">
      <c r="A435" t="s">
        <v>1125</v>
      </c>
      <c r="B435" t="s">
        <v>38</v>
      </c>
      <c r="C435" s="4">
        <v>43584</v>
      </c>
      <c r="D435" s="4">
        <v>43760</v>
      </c>
      <c r="F435" s="4">
        <v>44348</v>
      </c>
      <c r="G435" t="s">
        <v>144</v>
      </c>
      <c r="H435" t="s">
        <v>558</v>
      </c>
      <c r="K435" t="s">
        <v>146</v>
      </c>
      <c r="L435" t="s">
        <v>574</v>
      </c>
      <c r="M435" t="s">
        <v>68</v>
      </c>
      <c r="N435" t="s">
        <v>31</v>
      </c>
      <c r="O435" t="s">
        <v>32</v>
      </c>
      <c r="P435" t="s">
        <v>1126</v>
      </c>
      <c r="Q435">
        <v>50</v>
      </c>
      <c r="R435">
        <v>50</v>
      </c>
      <c r="S435" t="s">
        <v>34</v>
      </c>
      <c r="T435" t="s">
        <v>35</v>
      </c>
      <c r="U435" t="s">
        <v>44</v>
      </c>
      <c r="W435">
        <v>0</v>
      </c>
      <c r="X435">
        <v>0</v>
      </c>
      <c r="Y435">
        <v>0</v>
      </c>
      <c r="Z435">
        <v>0</v>
      </c>
    </row>
    <row r="436" spans="1:26" hidden="1" x14ac:dyDescent="0.25">
      <c r="A436" t="s">
        <v>1127</v>
      </c>
      <c r="B436" t="s">
        <v>25</v>
      </c>
      <c r="C436" s="4">
        <v>43584</v>
      </c>
      <c r="E436" s="4">
        <v>44586</v>
      </c>
      <c r="F436" s="4">
        <v>44774</v>
      </c>
      <c r="G436" t="s">
        <v>65</v>
      </c>
      <c r="H436" t="s">
        <v>225</v>
      </c>
      <c r="K436" t="s">
        <v>67</v>
      </c>
      <c r="L436" t="s">
        <v>574</v>
      </c>
      <c r="M436" t="s">
        <v>68</v>
      </c>
      <c r="N436" t="s">
        <v>31</v>
      </c>
      <c r="O436" t="s">
        <v>32</v>
      </c>
      <c r="P436" t="s">
        <v>1128</v>
      </c>
      <c r="Q436">
        <v>100</v>
      </c>
      <c r="R436">
        <v>100</v>
      </c>
      <c r="S436" t="s">
        <v>34</v>
      </c>
      <c r="T436" t="s">
        <v>35</v>
      </c>
      <c r="U436" t="s">
        <v>36</v>
      </c>
      <c r="V436" s="4">
        <v>45383</v>
      </c>
      <c r="W436">
        <v>100</v>
      </c>
      <c r="X436">
        <v>100</v>
      </c>
      <c r="Y436">
        <v>100</v>
      </c>
      <c r="Z436">
        <v>100</v>
      </c>
    </row>
    <row r="437" spans="1:26" hidden="1" x14ac:dyDescent="0.25">
      <c r="A437" t="s">
        <v>1129</v>
      </c>
      <c r="B437" t="s">
        <v>38</v>
      </c>
      <c r="C437" s="4">
        <v>43584</v>
      </c>
      <c r="D437" s="4">
        <v>44279</v>
      </c>
      <c r="F437" s="4">
        <v>44774</v>
      </c>
      <c r="G437" t="s">
        <v>72</v>
      </c>
      <c r="H437" t="s">
        <v>1130</v>
      </c>
      <c r="K437" t="s">
        <v>209</v>
      </c>
      <c r="L437" t="s">
        <v>574</v>
      </c>
      <c r="M437" t="s">
        <v>42</v>
      </c>
      <c r="N437" t="s">
        <v>31</v>
      </c>
      <c r="O437" t="s">
        <v>32</v>
      </c>
      <c r="P437" t="s">
        <v>1131</v>
      </c>
      <c r="Q437">
        <v>100</v>
      </c>
      <c r="R437">
        <v>100</v>
      </c>
      <c r="S437" t="s">
        <v>159</v>
      </c>
      <c r="T437" t="s">
        <v>159</v>
      </c>
      <c r="U437" t="s">
        <v>44</v>
      </c>
      <c r="W437">
        <v>0</v>
      </c>
      <c r="X437">
        <v>0</v>
      </c>
      <c r="Y437">
        <v>0</v>
      </c>
      <c r="Z437">
        <v>0</v>
      </c>
    </row>
    <row r="438" spans="1:26" hidden="1" x14ac:dyDescent="0.25">
      <c r="A438" t="s">
        <v>1132</v>
      </c>
      <c r="B438" t="s">
        <v>25</v>
      </c>
      <c r="C438" s="4">
        <v>43584</v>
      </c>
      <c r="E438" s="4">
        <v>44529</v>
      </c>
      <c r="F438" s="4">
        <v>44880</v>
      </c>
      <c r="G438" t="s">
        <v>144</v>
      </c>
      <c r="H438" t="s">
        <v>1133</v>
      </c>
      <c r="K438" t="s">
        <v>146</v>
      </c>
      <c r="L438" t="s">
        <v>574</v>
      </c>
      <c r="M438" t="s">
        <v>68</v>
      </c>
      <c r="N438" t="s">
        <v>31</v>
      </c>
      <c r="O438" t="s">
        <v>122</v>
      </c>
      <c r="P438" t="s">
        <v>1134</v>
      </c>
      <c r="Q438">
        <v>50</v>
      </c>
      <c r="R438">
        <v>50</v>
      </c>
      <c r="S438" t="s">
        <v>34</v>
      </c>
      <c r="T438" t="s">
        <v>35</v>
      </c>
      <c r="U438" t="s">
        <v>36</v>
      </c>
      <c r="V438" s="4">
        <v>45108</v>
      </c>
      <c r="W438">
        <v>50</v>
      </c>
      <c r="X438">
        <v>0</v>
      </c>
      <c r="Y438">
        <v>50</v>
      </c>
      <c r="Z438">
        <v>0</v>
      </c>
    </row>
    <row r="439" spans="1:26" hidden="1" x14ac:dyDescent="0.25">
      <c r="A439" t="s">
        <v>1135</v>
      </c>
      <c r="B439" t="s">
        <v>25</v>
      </c>
      <c r="C439" s="4">
        <v>43584</v>
      </c>
      <c r="E439" s="4">
        <v>44552</v>
      </c>
      <c r="F439" s="4">
        <v>44316</v>
      </c>
      <c r="G439" t="s">
        <v>1136</v>
      </c>
      <c r="H439" t="s">
        <v>1137</v>
      </c>
      <c r="K439" t="s">
        <v>67</v>
      </c>
      <c r="L439" t="s">
        <v>574</v>
      </c>
      <c r="M439" t="s">
        <v>68</v>
      </c>
      <c r="N439" t="s">
        <v>31</v>
      </c>
      <c r="O439" t="s">
        <v>32</v>
      </c>
      <c r="P439" t="s">
        <v>1138</v>
      </c>
      <c r="Q439">
        <v>180</v>
      </c>
      <c r="R439">
        <v>180</v>
      </c>
      <c r="S439" t="s">
        <v>56</v>
      </c>
      <c r="T439" t="s">
        <v>57</v>
      </c>
      <c r="U439" t="s">
        <v>70</v>
      </c>
      <c r="V439" s="4">
        <v>45413</v>
      </c>
      <c r="W439">
        <v>180</v>
      </c>
      <c r="X439">
        <v>180</v>
      </c>
      <c r="Y439">
        <v>180</v>
      </c>
      <c r="Z439">
        <v>180</v>
      </c>
    </row>
    <row r="440" spans="1:26" hidden="1" x14ac:dyDescent="0.25">
      <c r="A440" t="s">
        <v>1139</v>
      </c>
      <c r="B440" t="s">
        <v>38</v>
      </c>
      <c r="C440" s="4">
        <v>43584</v>
      </c>
      <c r="D440" s="4">
        <v>44740</v>
      </c>
      <c r="F440" s="4">
        <v>44774</v>
      </c>
      <c r="G440" t="s">
        <v>72</v>
      </c>
      <c r="H440" t="s">
        <v>1140</v>
      </c>
      <c r="K440" t="s">
        <v>209</v>
      </c>
      <c r="L440" t="s">
        <v>574</v>
      </c>
      <c r="M440" t="s">
        <v>42</v>
      </c>
      <c r="N440" t="s">
        <v>31</v>
      </c>
      <c r="O440" t="s">
        <v>32</v>
      </c>
      <c r="P440" t="s">
        <v>1141</v>
      </c>
      <c r="Q440">
        <v>100</v>
      </c>
      <c r="R440">
        <v>100</v>
      </c>
      <c r="S440" t="s">
        <v>34</v>
      </c>
      <c r="T440" t="s">
        <v>35</v>
      </c>
      <c r="U440" t="s">
        <v>44</v>
      </c>
      <c r="W440">
        <v>100</v>
      </c>
      <c r="X440">
        <v>100</v>
      </c>
      <c r="Y440">
        <v>100</v>
      </c>
      <c r="Z440">
        <v>100</v>
      </c>
    </row>
    <row r="441" spans="1:26" hidden="1" x14ac:dyDescent="0.25">
      <c r="A441" t="s">
        <v>1142</v>
      </c>
      <c r="B441" t="s">
        <v>38</v>
      </c>
      <c r="C441" s="4">
        <v>43584</v>
      </c>
      <c r="D441" s="4">
        <v>44047</v>
      </c>
      <c r="F441" s="4">
        <v>44864</v>
      </c>
      <c r="G441" t="s">
        <v>261</v>
      </c>
      <c r="H441" t="s">
        <v>812</v>
      </c>
      <c r="K441" t="s">
        <v>114</v>
      </c>
      <c r="L441" t="s">
        <v>574</v>
      </c>
      <c r="M441" t="s">
        <v>68</v>
      </c>
      <c r="N441" t="s">
        <v>31</v>
      </c>
      <c r="O441" t="s">
        <v>32</v>
      </c>
      <c r="P441" t="s">
        <v>1143</v>
      </c>
      <c r="Q441">
        <v>40</v>
      </c>
      <c r="R441">
        <v>40</v>
      </c>
      <c r="S441" t="s">
        <v>159</v>
      </c>
      <c r="T441" t="s">
        <v>159</v>
      </c>
      <c r="U441" t="s">
        <v>44</v>
      </c>
      <c r="W441">
        <v>0</v>
      </c>
      <c r="X441">
        <v>0</v>
      </c>
      <c r="Y441">
        <v>0</v>
      </c>
      <c r="Z441">
        <v>0</v>
      </c>
    </row>
    <row r="442" spans="1:26" hidden="1" x14ac:dyDescent="0.25">
      <c r="A442" t="s">
        <v>1144</v>
      </c>
      <c r="B442" t="s">
        <v>25</v>
      </c>
      <c r="C442" s="4">
        <v>43584</v>
      </c>
      <c r="E442" s="4">
        <v>44586</v>
      </c>
      <c r="F442" s="4">
        <v>45229</v>
      </c>
      <c r="G442" t="s">
        <v>1145</v>
      </c>
      <c r="H442" t="s">
        <v>812</v>
      </c>
      <c r="K442" t="s">
        <v>114</v>
      </c>
      <c r="L442" t="s">
        <v>574</v>
      </c>
      <c r="M442" t="s">
        <v>68</v>
      </c>
      <c r="N442" t="s">
        <v>31</v>
      </c>
      <c r="O442" t="s">
        <v>32</v>
      </c>
      <c r="P442" t="s">
        <v>1143</v>
      </c>
      <c r="Q442">
        <v>160</v>
      </c>
      <c r="R442">
        <v>160</v>
      </c>
      <c r="S442" t="s">
        <v>34</v>
      </c>
      <c r="T442" t="s">
        <v>35</v>
      </c>
      <c r="U442" t="s">
        <v>70</v>
      </c>
      <c r="V442" s="4">
        <v>45641</v>
      </c>
      <c r="W442">
        <v>150</v>
      </c>
      <c r="X442">
        <v>150</v>
      </c>
      <c r="Y442">
        <v>150</v>
      </c>
      <c r="Z442">
        <v>150</v>
      </c>
    </row>
    <row r="443" spans="1:26" hidden="1" x14ac:dyDescent="0.25">
      <c r="A443" t="s">
        <v>1146</v>
      </c>
      <c r="B443" t="s">
        <v>38</v>
      </c>
      <c r="C443" s="4">
        <v>43584</v>
      </c>
      <c r="D443" s="4">
        <v>44670</v>
      </c>
      <c r="E443" s="4">
        <v>44657</v>
      </c>
      <c r="F443" s="4">
        <v>44774</v>
      </c>
      <c r="G443" t="s">
        <v>144</v>
      </c>
      <c r="H443" t="s">
        <v>1147</v>
      </c>
      <c r="K443" t="s">
        <v>146</v>
      </c>
      <c r="L443" t="s">
        <v>574</v>
      </c>
      <c r="M443" t="s">
        <v>68</v>
      </c>
      <c r="N443" t="s">
        <v>31</v>
      </c>
      <c r="O443" t="s">
        <v>32</v>
      </c>
      <c r="P443" t="s">
        <v>1148</v>
      </c>
      <c r="Q443">
        <v>200</v>
      </c>
      <c r="R443">
        <v>200</v>
      </c>
      <c r="S443" t="s">
        <v>34</v>
      </c>
      <c r="T443" t="s">
        <v>35</v>
      </c>
      <c r="U443" t="s">
        <v>44</v>
      </c>
      <c r="V443" s="4">
        <v>45778</v>
      </c>
      <c r="W443">
        <v>200</v>
      </c>
      <c r="X443">
        <v>200</v>
      </c>
      <c r="Y443">
        <v>200</v>
      </c>
      <c r="Z443">
        <v>200</v>
      </c>
    </row>
    <row r="444" spans="1:26" hidden="1" x14ac:dyDescent="0.25">
      <c r="A444" t="s">
        <v>1149</v>
      </c>
      <c r="B444" t="s">
        <v>25</v>
      </c>
      <c r="C444" s="4">
        <v>43584</v>
      </c>
      <c r="E444" s="4">
        <v>44777</v>
      </c>
      <c r="F444" s="4">
        <v>45229</v>
      </c>
      <c r="G444" t="s">
        <v>149</v>
      </c>
      <c r="H444" t="s">
        <v>150</v>
      </c>
      <c r="K444" t="s">
        <v>151</v>
      </c>
      <c r="L444" t="s">
        <v>574</v>
      </c>
      <c r="M444" t="s">
        <v>68</v>
      </c>
      <c r="N444" t="s">
        <v>31</v>
      </c>
      <c r="O444" t="s">
        <v>122</v>
      </c>
      <c r="P444" t="s">
        <v>1150</v>
      </c>
      <c r="Q444">
        <v>165</v>
      </c>
      <c r="R444">
        <v>165</v>
      </c>
      <c r="S444" t="s">
        <v>34</v>
      </c>
      <c r="T444" t="s">
        <v>35</v>
      </c>
      <c r="U444" t="s">
        <v>70</v>
      </c>
      <c r="V444" s="4">
        <v>45778</v>
      </c>
      <c r="W444">
        <v>105</v>
      </c>
      <c r="X444">
        <v>105</v>
      </c>
      <c r="Y444">
        <v>105</v>
      </c>
      <c r="Z444">
        <v>0</v>
      </c>
    </row>
    <row r="445" spans="1:26" hidden="1" x14ac:dyDescent="0.25">
      <c r="A445" t="s">
        <v>1151</v>
      </c>
      <c r="B445" t="s">
        <v>38</v>
      </c>
      <c r="C445" s="4">
        <v>43584</v>
      </c>
      <c r="D445" s="4">
        <v>43844</v>
      </c>
      <c r="F445" s="4">
        <v>45229</v>
      </c>
      <c r="G445" t="s">
        <v>65</v>
      </c>
      <c r="H445" t="s">
        <v>423</v>
      </c>
      <c r="K445" t="s">
        <v>67</v>
      </c>
      <c r="L445" t="s">
        <v>574</v>
      </c>
      <c r="M445" t="s">
        <v>68</v>
      </c>
      <c r="N445" t="s">
        <v>31</v>
      </c>
      <c r="O445" t="s">
        <v>32</v>
      </c>
      <c r="P445" t="s">
        <v>1152</v>
      </c>
      <c r="Q445">
        <v>100</v>
      </c>
      <c r="R445">
        <v>100</v>
      </c>
      <c r="S445" t="s">
        <v>34</v>
      </c>
      <c r="T445" t="s">
        <v>35</v>
      </c>
      <c r="U445" t="s">
        <v>44</v>
      </c>
      <c r="W445">
        <v>0</v>
      </c>
      <c r="X445">
        <v>0</v>
      </c>
      <c r="Y445">
        <v>0</v>
      </c>
      <c r="Z445">
        <v>0</v>
      </c>
    </row>
    <row r="446" spans="1:26" hidden="1" x14ac:dyDescent="0.25">
      <c r="A446" t="s">
        <v>1153</v>
      </c>
      <c r="B446" t="s">
        <v>25</v>
      </c>
      <c r="C446" s="4">
        <v>43584</v>
      </c>
      <c r="F446" s="4">
        <v>42217</v>
      </c>
      <c r="G446" t="s">
        <v>72</v>
      </c>
      <c r="H446" t="s">
        <v>805</v>
      </c>
      <c r="K446" t="s">
        <v>209</v>
      </c>
      <c r="L446" t="s">
        <v>574</v>
      </c>
      <c r="M446" t="s">
        <v>42</v>
      </c>
      <c r="N446" t="s">
        <v>31</v>
      </c>
      <c r="O446" t="s">
        <v>32</v>
      </c>
      <c r="P446" t="s">
        <v>1115</v>
      </c>
      <c r="Q446">
        <v>200</v>
      </c>
      <c r="R446">
        <v>200</v>
      </c>
      <c r="S446" t="s">
        <v>34</v>
      </c>
      <c r="T446" t="s">
        <v>35</v>
      </c>
      <c r="U446" t="s">
        <v>44</v>
      </c>
      <c r="V446" s="4">
        <v>45901</v>
      </c>
      <c r="W446">
        <v>200</v>
      </c>
      <c r="X446">
        <v>200</v>
      </c>
      <c r="Y446">
        <v>200</v>
      </c>
      <c r="Z446">
        <v>200</v>
      </c>
    </row>
    <row r="447" spans="1:26" hidden="1" x14ac:dyDescent="0.25">
      <c r="A447" t="s">
        <v>1154</v>
      </c>
      <c r="B447" t="s">
        <v>25</v>
      </c>
      <c r="C447" s="4">
        <v>43584</v>
      </c>
      <c r="F447" s="4">
        <v>44774</v>
      </c>
      <c r="G447" t="s">
        <v>39</v>
      </c>
      <c r="H447" t="s">
        <v>447</v>
      </c>
      <c r="K447" t="s">
        <v>41</v>
      </c>
      <c r="L447" t="s">
        <v>574</v>
      </c>
      <c r="M447" t="s">
        <v>42</v>
      </c>
      <c r="N447" t="s">
        <v>31</v>
      </c>
      <c r="O447" t="s">
        <v>32</v>
      </c>
      <c r="P447" t="s">
        <v>1155</v>
      </c>
      <c r="Q447">
        <v>100</v>
      </c>
      <c r="R447">
        <v>100</v>
      </c>
      <c r="S447" t="s">
        <v>34</v>
      </c>
      <c r="T447" t="s">
        <v>35</v>
      </c>
      <c r="U447" t="s">
        <v>70</v>
      </c>
      <c r="V447" s="4">
        <v>45931</v>
      </c>
      <c r="W447">
        <v>100</v>
      </c>
      <c r="X447">
        <v>100</v>
      </c>
      <c r="Y447">
        <v>100</v>
      </c>
      <c r="Z447">
        <v>100</v>
      </c>
    </row>
    <row r="448" spans="1:26" hidden="1" x14ac:dyDescent="0.25">
      <c r="A448" t="s">
        <v>1156</v>
      </c>
      <c r="B448" t="s">
        <v>38</v>
      </c>
      <c r="C448" s="4">
        <v>43584</v>
      </c>
      <c r="D448" s="4">
        <v>44613</v>
      </c>
      <c r="F448" s="4">
        <v>44774</v>
      </c>
      <c r="G448" t="s">
        <v>39</v>
      </c>
      <c r="H448" t="s">
        <v>1157</v>
      </c>
      <c r="K448" t="s">
        <v>41</v>
      </c>
      <c r="L448" t="s">
        <v>574</v>
      </c>
      <c r="M448" t="s">
        <v>42</v>
      </c>
      <c r="N448" t="s">
        <v>31</v>
      </c>
      <c r="O448" t="s">
        <v>32</v>
      </c>
      <c r="P448" t="s">
        <v>1158</v>
      </c>
      <c r="Q448">
        <v>150</v>
      </c>
      <c r="R448">
        <v>150</v>
      </c>
      <c r="S448" t="s">
        <v>159</v>
      </c>
      <c r="T448" t="s">
        <v>159</v>
      </c>
      <c r="U448" t="s">
        <v>44</v>
      </c>
      <c r="W448">
        <v>150</v>
      </c>
      <c r="X448">
        <v>150</v>
      </c>
      <c r="Y448">
        <v>0</v>
      </c>
      <c r="Z448">
        <v>0</v>
      </c>
    </row>
    <row r="449" spans="1:26" hidden="1" x14ac:dyDescent="0.25">
      <c r="A449" t="s">
        <v>1159</v>
      </c>
      <c r="B449" t="s">
        <v>38</v>
      </c>
      <c r="C449" s="4">
        <v>43584</v>
      </c>
      <c r="D449" s="4">
        <v>45349</v>
      </c>
      <c r="F449" s="4">
        <v>44805</v>
      </c>
      <c r="G449" t="s">
        <v>254</v>
      </c>
      <c r="H449" t="s">
        <v>1072</v>
      </c>
      <c r="K449" t="s">
        <v>98</v>
      </c>
      <c r="L449" t="s">
        <v>574</v>
      </c>
      <c r="M449" t="s">
        <v>84</v>
      </c>
      <c r="N449" t="s">
        <v>31</v>
      </c>
      <c r="O449" t="s">
        <v>32</v>
      </c>
      <c r="P449" t="s">
        <v>1160</v>
      </c>
      <c r="Q449">
        <v>250</v>
      </c>
      <c r="R449">
        <v>250</v>
      </c>
      <c r="S449" t="s">
        <v>34</v>
      </c>
      <c r="T449" t="s">
        <v>35</v>
      </c>
      <c r="U449" t="s">
        <v>38</v>
      </c>
      <c r="V449" s="4">
        <v>45863</v>
      </c>
      <c r="W449">
        <v>250</v>
      </c>
      <c r="X449">
        <v>250</v>
      </c>
      <c r="Y449">
        <v>250</v>
      </c>
      <c r="Z449">
        <v>250</v>
      </c>
    </row>
    <row r="450" spans="1:26" hidden="1" x14ac:dyDescent="0.25">
      <c r="A450" t="s">
        <v>1161</v>
      </c>
      <c r="B450" t="s">
        <v>38</v>
      </c>
      <c r="C450" s="4">
        <v>43584</v>
      </c>
      <c r="D450" s="4">
        <v>44701</v>
      </c>
      <c r="F450" s="4">
        <v>44774</v>
      </c>
      <c r="G450" t="s">
        <v>681</v>
      </c>
      <c r="H450" t="s">
        <v>1162</v>
      </c>
      <c r="K450" t="s">
        <v>683</v>
      </c>
      <c r="L450" t="s">
        <v>574</v>
      </c>
      <c r="M450" t="s">
        <v>84</v>
      </c>
      <c r="N450" t="s">
        <v>31</v>
      </c>
      <c r="O450" t="s">
        <v>32</v>
      </c>
      <c r="P450" t="s">
        <v>1163</v>
      </c>
      <c r="Q450">
        <v>150</v>
      </c>
      <c r="R450">
        <v>150</v>
      </c>
      <c r="S450" t="s">
        <v>34</v>
      </c>
      <c r="T450" t="s">
        <v>35</v>
      </c>
      <c r="U450" t="s">
        <v>44</v>
      </c>
      <c r="W450">
        <v>150</v>
      </c>
      <c r="X450">
        <v>150</v>
      </c>
      <c r="Y450">
        <v>0</v>
      </c>
      <c r="Z450">
        <v>0</v>
      </c>
    </row>
    <row r="451" spans="1:26" hidden="1" x14ac:dyDescent="0.25">
      <c r="A451" t="s">
        <v>1164</v>
      </c>
      <c r="B451" t="s">
        <v>38</v>
      </c>
      <c r="C451" s="4">
        <v>43584</v>
      </c>
      <c r="D451" s="4">
        <v>44237</v>
      </c>
      <c r="F451" s="4">
        <v>44774</v>
      </c>
      <c r="G451" t="s">
        <v>52</v>
      </c>
      <c r="H451" t="s">
        <v>225</v>
      </c>
      <c r="K451" t="s">
        <v>53</v>
      </c>
      <c r="L451" t="s">
        <v>574</v>
      </c>
      <c r="M451" t="s">
        <v>54</v>
      </c>
      <c r="N451" t="s">
        <v>31</v>
      </c>
      <c r="O451" t="s">
        <v>32</v>
      </c>
      <c r="P451" t="s">
        <v>1165</v>
      </c>
      <c r="Q451">
        <v>100</v>
      </c>
      <c r="R451">
        <v>100</v>
      </c>
      <c r="S451" t="s">
        <v>34</v>
      </c>
      <c r="T451" t="s">
        <v>35</v>
      </c>
      <c r="U451" t="s">
        <v>44</v>
      </c>
      <c r="W451">
        <v>0</v>
      </c>
      <c r="X451">
        <v>0</v>
      </c>
      <c r="Y451">
        <v>0</v>
      </c>
      <c r="Z451">
        <v>0</v>
      </c>
    </row>
    <row r="452" spans="1:26" hidden="1" x14ac:dyDescent="0.25">
      <c r="A452" t="s">
        <v>1166</v>
      </c>
      <c r="B452" t="s">
        <v>25</v>
      </c>
      <c r="C452" s="4">
        <v>43584</v>
      </c>
      <c r="F452" s="4">
        <v>44774</v>
      </c>
      <c r="G452" t="s">
        <v>1167</v>
      </c>
      <c r="H452" t="s">
        <v>1168</v>
      </c>
      <c r="K452" t="s">
        <v>683</v>
      </c>
      <c r="L452" t="s">
        <v>574</v>
      </c>
      <c r="M452" t="s">
        <v>84</v>
      </c>
      <c r="N452" t="s">
        <v>31</v>
      </c>
      <c r="O452" t="s">
        <v>32</v>
      </c>
      <c r="P452" t="s">
        <v>1169</v>
      </c>
      <c r="Q452">
        <v>150</v>
      </c>
      <c r="R452">
        <v>150</v>
      </c>
      <c r="S452" t="s">
        <v>34</v>
      </c>
      <c r="T452" t="s">
        <v>35</v>
      </c>
      <c r="U452" t="s">
        <v>44</v>
      </c>
      <c r="V452" s="4">
        <v>45870</v>
      </c>
      <c r="W452">
        <v>150</v>
      </c>
      <c r="X452">
        <v>150</v>
      </c>
      <c r="Y452">
        <v>150</v>
      </c>
      <c r="Z452">
        <v>150</v>
      </c>
    </row>
    <row r="453" spans="1:26" hidden="1" x14ac:dyDescent="0.25">
      <c r="A453" t="s">
        <v>1170</v>
      </c>
      <c r="B453" t="s">
        <v>38</v>
      </c>
      <c r="C453" s="4">
        <v>43581</v>
      </c>
      <c r="D453" s="4">
        <v>43957</v>
      </c>
      <c r="F453" s="4">
        <v>44864</v>
      </c>
      <c r="G453" t="s">
        <v>72</v>
      </c>
      <c r="H453" t="s">
        <v>200</v>
      </c>
      <c r="K453" t="s">
        <v>53</v>
      </c>
      <c r="L453" t="s">
        <v>574</v>
      </c>
      <c r="M453" t="s">
        <v>54</v>
      </c>
      <c r="N453" t="s">
        <v>31</v>
      </c>
      <c r="O453" t="s">
        <v>32</v>
      </c>
      <c r="P453" t="s">
        <v>257</v>
      </c>
      <c r="Q453">
        <v>25</v>
      </c>
      <c r="R453">
        <v>25</v>
      </c>
      <c r="S453" t="s">
        <v>159</v>
      </c>
      <c r="T453" t="s">
        <v>159</v>
      </c>
      <c r="U453" t="s">
        <v>44</v>
      </c>
      <c r="W453">
        <v>0</v>
      </c>
      <c r="X453">
        <v>0</v>
      </c>
      <c r="Y453">
        <v>0</v>
      </c>
      <c r="Z453">
        <v>0</v>
      </c>
    </row>
    <row r="454" spans="1:26" hidden="1" x14ac:dyDescent="0.25">
      <c r="A454" t="s">
        <v>1171</v>
      </c>
      <c r="B454" t="s">
        <v>38</v>
      </c>
      <c r="C454" s="4">
        <v>43584</v>
      </c>
      <c r="D454" s="4">
        <v>44273</v>
      </c>
      <c r="F454" s="4">
        <v>44864</v>
      </c>
      <c r="G454" t="s">
        <v>616</v>
      </c>
      <c r="H454" t="s">
        <v>1172</v>
      </c>
      <c r="K454" t="s">
        <v>146</v>
      </c>
      <c r="L454" t="s">
        <v>574</v>
      </c>
      <c r="M454" t="s">
        <v>68</v>
      </c>
      <c r="N454" t="s">
        <v>31</v>
      </c>
      <c r="O454" t="s">
        <v>32</v>
      </c>
      <c r="P454" t="s">
        <v>1173</v>
      </c>
      <c r="Q454">
        <v>200</v>
      </c>
      <c r="R454">
        <v>200</v>
      </c>
      <c r="S454" t="s">
        <v>34</v>
      </c>
      <c r="T454" t="s">
        <v>35</v>
      </c>
      <c r="U454" t="s">
        <v>44</v>
      </c>
      <c r="W454">
        <v>75</v>
      </c>
      <c r="X454">
        <v>75</v>
      </c>
      <c r="Y454">
        <v>0</v>
      </c>
      <c r="Z454">
        <v>0</v>
      </c>
    </row>
    <row r="455" spans="1:26" hidden="1" x14ac:dyDescent="0.25">
      <c r="A455" t="s">
        <v>1174</v>
      </c>
      <c r="B455" t="s">
        <v>25</v>
      </c>
      <c r="C455" s="4">
        <v>43584</v>
      </c>
      <c r="F455" s="4">
        <v>44681</v>
      </c>
      <c r="G455" t="s">
        <v>117</v>
      </c>
      <c r="H455" t="s">
        <v>222</v>
      </c>
      <c r="K455" t="s">
        <v>83</v>
      </c>
      <c r="L455" t="s">
        <v>574</v>
      </c>
      <c r="M455" t="s">
        <v>84</v>
      </c>
      <c r="N455" t="s">
        <v>31</v>
      </c>
      <c r="O455" t="s">
        <v>32</v>
      </c>
      <c r="P455" t="s">
        <v>1175</v>
      </c>
      <c r="Q455">
        <v>188.3</v>
      </c>
      <c r="R455">
        <v>188.3</v>
      </c>
      <c r="S455" t="s">
        <v>56</v>
      </c>
      <c r="T455" t="s">
        <v>57</v>
      </c>
      <c r="U455" t="s">
        <v>36</v>
      </c>
      <c r="V455" s="4">
        <v>44684</v>
      </c>
      <c r="W455">
        <v>165</v>
      </c>
      <c r="X455">
        <v>165</v>
      </c>
      <c r="Y455">
        <v>165</v>
      </c>
      <c r="Z455">
        <v>165</v>
      </c>
    </row>
    <row r="456" spans="1:26" hidden="1" x14ac:dyDescent="0.25">
      <c r="A456" t="s">
        <v>1176</v>
      </c>
      <c r="B456" t="s">
        <v>25</v>
      </c>
      <c r="C456" s="4">
        <v>43584</v>
      </c>
      <c r="F456" s="4">
        <v>44681</v>
      </c>
      <c r="G456" t="s">
        <v>117</v>
      </c>
      <c r="H456" t="s">
        <v>222</v>
      </c>
      <c r="K456" t="s">
        <v>83</v>
      </c>
      <c r="L456" t="s">
        <v>574</v>
      </c>
      <c r="M456" t="s">
        <v>84</v>
      </c>
      <c r="N456" t="s">
        <v>31</v>
      </c>
      <c r="O456" t="s">
        <v>122</v>
      </c>
      <c r="P456" t="s">
        <v>1177</v>
      </c>
      <c r="Q456">
        <v>58.5</v>
      </c>
      <c r="R456">
        <v>58.5</v>
      </c>
      <c r="S456" t="s">
        <v>56</v>
      </c>
      <c r="T456" t="s">
        <v>57</v>
      </c>
      <c r="U456" t="s">
        <v>454</v>
      </c>
      <c r="V456" s="4">
        <v>44426</v>
      </c>
      <c r="W456">
        <v>40.9</v>
      </c>
      <c r="X456">
        <v>40.9</v>
      </c>
      <c r="Y456">
        <v>40.9</v>
      </c>
      <c r="Z456">
        <v>0</v>
      </c>
    </row>
    <row r="457" spans="1:26" x14ac:dyDescent="0.25">
      <c r="A457" t="s">
        <v>1178</v>
      </c>
      <c r="B457" t="s">
        <v>38</v>
      </c>
      <c r="C457" s="4">
        <v>43584</v>
      </c>
      <c r="D457" s="4">
        <v>44816</v>
      </c>
      <c r="E457" s="4">
        <v>44666</v>
      </c>
      <c r="F457" s="4">
        <v>44774</v>
      </c>
      <c r="G457" t="s">
        <v>616</v>
      </c>
      <c r="H457" t="s">
        <v>2028</v>
      </c>
      <c r="I457" t="s">
        <v>7655</v>
      </c>
      <c r="K457" t="s">
        <v>146</v>
      </c>
      <c r="L457" t="s">
        <v>574</v>
      </c>
      <c r="M457" t="s">
        <v>68</v>
      </c>
      <c r="N457" t="s">
        <v>31</v>
      </c>
      <c r="O457" t="s">
        <v>32</v>
      </c>
      <c r="P457" t="s">
        <v>1179</v>
      </c>
      <c r="Q457">
        <v>150</v>
      </c>
      <c r="R457">
        <v>150</v>
      </c>
      <c r="S457" t="s">
        <v>34</v>
      </c>
      <c r="T457" t="s">
        <v>35</v>
      </c>
      <c r="U457" t="s">
        <v>44</v>
      </c>
      <c r="V457" s="4">
        <v>45901</v>
      </c>
      <c r="W457">
        <v>150</v>
      </c>
      <c r="X457">
        <v>150</v>
      </c>
      <c r="Y457">
        <v>150</v>
      </c>
      <c r="Z457">
        <v>150</v>
      </c>
    </row>
    <row r="458" spans="1:26" hidden="1" x14ac:dyDescent="0.25">
      <c r="A458" t="s">
        <v>1180</v>
      </c>
      <c r="B458" t="s">
        <v>38</v>
      </c>
      <c r="C458" s="4">
        <v>43584</v>
      </c>
      <c r="D458" s="4">
        <v>44805</v>
      </c>
      <c r="F458" s="4">
        <v>45170</v>
      </c>
      <c r="G458" t="s">
        <v>177</v>
      </c>
      <c r="H458" t="s">
        <v>1181</v>
      </c>
      <c r="K458" t="s">
        <v>185</v>
      </c>
      <c r="L458" t="s">
        <v>574</v>
      </c>
      <c r="M458" t="s">
        <v>42</v>
      </c>
      <c r="N458" t="s">
        <v>31</v>
      </c>
      <c r="O458" t="s">
        <v>32</v>
      </c>
      <c r="P458" t="s">
        <v>1182</v>
      </c>
      <c r="Q458">
        <v>300</v>
      </c>
      <c r="R458">
        <v>300</v>
      </c>
      <c r="S458" t="s">
        <v>56</v>
      </c>
      <c r="T458" t="s">
        <v>57</v>
      </c>
      <c r="U458" t="s">
        <v>44</v>
      </c>
      <c r="W458">
        <v>300</v>
      </c>
      <c r="X458">
        <v>300</v>
      </c>
      <c r="Y458">
        <v>300</v>
      </c>
      <c r="Z458">
        <v>300</v>
      </c>
    </row>
    <row r="459" spans="1:26" hidden="1" x14ac:dyDescent="0.25">
      <c r="A459" t="s">
        <v>1183</v>
      </c>
      <c r="B459" t="s">
        <v>38</v>
      </c>
      <c r="C459" s="4">
        <v>43584</v>
      </c>
      <c r="D459" s="4">
        <v>44413</v>
      </c>
      <c r="F459" s="4">
        <v>44742</v>
      </c>
      <c r="G459" t="s">
        <v>101</v>
      </c>
      <c r="H459" t="s">
        <v>815</v>
      </c>
      <c r="K459" t="s">
        <v>98</v>
      </c>
      <c r="L459" t="s">
        <v>574</v>
      </c>
      <c r="M459" t="s">
        <v>84</v>
      </c>
      <c r="N459" t="s">
        <v>31</v>
      </c>
      <c r="O459" t="s">
        <v>32</v>
      </c>
      <c r="P459" t="s">
        <v>1184</v>
      </c>
      <c r="Q459">
        <v>200</v>
      </c>
      <c r="R459">
        <v>200</v>
      </c>
      <c r="S459" t="s">
        <v>34</v>
      </c>
      <c r="T459" t="s">
        <v>35</v>
      </c>
      <c r="U459" t="s">
        <v>44</v>
      </c>
      <c r="W459">
        <v>0</v>
      </c>
      <c r="X459">
        <v>0</v>
      </c>
      <c r="Y459">
        <v>0</v>
      </c>
      <c r="Z459">
        <v>0</v>
      </c>
    </row>
    <row r="460" spans="1:26" hidden="1" x14ac:dyDescent="0.25">
      <c r="A460" t="s">
        <v>1185</v>
      </c>
      <c r="B460" t="s">
        <v>25</v>
      </c>
      <c r="C460" s="4">
        <v>43584</v>
      </c>
      <c r="E460" s="4">
        <v>44586</v>
      </c>
      <c r="F460" s="4">
        <v>44774</v>
      </c>
      <c r="G460" t="s">
        <v>261</v>
      </c>
      <c r="H460" t="s">
        <v>166</v>
      </c>
      <c r="K460" t="s">
        <v>114</v>
      </c>
      <c r="L460" t="s">
        <v>574</v>
      </c>
      <c r="M460" t="s">
        <v>68</v>
      </c>
      <c r="N460" t="s">
        <v>31</v>
      </c>
      <c r="O460" t="s">
        <v>32</v>
      </c>
      <c r="P460" t="s">
        <v>1186</v>
      </c>
      <c r="Q460">
        <v>200</v>
      </c>
      <c r="R460">
        <v>200</v>
      </c>
      <c r="S460" t="s">
        <v>34</v>
      </c>
      <c r="T460" t="s">
        <v>35</v>
      </c>
      <c r="U460" t="s">
        <v>70</v>
      </c>
      <c r="V460" s="4">
        <v>45641</v>
      </c>
      <c r="W460">
        <v>200</v>
      </c>
      <c r="X460">
        <v>170</v>
      </c>
      <c r="Y460">
        <v>200</v>
      </c>
      <c r="Z460">
        <v>170</v>
      </c>
    </row>
    <row r="461" spans="1:26" hidden="1" x14ac:dyDescent="0.25">
      <c r="A461" t="s">
        <v>1187</v>
      </c>
      <c r="B461" t="s">
        <v>38</v>
      </c>
      <c r="C461" s="4">
        <v>43584</v>
      </c>
      <c r="D461" s="4">
        <v>43857</v>
      </c>
      <c r="F461" s="4">
        <v>45352</v>
      </c>
      <c r="G461" t="s">
        <v>52</v>
      </c>
      <c r="H461" t="s">
        <v>722</v>
      </c>
      <c r="K461" t="s">
        <v>53</v>
      </c>
      <c r="L461" t="s">
        <v>574</v>
      </c>
      <c r="M461" t="s">
        <v>54</v>
      </c>
      <c r="N461" t="s">
        <v>31</v>
      </c>
      <c r="O461" t="s">
        <v>32</v>
      </c>
      <c r="P461" t="s">
        <v>1188</v>
      </c>
      <c r="Q461">
        <v>670</v>
      </c>
      <c r="R461">
        <v>670</v>
      </c>
      <c r="S461" t="s">
        <v>389</v>
      </c>
      <c r="T461" t="s">
        <v>390</v>
      </c>
      <c r="U461" t="s">
        <v>44</v>
      </c>
      <c r="W461">
        <v>0</v>
      </c>
      <c r="X461">
        <v>0</v>
      </c>
      <c r="Y461">
        <v>0</v>
      </c>
      <c r="Z461">
        <v>0</v>
      </c>
    </row>
    <row r="462" spans="1:26" hidden="1" x14ac:dyDescent="0.25">
      <c r="A462" t="s">
        <v>1189</v>
      </c>
      <c r="B462" t="s">
        <v>25</v>
      </c>
      <c r="C462" s="4">
        <v>43584</v>
      </c>
      <c r="F462" s="4">
        <v>44742</v>
      </c>
      <c r="G462" t="s">
        <v>26</v>
      </c>
      <c r="H462" t="s">
        <v>416</v>
      </c>
      <c r="K462" t="s">
        <v>28</v>
      </c>
      <c r="L462" t="s">
        <v>574</v>
      </c>
      <c r="M462" t="s">
        <v>30</v>
      </c>
      <c r="N462" t="s">
        <v>31</v>
      </c>
      <c r="O462" t="s">
        <v>32</v>
      </c>
      <c r="P462" t="s">
        <v>1190</v>
      </c>
      <c r="Q462">
        <v>200</v>
      </c>
      <c r="R462">
        <v>200</v>
      </c>
      <c r="S462" t="s">
        <v>34</v>
      </c>
      <c r="T462" t="s">
        <v>35</v>
      </c>
      <c r="U462" t="s">
        <v>70</v>
      </c>
      <c r="V462" s="4">
        <v>45838</v>
      </c>
      <c r="W462">
        <v>200</v>
      </c>
      <c r="X462">
        <v>200</v>
      </c>
      <c r="Y462">
        <v>200</v>
      </c>
      <c r="Z462">
        <v>170</v>
      </c>
    </row>
    <row r="463" spans="1:26" hidden="1" x14ac:dyDescent="0.25">
      <c r="A463" t="s">
        <v>1191</v>
      </c>
      <c r="B463" t="s">
        <v>38</v>
      </c>
      <c r="C463" s="4">
        <v>43584</v>
      </c>
      <c r="D463" s="4">
        <v>44279</v>
      </c>
      <c r="F463" s="4">
        <v>44774</v>
      </c>
      <c r="G463" t="s">
        <v>39</v>
      </c>
      <c r="H463" t="s">
        <v>1192</v>
      </c>
      <c r="K463" t="s">
        <v>41</v>
      </c>
      <c r="L463" t="s">
        <v>574</v>
      </c>
      <c r="M463" t="s">
        <v>42</v>
      </c>
      <c r="N463" t="s">
        <v>31</v>
      </c>
      <c r="O463" t="s">
        <v>32</v>
      </c>
      <c r="P463" t="s">
        <v>1193</v>
      </c>
      <c r="Q463">
        <v>50</v>
      </c>
      <c r="R463">
        <v>50</v>
      </c>
      <c r="S463" t="s">
        <v>34</v>
      </c>
      <c r="T463" t="s">
        <v>35</v>
      </c>
      <c r="U463" t="s">
        <v>44</v>
      </c>
      <c r="W463">
        <v>0</v>
      </c>
      <c r="X463">
        <v>0</v>
      </c>
      <c r="Y463">
        <v>0</v>
      </c>
      <c r="Z463">
        <v>0</v>
      </c>
    </row>
    <row r="464" spans="1:26" hidden="1" x14ac:dyDescent="0.25">
      <c r="A464" t="s">
        <v>1194</v>
      </c>
      <c r="B464" t="s">
        <v>38</v>
      </c>
      <c r="C464" s="4">
        <v>43584</v>
      </c>
      <c r="D464" s="4">
        <v>44049</v>
      </c>
      <c r="F464" s="4">
        <v>44774</v>
      </c>
      <c r="G464" t="s">
        <v>144</v>
      </c>
      <c r="H464" t="s">
        <v>509</v>
      </c>
      <c r="K464" t="s">
        <v>146</v>
      </c>
      <c r="L464" t="s">
        <v>574</v>
      </c>
      <c r="M464" t="s">
        <v>68</v>
      </c>
      <c r="N464" t="s">
        <v>31</v>
      </c>
      <c r="O464" t="s">
        <v>32</v>
      </c>
      <c r="P464" t="s">
        <v>1195</v>
      </c>
      <c r="Q464">
        <v>150</v>
      </c>
      <c r="R464">
        <v>150</v>
      </c>
      <c r="S464" t="s">
        <v>34</v>
      </c>
      <c r="T464" t="s">
        <v>35</v>
      </c>
      <c r="U464" t="s">
        <v>44</v>
      </c>
      <c r="W464">
        <v>0</v>
      </c>
      <c r="X464">
        <v>0</v>
      </c>
      <c r="Y464">
        <v>0</v>
      </c>
      <c r="Z464">
        <v>0</v>
      </c>
    </row>
    <row r="465" spans="1:26" hidden="1" x14ac:dyDescent="0.25">
      <c r="A465" t="s">
        <v>1196</v>
      </c>
      <c r="B465" t="s">
        <v>38</v>
      </c>
      <c r="C465" s="4">
        <v>43584</v>
      </c>
      <c r="D465" s="4">
        <v>45447</v>
      </c>
      <c r="E465" s="4">
        <v>44658</v>
      </c>
      <c r="F465" s="4">
        <v>44489</v>
      </c>
      <c r="G465" t="s">
        <v>144</v>
      </c>
      <c r="H465" t="s">
        <v>1197</v>
      </c>
      <c r="K465" t="s">
        <v>146</v>
      </c>
      <c r="L465" t="s">
        <v>574</v>
      </c>
      <c r="M465" t="s">
        <v>68</v>
      </c>
      <c r="N465" t="s">
        <v>31</v>
      </c>
      <c r="O465" t="s">
        <v>122</v>
      </c>
      <c r="P465" t="s">
        <v>1198</v>
      </c>
      <c r="Q465">
        <v>150</v>
      </c>
      <c r="R465">
        <v>150</v>
      </c>
      <c r="S465" t="s">
        <v>34</v>
      </c>
      <c r="T465" t="s">
        <v>35</v>
      </c>
      <c r="U465" t="s">
        <v>38</v>
      </c>
      <c r="V465" s="4">
        <v>45231</v>
      </c>
      <c r="W465">
        <v>150</v>
      </c>
      <c r="X465">
        <v>45</v>
      </c>
      <c r="Y465">
        <v>150</v>
      </c>
      <c r="Z465">
        <v>0</v>
      </c>
    </row>
    <row r="466" spans="1:26" x14ac:dyDescent="0.25">
      <c r="A466" t="s">
        <v>1199</v>
      </c>
      <c r="B466" t="s">
        <v>25</v>
      </c>
      <c r="C466" s="4">
        <v>43584</v>
      </c>
      <c r="F466" s="4">
        <v>44681</v>
      </c>
      <c r="G466" t="s">
        <v>132</v>
      </c>
      <c r="H466" t="s">
        <v>1075</v>
      </c>
      <c r="I466" t="s">
        <v>818</v>
      </c>
      <c r="J466" t="s">
        <v>7113</v>
      </c>
      <c r="K466" t="s">
        <v>83</v>
      </c>
      <c r="L466" t="s">
        <v>574</v>
      </c>
      <c r="M466" t="s">
        <v>84</v>
      </c>
      <c r="N466" t="s">
        <v>31</v>
      </c>
      <c r="O466" t="s">
        <v>32</v>
      </c>
      <c r="P466" t="s">
        <v>1200</v>
      </c>
      <c r="Q466">
        <v>592.79999999999995</v>
      </c>
      <c r="R466">
        <v>592.79999999999995</v>
      </c>
      <c r="S466" t="s">
        <v>34</v>
      </c>
      <c r="T466" t="s">
        <v>35</v>
      </c>
      <c r="U466" t="s">
        <v>36</v>
      </c>
      <c r="V466" s="4">
        <v>45354</v>
      </c>
      <c r="W466">
        <v>592.79999999999995</v>
      </c>
      <c r="X466">
        <v>592.79999999999995</v>
      </c>
      <c r="Y466">
        <v>592.79999999999995</v>
      </c>
      <c r="Z466">
        <v>592.79999999999995</v>
      </c>
    </row>
    <row r="467" spans="1:26" x14ac:dyDescent="0.25">
      <c r="A467" t="s">
        <v>1201</v>
      </c>
      <c r="B467" t="s">
        <v>25</v>
      </c>
      <c r="C467" s="4">
        <v>43584</v>
      </c>
      <c r="E467" s="4">
        <v>44666</v>
      </c>
      <c r="F467" s="4">
        <v>44774</v>
      </c>
      <c r="G467" t="s">
        <v>144</v>
      </c>
      <c r="H467" t="s">
        <v>2846</v>
      </c>
      <c r="I467" t="s">
        <v>7656</v>
      </c>
      <c r="K467" t="s">
        <v>146</v>
      </c>
      <c r="L467" t="s">
        <v>574</v>
      </c>
      <c r="M467" t="s">
        <v>68</v>
      </c>
      <c r="N467" t="s">
        <v>31</v>
      </c>
      <c r="O467" t="s">
        <v>32</v>
      </c>
      <c r="P467" t="s">
        <v>1202</v>
      </c>
      <c r="Q467">
        <v>150</v>
      </c>
      <c r="R467">
        <v>150</v>
      </c>
      <c r="S467" t="s">
        <v>34</v>
      </c>
      <c r="T467" t="s">
        <v>35</v>
      </c>
      <c r="U467" t="s">
        <v>44</v>
      </c>
      <c r="V467" s="4">
        <v>45627</v>
      </c>
      <c r="W467">
        <v>150</v>
      </c>
      <c r="X467">
        <v>150</v>
      </c>
      <c r="Y467">
        <v>150</v>
      </c>
      <c r="Z467">
        <v>150</v>
      </c>
    </row>
    <row r="468" spans="1:26" hidden="1" x14ac:dyDescent="0.25">
      <c r="A468" t="s">
        <v>1203</v>
      </c>
      <c r="B468" t="s">
        <v>25</v>
      </c>
      <c r="C468" s="4">
        <v>43584</v>
      </c>
      <c r="F468" s="4">
        <v>44774</v>
      </c>
      <c r="G468" t="s">
        <v>681</v>
      </c>
      <c r="H468" t="s">
        <v>785</v>
      </c>
      <c r="K468" t="s">
        <v>683</v>
      </c>
      <c r="L468" t="s">
        <v>574</v>
      </c>
      <c r="M468" t="s">
        <v>84</v>
      </c>
      <c r="N468" t="s">
        <v>31</v>
      </c>
      <c r="O468" t="s">
        <v>32</v>
      </c>
      <c r="P468" t="s">
        <v>1204</v>
      </c>
      <c r="Q468">
        <v>250</v>
      </c>
      <c r="R468">
        <v>250</v>
      </c>
      <c r="S468" t="s">
        <v>34</v>
      </c>
      <c r="T468" t="s">
        <v>35</v>
      </c>
      <c r="U468" t="s">
        <v>44</v>
      </c>
      <c r="V468" s="4">
        <v>45870</v>
      </c>
      <c r="W468">
        <v>250</v>
      </c>
      <c r="X468">
        <v>250</v>
      </c>
      <c r="Y468">
        <v>250</v>
      </c>
      <c r="Z468">
        <v>250</v>
      </c>
    </row>
    <row r="469" spans="1:26" hidden="1" x14ac:dyDescent="0.25">
      <c r="A469" t="s">
        <v>1205</v>
      </c>
      <c r="B469" t="s">
        <v>38</v>
      </c>
      <c r="C469" s="4">
        <v>43584</v>
      </c>
      <c r="D469" s="4">
        <v>44279</v>
      </c>
      <c r="F469" s="4">
        <v>44774</v>
      </c>
      <c r="G469" t="s">
        <v>72</v>
      </c>
      <c r="H469" t="s">
        <v>1140</v>
      </c>
      <c r="K469" t="s">
        <v>209</v>
      </c>
      <c r="L469" t="s">
        <v>574</v>
      </c>
      <c r="M469" t="s">
        <v>42</v>
      </c>
      <c r="N469" t="s">
        <v>31</v>
      </c>
      <c r="O469" t="s">
        <v>32</v>
      </c>
      <c r="P469" t="s">
        <v>1206</v>
      </c>
      <c r="Q469">
        <v>150</v>
      </c>
      <c r="R469">
        <v>150</v>
      </c>
      <c r="S469" t="s">
        <v>56</v>
      </c>
      <c r="T469" t="s">
        <v>57</v>
      </c>
      <c r="U469" t="s">
        <v>44</v>
      </c>
      <c r="W469">
        <v>0</v>
      </c>
      <c r="X469">
        <v>0</v>
      </c>
      <c r="Y469">
        <v>0</v>
      </c>
      <c r="Z469">
        <v>0</v>
      </c>
    </row>
    <row r="470" spans="1:26" hidden="1" x14ac:dyDescent="0.25">
      <c r="A470" t="s">
        <v>1207</v>
      </c>
      <c r="B470" t="s">
        <v>38</v>
      </c>
      <c r="C470" s="4">
        <v>43584</v>
      </c>
      <c r="D470" s="4">
        <v>44613</v>
      </c>
      <c r="F470" s="4">
        <v>44774</v>
      </c>
      <c r="G470" t="s">
        <v>39</v>
      </c>
      <c r="H470" t="s">
        <v>349</v>
      </c>
      <c r="K470" t="s">
        <v>41</v>
      </c>
      <c r="L470" t="s">
        <v>574</v>
      </c>
      <c r="M470" t="s">
        <v>42</v>
      </c>
      <c r="N470" t="s">
        <v>31</v>
      </c>
      <c r="O470" t="s">
        <v>32</v>
      </c>
      <c r="P470" t="s">
        <v>1208</v>
      </c>
      <c r="Q470">
        <v>100</v>
      </c>
      <c r="R470">
        <v>100</v>
      </c>
      <c r="S470" t="s">
        <v>159</v>
      </c>
      <c r="T470" t="s">
        <v>159</v>
      </c>
      <c r="U470" t="s">
        <v>44</v>
      </c>
      <c r="W470">
        <v>100</v>
      </c>
      <c r="X470">
        <v>100</v>
      </c>
      <c r="Y470">
        <v>0</v>
      </c>
      <c r="Z470">
        <v>0</v>
      </c>
    </row>
    <row r="471" spans="1:26" hidden="1" x14ac:dyDescent="0.25">
      <c r="A471" t="s">
        <v>1209</v>
      </c>
      <c r="B471" t="s">
        <v>38</v>
      </c>
      <c r="C471" s="4">
        <v>43584</v>
      </c>
      <c r="D471" s="4">
        <v>44049</v>
      </c>
      <c r="F471" s="4">
        <v>44774</v>
      </c>
      <c r="G471" t="s">
        <v>65</v>
      </c>
      <c r="H471" t="s">
        <v>66</v>
      </c>
      <c r="K471" t="s">
        <v>67</v>
      </c>
      <c r="L471" t="s">
        <v>574</v>
      </c>
      <c r="M471" t="s">
        <v>68</v>
      </c>
      <c r="N471" t="s">
        <v>31</v>
      </c>
      <c r="O471" t="s">
        <v>32</v>
      </c>
      <c r="P471" t="s">
        <v>1210</v>
      </c>
      <c r="Q471">
        <v>200</v>
      </c>
      <c r="R471">
        <v>200</v>
      </c>
      <c r="S471" t="s">
        <v>34</v>
      </c>
      <c r="T471" t="s">
        <v>35</v>
      </c>
      <c r="U471" t="s">
        <v>44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1211</v>
      </c>
      <c r="B472" t="s">
        <v>25</v>
      </c>
      <c r="C472" s="4">
        <v>43584</v>
      </c>
      <c r="F472" s="4">
        <v>43585</v>
      </c>
      <c r="G472" t="s">
        <v>101</v>
      </c>
      <c r="H472" t="s">
        <v>447</v>
      </c>
      <c r="I472" t="s">
        <v>180</v>
      </c>
      <c r="K472" t="s">
        <v>98</v>
      </c>
      <c r="L472" t="s">
        <v>574</v>
      </c>
      <c r="M472" t="s">
        <v>84</v>
      </c>
      <c r="N472" t="s">
        <v>31</v>
      </c>
      <c r="O472" t="s">
        <v>1110</v>
      </c>
      <c r="P472" t="s">
        <v>1212</v>
      </c>
      <c r="Q472">
        <v>30</v>
      </c>
      <c r="R472">
        <v>30</v>
      </c>
      <c r="S472" t="s">
        <v>56</v>
      </c>
      <c r="T472" t="s">
        <v>57</v>
      </c>
      <c r="U472" t="s">
        <v>44</v>
      </c>
      <c r="V472" s="4">
        <v>45006</v>
      </c>
      <c r="W472">
        <v>0</v>
      </c>
      <c r="X472">
        <v>30</v>
      </c>
      <c r="Y472">
        <v>0</v>
      </c>
      <c r="Z472">
        <v>30</v>
      </c>
    </row>
    <row r="473" spans="1:26" hidden="1" x14ac:dyDescent="0.25">
      <c r="A473" t="s">
        <v>1213</v>
      </c>
      <c r="B473" t="s">
        <v>38</v>
      </c>
      <c r="C473" s="4">
        <v>43584</v>
      </c>
      <c r="D473" s="4">
        <v>44613</v>
      </c>
      <c r="F473" s="4">
        <v>44774</v>
      </c>
      <c r="G473" t="s">
        <v>72</v>
      </c>
      <c r="H473" t="s">
        <v>827</v>
      </c>
      <c r="K473" t="s">
        <v>209</v>
      </c>
      <c r="L473" t="s">
        <v>574</v>
      </c>
      <c r="M473" t="s">
        <v>42</v>
      </c>
      <c r="N473" t="s">
        <v>31</v>
      </c>
      <c r="O473" t="s">
        <v>32</v>
      </c>
      <c r="P473" t="s">
        <v>1214</v>
      </c>
      <c r="Q473">
        <v>200</v>
      </c>
      <c r="R473">
        <v>200</v>
      </c>
      <c r="S473" t="s">
        <v>34</v>
      </c>
      <c r="T473" t="s">
        <v>35</v>
      </c>
      <c r="U473" t="s">
        <v>44</v>
      </c>
      <c r="W473">
        <v>200</v>
      </c>
      <c r="X473">
        <v>200</v>
      </c>
      <c r="Y473">
        <v>0</v>
      </c>
      <c r="Z473">
        <v>0</v>
      </c>
    </row>
    <row r="474" spans="1:26" hidden="1" x14ac:dyDescent="0.25">
      <c r="A474" t="s">
        <v>1215</v>
      </c>
      <c r="B474" t="s">
        <v>25</v>
      </c>
      <c r="C474" s="4">
        <v>43584</v>
      </c>
      <c r="E474" s="4">
        <v>44790</v>
      </c>
      <c r="F474" s="4">
        <v>44774</v>
      </c>
      <c r="G474" t="s">
        <v>52</v>
      </c>
      <c r="H474" t="s">
        <v>90</v>
      </c>
      <c r="K474" t="s">
        <v>53</v>
      </c>
      <c r="L474" t="s">
        <v>574</v>
      </c>
      <c r="M474" t="s">
        <v>54</v>
      </c>
      <c r="N474" t="s">
        <v>31</v>
      </c>
      <c r="O474" t="s">
        <v>32</v>
      </c>
      <c r="P474" t="s">
        <v>1216</v>
      </c>
      <c r="Q474">
        <v>100</v>
      </c>
      <c r="R474">
        <v>100</v>
      </c>
      <c r="S474" t="s">
        <v>34</v>
      </c>
      <c r="T474" t="s">
        <v>35</v>
      </c>
      <c r="U474" t="s">
        <v>44</v>
      </c>
      <c r="V474" s="4">
        <v>45382</v>
      </c>
      <c r="W474">
        <v>100</v>
      </c>
      <c r="X474">
        <v>100</v>
      </c>
      <c r="Y474">
        <v>100</v>
      </c>
      <c r="Z474">
        <v>100</v>
      </c>
    </row>
    <row r="475" spans="1:26" hidden="1" x14ac:dyDescent="0.25">
      <c r="A475" t="s">
        <v>1217</v>
      </c>
      <c r="B475" t="s">
        <v>38</v>
      </c>
      <c r="C475" s="4">
        <v>43584</v>
      </c>
      <c r="D475" s="4">
        <v>44279</v>
      </c>
      <c r="F475" s="4">
        <v>44774</v>
      </c>
      <c r="G475" t="s">
        <v>39</v>
      </c>
      <c r="H475" t="s">
        <v>543</v>
      </c>
      <c r="K475" t="s">
        <v>41</v>
      </c>
      <c r="L475" t="s">
        <v>574</v>
      </c>
      <c r="M475" t="s">
        <v>42</v>
      </c>
      <c r="N475" t="s">
        <v>31</v>
      </c>
      <c r="O475" t="s">
        <v>32</v>
      </c>
      <c r="P475" t="s">
        <v>1218</v>
      </c>
      <c r="Q475">
        <v>100</v>
      </c>
      <c r="R475">
        <v>100</v>
      </c>
      <c r="S475" t="s">
        <v>34</v>
      </c>
      <c r="T475" t="s">
        <v>35</v>
      </c>
      <c r="U475" t="s">
        <v>44</v>
      </c>
      <c r="W475">
        <v>0</v>
      </c>
      <c r="X475">
        <v>0</v>
      </c>
      <c r="Y475">
        <v>0</v>
      </c>
      <c r="Z475">
        <v>0</v>
      </c>
    </row>
    <row r="476" spans="1:26" hidden="1" x14ac:dyDescent="0.25">
      <c r="A476" t="s">
        <v>1219</v>
      </c>
      <c r="B476" t="s">
        <v>38</v>
      </c>
      <c r="C476" s="4">
        <v>43584</v>
      </c>
      <c r="D476" s="4">
        <v>45244</v>
      </c>
      <c r="E476" s="4">
        <v>44952</v>
      </c>
      <c r="F476" s="4">
        <v>44743</v>
      </c>
      <c r="G476" t="s">
        <v>39</v>
      </c>
      <c r="H476" t="s">
        <v>994</v>
      </c>
      <c r="K476" t="s">
        <v>28</v>
      </c>
      <c r="L476" t="s">
        <v>574</v>
      </c>
      <c r="M476" t="s">
        <v>42</v>
      </c>
      <c r="N476" t="s">
        <v>31</v>
      </c>
      <c r="O476" t="s">
        <v>32</v>
      </c>
      <c r="P476" t="s">
        <v>1220</v>
      </c>
      <c r="Q476">
        <v>200</v>
      </c>
      <c r="R476">
        <v>200</v>
      </c>
      <c r="S476" t="s">
        <v>34</v>
      </c>
      <c r="T476" t="s">
        <v>35</v>
      </c>
      <c r="U476" t="s">
        <v>38</v>
      </c>
      <c r="V476" s="4">
        <v>45839</v>
      </c>
      <c r="W476">
        <v>200</v>
      </c>
      <c r="X476">
        <v>200</v>
      </c>
      <c r="Y476">
        <v>180</v>
      </c>
      <c r="Z476">
        <v>180</v>
      </c>
    </row>
    <row r="477" spans="1:26" hidden="1" x14ac:dyDescent="0.25">
      <c r="A477" t="s">
        <v>1221</v>
      </c>
      <c r="B477" t="s">
        <v>25</v>
      </c>
      <c r="C477" s="4">
        <v>43584</v>
      </c>
      <c r="F477" s="4">
        <v>44669</v>
      </c>
      <c r="G477" t="s">
        <v>117</v>
      </c>
      <c r="H477" t="s">
        <v>546</v>
      </c>
      <c r="K477" t="s">
        <v>83</v>
      </c>
      <c r="L477" t="s">
        <v>574</v>
      </c>
      <c r="M477" t="s">
        <v>84</v>
      </c>
      <c r="N477" t="s">
        <v>31</v>
      </c>
      <c r="O477" t="s">
        <v>32</v>
      </c>
      <c r="P477" t="s">
        <v>1222</v>
      </c>
      <c r="Q477">
        <v>75</v>
      </c>
      <c r="R477">
        <v>75</v>
      </c>
      <c r="S477" t="s">
        <v>34</v>
      </c>
      <c r="T477" t="s">
        <v>35</v>
      </c>
      <c r="U477" t="s">
        <v>44</v>
      </c>
      <c r="V477" s="4">
        <v>45048</v>
      </c>
      <c r="W477">
        <v>75</v>
      </c>
      <c r="X477">
        <v>75</v>
      </c>
      <c r="Y477">
        <v>75</v>
      </c>
      <c r="Z477">
        <v>75</v>
      </c>
    </row>
    <row r="478" spans="1:26" hidden="1" x14ac:dyDescent="0.25">
      <c r="A478" t="s">
        <v>1223</v>
      </c>
      <c r="B478" t="s">
        <v>38</v>
      </c>
      <c r="C478" s="4">
        <v>43584</v>
      </c>
      <c r="D478" s="4">
        <v>44279</v>
      </c>
      <c r="F478" s="4">
        <v>45200</v>
      </c>
      <c r="G478" t="s">
        <v>72</v>
      </c>
      <c r="H478" t="s">
        <v>423</v>
      </c>
      <c r="K478" t="s">
        <v>209</v>
      </c>
      <c r="L478" t="s">
        <v>574</v>
      </c>
      <c r="M478" t="s">
        <v>42</v>
      </c>
      <c r="N478" t="s">
        <v>31</v>
      </c>
      <c r="O478" t="s">
        <v>32</v>
      </c>
      <c r="P478" t="s">
        <v>1224</v>
      </c>
      <c r="Q478">
        <v>25</v>
      </c>
      <c r="R478">
        <v>25</v>
      </c>
      <c r="S478" t="s">
        <v>159</v>
      </c>
      <c r="T478" t="s">
        <v>159</v>
      </c>
      <c r="U478" t="s">
        <v>44</v>
      </c>
      <c r="W478">
        <v>0</v>
      </c>
      <c r="X478">
        <v>0</v>
      </c>
      <c r="Y478">
        <v>0</v>
      </c>
      <c r="Z478">
        <v>0</v>
      </c>
    </row>
    <row r="479" spans="1:26" hidden="1" x14ac:dyDescent="0.25">
      <c r="A479" t="s">
        <v>1225</v>
      </c>
      <c r="B479" t="s">
        <v>25</v>
      </c>
      <c r="C479" s="4">
        <v>43584</v>
      </c>
      <c r="E479" s="4">
        <v>44952</v>
      </c>
      <c r="F479" s="4">
        <v>44470</v>
      </c>
      <c r="G479" t="s">
        <v>128</v>
      </c>
      <c r="H479" t="s">
        <v>82</v>
      </c>
      <c r="K479" t="s">
        <v>209</v>
      </c>
      <c r="L479" t="s">
        <v>574</v>
      </c>
      <c r="M479" t="s">
        <v>42</v>
      </c>
      <c r="N479" t="s">
        <v>31</v>
      </c>
      <c r="O479" t="s">
        <v>32</v>
      </c>
      <c r="P479" t="s">
        <v>1226</v>
      </c>
      <c r="Q479">
        <v>50</v>
      </c>
      <c r="R479">
        <v>50</v>
      </c>
      <c r="S479" t="s">
        <v>159</v>
      </c>
      <c r="T479" t="s">
        <v>159</v>
      </c>
      <c r="U479" t="s">
        <v>44</v>
      </c>
      <c r="V479" s="4">
        <v>45566</v>
      </c>
      <c r="W479">
        <v>50</v>
      </c>
      <c r="X479">
        <v>50</v>
      </c>
      <c r="Y479">
        <v>50</v>
      </c>
      <c r="Z479">
        <v>50</v>
      </c>
    </row>
    <row r="480" spans="1:26" hidden="1" x14ac:dyDescent="0.25">
      <c r="A480" t="s">
        <v>1227</v>
      </c>
      <c r="B480" t="s">
        <v>38</v>
      </c>
      <c r="C480" s="4">
        <v>43584</v>
      </c>
      <c r="D480" s="4">
        <v>44610</v>
      </c>
      <c r="F480" s="4">
        <v>44470</v>
      </c>
      <c r="G480" t="s">
        <v>72</v>
      </c>
      <c r="H480" t="s">
        <v>432</v>
      </c>
      <c r="K480" t="s">
        <v>209</v>
      </c>
      <c r="L480" t="s">
        <v>574</v>
      </c>
      <c r="M480" t="s">
        <v>42</v>
      </c>
      <c r="N480" t="s">
        <v>31</v>
      </c>
      <c r="O480" t="s">
        <v>32</v>
      </c>
      <c r="P480" t="s">
        <v>1228</v>
      </c>
      <c r="Q480">
        <v>25</v>
      </c>
      <c r="R480">
        <v>25</v>
      </c>
      <c r="S480" t="s">
        <v>159</v>
      </c>
      <c r="T480" t="s">
        <v>159</v>
      </c>
      <c r="U480" t="s">
        <v>44</v>
      </c>
      <c r="W480">
        <v>25</v>
      </c>
      <c r="X480">
        <v>25</v>
      </c>
      <c r="Y480">
        <v>0</v>
      </c>
      <c r="Z480">
        <v>0</v>
      </c>
    </row>
    <row r="481" spans="1:26" hidden="1" x14ac:dyDescent="0.25">
      <c r="A481" t="s">
        <v>1229</v>
      </c>
      <c r="B481" t="s">
        <v>38</v>
      </c>
      <c r="C481" s="4">
        <v>43584</v>
      </c>
      <c r="D481" s="4">
        <v>44610</v>
      </c>
      <c r="F481" s="4">
        <v>45200</v>
      </c>
      <c r="G481" t="s">
        <v>72</v>
      </c>
      <c r="H481" t="s">
        <v>432</v>
      </c>
      <c r="K481" t="s">
        <v>209</v>
      </c>
      <c r="L481" t="s">
        <v>574</v>
      </c>
      <c r="M481" t="s">
        <v>42</v>
      </c>
      <c r="N481" t="s">
        <v>31</v>
      </c>
      <c r="O481" t="s">
        <v>32</v>
      </c>
      <c r="P481" t="s">
        <v>1230</v>
      </c>
      <c r="Q481">
        <v>100</v>
      </c>
      <c r="R481">
        <v>100</v>
      </c>
      <c r="S481" t="s">
        <v>159</v>
      </c>
      <c r="T481" t="s">
        <v>159</v>
      </c>
      <c r="U481" t="s">
        <v>44</v>
      </c>
      <c r="W481">
        <v>100</v>
      </c>
      <c r="X481">
        <v>100</v>
      </c>
      <c r="Y481">
        <v>0</v>
      </c>
      <c r="Z481">
        <v>0</v>
      </c>
    </row>
    <row r="482" spans="1:26" hidden="1" x14ac:dyDescent="0.25">
      <c r="A482" t="s">
        <v>1231</v>
      </c>
      <c r="B482" t="s">
        <v>38</v>
      </c>
      <c r="C482" s="4">
        <v>43584</v>
      </c>
      <c r="D482" s="4">
        <v>43935</v>
      </c>
      <c r="F482" s="4">
        <v>44047</v>
      </c>
      <c r="G482" t="s">
        <v>128</v>
      </c>
      <c r="H482" t="s">
        <v>1232</v>
      </c>
      <c r="K482" t="s">
        <v>209</v>
      </c>
      <c r="L482" t="s">
        <v>574</v>
      </c>
      <c r="M482" t="s">
        <v>42</v>
      </c>
      <c r="N482" t="s">
        <v>31</v>
      </c>
      <c r="O482" t="s">
        <v>32</v>
      </c>
      <c r="P482" t="s">
        <v>1233</v>
      </c>
      <c r="Q482">
        <v>70</v>
      </c>
      <c r="R482">
        <v>70</v>
      </c>
      <c r="S482" t="s">
        <v>56</v>
      </c>
      <c r="T482" t="s">
        <v>57</v>
      </c>
      <c r="U482" t="s">
        <v>44</v>
      </c>
      <c r="W482">
        <v>0</v>
      </c>
      <c r="X482">
        <v>0</v>
      </c>
      <c r="Y482">
        <v>0</v>
      </c>
      <c r="Z482">
        <v>0</v>
      </c>
    </row>
    <row r="483" spans="1:26" hidden="1" x14ac:dyDescent="0.25">
      <c r="A483" t="s">
        <v>1234</v>
      </c>
      <c r="B483" t="s">
        <v>25</v>
      </c>
      <c r="C483" s="4">
        <v>43584</v>
      </c>
      <c r="F483" s="4">
        <v>44788</v>
      </c>
      <c r="G483" t="s">
        <v>101</v>
      </c>
      <c r="H483" t="s">
        <v>1018</v>
      </c>
      <c r="K483" t="s">
        <v>98</v>
      </c>
      <c r="L483" t="s">
        <v>574</v>
      </c>
      <c r="M483" t="s">
        <v>84</v>
      </c>
      <c r="N483" t="s">
        <v>31</v>
      </c>
      <c r="O483" t="s">
        <v>32</v>
      </c>
      <c r="P483" t="s">
        <v>1019</v>
      </c>
      <c r="Q483">
        <v>200</v>
      </c>
      <c r="R483">
        <v>200</v>
      </c>
      <c r="S483" t="s">
        <v>34</v>
      </c>
      <c r="T483" t="s">
        <v>35</v>
      </c>
      <c r="U483" t="s">
        <v>44</v>
      </c>
      <c r="V483" s="4">
        <v>45884</v>
      </c>
      <c r="W483">
        <v>200</v>
      </c>
      <c r="X483">
        <v>200</v>
      </c>
      <c r="Y483">
        <v>200</v>
      </c>
      <c r="Z483">
        <v>200</v>
      </c>
    </row>
    <row r="484" spans="1:26" hidden="1" x14ac:dyDescent="0.25">
      <c r="A484" t="s">
        <v>1235</v>
      </c>
      <c r="B484" t="s">
        <v>25</v>
      </c>
      <c r="C484" s="4">
        <v>43584</v>
      </c>
      <c r="F484" s="4">
        <v>44788</v>
      </c>
      <c r="G484" t="s">
        <v>254</v>
      </c>
      <c r="H484" t="s">
        <v>429</v>
      </c>
      <c r="K484" t="s">
        <v>98</v>
      </c>
      <c r="L484" t="s">
        <v>574</v>
      </c>
      <c r="M484" t="s">
        <v>84</v>
      </c>
      <c r="N484" t="s">
        <v>31</v>
      </c>
      <c r="O484" t="s">
        <v>32</v>
      </c>
      <c r="P484" t="s">
        <v>1236</v>
      </c>
      <c r="Q484">
        <v>150</v>
      </c>
      <c r="R484">
        <v>150</v>
      </c>
      <c r="S484" t="s">
        <v>34</v>
      </c>
      <c r="T484" t="s">
        <v>35</v>
      </c>
      <c r="U484" t="s">
        <v>44</v>
      </c>
      <c r="V484" s="4">
        <v>45413</v>
      </c>
      <c r="W484">
        <v>150</v>
      </c>
      <c r="X484">
        <v>150</v>
      </c>
      <c r="Y484">
        <v>150</v>
      </c>
      <c r="Z484">
        <v>150</v>
      </c>
    </row>
    <row r="485" spans="1:26" hidden="1" x14ac:dyDescent="0.25">
      <c r="A485" t="s">
        <v>1237</v>
      </c>
      <c r="B485" t="s">
        <v>25</v>
      </c>
      <c r="C485" s="4">
        <v>43584</v>
      </c>
      <c r="F485" s="4">
        <v>45229</v>
      </c>
      <c r="G485" t="s">
        <v>26</v>
      </c>
      <c r="H485" t="s">
        <v>1238</v>
      </c>
      <c r="K485" t="s">
        <v>28</v>
      </c>
      <c r="L485" t="s">
        <v>574</v>
      </c>
      <c r="M485" t="s">
        <v>30</v>
      </c>
      <c r="N485" t="s">
        <v>31</v>
      </c>
      <c r="O485" t="s">
        <v>122</v>
      </c>
      <c r="P485" t="s">
        <v>1239</v>
      </c>
      <c r="Q485">
        <v>99</v>
      </c>
      <c r="R485">
        <v>99</v>
      </c>
      <c r="S485" t="s">
        <v>56</v>
      </c>
      <c r="T485" t="s">
        <v>57</v>
      </c>
      <c r="U485" t="s">
        <v>44</v>
      </c>
      <c r="V485" s="4">
        <v>46266</v>
      </c>
      <c r="W485">
        <v>99</v>
      </c>
      <c r="X485">
        <v>0</v>
      </c>
      <c r="Y485">
        <v>99</v>
      </c>
      <c r="Z485">
        <v>0</v>
      </c>
    </row>
    <row r="486" spans="1:26" hidden="1" x14ac:dyDescent="0.25">
      <c r="A486" t="s">
        <v>1240</v>
      </c>
      <c r="B486" t="s">
        <v>38</v>
      </c>
      <c r="C486" s="4">
        <v>43584</v>
      </c>
      <c r="D486" s="4">
        <v>43844</v>
      </c>
      <c r="F486" s="4">
        <v>45229</v>
      </c>
      <c r="G486" t="s">
        <v>65</v>
      </c>
      <c r="H486" t="s">
        <v>423</v>
      </c>
      <c r="K486" t="s">
        <v>67</v>
      </c>
      <c r="L486" t="s">
        <v>574</v>
      </c>
      <c r="M486" t="s">
        <v>68</v>
      </c>
      <c r="N486" t="s">
        <v>31</v>
      </c>
      <c r="O486" t="s">
        <v>32</v>
      </c>
      <c r="P486" t="s">
        <v>1152</v>
      </c>
      <c r="Q486">
        <v>25</v>
      </c>
      <c r="R486">
        <v>25</v>
      </c>
      <c r="S486" t="s">
        <v>159</v>
      </c>
      <c r="T486" t="s">
        <v>159</v>
      </c>
      <c r="U486" t="s">
        <v>44</v>
      </c>
      <c r="W486">
        <v>0</v>
      </c>
      <c r="X486">
        <v>0</v>
      </c>
      <c r="Y486">
        <v>0</v>
      </c>
      <c r="Z486">
        <v>0</v>
      </c>
    </row>
    <row r="487" spans="1:26" hidden="1" x14ac:dyDescent="0.25">
      <c r="A487" t="s">
        <v>1241</v>
      </c>
      <c r="B487" t="s">
        <v>25</v>
      </c>
      <c r="C487" s="4">
        <v>43584</v>
      </c>
      <c r="F487" s="4">
        <v>44864</v>
      </c>
      <c r="G487" t="s">
        <v>1242</v>
      </c>
      <c r="H487" t="s">
        <v>1243</v>
      </c>
      <c r="K487" t="s">
        <v>62</v>
      </c>
      <c r="L487" t="s">
        <v>574</v>
      </c>
      <c r="M487" t="s">
        <v>42</v>
      </c>
      <c r="N487" t="s">
        <v>31</v>
      </c>
      <c r="O487" t="s">
        <v>122</v>
      </c>
      <c r="P487" t="s">
        <v>1244</v>
      </c>
      <c r="Q487">
        <v>250</v>
      </c>
      <c r="R487">
        <v>250</v>
      </c>
      <c r="S487" t="s">
        <v>56</v>
      </c>
      <c r="T487" t="s">
        <v>57</v>
      </c>
      <c r="U487" t="s">
        <v>44</v>
      </c>
      <c r="V487" s="4">
        <v>46690</v>
      </c>
      <c r="W487">
        <v>250</v>
      </c>
      <c r="X487">
        <v>0</v>
      </c>
      <c r="Y487">
        <v>250</v>
      </c>
      <c r="Z487">
        <v>0</v>
      </c>
    </row>
    <row r="488" spans="1:26" hidden="1" x14ac:dyDescent="0.25">
      <c r="A488" t="s">
        <v>1245</v>
      </c>
      <c r="B488" t="s">
        <v>38</v>
      </c>
      <c r="C488" s="4">
        <v>43584</v>
      </c>
      <c r="D488" s="4">
        <v>43907</v>
      </c>
      <c r="F488" s="4">
        <v>44561</v>
      </c>
      <c r="G488" t="s">
        <v>26</v>
      </c>
      <c r="H488" t="s">
        <v>1246</v>
      </c>
      <c r="K488" t="s">
        <v>28</v>
      </c>
      <c r="L488" t="s">
        <v>574</v>
      </c>
      <c r="M488" t="s">
        <v>30</v>
      </c>
      <c r="N488" t="s">
        <v>31</v>
      </c>
      <c r="O488" t="s">
        <v>32</v>
      </c>
      <c r="P488" t="s">
        <v>1247</v>
      </c>
      <c r="Q488">
        <v>2.5</v>
      </c>
      <c r="R488">
        <v>2.5</v>
      </c>
      <c r="S488" t="s">
        <v>159</v>
      </c>
      <c r="T488" t="s">
        <v>159</v>
      </c>
      <c r="U488" t="s">
        <v>44</v>
      </c>
      <c r="W488">
        <v>0</v>
      </c>
      <c r="X488">
        <v>0</v>
      </c>
      <c r="Y488">
        <v>0</v>
      </c>
      <c r="Z488">
        <v>0</v>
      </c>
    </row>
    <row r="489" spans="1:26" hidden="1" x14ac:dyDescent="0.25">
      <c r="A489" t="s">
        <v>1248</v>
      </c>
      <c r="B489" t="s">
        <v>38</v>
      </c>
      <c r="C489" s="4">
        <v>43584</v>
      </c>
      <c r="D489" s="4">
        <v>44610</v>
      </c>
      <c r="F489" s="4">
        <v>44317</v>
      </c>
      <c r="G489" t="s">
        <v>72</v>
      </c>
      <c r="H489" t="s">
        <v>413</v>
      </c>
      <c r="K489" t="s">
        <v>41</v>
      </c>
      <c r="L489" t="s">
        <v>574</v>
      </c>
      <c r="M489" t="s">
        <v>42</v>
      </c>
      <c r="N489" t="s">
        <v>31</v>
      </c>
      <c r="O489" t="s">
        <v>32</v>
      </c>
      <c r="P489" t="s">
        <v>1249</v>
      </c>
      <c r="Q489">
        <v>120</v>
      </c>
      <c r="R489">
        <v>120</v>
      </c>
      <c r="S489" t="s">
        <v>56</v>
      </c>
      <c r="T489" t="s">
        <v>57</v>
      </c>
      <c r="U489" t="s">
        <v>44</v>
      </c>
      <c r="W489">
        <v>120</v>
      </c>
      <c r="X489">
        <v>120</v>
      </c>
      <c r="Y489">
        <v>0</v>
      </c>
      <c r="Z489">
        <v>0</v>
      </c>
    </row>
    <row r="490" spans="1:26" hidden="1" x14ac:dyDescent="0.25">
      <c r="A490" t="s">
        <v>1250</v>
      </c>
      <c r="B490" t="s">
        <v>25</v>
      </c>
      <c r="C490" s="4">
        <v>43584</v>
      </c>
      <c r="F490" s="4">
        <v>45382</v>
      </c>
      <c r="G490" t="s">
        <v>1251</v>
      </c>
      <c r="H490" t="s">
        <v>608</v>
      </c>
      <c r="K490" t="s">
        <v>109</v>
      </c>
      <c r="L490" t="s">
        <v>574</v>
      </c>
      <c r="M490" t="s">
        <v>84</v>
      </c>
      <c r="N490" t="s">
        <v>31</v>
      </c>
      <c r="O490" t="s">
        <v>32</v>
      </c>
      <c r="P490" t="s">
        <v>1252</v>
      </c>
      <c r="Q490">
        <v>500</v>
      </c>
      <c r="R490">
        <v>500</v>
      </c>
      <c r="U490" t="s">
        <v>44</v>
      </c>
      <c r="W490">
        <v>500</v>
      </c>
      <c r="X490">
        <v>500</v>
      </c>
      <c r="Y490">
        <v>500</v>
      </c>
      <c r="Z490">
        <v>500</v>
      </c>
    </row>
    <row r="491" spans="1:26" hidden="1" x14ac:dyDescent="0.25">
      <c r="A491" t="s">
        <v>1253</v>
      </c>
      <c r="B491" t="s">
        <v>38</v>
      </c>
      <c r="C491" s="4">
        <v>43584</v>
      </c>
      <c r="D491" s="4">
        <v>43973</v>
      </c>
      <c r="F491" s="4">
        <v>45382</v>
      </c>
      <c r="G491" t="s">
        <v>107</v>
      </c>
      <c r="H491" t="s">
        <v>663</v>
      </c>
      <c r="K491" t="s">
        <v>109</v>
      </c>
      <c r="L491" t="s">
        <v>574</v>
      </c>
      <c r="M491" t="s">
        <v>84</v>
      </c>
      <c r="N491" t="s">
        <v>31</v>
      </c>
      <c r="O491" t="s">
        <v>32</v>
      </c>
      <c r="P491" t="s">
        <v>1254</v>
      </c>
      <c r="Q491">
        <v>500</v>
      </c>
      <c r="R491">
        <v>500</v>
      </c>
      <c r="U491" t="s">
        <v>44</v>
      </c>
      <c r="W491">
        <v>0</v>
      </c>
      <c r="X491">
        <v>0</v>
      </c>
      <c r="Y491">
        <v>0</v>
      </c>
      <c r="Z491">
        <v>0</v>
      </c>
    </row>
    <row r="492" spans="1:26" hidden="1" x14ac:dyDescent="0.25">
      <c r="A492" t="s">
        <v>1255</v>
      </c>
      <c r="B492" t="s">
        <v>25</v>
      </c>
      <c r="C492" s="4">
        <v>43584</v>
      </c>
      <c r="F492" s="4">
        <v>45382</v>
      </c>
      <c r="G492" t="s">
        <v>1251</v>
      </c>
      <c r="H492" t="s">
        <v>608</v>
      </c>
      <c r="K492" t="s">
        <v>109</v>
      </c>
      <c r="L492" t="s">
        <v>574</v>
      </c>
      <c r="M492" t="s">
        <v>84</v>
      </c>
      <c r="N492" t="s">
        <v>31</v>
      </c>
      <c r="O492" t="s">
        <v>32</v>
      </c>
      <c r="P492" t="s">
        <v>1252</v>
      </c>
      <c r="Q492">
        <v>1000</v>
      </c>
      <c r="R492">
        <v>1000</v>
      </c>
      <c r="U492" t="s">
        <v>44</v>
      </c>
      <c r="W492">
        <v>1000</v>
      </c>
      <c r="X492">
        <v>1000</v>
      </c>
      <c r="Y492">
        <v>1000</v>
      </c>
      <c r="Z492">
        <v>940</v>
      </c>
    </row>
    <row r="493" spans="1:26" hidden="1" x14ac:dyDescent="0.25">
      <c r="A493" t="s">
        <v>1256</v>
      </c>
      <c r="B493" t="s">
        <v>38</v>
      </c>
      <c r="C493" s="4">
        <v>43985</v>
      </c>
      <c r="D493" s="4">
        <v>45538</v>
      </c>
      <c r="F493" s="4">
        <v>44910</v>
      </c>
      <c r="G493" t="s">
        <v>1257</v>
      </c>
      <c r="H493" t="s">
        <v>1258</v>
      </c>
      <c r="K493" t="s">
        <v>98</v>
      </c>
      <c r="L493" t="s">
        <v>1259</v>
      </c>
      <c r="M493" t="s">
        <v>84</v>
      </c>
      <c r="N493" t="s">
        <v>31</v>
      </c>
      <c r="O493" t="s">
        <v>32</v>
      </c>
      <c r="P493" t="s">
        <v>1260</v>
      </c>
      <c r="Q493">
        <v>200</v>
      </c>
      <c r="R493">
        <v>200</v>
      </c>
      <c r="S493" t="s">
        <v>159</v>
      </c>
      <c r="T493" t="s">
        <v>159</v>
      </c>
      <c r="U493" t="s">
        <v>44</v>
      </c>
      <c r="W493">
        <v>200</v>
      </c>
      <c r="X493">
        <v>200</v>
      </c>
      <c r="Y493">
        <v>0</v>
      </c>
      <c r="Z493">
        <v>0</v>
      </c>
    </row>
    <row r="494" spans="1:26" hidden="1" x14ac:dyDescent="0.25">
      <c r="A494" t="s">
        <v>1261</v>
      </c>
      <c r="B494" t="s">
        <v>38</v>
      </c>
      <c r="C494" s="4">
        <v>43994</v>
      </c>
      <c r="D494" s="4">
        <v>44979</v>
      </c>
      <c r="F494" s="4">
        <v>45153</v>
      </c>
      <c r="G494" t="s">
        <v>52</v>
      </c>
      <c r="H494" t="s">
        <v>1262</v>
      </c>
      <c r="K494" t="s">
        <v>53</v>
      </c>
      <c r="L494" t="s">
        <v>1259</v>
      </c>
      <c r="M494" t="s">
        <v>54</v>
      </c>
      <c r="N494" t="s">
        <v>31</v>
      </c>
      <c r="O494" t="s">
        <v>32</v>
      </c>
      <c r="P494" t="s">
        <v>1263</v>
      </c>
      <c r="Q494">
        <v>150</v>
      </c>
      <c r="R494">
        <v>150</v>
      </c>
      <c r="S494" t="s">
        <v>159</v>
      </c>
      <c r="T494" t="s">
        <v>159</v>
      </c>
      <c r="U494" t="s">
        <v>44</v>
      </c>
      <c r="W494">
        <v>150</v>
      </c>
      <c r="X494">
        <v>150</v>
      </c>
      <c r="Y494">
        <v>0</v>
      </c>
      <c r="Z494">
        <v>0</v>
      </c>
    </row>
    <row r="495" spans="1:26" hidden="1" x14ac:dyDescent="0.25">
      <c r="A495" t="s">
        <v>1264</v>
      </c>
      <c r="B495" t="s">
        <v>38</v>
      </c>
      <c r="C495" s="4">
        <v>44000</v>
      </c>
      <c r="D495" s="4">
        <v>44201</v>
      </c>
      <c r="F495" s="4">
        <v>45214</v>
      </c>
      <c r="G495" t="s">
        <v>173</v>
      </c>
      <c r="H495" t="s">
        <v>1265</v>
      </c>
      <c r="K495" t="s">
        <v>41</v>
      </c>
      <c r="L495" t="s">
        <v>1259</v>
      </c>
      <c r="M495" t="s">
        <v>42</v>
      </c>
      <c r="N495" t="s">
        <v>31</v>
      </c>
      <c r="O495" t="s">
        <v>32</v>
      </c>
      <c r="P495" t="s">
        <v>1266</v>
      </c>
      <c r="Q495">
        <v>50</v>
      </c>
      <c r="R495">
        <v>50</v>
      </c>
      <c r="S495" t="s">
        <v>159</v>
      </c>
      <c r="T495" t="s">
        <v>159</v>
      </c>
      <c r="U495" t="s">
        <v>44</v>
      </c>
      <c r="W495">
        <v>0</v>
      </c>
      <c r="X495">
        <v>0</v>
      </c>
      <c r="Y495">
        <v>0</v>
      </c>
      <c r="Z495">
        <v>0</v>
      </c>
    </row>
    <row r="496" spans="1:26" hidden="1" x14ac:dyDescent="0.25">
      <c r="A496" t="s">
        <v>1267</v>
      </c>
      <c r="B496" t="s">
        <v>38</v>
      </c>
      <c r="C496" s="4">
        <v>44000</v>
      </c>
      <c r="D496" s="4">
        <v>44957</v>
      </c>
      <c r="F496" s="4">
        <v>45214</v>
      </c>
      <c r="G496" t="s">
        <v>39</v>
      </c>
      <c r="H496" t="s">
        <v>1268</v>
      </c>
      <c r="K496" t="s">
        <v>41</v>
      </c>
      <c r="L496" t="s">
        <v>1259</v>
      </c>
      <c r="M496" t="s">
        <v>42</v>
      </c>
      <c r="N496" t="s">
        <v>31</v>
      </c>
      <c r="O496" t="s">
        <v>32</v>
      </c>
      <c r="P496" t="s">
        <v>1269</v>
      </c>
      <c r="Q496">
        <v>50</v>
      </c>
      <c r="R496">
        <v>50</v>
      </c>
      <c r="S496" t="s">
        <v>159</v>
      </c>
      <c r="T496" t="s">
        <v>159</v>
      </c>
      <c r="U496" t="s">
        <v>44</v>
      </c>
      <c r="W496">
        <v>50</v>
      </c>
      <c r="X496">
        <v>50</v>
      </c>
      <c r="Y496">
        <v>0</v>
      </c>
      <c r="Z496">
        <v>0</v>
      </c>
    </row>
    <row r="497" spans="1:26" hidden="1" x14ac:dyDescent="0.25">
      <c r="A497" t="s">
        <v>1270</v>
      </c>
      <c r="B497" t="s">
        <v>38</v>
      </c>
      <c r="C497" s="4">
        <v>44000</v>
      </c>
      <c r="D497" s="4">
        <v>44957</v>
      </c>
      <c r="F497" s="4">
        <v>45214</v>
      </c>
      <c r="G497" t="s">
        <v>39</v>
      </c>
      <c r="H497" t="s">
        <v>1271</v>
      </c>
      <c r="K497" t="s">
        <v>41</v>
      </c>
      <c r="L497" t="s">
        <v>1259</v>
      </c>
      <c r="M497" t="s">
        <v>42</v>
      </c>
      <c r="N497" t="s">
        <v>31</v>
      </c>
      <c r="O497" t="s">
        <v>32</v>
      </c>
      <c r="P497" t="s">
        <v>1272</v>
      </c>
      <c r="Q497">
        <v>50</v>
      </c>
      <c r="R497">
        <v>50</v>
      </c>
      <c r="S497" t="s">
        <v>159</v>
      </c>
      <c r="T497" t="s">
        <v>159</v>
      </c>
      <c r="U497" t="s">
        <v>44</v>
      </c>
      <c r="W497">
        <v>50</v>
      </c>
      <c r="X497">
        <v>50</v>
      </c>
      <c r="Y497">
        <v>0</v>
      </c>
      <c r="Z497">
        <v>0</v>
      </c>
    </row>
    <row r="498" spans="1:26" hidden="1" x14ac:dyDescent="0.25">
      <c r="A498" t="s">
        <v>1273</v>
      </c>
      <c r="B498" t="s">
        <v>38</v>
      </c>
      <c r="C498" s="4">
        <v>44000</v>
      </c>
      <c r="D498" s="4">
        <v>44517</v>
      </c>
      <c r="F498" s="4">
        <v>45214</v>
      </c>
      <c r="G498" t="s">
        <v>1274</v>
      </c>
      <c r="H498" t="s">
        <v>1275</v>
      </c>
      <c r="K498" t="s">
        <v>41</v>
      </c>
      <c r="L498" t="s">
        <v>1259</v>
      </c>
      <c r="M498" t="s">
        <v>42</v>
      </c>
      <c r="N498" t="s">
        <v>31</v>
      </c>
      <c r="O498" t="s">
        <v>32</v>
      </c>
      <c r="P498" t="s">
        <v>1276</v>
      </c>
      <c r="Q498">
        <v>50</v>
      </c>
      <c r="R498">
        <v>50</v>
      </c>
      <c r="S498" t="s">
        <v>159</v>
      </c>
      <c r="T498" t="s">
        <v>159</v>
      </c>
      <c r="U498" t="s">
        <v>44</v>
      </c>
      <c r="W498">
        <v>0</v>
      </c>
      <c r="X498">
        <v>0</v>
      </c>
      <c r="Y498">
        <v>0</v>
      </c>
      <c r="Z498">
        <v>0</v>
      </c>
    </row>
    <row r="499" spans="1:26" hidden="1" x14ac:dyDescent="0.25">
      <c r="A499" t="s">
        <v>1277</v>
      </c>
      <c r="B499" t="s">
        <v>38</v>
      </c>
      <c r="C499" s="4">
        <v>43993</v>
      </c>
      <c r="D499" s="4">
        <v>45106</v>
      </c>
      <c r="F499" s="4">
        <v>45595</v>
      </c>
      <c r="G499" t="s">
        <v>1278</v>
      </c>
      <c r="H499" t="s">
        <v>1279</v>
      </c>
      <c r="K499" t="s">
        <v>28</v>
      </c>
      <c r="L499" t="s">
        <v>1259</v>
      </c>
      <c r="M499" t="s">
        <v>30</v>
      </c>
      <c r="N499" t="s">
        <v>31</v>
      </c>
      <c r="O499" t="s">
        <v>32</v>
      </c>
      <c r="P499" t="s">
        <v>1280</v>
      </c>
      <c r="Q499">
        <v>125</v>
      </c>
      <c r="R499">
        <v>125</v>
      </c>
      <c r="S499" t="s">
        <v>34</v>
      </c>
      <c r="T499" t="s">
        <v>35</v>
      </c>
      <c r="U499" t="s">
        <v>44</v>
      </c>
      <c r="W499">
        <v>125</v>
      </c>
      <c r="X499">
        <v>110</v>
      </c>
      <c r="Y499">
        <v>125</v>
      </c>
      <c r="Z499">
        <v>110</v>
      </c>
    </row>
    <row r="500" spans="1:26" hidden="1" x14ac:dyDescent="0.25">
      <c r="A500" t="s">
        <v>1281</v>
      </c>
      <c r="B500" t="s">
        <v>38</v>
      </c>
      <c r="C500" s="4">
        <v>43991</v>
      </c>
      <c r="D500" s="4">
        <v>44957</v>
      </c>
      <c r="F500" s="4">
        <v>45170</v>
      </c>
      <c r="G500" t="s">
        <v>39</v>
      </c>
      <c r="H500" t="s">
        <v>1282</v>
      </c>
      <c r="K500" t="s">
        <v>41</v>
      </c>
      <c r="L500" t="s">
        <v>1259</v>
      </c>
      <c r="M500" t="s">
        <v>42</v>
      </c>
      <c r="N500" t="s">
        <v>31</v>
      </c>
      <c r="O500" t="s">
        <v>32</v>
      </c>
      <c r="P500" t="s">
        <v>1283</v>
      </c>
      <c r="Q500">
        <v>50</v>
      </c>
      <c r="R500">
        <v>50</v>
      </c>
      <c r="S500" t="s">
        <v>159</v>
      </c>
      <c r="T500" t="s">
        <v>159</v>
      </c>
      <c r="U500" t="s">
        <v>44</v>
      </c>
      <c r="W500">
        <v>50</v>
      </c>
      <c r="X500">
        <v>50</v>
      </c>
      <c r="Y500">
        <v>0</v>
      </c>
      <c r="Z500">
        <v>0</v>
      </c>
    </row>
    <row r="501" spans="1:26" hidden="1" x14ac:dyDescent="0.25">
      <c r="A501" t="s">
        <v>1284</v>
      </c>
      <c r="B501" t="s">
        <v>38</v>
      </c>
      <c r="C501" s="4">
        <v>43990</v>
      </c>
      <c r="D501" s="4">
        <v>44967</v>
      </c>
      <c r="F501" s="4">
        <v>45170</v>
      </c>
      <c r="G501" t="s">
        <v>65</v>
      </c>
      <c r="H501" t="s">
        <v>1285</v>
      </c>
      <c r="K501" t="s">
        <v>67</v>
      </c>
      <c r="L501" t="s">
        <v>1259</v>
      </c>
      <c r="M501" t="s">
        <v>68</v>
      </c>
      <c r="N501" t="s">
        <v>31</v>
      </c>
      <c r="O501" t="s">
        <v>32</v>
      </c>
      <c r="P501" t="s">
        <v>1286</v>
      </c>
      <c r="Q501">
        <v>50</v>
      </c>
      <c r="R501">
        <v>50</v>
      </c>
      <c r="S501" t="s">
        <v>159</v>
      </c>
      <c r="T501" t="s">
        <v>159</v>
      </c>
      <c r="U501" t="s">
        <v>44</v>
      </c>
      <c r="W501">
        <v>50</v>
      </c>
      <c r="X501">
        <v>50</v>
      </c>
      <c r="Y501">
        <v>0</v>
      </c>
      <c r="Z501">
        <v>0</v>
      </c>
    </row>
    <row r="502" spans="1:26" hidden="1" x14ac:dyDescent="0.25">
      <c r="A502" t="s">
        <v>1287</v>
      </c>
      <c r="B502" t="s">
        <v>38</v>
      </c>
      <c r="C502" s="4">
        <v>44001</v>
      </c>
      <c r="D502" s="4">
        <v>44538</v>
      </c>
      <c r="F502" s="4">
        <v>45229</v>
      </c>
      <c r="G502" t="s">
        <v>112</v>
      </c>
      <c r="H502" t="s">
        <v>1288</v>
      </c>
      <c r="K502" t="s">
        <v>114</v>
      </c>
      <c r="L502" t="s">
        <v>1259</v>
      </c>
      <c r="M502" t="s">
        <v>68</v>
      </c>
      <c r="N502" t="s">
        <v>31</v>
      </c>
      <c r="O502" t="s">
        <v>32</v>
      </c>
      <c r="P502" t="s">
        <v>1289</v>
      </c>
      <c r="Q502">
        <v>150</v>
      </c>
      <c r="R502">
        <v>150</v>
      </c>
      <c r="S502" t="s">
        <v>34</v>
      </c>
      <c r="T502" t="s">
        <v>35</v>
      </c>
      <c r="U502" t="s">
        <v>44</v>
      </c>
      <c r="W502">
        <v>0</v>
      </c>
      <c r="X502">
        <v>0</v>
      </c>
      <c r="Y502">
        <v>0</v>
      </c>
      <c r="Z502">
        <v>0</v>
      </c>
    </row>
    <row r="503" spans="1:26" hidden="1" x14ac:dyDescent="0.25">
      <c r="A503" t="s">
        <v>1290</v>
      </c>
      <c r="B503" t="s">
        <v>38</v>
      </c>
      <c r="C503" s="4">
        <v>43999</v>
      </c>
      <c r="D503" s="4">
        <v>44306</v>
      </c>
      <c r="F503" s="4">
        <v>45169</v>
      </c>
      <c r="G503" t="s">
        <v>117</v>
      </c>
      <c r="H503" t="s">
        <v>1291</v>
      </c>
      <c r="K503" t="s">
        <v>83</v>
      </c>
      <c r="L503" t="s">
        <v>1259</v>
      </c>
      <c r="M503" t="s">
        <v>84</v>
      </c>
      <c r="N503" t="s">
        <v>31</v>
      </c>
      <c r="O503" t="s">
        <v>32</v>
      </c>
      <c r="P503" t="s">
        <v>1292</v>
      </c>
      <c r="Q503">
        <v>0</v>
      </c>
      <c r="R503">
        <v>0</v>
      </c>
      <c r="S503" t="s">
        <v>159</v>
      </c>
      <c r="T503" t="s">
        <v>159</v>
      </c>
      <c r="U503" t="s">
        <v>44</v>
      </c>
      <c r="W503">
        <v>0</v>
      </c>
      <c r="X503">
        <v>0</v>
      </c>
      <c r="Y503">
        <v>0</v>
      </c>
      <c r="Z503">
        <v>0</v>
      </c>
    </row>
    <row r="504" spans="1:26" hidden="1" x14ac:dyDescent="0.25">
      <c r="A504" t="s">
        <v>1293</v>
      </c>
      <c r="B504" t="s">
        <v>25</v>
      </c>
      <c r="C504" s="4">
        <v>44000</v>
      </c>
      <c r="F504" s="4">
        <v>45016</v>
      </c>
      <c r="G504" t="s">
        <v>1294</v>
      </c>
      <c r="H504" t="s">
        <v>1295</v>
      </c>
      <c r="K504" t="s">
        <v>28</v>
      </c>
      <c r="L504" t="s">
        <v>1259</v>
      </c>
      <c r="M504" t="s">
        <v>30</v>
      </c>
      <c r="N504" t="s">
        <v>31</v>
      </c>
      <c r="O504" t="s">
        <v>32</v>
      </c>
      <c r="P504" t="s">
        <v>1296</v>
      </c>
      <c r="Q504">
        <v>225</v>
      </c>
      <c r="R504">
        <v>225</v>
      </c>
      <c r="S504" t="s">
        <v>34</v>
      </c>
      <c r="T504" t="s">
        <v>35</v>
      </c>
      <c r="U504" t="s">
        <v>44</v>
      </c>
      <c r="V504" s="4">
        <v>46023</v>
      </c>
      <c r="W504">
        <v>225</v>
      </c>
      <c r="X504">
        <v>225</v>
      </c>
      <c r="Y504">
        <v>225</v>
      </c>
      <c r="Z504">
        <v>225</v>
      </c>
    </row>
    <row r="505" spans="1:26" hidden="1" x14ac:dyDescent="0.25">
      <c r="A505" t="s">
        <v>1297</v>
      </c>
      <c r="B505" t="s">
        <v>25</v>
      </c>
      <c r="C505" s="4">
        <v>44004</v>
      </c>
      <c r="F505" s="4">
        <v>45596</v>
      </c>
      <c r="G505" t="s">
        <v>72</v>
      </c>
      <c r="H505" t="s">
        <v>1298</v>
      </c>
      <c r="K505" t="s">
        <v>41</v>
      </c>
      <c r="L505" t="s">
        <v>1259</v>
      </c>
      <c r="M505" t="s">
        <v>42</v>
      </c>
      <c r="N505" t="s">
        <v>31</v>
      </c>
      <c r="O505" t="s">
        <v>32</v>
      </c>
      <c r="P505" t="s">
        <v>1299</v>
      </c>
      <c r="Q505">
        <v>150</v>
      </c>
      <c r="R505">
        <v>150</v>
      </c>
      <c r="S505" t="s">
        <v>34</v>
      </c>
      <c r="T505" t="s">
        <v>35</v>
      </c>
      <c r="U505" t="s">
        <v>44</v>
      </c>
      <c r="V505" s="4">
        <v>46691</v>
      </c>
      <c r="W505">
        <v>150</v>
      </c>
      <c r="X505">
        <v>120</v>
      </c>
      <c r="Y505">
        <v>150</v>
      </c>
      <c r="Z505">
        <v>120</v>
      </c>
    </row>
    <row r="506" spans="1:26" hidden="1" x14ac:dyDescent="0.25">
      <c r="A506" t="s">
        <v>1300</v>
      </c>
      <c r="B506" t="s">
        <v>25</v>
      </c>
      <c r="C506" s="4">
        <v>44004</v>
      </c>
      <c r="F506" s="4">
        <v>45596</v>
      </c>
      <c r="G506" t="s">
        <v>72</v>
      </c>
      <c r="H506" t="s">
        <v>1298</v>
      </c>
      <c r="K506" t="s">
        <v>41</v>
      </c>
      <c r="L506" t="s">
        <v>1259</v>
      </c>
      <c r="M506" t="s">
        <v>42</v>
      </c>
      <c r="N506" t="s">
        <v>31</v>
      </c>
      <c r="O506" t="s">
        <v>32</v>
      </c>
      <c r="P506" t="s">
        <v>1299</v>
      </c>
      <c r="Q506">
        <v>150</v>
      </c>
      <c r="R506">
        <v>150</v>
      </c>
      <c r="S506" t="s">
        <v>34</v>
      </c>
      <c r="T506" t="s">
        <v>35</v>
      </c>
      <c r="U506" t="s">
        <v>44</v>
      </c>
      <c r="V506" s="4">
        <v>46691</v>
      </c>
      <c r="W506">
        <v>150</v>
      </c>
      <c r="X506">
        <v>120</v>
      </c>
      <c r="Y506">
        <v>150</v>
      </c>
      <c r="Z506">
        <v>120</v>
      </c>
    </row>
    <row r="507" spans="1:26" hidden="1" x14ac:dyDescent="0.25">
      <c r="A507" t="s">
        <v>1301</v>
      </c>
      <c r="B507" t="s">
        <v>38</v>
      </c>
      <c r="C507" s="4">
        <v>44007</v>
      </c>
      <c r="D507" s="4">
        <v>44187</v>
      </c>
      <c r="F507" s="4">
        <v>45170</v>
      </c>
      <c r="G507" t="s">
        <v>144</v>
      </c>
      <c r="H507" t="s">
        <v>1302</v>
      </c>
      <c r="K507" t="s">
        <v>146</v>
      </c>
      <c r="L507" t="s">
        <v>1259</v>
      </c>
      <c r="M507" t="s">
        <v>68</v>
      </c>
      <c r="N507" t="s">
        <v>31</v>
      </c>
      <c r="O507" t="s">
        <v>32</v>
      </c>
      <c r="P507" t="s">
        <v>1303</v>
      </c>
      <c r="Q507">
        <v>50</v>
      </c>
      <c r="R507">
        <v>50</v>
      </c>
      <c r="S507" t="s">
        <v>159</v>
      </c>
      <c r="T507" t="s">
        <v>159</v>
      </c>
      <c r="U507" t="s">
        <v>44</v>
      </c>
      <c r="W507">
        <v>0</v>
      </c>
      <c r="X507">
        <v>0</v>
      </c>
      <c r="Y507">
        <v>0</v>
      </c>
      <c r="Z507">
        <v>0</v>
      </c>
    </row>
    <row r="508" spans="1:26" hidden="1" x14ac:dyDescent="0.25">
      <c r="A508" t="s">
        <v>1304</v>
      </c>
      <c r="B508" t="s">
        <v>38</v>
      </c>
      <c r="C508" s="4">
        <v>43991</v>
      </c>
      <c r="D508" s="4">
        <v>44187</v>
      </c>
      <c r="F508" s="4">
        <v>45170</v>
      </c>
      <c r="G508" t="s">
        <v>144</v>
      </c>
      <c r="H508" t="s">
        <v>1302</v>
      </c>
      <c r="K508" t="s">
        <v>146</v>
      </c>
      <c r="L508" t="s">
        <v>1259</v>
      </c>
      <c r="M508" t="s">
        <v>68</v>
      </c>
      <c r="N508" t="s">
        <v>31</v>
      </c>
      <c r="O508" t="s">
        <v>32</v>
      </c>
      <c r="P508" t="s">
        <v>1305</v>
      </c>
      <c r="Q508">
        <v>100</v>
      </c>
      <c r="R508">
        <v>100</v>
      </c>
      <c r="S508" t="s">
        <v>34</v>
      </c>
      <c r="T508" t="s">
        <v>35</v>
      </c>
      <c r="U508" t="s">
        <v>44</v>
      </c>
      <c r="W508">
        <v>0</v>
      </c>
      <c r="X508">
        <v>0</v>
      </c>
      <c r="Y508">
        <v>0</v>
      </c>
      <c r="Z508">
        <v>0</v>
      </c>
    </row>
    <row r="509" spans="1:26" hidden="1" x14ac:dyDescent="0.25">
      <c r="A509" t="s">
        <v>1306</v>
      </c>
      <c r="B509" t="s">
        <v>38</v>
      </c>
      <c r="C509" s="4">
        <v>43991</v>
      </c>
      <c r="D509" s="4">
        <v>44187</v>
      </c>
      <c r="F509" s="4">
        <v>45170</v>
      </c>
      <c r="G509" t="s">
        <v>144</v>
      </c>
      <c r="H509" t="s">
        <v>1302</v>
      </c>
      <c r="K509" t="s">
        <v>146</v>
      </c>
      <c r="L509" t="s">
        <v>1259</v>
      </c>
      <c r="M509" t="s">
        <v>68</v>
      </c>
      <c r="N509" t="s">
        <v>31</v>
      </c>
      <c r="O509" t="s">
        <v>32</v>
      </c>
      <c r="P509" t="s">
        <v>1305</v>
      </c>
      <c r="Q509">
        <v>50</v>
      </c>
      <c r="R509">
        <v>50</v>
      </c>
      <c r="S509" t="s">
        <v>159</v>
      </c>
      <c r="T509" t="s">
        <v>159</v>
      </c>
      <c r="U509" t="s">
        <v>44</v>
      </c>
      <c r="W509">
        <v>0</v>
      </c>
      <c r="X509">
        <v>0</v>
      </c>
      <c r="Y509">
        <v>0</v>
      </c>
      <c r="Z509">
        <v>0</v>
      </c>
    </row>
    <row r="510" spans="1:26" hidden="1" x14ac:dyDescent="0.25">
      <c r="A510" t="s">
        <v>1307</v>
      </c>
      <c r="B510" t="s">
        <v>25</v>
      </c>
      <c r="C510" s="4">
        <v>44001</v>
      </c>
      <c r="F510" s="4">
        <v>45170</v>
      </c>
      <c r="G510" t="s">
        <v>1278</v>
      </c>
      <c r="H510" t="s">
        <v>1308</v>
      </c>
      <c r="K510" t="s">
        <v>28</v>
      </c>
      <c r="L510" t="s">
        <v>1259</v>
      </c>
      <c r="M510" t="s">
        <v>30</v>
      </c>
      <c r="N510" t="s">
        <v>31</v>
      </c>
      <c r="O510" t="s">
        <v>32</v>
      </c>
      <c r="P510" t="s">
        <v>1309</v>
      </c>
      <c r="Q510">
        <v>98.9</v>
      </c>
      <c r="R510">
        <v>98.9</v>
      </c>
      <c r="S510" t="s">
        <v>56</v>
      </c>
      <c r="T510" t="s">
        <v>57</v>
      </c>
      <c r="U510" t="s">
        <v>44</v>
      </c>
      <c r="V510" s="4">
        <v>46266</v>
      </c>
      <c r="W510">
        <v>98.9</v>
      </c>
      <c r="X510">
        <v>98.9</v>
      </c>
      <c r="Y510">
        <v>98.9</v>
      </c>
      <c r="Z510">
        <v>98.9</v>
      </c>
    </row>
    <row r="511" spans="1:26" hidden="1" x14ac:dyDescent="0.25">
      <c r="A511" t="s">
        <v>1310</v>
      </c>
      <c r="B511" t="s">
        <v>38</v>
      </c>
      <c r="C511" s="4">
        <v>43992</v>
      </c>
      <c r="D511" s="4">
        <v>45308</v>
      </c>
      <c r="E511" s="4">
        <v>44944</v>
      </c>
      <c r="F511" s="4">
        <v>45170</v>
      </c>
      <c r="G511" t="s">
        <v>1311</v>
      </c>
      <c r="H511" t="s">
        <v>1312</v>
      </c>
      <c r="K511" t="s">
        <v>114</v>
      </c>
      <c r="L511" t="s">
        <v>1259</v>
      </c>
      <c r="M511" t="s">
        <v>68</v>
      </c>
      <c r="N511" t="s">
        <v>31</v>
      </c>
      <c r="O511" t="s">
        <v>32</v>
      </c>
      <c r="P511" t="s">
        <v>1313</v>
      </c>
      <c r="Q511">
        <v>100</v>
      </c>
      <c r="R511">
        <v>100</v>
      </c>
      <c r="S511" t="s">
        <v>34</v>
      </c>
      <c r="T511" t="s">
        <v>35</v>
      </c>
      <c r="U511" t="s">
        <v>44</v>
      </c>
      <c r="V511" s="4">
        <v>46174</v>
      </c>
      <c r="W511">
        <v>100</v>
      </c>
      <c r="X511">
        <v>100</v>
      </c>
      <c r="Y511">
        <v>100</v>
      </c>
      <c r="Z511">
        <v>100</v>
      </c>
    </row>
    <row r="512" spans="1:26" hidden="1" x14ac:dyDescent="0.25">
      <c r="A512" t="s">
        <v>1314</v>
      </c>
      <c r="B512" t="s">
        <v>38</v>
      </c>
      <c r="C512" s="4">
        <v>43998</v>
      </c>
      <c r="D512" s="4">
        <v>45247</v>
      </c>
      <c r="F512" s="4">
        <v>45200</v>
      </c>
      <c r="G512" t="s">
        <v>1278</v>
      </c>
      <c r="H512" t="s">
        <v>1315</v>
      </c>
      <c r="K512" t="s">
        <v>28</v>
      </c>
      <c r="L512" t="s">
        <v>1259</v>
      </c>
      <c r="M512" t="s">
        <v>30</v>
      </c>
      <c r="N512" t="s">
        <v>31</v>
      </c>
      <c r="O512" t="s">
        <v>32</v>
      </c>
      <c r="P512" t="s">
        <v>1316</v>
      </c>
      <c r="Q512">
        <v>100</v>
      </c>
      <c r="R512">
        <v>100</v>
      </c>
      <c r="S512" t="s">
        <v>34</v>
      </c>
      <c r="T512" t="s">
        <v>35</v>
      </c>
      <c r="U512" t="s">
        <v>38</v>
      </c>
      <c r="W512">
        <v>100</v>
      </c>
      <c r="X512">
        <v>100</v>
      </c>
      <c r="Y512">
        <v>100</v>
      </c>
      <c r="Z512">
        <v>100</v>
      </c>
    </row>
    <row r="513" spans="1:26" hidden="1" x14ac:dyDescent="0.25">
      <c r="A513" t="s">
        <v>1317</v>
      </c>
      <c r="B513" t="s">
        <v>38</v>
      </c>
      <c r="C513" s="4">
        <v>44001</v>
      </c>
      <c r="D513" s="4">
        <v>44202</v>
      </c>
      <c r="F513" s="4">
        <v>45169</v>
      </c>
      <c r="G513" t="s">
        <v>39</v>
      </c>
      <c r="H513" t="s">
        <v>1268</v>
      </c>
      <c r="K513" t="s">
        <v>41</v>
      </c>
      <c r="L513" t="s">
        <v>1259</v>
      </c>
      <c r="M513" t="s">
        <v>42</v>
      </c>
      <c r="N513" t="s">
        <v>31</v>
      </c>
      <c r="O513" t="s">
        <v>32</v>
      </c>
      <c r="P513" t="s">
        <v>1318</v>
      </c>
      <c r="Q513">
        <v>26</v>
      </c>
      <c r="R513">
        <v>26</v>
      </c>
      <c r="S513" t="s">
        <v>34</v>
      </c>
      <c r="T513" t="s">
        <v>35</v>
      </c>
      <c r="U513" t="s">
        <v>44</v>
      </c>
      <c r="W513">
        <v>0</v>
      </c>
      <c r="X513">
        <v>0</v>
      </c>
      <c r="Y513">
        <v>0</v>
      </c>
      <c r="Z513">
        <v>0</v>
      </c>
    </row>
    <row r="514" spans="1:26" hidden="1" x14ac:dyDescent="0.25">
      <c r="A514" t="s">
        <v>1319</v>
      </c>
      <c r="B514" t="s">
        <v>38</v>
      </c>
      <c r="C514" s="4">
        <v>44001</v>
      </c>
      <c r="D514" s="4">
        <v>44538</v>
      </c>
      <c r="F514" s="4">
        <v>45170</v>
      </c>
      <c r="G514" t="s">
        <v>1278</v>
      </c>
      <c r="H514" t="s">
        <v>1320</v>
      </c>
      <c r="K514" t="s">
        <v>28</v>
      </c>
      <c r="L514" t="s">
        <v>1259</v>
      </c>
      <c r="M514" t="s">
        <v>30</v>
      </c>
      <c r="N514" t="s">
        <v>31</v>
      </c>
      <c r="O514" t="s">
        <v>32</v>
      </c>
      <c r="P514" t="s">
        <v>1321</v>
      </c>
      <c r="Q514">
        <v>98.9</v>
      </c>
      <c r="R514">
        <v>98.9</v>
      </c>
      <c r="S514" t="s">
        <v>56</v>
      </c>
      <c r="T514" t="s">
        <v>57</v>
      </c>
      <c r="U514" t="s">
        <v>44</v>
      </c>
      <c r="W514">
        <v>0</v>
      </c>
      <c r="X514">
        <v>0</v>
      </c>
      <c r="Y514">
        <v>0</v>
      </c>
      <c r="Z514">
        <v>0</v>
      </c>
    </row>
    <row r="515" spans="1:26" hidden="1" x14ac:dyDescent="0.25">
      <c r="A515" t="s">
        <v>1322</v>
      </c>
      <c r="B515" t="s">
        <v>25</v>
      </c>
      <c r="C515" s="4">
        <v>44614</v>
      </c>
      <c r="F515" s="4">
        <v>45200</v>
      </c>
      <c r="G515" t="s">
        <v>1278</v>
      </c>
      <c r="H515" t="s">
        <v>1323</v>
      </c>
      <c r="K515" t="s">
        <v>28</v>
      </c>
      <c r="L515" t="s">
        <v>1259</v>
      </c>
      <c r="M515" t="s">
        <v>30</v>
      </c>
      <c r="N515" t="s">
        <v>31</v>
      </c>
      <c r="O515" t="s">
        <v>32</v>
      </c>
      <c r="P515" t="s">
        <v>1324</v>
      </c>
      <c r="Q515">
        <v>300</v>
      </c>
      <c r="R515">
        <v>300</v>
      </c>
      <c r="S515" t="s">
        <v>34</v>
      </c>
      <c r="T515" t="s">
        <v>35</v>
      </c>
      <c r="U515" t="s">
        <v>44</v>
      </c>
      <c r="V515" s="4">
        <v>46235</v>
      </c>
      <c r="W515">
        <v>300</v>
      </c>
      <c r="X515">
        <v>300</v>
      </c>
      <c r="Y515">
        <v>300</v>
      </c>
      <c r="Z515">
        <v>200</v>
      </c>
    </row>
    <row r="516" spans="1:26" hidden="1" x14ac:dyDescent="0.25">
      <c r="A516" t="s">
        <v>1325</v>
      </c>
      <c r="B516" t="s">
        <v>25</v>
      </c>
      <c r="C516" s="4">
        <v>44538</v>
      </c>
      <c r="F516" s="4">
        <v>45169</v>
      </c>
      <c r="G516" t="s">
        <v>1326</v>
      </c>
      <c r="H516" t="s">
        <v>1327</v>
      </c>
      <c r="K516" t="s">
        <v>67</v>
      </c>
      <c r="L516" t="s">
        <v>1259</v>
      </c>
      <c r="M516" t="s">
        <v>68</v>
      </c>
      <c r="N516" t="s">
        <v>31</v>
      </c>
      <c r="O516" t="s">
        <v>32</v>
      </c>
      <c r="P516" t="s">
        <v>1328</v>
      </c>
      <c r="Q516">
        <v>100</v>
      </c>
      <c r="R516">
        <v>100</v>
      </c>
      <c r="S516" t="s">
        <v>34</v>
      </c>
      <c r="T516" t="s">
        <v>35</v>
      </c>
      <c r="U516" t="s">
        <v>70</v>
      </c>
      <c r="V516" s="4">
        <v>44986</v>
      </c>
      <c r="W516">
        <v>100</v>
      </c>
      <c r="X516">
        <v>100</v>
      </c>
      <c r="Y516">
        <v>100</v>
      </c>
      <c r="Z516">
        <v>100</v>
      </c>
    </row>
    <row r="517" spans="1:26" hidden="1" x14ac:dyDescent="0.25">
      <c r="A517" t="s">
        <v>1329</v>
      </c>
      <c r="B517" t="s">
        <v>38</v>
      </c>
      <c r="C517" s="4">
        <v>44001</v>
      </c>
      <c r="D517" s="4">
        <v>44219</v>
      </c>
      <c r="F517" s="4">
        <v>45200</v>
      </c>
      <c r="G517" t="s">
        <v>52</v>
      </c>
      <c r="H517" t="s">
        <v>1330</v>
      </c>
      <c r="K517" t="s">
        <v>53</v>
      </c>
      <c r="L517" t="s">
        <v>1259</v>
      </c>
      <c r="M517" t="s">
        <v>54</v>
      </c>
      <c r="N517" t="s">
        <v>31</v>
      </c>
      <c r="O517" t="s">
        <v>32</v>
      </c>
      <c r="P517" t="s">
        <v>1331</v>
      </c>
      <c r="Q517">
        <v>200</v>
      </c>
      <c r="R517">
        <v>200</v>
      </c>
      <c r="S517" t="s">
        <v>34</v>
      </c>
      <c r="T517" t="s">
        <v>35</v>
      </c>
      <c r="U517" t="s">
        <v>44</v>
      </c>
      <c r="W517">
        <v>0</v>
      </c>
      <c r="X517">
        <v>0</v>
      </c>
      <c r="Y517">
        <v>0</v>
      </c>
      <c r="Z517">
        <v>0</v>
      </c>
    </row>
    <row r="518" spans="1:26" hidden="1" x14ac:dyDescent="0.25">
      <c r="A518" t="s">
        <v>1332</v>
      </c>
      <c r="B518" t="s">
        <v>38</v>
      </c>
      <c r="C518" s="4">
        <v>43997</v>
      </c>
      <c r="D518" s="4">
        <v>45826</v>
      </c>
      <c r="F518" s="4">
        <v>45200</v>
      </c>
      <c r="G518" t="s">
        <v>907</v>
      </c>
      <c r="H518" t="s">
        <v>1333</v>
      </c>
      <c r="K518" t="s">
        <v>53</v>
      </c>
      <c r="L518" t="s">
        <v>1259</v>
      </c>
      <c r="M518" t="s">
        <v>54</v>
      </c>
      <c r="N518" t="s">
        <v>31</v>
      </c>
      <c r="O518" t="s">
        <v>32</v>
      </c>
      <c r="P518" t="s">
        <v>1334</v>
      </c>
      <c r="Q518">
        <v>100</v>
      </c>
      <c r="R518">
        <v>100</v>
      </c>
      <c r="S518" t="s">
        <v>34</v>
      </c>
      <c r="T518" t="s">
        <v>35</v>
      </c>
      <c r="U518" t="s">
        <v>44</v>
      </c>
      <c r="V518" s="4">
        <v>46235</v>
      </c>
      <c r="W518">
        <v>100</v>
      </c>
      <c r="X518">
        <v>100</v>
      </c>
      <c r="Y518">
        <v>100</v>
      </c>
      <c r="Z518">
        <v>100</v>
      </c>
    </row>
    <row r="519" spans="1:26" hidden="1" x14ac:dyDescent="0.25">
      <c r="A519" t="s">
        <v>1335</v>
      </c>
      <c r="B519" t="s">
        <v>38</v>
      </c>
      <c r="C519" s="4">
        <v>44000</v>
      </c>
      <c r="D519" s="4">
        <v>45124</v>
      </c>
      <c r="F519" s="4">
        <v>45201</v>
      </c>
      <c r="G519" t="s">
        <v>101</v>
      </c>
      <c r="H519" t="s">
        <v>1336</v>
      </c>
      <c r="K519" t="s">
        <v>98</v>
      </c>
      <c r="L519" t="s">
        <v>1259</v>
      </c>
      <c r="M519" t="s">
        <v>84</v>
      </c>
      <c r="N519" t="s">
        <v>31</v>
      </c>
      <c r="O519" t="s">
        <v>32</v>
      </c>
      <c r="P519" t="s">
        <v>1337</v>
      </c>
      <c r="Q519">
        <v>40</v>
      </c>
      <c r="R519">
        <v>40</v>
      </c>
      <c r="S519" t="s">
        <v>159</v>
      </c>
      <c r="T519" t="s">
        <v>159</v>
      </c>
      <c r="U519" t="s">
        <v>44</v>
      </c>
      <c r="W519">
        <v>0</v>
      </c>
      <c r="X519">
        <v>0</v>
      </c>
      <c r="Y519">
        <v>0</v>
      </c>
      <c r="Z519">
        <v>0</v>
      </c>
    </row>
    <row r="520" spans="1:26" hidden="1" x14ac:dyDescent="0.25">
      <c r="A520" t="s">
        <v>1338</v>
      </c>
      <c r="B520" t="s">
        <v>25</v>
      </c>
      <c r="C520" s="4">
        <v>45533</v>
      </c>
      <c r="F520" s="4">
        <v>45828</v>
      </c>
      <c r="G520" t="s">
        <v>691</v>
      </c>
      <c r="H520" t="s">
        <v>1336</v>
      </c>
      <c r="K520" t="s">
        <v>98</v>
      </c>
      <c r="L520" t="s">
        <v>1259</v>
      </c>
      <c r="M520" t="s">
        <v>84</v>
      </c>
      <c r="N520" t="s">
        <v>31</v>
      </c>
      <c r="O520" t="s">
        <v>32</v>
      </c>
      <c r="P520" t="s">
        <v>1339</v>
      </c>
      <c r="Q520">
        <v>185</v>
      </c>
      <c r="R520">
        <v>185</v>
      </c>
      <c r="S520" t="s">
        <v>34</v>
      </c>
      <c r="T520" t="s">
        <v>35</v>
      </c>
      <c r="U520" t="s">
        <v>44</v>
      </c>
      <c r="V520" s="4">
        <v>46710</v>
      </c>
      <c r="W520">
        <v>185</v>
      </c>
      <c r="X520">
        <v>185</v>
      </c>
      <c r="Y520">
        <v>185</v>
      </c>
      <c r="Z520">
        <v>185</v>
      </c>
    </row>
    <row r="521" spans="1:26" hidden="1" x14ac:dyDescent="0.25">
      <c r="A521" t="s">
        <v>1340</v>
      </c>
      <c r="B521" t="s">
        <v>25</v>
      </c>
      <c r="C521" s="4">
        <v>44000</v>
      </c>
      <c r="F521" s="4">
        <v>45536</v>
      </c>
      <c r="G521" t="s">
        <v>1251</v>
      </c>
      <c r="H521" t="s">
        <v>1341</v>
      </c>
      <c r="K521" t="s">
        <v>109</v>
      </c>
      <c r="L521" t="s">
        <v>1259</v>
      </c>
      <c r="M521" t="s">
        <v>84</v>
      </c>
      <c r="N521" t="s">
        <v>31</v>
      </c>
      <c r="O521" t="s">
        <v>32</v>
      </c>
      <c r="P521" t="s">
        <v>1342</v>
      </c>
      <c r="Q521">
        <v>200</v>
      </c>
      <c r="R521">
        <v>200</v>
      </c>
      <c r="S521" t="s">
        <v>34</v>
      </c>
      <c r="T521" t="s">
        <v>35</v>
      </c>
      <c r="U521" t="s">
        <v>44</v>
      </c>
      <c r="V521" s="4">
        <v>45992</v>
      </c>
      <c r="W521">
        <v>200</v>
      </c>
      <c r="X521">
        <v>200</v>
      </c>
      <c r="Y521">
        <v>180</v>
      </c>
      <c r="Z521">
        <v>180</v>
      </c>
    </row>
    <row r="522" spans="1:26" hidden="1" x14ac:dyDescent="0.25">
      <c r="A522" t="s">
        <v>1343</v>
      </c>
      <c r="B522" t="s">
        <v>25</v>
      </c>
      <c r="C522" s="4">
        <v>44004</v>
      </c>
      <c r="F522" s="4">
        <v>45596</v>
      </c>
      <c r="G522" t="s">
        <v>72</v>
      </c>
      <c r="H522" t="s">
        <v>1344</v>
      </c>
      <c r="K522" t="s">
        <v>209</v>
      </c>
      <c r="L522" t="s">
        <v>1259</v>
      </c>
      <c r="M522" t="s">
        <v>42</v>
      </c>
      <c r="N522" t="s">
        <v>31</v>
      </c>
      <c r="O522" t="s">
        <v>32</v>
      </c>
      <c r="P522" t="s">
        <v>1345</v>
      </c>
      <c r="Q522">
        <v>135</v>
      </c>
      <c r="R522">
        <v>135</v>
      </c>
      <c r="S522" t="s">
        <v>34</v>
      </c>
      <c r="T522" t="s">
        <v>35</v>
      </c>
      <c r="U522" t="s">
        <v>70</v>
      </c>
      <c r="V522" s="4">
        <v>46691</v>
      </c>
      <c r="W522">
        <v>135</v>
      </c>
      <c r="X522">
        <v>108</v>
      </c>
      <c r="Y522">
        <v>135</v>
      </c>
      <c r="Z522">
        <v>108</v>
      </c>
    </row>
    <row r="523" spans="1:26" hidden="1" x14ac:dyDescent="0.25">
      <c r="A523" t="s">
        <v>1346</v>
      </c>
      <c r="B523" t="s">
        <v>38</v>
      </c>
      <c r="C523" s="4">
        <v>44005</v>
      </c>
      <c r="D523" s="4">
        <v>44516</v>
      </c>
      <c r="F523" s="4">
        <v>44865</v>
      </c>
      <c r="G523" t="s">
        <v>177</v>
      </c>
      <c r="H523" t="s">
        <v>1347</v>
      </c>
      <c r="K523" t="s">
        <v>62</v>
      </c>
      <c r="L523" t="s">
        <v>1259</v>
      </c>
      <c r="M523" t="s">
        <v>42</v>
      </c>
      <c r="N523" t="s">
        <v>31</v>
      </c>
      <c r="O523" t="s">
        <v>32</v>
      </c>
      <c r="P523" t="s">
        <v>1348</v>
      </c>
      <c r="Q523">
        <v>199.5</v>
      </c>
      <c r="R523">
        <v>199.5</v>
      </c>
      <c r="S523" t="s">
        <v>56</v>
      </c>
      <c r="T523" t="s">
        <v>57</v>
      </c>
      <c r="U523" t="s">
        <v>44</v>
      </c>
      <c r="W523">
        <v>0</v>
      </c>
      <c r="X523">
        <v>0</v>
      </c>
      <c r="Y523">
        <v>0</v>
      </c>
      <c r="Z523">
        <v>0</v>
      </c>
    </row>
    <row r="524" spans="1:26" hidden="1" x14ac:dyDescent="0.25">
      <c r="A524" t="s">
        <v>1349</v>
      </c>
      <c r="B524" t="s">
        <v>38</v>
      </c>
      <c r="C524" s="4">
        <v>43994</v>
      </c>
      <c r="D524" s="4">
        <v>44165</v>
      </c>
      <c r="F524" s="4">
        <v>45200</v>
      </c>
      <c r="G524" t="s">
        <v>52</v>
      </c>
      <c r="H524" t="s">
        <v>1350</v>
      </c>
      <c r="K524" t="s">
        <v>53</v>
      </c>
      <c r="L524" t="s">
        <v>1259</v>
      </c>
      <c r="M524" t="s">
        <v>54</v>
      </c>
      <c r="N524" t="s">
        <v>31</v>
      </c>
      <c r="O524" t="s">
        <v>32</v>
      </c>
      <c r="P524" t="s">
        <v>1351</v>
      </c>
      <c r="Q524">
        <v>200</v>
      </c>
      <c r="R524">
        <v>200</v>
      </c>
      <c r="S524" t="s">
        <v>34</v>
      </c>
      <c r="T524" t="s">
        <v>35</v>
      </c>
      <c r="U524" t="s">
        <v>44</v>
      </c>
      <c r="W524">
        <v>0</v>
      </c>
      <c r="X524">
        <v>0</v>
      </c>
      <c r="Y524">
        <v>0</v>
      </c>
      <c r="Z524">
        <v>0</v>
      </c>
    </row>
    <row r="525" spans="1:26" hidden="1" x14ac:dyDescent="0.25">
      <c r="A525" t="s">
        <v>1352</v>
      </c>
      <c r="B525" t="s">
        <v>38</v>
      </c>
      <c r="C525" s="4">
        <v>43992</v>
      </c>
      <c r="D525" s="4">
        <v>44967</v>
      </c>
      <c r="F525" s="4">
        <v>45170</v>
      </c>
      <c r="G525" t="s">
        <v>1311</v>
      </c>
      <c r="H525" t="s">
        <v>1312</v>
      </c>
      <c r="K525" t="s">
        <v>114</v>
      </c>
      <c r="L525" t="s">
        <v>1259</v>
      </c>
      <c r="M525" t="s">
        <v>68</v>
      </c>
      <c r="N525" t="s">
        <v>31</v>
      </c>
      <c r="O525" t="s">
        <v>32</v>
      </c>
      <c r="P525" t="s">
        <v>1313</v>
      </c>
      <c r="Q525">
        <v>50</v>
      </c>
      <c r="R525">
        <v>50</v>
      </c>
      <c r="S525" t="s">
        <v>159</v>
      </c>
      <c r="T525" t="s">
        <v>159</v>
      </c>
      <c r="U525" t="s">
        <v>44</v>
      </c>
      <c r="W525">
        <v>50</v>
      </c>
      <c r="X525">
        <v>50</v>
      </c>
      <c r="Y525">
        <v>0</v>
      </c>
      <c r="Z525">
        <v>0</v>
      </c>
    </row>
    <row r="526" spans="1:26" hidden="1" x14ac:dyDescent="0.25">
      <c r="A526" t="s">
        <v>1353</v>
      </c>
      <c r="B526" t="s">
        <v>38</v>
      </c>
      <c r="C526" s="4">
        <v>44001</v>
      </c>
      <c r="D526" s="4">
        <v>44202</v>
      </c>
      <c r="F526" s="4">
        <v>45169</v>
      </c>
      <c r="G526" t="s">
        <v>39</v>
      </c>
      <c r="H526" t="s">
        <v>1354</v>
      </c>
      <c r="K526" t="s">
        <v>41</v>
      </c>
      <c r="L526" t="s">
        <v>1259</v>
      </c>
      <c r="M526" t="s">
        <v>42</v>
      </c>
      <c r="N526" t="s">
        <v>31</v>
      </c>
      <c r="O526" t="s">
        <v>32</v>
      </c>
      <c r="P526" t="s">
        <v>1355</v>
      </c>
      <c r="Q526">
        <v>200</v>
      </c>
      <c r="R526">
        <v>200</v>
      </c>
      <c r="S526" t="s">
        <v>34</v>
      </c>
      <c r="T526" t="s">
        <v>35</v>
      </c>
      <c r="U526" t="s">
        <v>44</v>
      </c>
      <c r="W526">
        <v>0</v>
      </c>
      <c r="X526">
        <v>0</v>
      </c>
      <c r="Y526">
        <v>0</v>
      </c>
      <c r="Z526">
        <v>0</v>
      </c>
    </row>
    <row r="527" spans="1:26" hidden="1" x14ac:dyDescent="0.25">
      <c r="A527" t="s">
        <v>1356</v>
      </c>
      <c r="B527" t="s">
        <v>25</v>
      </c>
      <c r="C527" s="4">
        <v>43994</v>
      </c>
      <c r="F527" s="4">
        <v>45200</v>
      </c>
      <c r="G527" t="s">
        <v>907</v>
      </c>
      <c r="H527" t="s">
        <v>1357</v>
      </c>
      <c r="K527" t="s">
        <v>53</v>
      </c>
      <c r="L527" t="s">
        <v>1259</v>
      </c>
      <c r="M527" t="s">
        <v>54</v>
      </c>
      <c r="N527" t="s">
        <v>31</v>
      </c>
      <c r="O527" t="s">
        <v>32</v>
      </c>
      <c r="P527" t="s">
        <v>1358</v>
      </c>
      <c r="Q527">
        <v>200</v>
      </c>
      <c r="R527">
        <v>200</v>
      </c>
      <c r="S527" t="s">
        <v>597</v>
      </c>
      <c r="T527" t="s">
        <v>35</v>
      </c>
      <c r="U527" t="s">
        <v>44</v>
      </c>
      <c r="V527" s="4">
        <v>46142</v>
      </c>
      <c r="W527">
        <v>200</v>
      </c>
      <c r="X527">
        <v>200</v>
      </c>
      <c r="Y527">
        <v>200</v>
      </c>
      <c r="Z527">
        <v>200</v>
      </c>
    </row>
    <row r="528" spans="1:26" hidden="1" x14ac:dyDescent="0.25">
      <c r="A528" t="s">
        <v>1359</v>
      </c>
      <c r="B528" t="s">
        <v>38</v>
      </c>
      <c r="C528" s="4">
        <v>43996</v>
      </c>
      <c r="D528" s="4">
        <v>45547</v>
      </c>
      <c r="F528" s="4">
        <v>45200</v>
      </c>
      <c r="G528" t="s">
        <v>907</v>
      </c>
      <c r="H528" t="s">
        <v>1333</v>
      </c>
      <c r="K528" t="s">
        <v>53</v>
      </c>
      <c r="L528" t="s">
        <v>1259</v>
      </c>
      <c r="M528" t="s">
        <v>54</v>
      </c>
      <c r="N528" t="s">
        <v>31</v>
      </c>
      <c r="O528" t="s">
        <v>32</v>
      </c>
      <c r="P528" t="s">
        <v>1360</v>
      </c>
      <c r="Q528">
        <v>200</v>
      </c>
      <c r="R528">
        <v>200</v>
      </c>
      <c r="S528" t="s">
        <v>597</v>
      </c>
      <c r="T528" t="s">
        <v>35</v>
      </c>
      <c r="U528" t="s">
        <v>38</v>
      </c>
      <c r="V528" s="4">
        <v>46155</v>
      </c>
      <c r="W528">
        <v>200</v>
      </c>
      <c r="X528">
        <v>200</v>
      </c>
      <c r="Y528">
        <v>200</v>
      </c>
      <c r="Z528">
        <v>200</v>
      </c>
    </row>
    <row r="529" spans="1:26" hidden="1" x14ac:dyDescent="0.25">
      <c r="A529" t="s">
        <v>1361</v>
      </c>
      <c r="B529" t="s">
        <v>38</v>
      </c>
      <c r="C529" s="4">
        <v>44005</v>
      </c>
      <c r="D529" s="4">
        <v>45547</v>
      </c>
      <c r="F529" s="4">
        <v>45017</v>
      </c>
      <c r="G529" t="s">
        <v>52</v>
      </c>
      <c r="H529" t="s">
        <v>1362</v>
      </c>
      <c r="K529" t="s">
        <v>53</v>
      </c>
      <c r="L529" t="s">
        <v>1259</v>
      </c>
      <c r="M529" t="s">
        <v>54</v>
      </c>
      <c r="N529" t="s">
        <v>31</v>
      </c>
      <c r="O529" t="s">
        <v>32</v>
      </c>
      <c r="P529" t="s">
        <v>1363</v>
      </c>
      <c r="Q529">
        <v>200</v>
      </c>
      <c r="R529">
        <v>200</v>
      </c>
      <c r="S529" t="s">
        <v>34</v>
      </c>
      <c r="T529" t="s">
        <v>35</v>
      </c>
      <c r="U529" t="s">
        <v>38</v>
      </c>
      <c r="V529" s="4">
        <v>46113</v>
      </c>
      <c r="W529">
        <v>200</v>
      </c>
      <c r="X529">
        <v>200</v>
      </c>
      <c r="Y529">
        <v>200</v>
      </c>
      <c r="Z529">
        <v>200</v>
      </c>
    </row>
    <row r="530" spans="1:26" hidden="1" x14ac:dyDescent="0.25">
      <c r="A530" t="s">
        <v>1364</v>
      </c>
      <c r="B530" t="s">
        <v>25</v>
      </c>
      <c r="C530" s="4">
        <v>44637</v>
      </c>
      <c r="F530" s="4">
        <v>45449</v>
      </c>
      <c r="G530" t="s">
        <v>39</v>
      </c>
      <c r="H530" t="s">
        <v>1365</v>
      </c>
      <c r="K530" t="s">
        <v>28</v>
      </c>
      <c r="L530" t="s">
        <v>1259</v>
      </c>
      <c r="M530" t="s">
        <v>42</v>
      </c>
      <c r="N530" t="s">
        <v>31</v>
      </c>
      <c r="O530" t="s">
        <v>32</v>
      </c>
      <c r="P530" t="s">
        <v>1366</v>
      </c>
      <c r="Q530">
        <v>0</v>
      </c>
      <c r="R530">
        <v>0</v>
      </c>
      <c r="S530" t="s">
        <v>159</v>
      </c>
      <c r="T530" t="s">
        <v>159</v>
      </c>
      <c r="U530" t="s">
        <v>44</v>
      </c>
      <c r="V530" s="4">
        <v>46544</v>
      </c>
      <c r="W530">
        <v>0</v>
      </c>
      <c r="X530">
        <v>0</v>
      </c>
      <c r="Y530">
        <v>0</v>
      </c>
      <c r="Z530">
        <v>0</v>
      </c>
    </row>
    <row r="531" spans="1:26" hidden="1" x14ac:dyDescent="0.25">
      <c r="A531" t="s">
        <v>1367</v>
      </c>
      <c r="B531" t="s">
        <v>25</v>
      </c>
      <c r="C531" s="4">
        <v>44302</v>
      </c>
      <c r="F531" s="4">
        <v>45184</v>
      </c>
      <c r="G531" t="s">
        <v>1368</v>
      </c>
      <c r="H531" t="s">
        <v>1369</v>
      </c>
      <c r="K531" t="s">
        <v>209</v>
      </c>
      <c r="L531" t="s">
        <v>1259</v>
      </c>
      <c r="M531" t="s">
        <v>42</v>
      </c>
      <c r="N531" t="s">
        <v>31</v>
      </c>
      <c r="O531" t="s">
        <v>32</v>
      </c>
      <c r="P531" t="s">
        <v>1370</v>
      </c>
      <c r="Q531">
        <v>50</v>
      </c>
      <c r="R531">
        <v>50</v>
      </c>
      <c r="S531" t="s">
        <v>34</v>
      </c>
      <c r="T531" t="s">
        <v>35</v>
      </c>
      <c r="U531" t="s">
        <v>44</v>
      </c>
      <c r="V531" s="4">
        <v>46280</v>
      </c>
      <c r="W531">
        <v>50</v>
      </c>
      <c r="X531">
        <v>50</v>
      </c>
      <c r="Y531">
        <v>50</v>
      </c>
      <c r="Z531">
        <v>50</v>
      </c>
    </row>
    <row r="532" spans="1:26" hidden="1" x14ac:dyDescent="0.25">
      <c r="A532" t="s">
        <v>1371</v>
      </c>
      <c r="B532" t="s">
        <v>25</v>
      </c>
      <c r="C532" s="4">
        <v>44302</v>
      </c>
      <c r="F532" s="4">
        <v>45184</v>
      </c>
      <c r="G532" t="s">
        <v>1368</v>
      </c>
      <c r="H532" t="s">
        <v>1372</v>
      </c>
      <c r="K532" t="s">
        <v>209</v>
      </c>
      <c r="L532" t="s">
        <v>1259</v>
      </c>
      <c r="M532" t="s">
        <v>42</v>
      </c>
      <c r="N532" t="s">
        <v>31</v>
      </c>
      <c r="O532" t="s">
        <v>32</v>
      </c>
      <c r="P532" t="s">
        <v>1373</v>
      </c>
      <c r="Q532">
        <v>50</v>
      </c>
      <c r="R532">
        <v>50</v>
      </c>
      <c r="S532" t="s">
        <v>34</v>
      </c>
      <c r="T532" t="s">
        <v>35</v>
      </c>
      <c r="U532" t="s">
        <v>44</v>
      </c>
      <c r="V532" s="4">
        <v>46082</v>
      </c>
      <c r="W532">
        <v>50</v>
      </c>
      <c r="X532">
        <v>50</v>
      </c>
      <c r="Y532">
        <v>50</v>
      </c>
      <c r="Z532">
        <v>50</v>
      </c>
    </row>
    <row r="533" spans="1:26" hidden="1" x14ac:dyDescent="0.25">
      <c r="A533" t="s">
        <v>1374</v>
      </c>
      <c r="B533" t="s">
        <v>38</v>
      </c>
      <c r="C533" s="4">
        <v>44005</v>
      </c>
      <c r="D533" s="4">
        <v>44112</v>
      </c>
      <c r="F533" s="4">
        <v>45047</v>
      </c>
      <c r="G533" t="s">
        <v>39</v>
      </c>
      <c r="H533" t="s">
        <v>1375</v>
      </c>
      <c r="K533" t="s">
        <v>41</v>
      </c>
      <c r="L533" t="s">
        <v>1259</v>
      </c>
      <c r="M533" t="s">
        <v>42</v>
      </c>
      <c r="N533" t="s">
        <v>31</v>
      </c>
      <c r="O533" t="s">
        <v>32</v>
      </c>
      <c r="P533" t="s">
        <v>1376</v>
      </c>
      <c r="Q533">
        <v>200</v>
      </c>
      <c r="R533">
        <v>200</v>
      </c>
      <c r="S533" t="s">
        <v>34</v>
      </c>
      <c r="T533" t="s">
        <v>35</v>
      </c>
      <c r="U533" t="s">
        <v>44</v>
      </c>
      <c r="W533">
        <v>0</v>
      </c>
      <c r="X533">
        <v>0</v>
      </c>
      <c r="Y533">
        <v>0</v>
      </c>
      <c r="Z533">
        <v>0</v>
      </c>
    </row>
    <row r="534" spans="1:26" hidden="1" x14ac:dyDescent="0.25">
      <c r="A534" t="s">
        <v>1377</v>
      </c>
      <c r="B534" t="s">
        <v>25</v>
      </c>
      <c r="C534" s="4">
        <v>44302</v>
      </c>
      <c r="F534" s="4">
        <v>45184</v>
      </c>
      <c r="G534" t="s">
        <v>1368</v>
      </c>
      <c r="H534" t="s">
        <v>1378</v>
      </c>
      <c r="K534" t="s">
        <v>209</v>
      </c>
      <c r="L534" t="s">
        <v>1259</v>
      </c>
      <c r="M534" t="s">
        <v>42</v>
      </c>
      <c r="N534" t="s">
        <v>31</v>
      </c>
      <c r="O534" t="s">
        <v>32</v>
      </c>
      <c r="P534" t="s">
        <v>1379</v>
      </c>
      <c r="Q534">
        <v>50</v>
      </c>
      <c r="R534">
        <v>50</v>
      </c>
      <c r="S534" t="s">
        <v>34</v>
      </c>
      <c r="T534" t="s">
        <v>35</v>
      </c>
      <c r="U534" t="s">
        <v>44</v>
      </c>
      <c r="V534" s="4">
        <v>46280</v>
      </c>
      <c r="W534">
        <v>50</v>
      </c>
      <c r="X534">
        <v>50</v>
      </c>
      <c r="Y534">
        <v>50</v>
      </c>
      <c r="Z534">
        <v>50</v>
      </c>
    </row>
    <row r="535" spans="1:26" hidden="1" x14ac:dyDescent="0.25">
      <c r="A535" t="s">
        <v>1380</v>
      </c>
      <c r="B535" t="s">
        <v>38</v>
      </c>
      <c r="C535" s="4">
        <v>44000</v>
      </c>
      <c r="D535" s="4">
        <v>44517</v>
      </c>
      <c r="F535" s="4">
        <v>45444</v>
      </c>
      <c r="G535" t="s">
        <v>1381</v>
      </c>
      <c r="H535" t="s">
        <v>1382</v>
      </c>
      <c r="K535" t="s">
        <v>209</v>
      </c>
      <c r="L535" t="s">
        <v>1259</v>
      </c>
      <c r="M535" t="s">
        <v>42</v>
      </c>
      <c r="N535" t="s">
        <v>31</v>
      </c>
      <c r="O535" t="s">
        <v>32</v>
      </c>
      <c r="P535" t="s">
        <v>1383</v>
      </c>
      <c r="Q535">
        <v>200</v>
      </c>
      <c r="R535">
        <v>200</v>
      </c>
      <c r="S535" t="s">
        <v>34</v>
      </c>
      <c r="T535" t="s">
        <v>35</v>
      </c>
      <c r="U535" t="s">
        <v>44</v>
      </c>
      <c r="W535">
        <v>0</v>
      </c>
      <c r="X535">
        <v>0</v>
      </c>
      <c r="Y535">
        <v>0</v>
      </c>
      <c r="Z535">
        <v>0</v>
      </c>
    </row>
    <row r="536" spans="1:26" hidden="1" x14ac:dyDescent="0.25">
      <c r="A536" t="s">
        <v>1384</v>
      </c>
      <c r="B536" t="s">
        <v>25</v>
      </c>
      <c r="C536" s="4">
        <v>45761</v>
      </c>
      <c r="F536" s="4">
        <v>45078</v>
      </c>
      <c r="G536" t="s">
        <v>1274</v>
      </c>
      <c r="H536" t="s">
        <v>1275</v>
      </c>
      <c r="K536" t="s">
        <v>41</v>
      </c>
      <c r="L536" t="s">
        <v>1259</v>
      </c>
      <c r="M536" t="s">
        <v>42</v>
      </c>
      <c r="N536" t="s">
        <v>31</v>
      </c>
      <c r="O536" t="s">
        <v>32</v>
      </c>
      <c r="P536" t="s">
        <v>1385</v>
      </c>
      <c r="Q536">
        <v>100</v>
      </c>
      <c r="R536">
        <v>100</v>
      </c>
      <c r="S536" t="s">
        <v>34</v>
      </c>
      <c r="T536" t="s">
        <v>35</v>
      </c>
      <c r="U536" t="s">
        <v>44</v>
      </c>
      <c r="W536">
        <v>100</v>
      </c>
      <c r="X536">
        <v>100</v>
      </c>
      <c r="Y536">
        <v>100</v>
      </c>
      <c r="Z536">
        <v>100</v>
      </c>
    </row>
    <row r="537" spans="1:26" hidden="1" x14ac:dyDescent="0.25">
      <c r="A537" t="s">
        <v>1386</v>
      </c>
      <c r="B537" t="s">
        <v>38</v>
      </c>
      <c r="C537" s="4">
        <v>43992</v>
      </c>
      <c r="D537" s="4">
        <v>44270</v>
      </c>
      <c r="F537" s="4">
        <v>45170</v>
      </c>
      <c r="G537" t="s">
        <v>101</v>
      </c>
      <c r="H537" t="s">
        <v>1387</v>
      </c>
      <c r="K537" t="s">
        <v>98</v>
      </c>
      <c r="L537" t="s">
        <v>1259</v>
      </c>
      <c r="M537" t="s">
        <v>84</v>
      </c>
      <c r="N537" t="s">
        <v>31</v>
      </c>
      <c r="O537" t="s">
        <v>32</v>
      </c>
      <c r="P537" t="s">
        <v>1388</v>
      </c>
      <c r="Q537">
        <v>50</v>
      </c>
      <c r="R537">
        <v>50</v>
      </c>
      <c r="S537" t="s">
        <v>159</v>
      </c>
      <c r="T537" t="s">
        <v>159</v>
      </c>
      <c r="U537" t="s">
        <v>44</v>
      </c>
      <c r="W537">
        <v>0</v>
      </c>
      <c r="X537">
        <v>0</v>
      </c>
      <c r="Y537">
        <v>0</v>
      </c>
      <c r="Z537">
        <v>0</v>
      </c>
    </row>
    <row r="538" spans="1:26" hidden="1" x14ac:dyDescent="0.25">
      <c r="A538" t="s">
        <v>1389</v>
      </c>
      <c r="B538" t="s">
        <v>38</v>
      </c>
      <c r="C538" s="4">
        <v>44004</v>
      </c>
      <c r="D538" s="4">
        <v>44159</v>
      </c>
      <c r="F538" s="4">
        <v>45596</v>
      </c>
      <c r="G538" t="s">
        <v>52</v>
      </c>
      <c r="H538" t="s">
        <v>1390</v>
      </c>
      <c r="K538" t="s">
        <v>53</v>
      </c>
      <c r="L538" t="s">
        <v>1259</v>
      </c>
      <c r="M538" t="s">
        <v>54</v>
      </c>
      <c r="N538" t="s">
        <v>31</v>
      </c>
      <c r="O538" t="s">
        <v>32</v>
      </c>
      <c r="P538" t="s">
        <v>1391</v>
      </c>
      <c r="Q538">
        <v>150</v>
      </c>
      <c r="R538">
        <v>150</v>
      </c>
      <c r="S538" t="s">
        <v>56</v>
      </c>
      <c r="T538" t="s">
        <v>57</v>
      </c>
      <c r="U538" t="s">
        <v>44</v>
      </c>
      <c r="W538">
        <v>0</v>
      </c>
      <c r="X538">
        <v>0</v>
      </c>
      <c r="Y538">
        <v>0</v>
      </c>
      <c r="Z538">
        <v>0</v>
      </c>
    </row>
    <row r="539" spans="1:26" hidden="1" x14ac:dyDescent="0.25">
      <c r="A539" t="s">
        <v>1392</v>
      </c>
      <c r="B539" t="s">
        <v>38</v>
      </c>
      <c r="C539" s="4">
        <v>44005</v>
      </c>
      <c r="D539" s="4">
        <v>44896</v>
      </c>
      <c r="F539" s="4">
        <v>45477</v>
      </c>
      <c r="G539" t="s">
        <v>52</v>
      </c>
      <c r="H539" t="s">
        <v>1393</v>
      </c>
      <c r="K539" t="s">
        <v>53</v>
      </c>
      <c r="L539" t="s">
        <v>1259</v>
      </c>
      <c r="M539" t="s">
        <v>54</v>
      </c>
      <c r="N539" t="s">
        <v>31</v>
      </c>
      <c r="O539" t="s">
        <v>32</v>
      </c>
      <c r="P539" t="s">
        <v>1394</v>
      </c>
      <c r="Q539">
        <v>150</v>
      </c>
      <c r="R539">
        <v>150</v>
      </c>
      <c r="S539" t="s">
        <v>34</v>
      </c>
      <c r="T539" t="s">
        <v>35</v>
      </c>
      <c r="U539" t="s">
        <v>44</v>
      </c>
      <c r="W539">
        <v>150</v>
      </c>
      <c r="X539">
        <v>150</v>
      </c>
      <c r="Y539">
        <v>0</v>
      </c>
      <c r="Z539">
        <v>0</v>
      </c>
    </row>
    <row r="540" spans="1:26" hidden="1" x14ac:dyDescent="0.25">
      <c r="A540" t="s">
        <v>1395</v>
      </c>
      <c r="B540" t="s">
        <v>38</v>
      </c>
      <c r="C540" s="4">
        <v>44006</v>
      </c>
      <c r="D540" s="4">
        <v>44090</v>
      </c>
      <c r="F540" s="4">
        <v>45036</v>
      </c>
      <c r="G540" t="s">
        <v>144</v>
      </c>
      <c r="H540" t="s">
        <v>1396</v>
      </c>
      <c r="K540" t="s">
        <v>146</v>
      </c>
      <c r="L540" t="s">
        <v>1259</v>
      </c>
      <c r="M540" t="s">
        <v>68</v>
      </c>
      <c r="N540" t="s">
        <v>31</v>
      </c>
      <c r="O540" t="s">
        <v>32</v>
      </c>
      <c r="P540" t="s">
        <v>1397</v>
      </c>
      <c r="Q540">
        <v>268</v>
      </c>
      <c r="R540">
        <v>268</v>
      </c>
      <c r="S540" t="s">
        <v>34</v>
      </c>
      <c r="T540" t="s">
        <v>35</v>
      </c>
      <c r="U540" t="s">
        <v>44</v>
      </c>
      <c r="W540">
        <v>0</v>
      </c>
      <c r="X540">
        <v>0</v>
      </c>
      <c r="Y540">
        <v>0</v>
      </c>
      <c r="Z540">
        <v>0</v>
      </c>
    </row>
    <row r="541" spans="1:26" hidden="1" x14ac:dyDescent="0.25">
      <c r="A541" t="s">
        <v>1398</v>
      </c>
      <c r="B541" t="s">
        <v>38</v>
      </c>
      <c r="C541" s="4">
        <v>44006</v>
      </c>
      <c r="D541" s="4">
        <v>44538</v>
      </c>
      <c r="F541" s="4">
        <v>45036</v>
      </c>
      <c r="G541" t="s">
        <v>144</v>
      </c>
      <c r="H541" t="s">
        <v>1399</v>
      </c>
      <c r="K541" t="s">
        <v>146</v>
      </c>
      <c r="L541" t="s">
        <v>1259</v>
      </c>
      <c r="M541" t="s">
        <v>68</v>
      </c>
      <c r="N541" t="s">
        <v>31</v>
      </c>
      <c r="O541" t="s">
        <v>32</v>
      </c>
      <c r="P541" t="s">
        <v>1400</v>
      </c>
      <c r="Q541">
        <v>146</v>
      </c>
      <c r="R541">
        <v>146</v>
      </c>
      <c r="S541" t="s">
        <v>34</v>
      </c>
      <c r="T541" t="s">
        <v>35</v>
      </c>
      <c r="U541" t="s">
        <v>44</v>
      </c>
      <c r="W541">
        <v>0</v>
      </c>
      <c r="X541">
        <v>0</v>
      </c>
      <c r="Y541">
        <v>0</v>
      </c>
      <c r="Z541">
        <v>0</v>
      </c>
    </row>
    <row r="542" spans="1:26" hidden="1" x14ac:dyDescent="0.25">
      <c r="A542" t="s">
        <v>1401</v>
      </c>
      <c r="B542" t="s">
        <v>38</v>
      </c>
      <c r="C542" s="4">
        <v>44004</v>
      </c>
      <c r="D542" s="4">
        <v>44167</v>
      </c>
      <c r="F542" s="4">
        <v>45444</v>
      </c>
      <c r="G542" t="s">
        <v>39</v>
      </c>
      <c r="H542" t="s">
        <v>1402</v>
      </c>
      <c r="K542" t="s">
        <v>185</v>
      </c>
      <c r="L542" t="s">
        <v>1259</v>
      </c>
      <c r="M542" t="s">
        <v>42</v>
      </c>
      <c r="N542" t="s">
        <v>31</v>
      </c>
      <c r="O542" t="s">
        <v>32</v>
      </c>
      <c r="P542" t="s">
        <v>1403</v>
      </c>
      <c r="Q542">
        <v>200</v>
      </c>
      <c r="R542">
        <v>200</v>
      </c>
      <c r="S542" t="s">
        <v>34</v>
      </c>
      <c r="T542" t="s">
        <v>35</v>
      </c>
      <c r="U542" t="s">
        <v>44</v>
      </c>
      <c r="W542">
        <v>0</v>
      </c>
      <c r="X542">
        <v>0</v>
      </c>
      <c r="Y542">
        <v>0</v>
      </c>
      <c r="Z542">
        <v>0</v>
      </c>
    </row>
    <row r="543" spans="1:26" hidden="1" x14ac:dyDescent="0.25">
      <c r="A543" t="s">
        <v>1404</v>
      </c>
      <c r="B543" t="s">
        <v>38</v>
      </c>
      <c r="C543" s="4">
        <v>44003</v>
      </c>
      <c r="D543" s="4">
        <v>44092</v>
      </c>
      <c r="F543" s="4">
        <v>45200</v>
      </c>
      <c r="G543" t="s">
        <v>144</v>
      </c>
      <c r="H543" t="s">
        <v>1405</v>
      </c>
      <c r="K543" t="s">
        <v>146</v>
      </c>
      <c r="L543" t="s">
        <v>1259</v>
      </c>
      <c r="M543" t="s">
        <v>68</v>
      </c>
      <c r="N543" t="s">
        <v>31</v>
      </c>
      <c r="O543" t="s">
        <v>32</v>
      </c>
      <c r="P543" t="s">
        <v>1406</v>
      </c>
      <c r="Q543">
        <v>200</v>
      </c>
      <c r="R543">
        <v>200</v>
      </c>
      <c r="S543" t="s">
        <v>34</v>
      </c>
      <c r="T543" t="s">
        <v>35</v>
      </c>
      <c r="U543" t="s">
        <v>44</v>
      </c>
      <c r="W543">
        <v>0</v>
      </c>
      <c r="X543">
        <v>0</v>
      </c>
      <c r="Y543">
        <v>0</v>
      </c>
      <c r="Z543">
        <v>0</v>
      </c>
    </row>
    <row r="544" spans="1:26" hidden="1" x14ac:dyDescent="0.25">
      <c r="A544" t="s">
        <v>1407</v>
      </c>
      <c r="B544" t="s">
        <v>25</v>
      </c>
      <c r="C544" s="4">
        <v>43996</v>
      </c>
      <c r="E544" s="4">
        <v>44944</v>
      </c>
      <c r="F544" s="4">
        <v>45200</v>
      </c>
      <c r="G544" t="s">
        <v>1408</v>
      </c>
      <c r="H544" t="s">
        <v>1409</v>
      </c>
      <c r="K544" t="s">
        <v>146</v>
      </c>
      <c r="L544" t="s">
        <v>1259</v>
      </c>
      <c r="M544" t="s">
        <v>68</v>
      </c>
      <c r="N544" t="s">
        <v>31</v>
      </c>
      <c r="O544" t="s">
        <v>32</v>
      </c>
      <c r="P544" t="s">
        <v>1410</v>
      </c>
      <c r="Q544">
        <v>135</v>
      </c>
      <c r="R544">
        <v>135</v>
      </c>
      <c r="S544" t="s">
        <v>34</v>
      </c>
      <c r="T544" t="s">
        <v>35</v>
      </c>
      <c r="U544" t="s">
        <v>44</v>
      </c>
      <c r="V544" s="4">
        <v>46174</v>
      </c>
      <c r="W544">
        <v>150</v>
      </c>
      <c r="X544">
        <v>30</v>
      </c>
      <c r="Y544">
        <v>135</v>
      </c>
      <c r="Z544">
        <v>0</v>
      </c>
    </row>
    <row r="545" spans="1:26" hidden="1" x14ac:dyDescent="0.25">
      <c r="A545" t="s">
        <v>1411</v>
      </c>
      <c r="B545" t="s">
        <v>38</v>
      </c>
      <c r="C545" s="4">
        <v>44004</v>
      </c>
      <c r="D545" s="4">
        <v>44092</v>
      </c>
      <c r="F545" s="4">
        <v>45200</v>
      </c>
      <c r="G545" t="s">
        <v>52</v>
      </c>
      <c r="H545" t="s">
        <v>1412</v>
      </c>
      <c r="K545" t="s">
        <v>53</v>
      </c>
      <c r="L545" t="s">
        <v>1259</v>
      </c>
      <c r="M545" t="s">
        <v>54</v>
      </c>
      <c r="N545" t="s">
        <v>31</v>
      </c>
      <c r="O545" t="s">
        <v>32</v>
      </c>
      <c r="P545" t="s">
        <v>1413</v>
      </c>
      <c r="Q545">
        <v>200</v>
      </c>
      <c r="R545">
        <v>200</v>
      </c>
      <c r="S545" t="s">
        <v>34</v>
      </c>
      <c r="T545" t="s">
        <v>35</v>
      </c>
      <c r="U545" t="s">
        <v>44</v>
      </c>
      <c r="W545">
        <v>0</v>
      </c>
      <c r="X545">
        <v>0</v>
      </c>
      <c r="Y545">
        <v>0</v>
      </c>
      <c r="Z545">
        <v>0</v>
      </c>
    </row>
    <row r="546" spans="1:26" hidden="1" x14ac:dyDescent="0.25">
      <c r="A546" t="s">
        <v>1414</v>
      </c>
      <c r="B546" t="s">
        <v>38</v>
      </c>
      <c r="C546" s="4">
        <v>44006</v>
      </c>
      <c r="D546" s="4">
        <v>44517</v>
      </c>
      <c r="F546" s="4">
        <v>45170</v>
      </c>
      <c r="G546" t="s">
        <v>183</v>
      </c>
      <c r="H546" t="s">
        <v>1415</v>
      </c>
      <c r="K546" t="s">
        <v>185</v>
      </c>
      <c r="L546" t="s">
        <v>1259</v>
      </c>
      <c r="M546" t="s">
        <v>42</v>
      </c>
      <c r="N546" t="s">
        <v>31</v>
      </c>
      <c r="O546" t="s">
        <v>32</v>
      </c>
      <c r="P546" t="s">
        <v>1416</v>
      </c>
      <c r="Q546">
        <v>200</v>
      </c>
      <c r="R546">
        <v>200</v>
      </c>
      <c r="S546" t="s">
        <v>34</v>
      </c>
      <c r="T546" t="s">
        <v>35</v>
      </c>
      <c r="U546" t="s">
        <v>44</v>
      </c>
      <c r="W546">
        <v>0</v>
      </c>
      <c r="X546">
        <v>0</v>
      </c>
      <c r="Y546">
        <v>0</v>
      </c>
      <c r="Z546">
        <v>0</v>
      </c>
    </row>
    <row r="547" spans="1:26" hidden="1" x14ac:dyDescent="0.25">
      <c r="A547" t="s">
        <v>1417</v>
      </c>
      <c r="B547" t="s">
        <v>38</v>
      </c>
      <c r="C547" s="4">
        <v>44004</v>
      </c>
      <c r="D547" s="4">
        <v>44186</v>
      </c>
      <c r="F547" s="4">
        <v>45306</v>
      </c>
      <c r="G547" t="s">
        <v>144</v>
      </c>
      <c r="H547" t="s">
        <v>1418</v>
      </c>
      <c r="K547" t="s">
        <v>146</v>
      </c>
      <c r="L547" t="s">
        <v>1259</v>
      </c>
      <c r="M547" t="s">
        <v>68</v>
      </c>
      <c r="N547" t="s">
        <v>31</v>
      </c>
      <c r="O547" t="s">
        <v>32</v>
      </c>
      <c r="P547" t="s">
        <v>1419</v>
      </c>
      <c r="Q547">
        <v>0</v>
      </c>
      <c r="R547">
        <v>0</v>
      </c>
      <c r="S547" t="s">
        <v>159</v>
      </c>
      <c r="T547" t="s">
        <v>159</v>
      </c>
      <c r="U547" t="s">
        <v>44</v>
      </c>
      <c r="W547">
        <v>0</v>
      </c>
      <c r="X547">
        <v>0</v>
      </c>
      <c r="Y547">
        <v>0</v>
      </c>
      <c r="Z547">
        <v>0</v>
      </c>
    </row>
    <row r="548" spans="1:26" hidden="1" x14ac:dyDescent="0.25">
      <c r="A548" t="s">
        <v>1420</v>
      </c>
      <c r="B548" t="s">
        <v>38</v>
      </c>
      <c r="C548" s="4">
        <v>44004</v>
      </c>
      <c r="D548" s="4">
        <v>44159</v>
      </c>
      <c r="F548" s="4">
        <v>45230</v>
      </c>
      <c r="G548" t="s">
        <v>907</v>
      </c>
      <c r="H548" t="s">
        <v>1421</v>
      </c>
      <c r="K548" t="s">
        <v>53</v>
      </c>
      <c r="L548" t="s">
        <v>1259</v>
      </c>
      <c r="M548" t="s">
        <v>54</v>
      </c>
      <c r="N548" t="s">
        <v>31</v>
      </c>
      <c r="O548" t="s">
        <v>32</v>
      </c>
      <c r="P548" t="s">
        <v>1422</v>
      </c>
      <c r="Q548">
        <v>150</v>
      </c>
      <c r="R548">
        <v>150</v>
      </c>
      <c r="S548" t="s">
        <v>34</v>
      </c>
      <c r="T548" t="s">
        <v>35</v>
      </c>
      <c r="U548" t="s">
        <v>44</v>
      </c>
      <c r="W548">
        <v>0</v>
      </c>
      <c r="X548">
        <v>0</v>
      </c>
      <c r="Y548">
        <v>0</v>
      </c>
      <c r="Z548">
        <v>0</v>
      </c>
    </row>
    <row r="549" spans="1:26" hidden="1" x14ac:dyDescent="0.25">
      <c r="A549" t="s">
        <v>1423</v>
      </c>
      <c r="B549" t="s">
        <v>38</v>
      </c>
      <c r="C549" s="4">
        <v>44005</v>
      </c>
      <c r="D549" s="4">
        <v>44105</v>
      </c>
      <c r="F549" s="4">
        <v>45170</v>
      </c>
      <c r="G549" t="s">
        <v>72</v>
      </c>
      <c r="H549" t="s">
        <v>1424</v>
      </c>
      <c r="K549" t="s">
        <v>209</v>
      </c>
      <c r="L549" t="s">
        <v>1259</v>
      </c>
      <c r="M549" t="s">
        <v>42</v>
      </c>
      <c r="N549" t="s">
        <v>31</v>
      </c>
      <c r="O549" t="s">
        <v>32</v>
      </c>
      <c r="P549" t="s">
        <v>1425</v>
      </c>
      <c r="Q549">
        <v>250</v>
      </c>
      <c r="R549">
        <v>250</v>
      </c>
      <c r="S549" t="s">
        <v>34</v>
      </c>
      <c r="T549" t="s">
        <v>35</v>
      </c>
      <c r="U549" t="s">
        <v>44</v>
      </c>
      <c r="W549">
        <v>0</v>
      </c>
      <c r="X549">
        <v>0</v>
      </c>
      <c r="Y549">
        <v>0</v>
      </c>
      <c r="Z549">
        <v>0</v>
      </c>
    </row>
    <row r="550" spans="1:26" hidden="1" x14ac:dyDescent="0.25">
      <c r="A550" t="s">
        <v>1426</v>
      </c>
      <c r="B550" t="s">
        <v>38</v>
      </c>
      <c r="C550" s="4">
        <v>44000</v>
      </c>
      <c r="D550" s="4">
        <v>44183</v>
      </c>
      <c r="F550" s="4">
        <v>45444</v>
      </c>
      <c r="G550" t="s">
        <v>101</v>
      </c>
      <c r="H550" t="s">
        <v>1427</v>
      </c>
      <c r="K550" t="s">
        <v>98</v>
      </c>
      <c r="L550" t="s">
        <v>1259</v>
      </c>
      <c r="M550" t="s">
        <v>84</v>
      </c>
      <c r="N550" t="s">
        <v>31</v>
      </c>
      <c r="O550" t="s">
        <v>32</v>
      </c>
      <c r="P550" t="s">
        <v>1428</v>
      </c>
      <c r="Q550">
        <v>200</v>
      </c>
      <c r="R550">
        <v>200</v>
      </c>
      <c r="S550" t="s">
        <v>34</v>
      </c>
      <c r="T550" t="s">
        <v>35</v>
      </c>
      <c r="U550" t="s">
        <v>44</v>
      </c>
      <c r="W550">
        <v>0</v>
      </c>
      <c r="X550">
        <v>0</v>
      </c>
      <c r="Y550">
        <v>0</v>
      </c>
      <c r="Z550">
        <v>0</v>
      </c>
    </row>
    <row r="551" spans="1:26" hidden="1" x14ac:dyDescent="0.25">
      <c r="A551" t="s">
        <v>1429</v>
      </c>
      <c r="B551" t="s">
        <v>38</v>
      </c>
      <c r="C551" s="4">
        <v>44005</v>
      </c>
      <c r="D551" s="4">
        <v>44112</v>
      </c>
      <c r="F551" s="4">
        <v>45444</v>
      </c>
      <c r="G551" t="s">
        <v>72</v>
      </c>
      <c r="H551" t="s">
        <v>1430</v>
      </c>
      <c r="K551" t="s">
        <v>209</v>
      </c>
      <c r="L551" t="s">
        <v>1259</v>
      </c>
      <c r="M551" t="s">
        <v>42</v>
      </c>
      <c r="N551" t="s">
        <v>31</v>
      </c>
      <c r="O551" t="s">
        <v>32</v>
      </c>
      <c r="P551" t="s">
        <v>1431</v>
      </c>
      <c r="Q551">
        <v>125</v>
      </c>
      <c r="R551">
        <v>125</v>
      </c>
      <c r="S551" t="s">
        <v>34</v>
      </c>
      <c r="T551" t="s">
        <v>35</v>
      </c>
      <c r="U551" t="s">
        <v>44</v>
      </c>
      <c r="W551">
        <v>0</v>
      </c>
      <c r="X551">
        <v>0</v>
      </c>
      <c r="Y551">
        <v>0</v>
      </c>
      <c r="Z551">
        <v>0</v>
      </c>
    </row>
    <row r="552" spans="1:26" hidden="1" x14ac:dyDescent="0.25">
      <c r="A552" t="s">
        <v>1432</v>
      </c>
      <c r="B552" t="s">
        <v>25</v>
      </c>
      <c r="C552" s="4">
        <v>44004</v>
      </c>
      <c r="F552" s="4">
        <v>45477</v>
      </c>
      <c r="G552" t="s">
        <v>52</v>
      </c>
      <c r="H552" t="s">
        <v>1433</v>
      </c>
      <c r="K552" t="s">
        <v>53</v>
      </c>
      <c r="L552" t="s">
        <v>1259</v>
      </c>
      <c r="M552" t="s">
        <v>54</v>
      </c>
      <c r="N552" t="s">
        <v>31</v>
      </c>
      <c r="O552" t="s">
        <v>32</v>
      </c>
      <c r="P552" t="s">
        <v>1434</v>
      </c>
      <c r="Q552">
        <v>200</v>
      </c>
      <c r="R552">
        <v>200</v>
      </c>
      <c r="S552" t="s">
        <v>34</v>
      </c>
      <c r="T552" t="s">
        <v>35</v>
      </c>
      <c r="U552" t="s">
        <v>36</v>
      </c>
      <c r="V552" s="4">
        <v>45901</v>
      </c>
      <c r="W552">
        <v>200</v>
      </c>
      <c r="X552">
        <v>200</v>
      </c>
      <c r="Y552">
        <v>200</v>
      </c>
      <c r="Z552">
        <v>200</v>
      </c>
    </row>
    <row r="553" spans="1:26" hidden="1" x14ac:dyDescent="0.25">
      <c r="A553" t="s">
        <v>1435</v>
      </c>
      <c r="B553" t="s">
        <v>38</v>
      </c>
      <c r="C553" s="4">
        <v>44004</v>
      </c>
      <c r="D553" s="4">
        <v>44186</v>
      </c>
      <c r="F553" s="4">
        <v>45306</v>
      </c>
      <c r="G553" t="s">
        <v>144</v>
      </c>
      <c r="H553" t="s">
        <v>1418</v>
      </c>
      <c r="K553" t="s">
        <v>146</v>
      </c>
      <c r="L553" t="s">
        <v>1259</v>
      </c>
      <c r="M553" t="s">
        <v>68</v>
      </c>
      <c r="N553" t="s">
        <v>31</v>
      </c>
      <c r="O553" t="s">
        <v>32</v>
      </c>
      <c r="P553" t="s">
        <v>1419</v>
      </c>
      <c r="Q553">
        <v>195</v>
      </c>
      <c r="R553">
        <v>195</v>
      </c>
      <c r="S553" t="s">
        <v>34</v>
      </c>
      <c r="T553" t="s">
        <v>35</v>
      </c>
      <c r="U553" t="s">
        <v>44</v>
      </c>
      <c r="W553">
        <v>0</v>
      </c>
      <c r="X553">
        <v>0</v>
      </c>
      <c r="Y553">
        <v>0</v>
      </c>
      <c r="Z553">
        <v>0</v>
      </c>
    </row>
    <row r="554" spans="1:26" hidden="1" x14ac:dyDescent="0.25">
      <c r="A554" t="s">
        <v>1436</v>
      </c>
      <c r="B554" t="s">
        <v>38</v>
      </c>
      <c r="C554" s="4">
        <v>44004</v>
      </c>
      <c r="D554" s="4">
        <v>44567</v>
      </c>
      <c r="F554" s="4">
        <v>45170</v>
      </c>
      <c r="G554" t="s">
        <v>52</v>
      </c>
      <c r="H554" t="s">
        <v>1437</v>
      </c>
      <c r="K554" t="s">
        <v>53</v>
      </c>
      <c r="L554" t="s">
        <v>1259</v>
      </c>
      <c r="M554" t="s">
        <v>54</v>
      </c>
      <c r="N554" t="s">
        <v>31</v>
      </c>
      <c r="O554" t="s">
        <v>32</v>
      </c>
      <c r="P554" t="s">
        <v>1438</v>
      </c>
      <c r="Q554">
        <v>100</v>
      </c>
      <c r="R554">
        <v>100</v>
      </c>
      <c r="S554" t="s">
        <v>34</v>
      </c>
      <c r="T554" t="s">
        <v>35</v>
      </c>
      <c r="U554" t="s">
        <v>44</v>
      </c>
      <c r="W554">
        <v>0</v>
      </c>
      <c r="X554">
        <v>0</v>
      </c>
      <c r="Y554">
        <v>0</v>
      </c>
      <c r="Z554">
        <v>0</v>
      </c>
    </row>
    <row r="555" spans="1:26" hidden="1" x14ac:dyDescent="0.25">
      <c r="A555" t="s">
        <v>1439</v>
      </c>
      <c r="B555" t="s">
        <v>25</v>
      </c>
      <c r="C555" s="4">
        <v>44533</v>
      </c>
      <c r="F555" s="4">
        <v>45184</v>
      </c>
      <c r="G555" t="s">
        <v>52</v>
      </c>
      <c r="H555" t="s">
        <v>1430</v>
      </c>
      <c r="K555" t="s">
        <v>53</v>
      </c>
      <c r="L555" t="s">
        <v>1259</v>
      </c>
      <c r="M555" t="s">
        <v>54</v>
      </c>
      <c r="N555" t="s">
        <v>31</v>
      </c>
      <c r="O555" t="s">
        <v>32</v>
      </c>
      <c r="P555" t="s">
        <v>1440</v>
      </c>
      <c r="Q555">
        <v>150</v>
      </c>
      <c r="R555">
        <v>150</v>
      </c>
      <c r="S555" t="s">
        <v>34</v>
      </c>
      <c r="T555" t="s">
        <v>35</v>
      </c>
      <c r="U555" t="s">
        <v>44</v>
      </c>
      <c r="V555" s="4">
        <v>45871</v>
      </c>
      <c r="W555">
        <v>150</v>
      </c>
      <c r="X555">
        <v>150</v>
      </c>
      <c r="Y555">
        <v>150</v>
      </c>
      <c r="Z555">
        <v>150</v>
      </c>
    </row>
    <row r="556" spans="1:26" hidden="1" x14ac:dyDescent="0.25">
      <c r="A556" t="s">
        <v>1441</v>
      </c>
      <c r="B556" t="s">
        <v>38</v>
      </c>
      <c r="C556" s="4">
        <v>44006</v>
      </c>
      <c r="D556" s="4">
        <v>44159</v>
      </c>
      <c r="F556" s="4">
        <v>45184</v>
      </c>
      <c r="G556" t="s">
        <v>52</v>
      </c>
      <c r="H556" t="s">
        <v>1442</v>
      </c>
      <c r="K556" t="s">
        <v>53</v>
      </c>
      <c r="L556" t="s">
        <v>1259</v>
      </c>
      <c r="M556" t="s">
        <v>54</v>
      </c>
      <c r="N556" t="s">
        <v>31</v>
      </c>
      <c r="O556" t="s">
        <v>32</v>
      </c>
      <c r="P556" t="s">
        <v>1443</v>
      </c>
      <c r="Q556">
        <v>150</v>
      </c>
      <c r="R556">
        <v>150</v>
      </c>
      <c r="S556" t="s">
        <v>34</v>
      </c>
      <c r="T556" t="s">
        <v>35</v>
      </c>
      <c r="U556" t="s">
        <v>44</v>
      </c>
      <c r="W556">
        <v>0</v>
      </c>
      <c r="X556">
        <v>0</v>
      </c>
      <c r="Y556">
        <v>0</v>
      </c>
      <c r="Z556">
        <v>0</v>
      </c>
    </row>
    <row r="557" spans="1:26" hidden="1" x14ac:dyDescent="0.25">
      <c r="A557" t="s">
        <v>1444</v>
      </c>
      <c r="B557" t="s">
        <v>38</v>
      </c>
      <c r="C557" s="4">
        <v>44006</v>
      </c>
      <c r="D557" s="4">
        <v>44159</v>
      </c>
      <c r="F557" s="4">
        <v>45184</v>
      </c>
      <c r="G557" t="s">
        <v>52</v>
      </c>
      <c r="H557" t="s">
        <v>1445</v>
      </c>
      <c r="K557" t="s">
        <v>53</v>
      </c>
      <c r="L557" t="s">
        <v>1259</v>
      </c>
      <c r="M557" t="s">
        <v>54</v>
      </c>
      <c r="N557" t="s">
        <v>31</v>
      </c>
      <c r="O557" t="s">
        <v>32</v>
      </c>
      <c r="P557" t="s">
        <v>1446</v>
      </c>
      <c r="Q557">
        <v>100</v>
      </c>
      <c r="R557">
        <v>100</v>
      </c>
      <c r="S557" t="s">
        <v>34</v>
      </c>
      <c r="T557" t="s">
        <v>35</v>
      </c>
      <c r="U557" t="s">
        <v>44</v>
      </c>
      <c r="W557">
        <v>0</v>
      </c>
      <c r="X557">
        <v>0</v>
      </c>
      <c r="Y557">
        <v>0</v>
      </c>
      <c r="Z557">
        <v>0</v>
      </c>
    </row>
    <row r="558" spans="1:26" hidden="1" x14ac:dyDescent="0.25">
      <c r="A558" t="s">
        <v>1447</v>
      </c>
      <c r="B558" t="s">
        <v>38</v>
      </c>
      <c r="C558" s="4">
        <v>44005</v>
      </c>
      <c r="D558" s="4">
        <v>44250</v>
      </c>
      <c r="F558" s="4">
        <v>45184</v>
      </c>
      <c r="G558" t="s">
        <v>52</v>
      </c>
      <c r="H558" t="s">
        <v>1362</v>
      </c>
      <c r="K558" t="s">
        <v>53</v>
      </c>
      <c r="L558" t="s">
        <v>1259</v>
      </c>
      <c r="M558" t="s">
        <v>54</v>
      </c>
      <c r="N558" t="s">
        <v>31</v>
      </c>
      <c r="O558" t="s">
        <v>32</v>
      </c>
      <c r="P558" t="s">
        <v>1448</v>
      </c>
      <c r="Q558">
        <v>200</v>
      </c>
      <c r="R558">
        <v>200</v>
      </c>
      <c r="S558" t="s">
        <v>34</v>
      </c>
      <c r="T558" t="s">
        <v>35</v>
      </c>
      <c r="U558" t="s">
        <v>44</v>
      </c>
      <c r="W558">
        <v>0</v>
      </c>
      <c r="X558">
        <v>0</v>
      </c>
      <c r="Y558">
        <v>0</v>
      </c>
      <c r="Z558">
        <v>0</v>
      </c>
    </row>
    <row r="559" spans="1:26" hidden="1" x14ac:dyDescent="0.25">
      <c r="A559" t="s">
        <v>1449</v>
      </c>
      <c r="B559" t="s">
        <v>25</v>
      </c>
      <c r="C559" s="4">
        <v>44005</v>
      </c>
      <c r="F559" s="4">
        <v>45169</v>
      </c>
      <c r="G559" t="s">
        <v>907</v>
      </c>
      <c r="H559" t="s">
        <v>1450</v>
      </c>
      <c r="K559" t="s">
        <v>53</v>
      </c>
      <c r="L559" t="s">
        <v>1259</v>
      </c>
      <c r="M559" t="s">
        <v>54</v>
      </c>
      <c r="N559" t="s">
        <v>31</v>
      </c>
      <c r="O559" t="s">
        <v>32</v>
      </c>
      <c r="P559" t="s">
        <v>1451</v>
      </c>
      <c r="Q559">
        <v>293</v>
      </c>
      <c r="R559">
        <v>293</v>
      </c>
      <c r="S559" t="s">
        <v>56</v>
      </c>
      <c r="T559" t="s">
        <v>57</v>
      </c>
      <c r="U559" t="s">
        <v>44</v>
      </c>
      <c r="V559" s="4">
        <v>46235</v>
      </c>
      <c r="W559">
        <v>293</v>
      </c>
      <c r="X559">
        <v>293</v>
      </c>
      <c r="Y559">
        <v>293</v>
      </c>
      <c r="Z559">
        <v>293</v>
      </c>
    </row>
    <row r="560" spans="1:26" hidden="1" x14ac:dyDescent="0.25">
      <c r="A560" t="s">
        <v>1452</v>
      </c>
      <c r="B560" t="s">
        <v>25</v>
      </c>
      <c r="C560" s="4">
        <v>44000</v>
      </c>
      <c r="F560" s="4">
        <v>45017</v>
      </c>
      <c r="G560" t="s">
        <v>1326</v>
      </c>
      <c r="H560" t="s">
        <v>1453</v>
      </c>
      <c r="K560" t="s">
        <v>67</v>
      </c>
      <c r="L560" t="s">
        <v>1259</v>
      </c>
      <c r="M560" t="s">
        <v>68</v>
      </c>
      <c r="N560" t="s">
        <v>31</v>
      </c>
      <c r="O560" t="s">
        <v>32</v>
      </c>
      <c r="P560" t="s">
        <v>1454</v>
      </c>
      <c r="Q560">
        <v>200</v>
      </c>
      <c r="R560">
        <v>200</v>
      </c>
      <c r="S560" t="s">
        <v>34</v>
      </c>
      <c r="T560" t="s">
        <v>35</v>
      </c>
      <c r="U560" t="s">
        <v>44</v>
      </c>
      <c r="V560" s="4">
        <v>46113</v>
      </c>
      <c r="W560">
        <v>200</v>
      </c>
      <c r="X560">
        <v>200</v>
      </c>
      <c r="Y560">
        <v>200</v>
      </c>
      <c r="Z560">
        <v>200</v>
      </c>
    </row>
    <row r="561" spans="1:26" hidden="1" x14ac:dyDescent="0.25">
      <c r="A561" t="s">
        <v>1455</v>
      </c>
      <c r="B561" t="s">
        <v>25</v>
      </c>
      <c r="C561" s="4">
        <v>44000</v>
      </c>
      <c r="F561" s="4">
        <v>45017</v>
      </c>
      <c r="G561" t="s">
        <v>1326</v>
      </c>
      <c r="H561" t="s">
        <v>1456</v>
      </c>
      <c r="K561" t="s">
        <v>67</v>
      </c>
      <c r="L561" t="s">
        <v>1259</v>
      </c>
      <c r="M561" t="s">
        <v>68</v>
      </c>
      <c r="N561" t="s">
        <v>31</v>
      </c>
      <c r="O561" t="s">
        <v>32</v>
      </c>
      <c r="P561" t="s">
        <v>1457</v>
      </c>
      <c r="Q561">
        <v>200</v>
      </c>
      <c r="R561">
        <v>200</v>
      </c>
      <c r="S561" t="s">
        <v>34</v>
      </c>
      <c r="T561" t="s">
        <v>35</v>
      </c>
      <c r="U561" t="s">
        <v>70</v>
      </c>
      <c r="V561" s="4">
        <v>46113</v>
      </c>
      <c r="W561">
        <v>200</v>
      </c>
      <c r="X561">
        <v>200</v>
      </c>
      <c r="Y561">
        <v>200</v>
      </c>
      <c r="Z561">
        <v>140</v>
      </c>
    </row>
    <row r="562" spans="1:26" hidden="1" x14ac:dyDescent="0.25">
      <c r="A562" t="s">
        <v>1458</v>
      </c>
      <c r="B562" t="s">
        <v>38</v>
      </c>
      <c r="C562" s="4">
        <v>44000</v>
      </c>
      <c r="D562" s="4">
        <v>45957</v>
      </c>
      <c r="F562" s="4">
        <v>45017</v>
      </c>
      <c r="G562" t="s">
        <v>616</v>
      </c>
      <c r="H562" t="s">
        <v>1459</v>
      </c>
      <c r="K562" t="s">
        <v>146</v>
      </c>
      <c r="L562" t="s">
        <v>1259</v>
      </c>
      <c r="M562" t="s">
        <v>68</v>
      </c>
      <c r="N562" t="s">
        <v>31</v>
      </c>
      <c r="O562" t="s">
        <v>32</v>
      </c>
      <c r="P562" t="s">
        <v>1460</v>
      </c>
      <c r="Q562">
        <v>200</v>
      </c>
      <c r="R562">
        <v>200</v>
      </c>
      <c r="S562" t="s">
        <v>34</v>
      </c>
      <c r="T562" t="s">
        <v>35</v>
      </c>
      <c r="U562" t="s">
        <v>44</v>
      </c>
      <c r="W562">
        <v>0</v>
      </c>
      <c r="X562">
        <v>0</v>
      </c>
      <c r="Y562">
        <v>0</v>
      </c>
      <c r="Z562">
        <v>0</v>
      </c>
    </row>
    <row r="563" spans="1:26" hidden="1" x14ac:dyDescent="0.25">
      <c r="A563" t="s">
        <v>1461</v>
      </c>
      <c r="B563" t="s">
        <v>25</v>
      </c>
      <c r="C563" s="4">
        <v>44489</v>
      </c>
      <c r="E563" s="4">
        <v>44944</v>
      </c>
      <c r="F563" s="4">
        <v>45229</v>
      </c>
      <c r="G563" t="s">
        <v>1408</v>
      </c>
      <c r="H563" t="s">
        <v>1462</v>
      </c>
      <c r="K563" t="s">
        <v>146</v>
      </c>
      <c r="L563" t="s">
        <v>1259</v>
      </c>
      <c r="M563" t="s">
        <v>68</v>
      </c>
      <c r="N563" t="s">
        <v>31</v>
      </c>
      <c r="O563" t="s">
        <v>32</v>
      </c>
      <c r="P563" t="s">
        <v>1463</v>
      </c>
      <c r="Q563">
        <v>75</v>
      </c>
      <c r="R563">
        <v>75</v>
      </c>
      <c r="S563" t="s">
        <v>34</v>
      </c>
      <c r="T563" t="s">
        <v>35</v>
      </c>
      <c r="U563" t="s">
        <v>44</v>
      </c>
      <c r="V563" s="4">
        <v>46113</v>
      </c>
      <c r="W563">
        <v>75</v>
      </c>
      <c r="X563">
        <v>75</v>
      </c>
      <c r="Y563">
        <v>75</v>
      </c>
      <c r="Z563">
        <v>75</v>
      </c>
    </row>
    <row r="564" spans="1:26" hidden="1" x14ac:dyDescent="0.25">
      <c r="A564" t="s">
        <v>1464</v>
      </c>
      <c r="B564" t="s">
        <v>25</v>
      </c>
      <c r="C564" s="4">
        <v>43994</v>
      </c>
      <c r="E564" s="4">
        <v>44944</v>
      </c>
      <c r="F564" s="4">
        <v>45170</v>
      </c>
      <c r="G564" t="s">
        <v>1326</v>
      </c>
      <c r="H564" t="s">
        <v>1327</v>
      </c>
      <c r="K564" t="s">
        <v>67</v>
      </c>
      <c r="L564" t="s">
        <v>1259</v>
      </c>
      <c r="M564" t="s">
        <v>68</v>
      </c>
      <c r="N564" t="s">
        <v>31</v>
      </c>
      <c r="O564" t="s">
        <v>32</v>
      </c>
      <c r="P564" t="s">
        <v>1465</v>
      </c>
      <c r="Q564">
        <v>200</v>
      </c>
      <c r="R564">
        <v>200</v>
      </c>
      <c r="S564" t="s">
        <v>34</v>
      </c>
      <c r="T564" t="s">
        <v>35</v>
      </c>
      <c r="U564" t="s">
        <v>44</v>
      </c>
      <c r="V564" s="4">
        <v>45688</v>
      </c>
      <c r="W564">
        <v>200</v>
      </c>
      <c r="X564">
        <v>200</v>
      </c>
      <c r="Y564">
        <v>200</v>
      </c>
      <c r="Z564">
        <v>200</v>
      </c>
    </row>
    <row r="565" spans="1:26" hidden="1" x14ac:dyDescent="0.25">
      <c r="A565" t="s">
        <v>1466</v>
      </c>
      <c r="B565" t="s">
        <v>38</v>
      </c>
      <c r="C565" s="4">
        <v>44000</v>
      </c>
      <c r="D565" s="4">
        <v>45538</v>
      </c>
      <c r="F565" s="4">
        <v>45017</v>
      </c>
      <c r="G565" t="s">
        <v>101</v>
      </c>
      <c r="H565" t="s">
        <v>1427</v>
      </c>
      <c r="K565" t="s">
        <v>98</v>
      </c>
      <c r="L565" t="s">
        <v>1259</v>
      </c>
      <c r="M565" t="s">
        <v>84</v>
      </c>
      <c r="N565" t="s">
        <v>31</v>
      </c>
      <c r="O565" t="s">
        <v>32</v>
      </c>
      <c r="P565" t="s">
        <v>1467</v>
      </c>
      <c r="Q565">
        <v>200</v>
      </c>
      <c r="R565">
        <v>200</v>
      </c>
      <c r="S565" t="s">
        <v>34</v>
      </c>
      <c r="T565" t="s">
        <v>35</v>
      </c>
      <c r="U565" t="s">
        <v>44</v>
      </c>
      <c r="W565">
        <v>200</v>
      </c>
      <c r="X565">
        <v>200</v>
      </c>
      <c r="Y565">
        <v>0</v>
      </c>
      <c r="Z565">
        <v>0</v>
      </c>
    </row>
    <row r="566" spans="1:26" hidden="1" x14ac:dyDescent="0.25">
      <c r="A566" t="s">
        <v>1468</v>
      </c>
      <c r="B566" t="s">
        <v>25</v>
      </c>
      <c r="C566" s="4">
        <v>43990</v>
      </c>
      <c r="E566" s="4">
        <v>44944</v>
      </c>
      <c r="F566" s="4">
        <v>45170</v>
      </c>
      <c r="G566" t="s">
        <v>1408</v>
      </c>
      <c r="H566" t="s">
        <v>1302</v>
      </c>
      <c r="K566" t="s">
        <v>146</v>
      </c>
      <c r="L566" t="s">
        <v>1259</v>
      </c>
      <c r="M566" t="s">
        <v>68</v>
      </c>
      <c r="N566" t="s">
        <v>31</v>
      </c>
      <c r="O566" t="s">
        <v>32</v>
      </c>
      <c r="P566" t="s">
        <v>1303</v>
      </c>
      <c r="Q566">
        <v>100</v>
      </c>
      <c r="R566">
        <v>100</v>
      </c>
      <c r="S566" t="s">
        <v>34</v>
      </c>
      <c r="T566" t="s">
        <v>35</v>
      </c>
      <c r="U566" t="s">
        <v>44</v>
      </c>
      <c r="V566" s="4">
        <v>46013</v>
      </c>
      <c r="W566">
        <v>100</v>
      </c>
      <c r="X566">
        <v>100</v>
      </c>
      <c r="Y566">
        <v>100</v>
      </c>
      <c r="Z566">
        <v>100</v>
      </c>
    </row>
    <row r="567" spans="1:26" hidden="1" x14ac:dyDescent="0.25">
      <c r="A567" t="s">
        <v>1469</v>
      </c>
      <c r="B567" t="s">
        <v>38</v>
      </c>
      <c r="C567" s="4">
        <v>44000</v>
      </c>
      <c r="D567" s="4">
        <v>45307</v>
      </c>
      <c r="F567" s="4">
        <v>45017</v>
      </c>
      <c r="G567" t="s">
        <v>101</v>
      </c>
      <c r="H567" t="s">
        <v>1470</v>
      </c>
      <c r="K567" t="s">
        <v>98</v>
      </c>
      <c r="L567" t="s">
        <v>1259</v>
      </c>
      <c r="M567" t="s">
        <v>84</v>
      </c>
      <c r="N567" t="s">
        <v>31</v>
      </c>
      <c r="O567" t="s">
        <v>32</v>
      </c>
      <c r="P567" t="s">
        <v>1471</v>
      </c>
      <c r="Q567">
        <v>200</v>
      </c>
      <c r="R567">
        <v>200</v>
      </c>
      <c r="S567" t="s">
        <v>34</v>
      </c>
      <c r="T567" t="s">
        <v>35</v>
      </c>
      <c r="U567" t="s">
        <v>44</v>
      </c>
      <c r="W567">
        <v>0</v>
      </c>
      <c r="X567">
        <v>0</v>
      </c>
      <c r="Y567">
        <v>0</v>
      </c>
      <c r="Z567">
        <v>0</v>
      </c>
    </row>
    <row r="568" spans="1:26" hidden="1" x14ac:dyDescent="0.25">
      <c r="A568" t="s">
        <v>1472</v>
      </c>
      <c r="B568" t="s">
        <v>25</v>
      </c>
      <c r="C568" s="4">
        <v>44603</v>
      </c>
      <c r="F568" s="4">
        <v>45170</v>
      </c>
      <c r="G568" t="s">
        <v>1274</v>
      </c>
      <c r="H568" t="s">
        <v>1473</v>
      </c>
      <c r="K568" t="s">
        <v>41</v>
      </c>
      <c r="L568" t="s">
        <v>1259</v>
      </c>
      <c r="M568" t="s">
        <v>42</v>
      </c>
      <c r="N568" t="s">
        <v>31</v>
      </c>
      <c r="O568" t="s">
        <v>32</v>
      </c>
      <c r="P568" t="s">
        <v>1474</v>
      </c>
      <c r="Q568">
        <v>150</v>
      </c>
      <c r="R568">
        <v>150</v>
      </c>
      <c r="S568" t="s">
        <v>34</v>
      </c>
      <c r="T568" t="s">
        <v>35</v>
      </c>
      <c r="U568" t="s">
        <v>44</v>
      </c>
      <c r="V568" s="4">
        <v>46266</v>
      </c>
      <c r="W568">
        <v>150</v>
      </c>
      <c r="X568">
        <v>150</v>
      </c>
      <c r="Y568">
        <v>150</v>
      </c>
      <c r="Z568">
        <v>150</v>
      </c>
    </row>
    <row r="569" spans="1:26" hidden="1" x14ac:dyDescent="0.25">
      <c r="A569" t="s">
        <v>1475</v>
      </c>
      <c r="B569" t="s">
        <v>38</v>
      </c>
      <c r="C569" s="4">
        <v>44614</v>
      </c>
      <c r="D569" s="4">
        <v>45099</v>
      </c>
      <c r="F569" s="4">
        <v>45200</v>
      </c>
      <c r="G569" t="s">
        <v>1278</v>
      </c>
      <c r="H569" t="s">
        <v>1476</v>
      </c>
      <c r="K569" t="s">
        <v>28</v>
      </c>
      <c r="L569" t="s">
        <v>1259</v>
      </c>
      <c r="M569" t="s">
        <v>30</v>
      </c>
      <c r="N569" t="s">
        <v>31</v>
      </c>
      <c r="O569" t="s">
        <v>32</v>
      </c>
      <c r="P569" t="s">
        <v>1477</v>
      </c>
      <c r="Q569">
        <v>150</v>
      </c>
      <c r="R569">
        <v>150</v>
      </c>
      <c r="S569" t="s">
        <v>34</v>
      </c>
      <c r="T569" t="s">
        <v>35</v>
      </c>
      <c r="U569" t="s">
        <v>44</v>
      </c>
      <c r="W569">
        <v>150</v>
      </c>
      <c r="X569">
        <v>150</v>
      </c>
      <c r="Y569">
        <v>150</v>
      </c>
      <c r="Z569">
        <v>150</v>
      </c>
    </row>
    <row r="570" spans="1:26" hidden="1" x14ac:dyDescent="0.25">
      <c r="A570" t="s">
        <v>1478</v>
      </c>
      <c r="B570" t="s">
        <v>38</v>
      </c>
      <c r="C570" s="4">
        <v>44005</v>
      </c>
      <c r="D570" s="4">
        <v>44201</v>
      </c>
      <c r="F570" s="4">
        <v>45169</v>
      </c>
      <c r="G570" t="s">
        <v>39</v>
      </c>
      <c r="H570" t="s">
        <v>1479</v>
      </c>
      <c r="K570" t="s">
        <v>41</v>
      </c>
      <c r="L570" t="s">
        <v>1259</v>
      </c>
      <c r="M570" t="s">
        <v>42</v>
      </c>
      <c r="N570" t="s">
        <v>31</v>
      </c>
      <c r="O570" t="s">
        <v>32</v>
      </c>
      <c r="P570" t="s">
        <v>1480</v>
      </c>
      <c r="Q570">
        <v>100</v>
      </c>
      <c r="R570">
        <v>100</v>
      </c>
      <c r="S570" t="s">
        <v>34</v>
      </c>
      <c r="T570" t="s">
        <v>35</v>
      </c>
      <c r="U570" t="s">
        <v>44</v>
      </c>
      <c r="W570">
        <v>0</v>
      </c>
      <c r="X570">
        <v>0</v>
      </c>
      <c r="Y570">
        <v>0</v>
      </c>
      <c r="Z570">
        <v>0</v>
      </c>
    </row>
    <row r="571" spans="1:26" hidden="1" x14ac:dyDescent="0.25">
      <c r="A571" t="s">
        <v>1481</v>
      </c>
      <c r="B571" t="s">
        <v>38</v>
      </c>
      <c r="C571" s="4">
        <v>44004</v>
      </c>
      <c r="D571" s="4">
        <v>44201</v>
      </c>
      <c r="F571" s="4">
        <v>45169</v>
      </c>
      <c r="G571" t="s">
        <v>39</v>
      </c>
      <c r="H571" t="s">
        <v>1482</v>
      </c>
      <c r="K571" t="s">
        <v>28</v>
      </c>
      <c r="L571" t="s">
        <v>1259</v>
      </c>
      <c r="M571" t="s">
        <v>42</v>
      </c>
      <c r="N571" t="s">
        <v>31</v>
      </c>
      <c r="O571" t="s">
        <v>32</v>
      </c>
      <c r="P571" t="s">
        <v>1483</v>
      </c>
      <c r="Q571">
        <v>44</v>
      </c>
      <c r="R571">
        <v>44</v>
      </c>
      <c r="S571" t="s">
        <v>34</v>
      </c>
      <c r="T571" t="s">
        <v>35</v>
      </c>
      <c r="U571" t="s">
        <v>44</v>
      </c>
      <c r="W571">
        <v>0</v>
      </c>
      <c r="X571">
        <v>0</v>
      </c>
      <c r="Y571">
        <v>0</v>
      </c>
      <c r="Z571">
        <v>0</v>
      </c>
    </row>
    <row r="572" spans="1:26" hidden="1" x14ac:dyDescent="0.25">
      <c r="A572" t="s">
        <v>1484</v>
      </c>
      <c r="B572" t="s">
        <v>38</v>
      </c>
      <c r="C572" s="4">
        <v>44007</v>
      </c>
      <c r="D572" s="4">
        <v>44112</v>
      </c>
      <c r="F572" s="4">
        <v>45170</v>
      </c>
      <c r="G572" t="s">
        <v>72</v>
      </c>
      <c r="H572" t="s">
        <v>1485</v>
      </c>
      <c r="K572" t="s">
        <v>41</v>
      </c>
      <c r="L572" t="s">
        <v>1259</v>
      </c>
      <c r="M572" t="s">
        <v>42</v>
      </c>
      <c r="N572" t="s">
        <v>31</v>
      </c>
      <c r="O572" t="s">
        <v>32</v>
      </c>
      <c r="P572" t="s">
        <v>1486</v>
      </c>
      <c r="Q572">
        <v>200</v>
      </c>
      <c r="R572">
        <v>200</v>
      </c>
      <c r="S572" t="s">
        <v>34</v>
      </c>
      <c r="T572" t="s">
        <v>35</v>
      </c>
      <c r="U572" t="s">
        <v>44</v>
      </c>
      <c r="W572">
        <v>0</v>
      </c>
      <c r="X572">
        <v>0</v>
      </c>
      <c r="Y572">
        <v>0</v>
      </c>
      <c r="Z572">
        <v>0</v>
      </c>
    </row>
    <row r="573" spans="1:26" hidden="1" x14ac:dyDescent="0.25">
      <c r="A573" t="s">
        <v>1487</v>
      </c>
      <c r="B573" t="s">
        <v>25</v>
      </c>
      <c r="C573" s="4">
        <v>44533</v>
      </c>
      <c r="F573" s="4">
        <v>45184</v>
      </c>
      <c r="G573" t="s">
        <v>52</v>
      </c>
      <c r="H573" t="s">
        <v>1488</v>
      </c>
      <c r="K573" t="s">
        <v>53</v>
      </c>
      <c r="L573" t="s">
        <v>1259</v>
      </c>
      <c r="M573" t="s">
        <v>54</v>
      </c>
      <c r="N573" t="s">
        <v>31</v>
      </c>
      <c r="O573" t="s">
        <v>32</v>
      </c>
      <c r="P573" t="s">
        <v>1489</v>
      </c>
      <c r="Q573">
        <v>200</v>
      </c>
      <c r="R573">
        <v>200</v>
      </c>
      <c r="S573" t="s">
        <v>34</v>
      </c>
      <c r="T573" t="s">
        <v>35</v>
      </c>
      <c r="U573" t="s">
        <v>44</v>
      </c>
      <c r="V573" s="4">
        <v>45762</v>
      </c>
      <c r="W573">
        <v>175</v>
      </c>
      <c r="X573">
        <v>175</v>
      </c>
      <c r="Y573">
        <v>175</v>
      </c>
      <c r="Z573">
        <v>175</v>
      </c>
    </row>
    <row r="574" spans="1:26" hidden="1" x14ac:dyDescent="0.25">
      <c r="A574" t="s">
        <v>1490</v>
      </c>
      <c r="B574" t="s">
        <v>25</v>
      </c>
      <c r="C574" s="4">
        <v>44005</v>
      </c>
      <c r="F574" s="4">
        <v>45214</v>
      </c>
      <c r="G574" t="s">
        <v>39</v>
      </c>
      <c r="H574" t="s">
        <v>1298</v>
      </c>
      <c r="K574" t="s">
        <v>41</v>
      </c>
      <c r="L574" t="s">
        <v>1259</v>
      </c>
      <c r="M574" t="s">
        <v>42</v>
      </c>
      <c r="N574" t="s">
        <v>31</v>
      </c>
      <c r="O574" t="s">
        <v>32</v>
      </c>
      <c r="P574" t="s">
        <v>1491</v>
      </c>
      <c r="Q574">
        <v>150</v>
      </c>
      <c r="R574">
        <v>150</v>
      </c>
      <c r="S574" t="s">
        <v>597</v>
      </c>
      <c r="T574" t="s">
        <v>598</v>
      </c>
      <c r="U574" t="s">
        <v>44</v>
      </c>
      <c r="W574">
        <v>150</v>
      </c>
      <c r="X574">
        <v>150</v>
      </c>
      <c r="Y574">
        <v>150</v>
      </c>
      <c r="Z574">
        <v>150</v>
      </c>
    </row>
    <row r="575" spans="1:26" hidden="1" x14ac:dyDescent="0.25">
      <c r="A575" t="s">
        <v>1492</v>
      </c>
      <c r="B575" t="s">
        <v>25</v>
      </c>
      <c r="C575" s="4">
        <v>44004</v>
      </c>
      <c r="F575" s="4">
        <v>45170</v>
      </c>
      <c r="G575" t="s">
        <v>1278</v>
      </c>
      <c r="H575" t="s">
        <v>1493</v>
      </c>
      <c r="K575" t="s">
        <v>28</v>
      </c>
      <c r="L575" t="s">
        <v>1259</v>
      </c>
      <c r="M575" t="s">
        <v>30</v>
      </c>
      <c r="N575" t="s">
        <v>31</v>
      </c>
      <c r="O575" t="s">
        <v>32</v>
      </c>
      <c r="P575" t="s">
        <v>1494</v>
      </c>
      <c r="Q575">
        <v>250</v>
      </c>
      <c r="R575">
        <v>250</v>
      </c>
      <c r="S575" t="s">
        <v>34</v>
      </c>
      <c r="T575" t="s">
        <v>35</v>
      </c>
      <c r="U575" t="s">
        <v>44</v>
      </c>
      <c r="V575" s="4">
        <v>46266</v>
      </c>
      <c r="W575">
        <v>250</v>
      </c>
      <c r="X575">
        <v>250</v>
      </c>
      <c r="Y575">
        <v>250</v>
      </c>
      <c r="Z575">
        <v>130</v>
      </c>
    </row>
    <row r="576" spans="1:26" hidden="1" x14ac:dyDescent="0.25">
      <c r="A576" t="s">
        <v>1495</v>
      </c>
      <c r="B576" t="s">
        <v>38</v>
      </c>
      <c r="C576" s="4">
        <v>44006</v>
      </c>
      <c r="D576" s="4">
        <v>44411</v>
      </c>
      <c r="F576" s="4">
        <v>45139</v>
      </c>
      <c r="G576" t="s">
        <v>144</v>
      </c>
      <c r="H576" t="s">
        <v>1496</v>
      </c>
      <c r="K576" t="s">
        <v>146</v>
      </c>
      <c r="L576" t="s">
        <v>1259</v>
      </c>
      <c r="M576" t="s">
        <v>68</v>
      </c>
      <c r="N576" t="s">
        <v>31</v>
      </c>
      <c r="O576" t="s">
        <v>32</v>
      </c>
      <c r="P576" t="s">
        <v>1497</v>
      </c>
      <c r="Q576">
        <v>99</v>
      </c>
      <c r="R576">
        <v>99</v>
      </c>
      <c r="S576" t="s">
        <v>597</v>
      </c>
      <c r="T576" t="s">
        <v>598</v>
      </c>
      <c r="U576" t="s">
        <v>44</v>
      </c>
      <c r="W576">
        <v>0</v>
      </c>
      <c r="X576">
        <v>0</v>
      </c>
      <c r="Y576">
        <v>0</v>
      </c>
      <c r="Z576">
        <v>0</v>
      </c>
    </row>
    <row r="577" spans="1:26" hidden="1" x14ac:dyDescent="0.25">
      <c r="A577" t="s">
        <v>1498</v>
      </c>
      <c r="B577" t="s">
        <v>25</v>
      </c>
      <c r="C577" s="4">
        <v>44007</v>
      </c>
      <c r="F577" s="4">
        <v>45992</v>
      </c>
      <c r="G577" t="s">
        <v>1499</v>
      </c>
      <c r="H577" t="s">
        <v>1500</v>
      </c>
      <c r="K577" t="s">
        <v>41</v>
      </c>
      <c r="L577" t="s">
        <v>1259</v>
      </c>
      <c r="M577" t="s">
        <v>42</v>
      </c>
      <c r="N577" t="s">
        <v>31</v>
      </c>
      <c r="O577" t="s">
        <v>32</v>
      </c>
      <c r="P577" t="s">
        <v>1501</v>
      </c>
      <c r="Q577">
        <v>70</v>
      </c>
      <c r="R577">
        <v>70</v>
      </c>
      <c r="S577" t="s">
        <v>56</v>
      </c>
      <c r="T577" t="s">
        <v>57</v>
      </c>
      <c r="U577" t="s">
        <v>44</v>
      </c>
      <c r="V577" s="4">
        <v>46968</v>
      </c>
      <c r="W577">
        <v>70</v>
      </c>
      <c r="X577">
        <v>70</v>
      </c>
      <c r="Y577">
        <v>70</v>
      </c>
      <c r="Z577">
        <v>70</v>
      </c>
    </row>
    <row r="578" spans="1:26" hidden="1" x14ac:dyDescent="0.25">
      <c r="A578" t="s">
        <v>1502</v>
      </c>
      <c r="B578" t="s">
        <v>25</v>
      </c>
      <c r="C578" s="4">
        <v>44623</v>
      </c>
      <c r="E578" s="4">
        <v>44944</v>
      </c>
      <c r="F578" s="4">
        <v>46037</v>
      </c>
      <c r="G578" t="s">
        <v>1408</v>
      </c>
      <c r="H578" t="s">
        <v>1302</v>
      </c>
      <c r="K578" t="s">
        <v>146</v>
      </c>
      <c r="L578" t="s">
        <v>1259</v>
      </c>
      <c r="M578" t="s">
        <v>68</v>
      </c>
      <c r="N578" t="s">
        <v>31</v>
      </c>
      <c r="O578" t="s">
        <v>32</v>
      </c>
      <c r="P578" t="s">
        <v>1503</v>
      </c>
      <c r="Q578">
        <v>200</v>
      </c>
      <c r="R578">
        <v>200</v>
      </c>
      <c r="S578" t="s">
        <v>34</v>
      </c>
      <c r="T578" t="s">
        <v>35</v>
      </c>
      <c r="U578" t="s">
        <v>44</v>
      </c>
      <c r="V578" s="4">
        <v>46327</v>
      </c>
      <c r="W578">
        <v>200</v>
      </c>
      <c r="X578">
        <v>70</v>
      </c>
      <c r="Y578">
        <v>200</v>
      </c>
      <c r="Z578">
        <v>0</v>
      </c>
    </row>
    <row r="579" spans="1:26" hidden="1" x14ac:dyDescent="0.25">
      <c r="A579" t="s">
        <v>1504</v>
      </c>
      <c r="B579" t="s">
        <v>25</v>
      </c>
      <c r="C579" s="4">
        <v>44007</v>
      </c>
      <c r="F579" s="4">
        <v>45945</v>
      </c>
      <c r="G579" t="s">
        <v>65</v>
      </c>
      <c r="H579" t="s">
        <v>1505</v>
      </c>
      <c r="K579" t="s">
        <v>67</v>
      </c>
      <c r="L579" t="s">
        <v>1259</v>
      </c>
      <c r="M579" t="s">
        <v>68</v>
      </c>
      <c r="N579" t="s">
        <v>31</v>
      </c>
      <c r="O579" t="s">
        <v>32</v>
      </c>
      <c r="P579" t="s">
        <v>1506</v>
      </c>
      <c r="Q579">
        <v>100</v>
      </c>
      <c r="R579">
        <v>100</v>
      </c>
      <c r="S579" t="s">
        <v>34</v>
      </c>
      <c r="T579" t="s">
        <v>35</v>
      </c>
      <c r="U579" t="s">
        <v>36</v>
      </c>
      <c r="V579" s="4">
        <v>45778</v>
      </c>
      <c r="W579">
        <v>100</v>
      </c>
      <c r="X579">
        <v>100</v>
      </c>
      <c r="Y579">
        <v>100</v>
      </c>
      <c r="Z579">
        <v>100</v>
      </c>
    </row>
    <row r="580" spans="1:26" hidden="1" x14ac:dyDescent="0.25">
      <c r="A580" t="s">
        <v>1507</v>
      </c>
      <c r="B580" t="s">
        <v>38</v>
      </c>
      <c r="C580" s="4">
        <v>44000</v>
      </c>
      <c r="D580" s="4">
        <v>45889</v>
      </c>
      <c r="F580" s="4">
        <v>45017</v>
      </c>
      <c r="G580" t="s">
        <v>101</v>
      </c>
      <c r="H580" t="s">
        <v>1508</v>
      </c>
      <c r="K580" t="s">
        <v>98</v>
      </c>
      <c r="L580" t="s">
        <v>1259</v>
      </c>
      <c r="M580" t="s">
        <v>84</v>
      </c>
      <c r="N580" t="s">
        <v>31</v>
      </c>
      <c r="O580" t="s">
        <v>32</v>
      </c>
      <c r="P580" t="s">
        <v>1509</v>
      </c>
      <c r="Q580">
        <v>200</v>
      </c>
      <c r="R580">
        <v>200</v>
      </c>
      <c r="S580" t="s">
        <v>34</v>
      </c>
      <c r="T580" t="s">
        <v>35</v>
      </c>
      <c r="U580" t="s">
        <v>44</v>
      </c>
      <c r="W580">
        <v>200</v>
      </c>
      <c r="X580">
        <v>200</v>
      </c>
      <c r="Y580">
        <v>200</v>
      </c>
      <c r="Z580">
        <v>200</v>
      </c>
    </row>
    <row r="581" spans="1:26" hidden="1" x14ac:dyDescent="0.25">
      <c r="A581" t="s">
        <v>1510</v>
      </c>
      <c r="B581" t="s">
        <v>38</v>
      </c>
      <c r="C581" s="4">
        <v>44000</v>
      </c>
      <c r="D581" s="4">
        <v>45538</v>
      </c>
      <c r="F581" s="4">
        <v>45017</v>
      </c>
      <c r="G581" t="s">
        <v>117</v>
      </c>
      <c r="H581" t="s">
        <v>1511</v>
      </c>
      <c r="K581" t="s">
        <v>83</v>
      </c>
      <c r="L581" t="s">
        <v>1259</v>
      </c>
      <c r="M581" t="s">
        <v>84</v>
      </c>
      <c r="N581" t="s">
        <v>31</v>
      </c>
      <c r="O581" t="s">
        <v>32</v>
      </c>
      <c r="P581" t="s">
        <v>1512</v>
      </c>
      <c r="Q581">
        <v>200</v>
      </c>
      <c r="R581">
        <v>200</v>
      </c>
      <c r="S581" t="s">
        <v>34</v>
      </c>
      <c r="T581" t="s">
        <v>35</v>
      </c>
      <c r="U581" t="s">
        <v>44</v>
      </c>
      <c r="W581">
        <v>200</v>
      </c>
      <c r="X581">
        <v>200</v>
      </c>
      <c r="Y581">
        <v>0</v>
      </c>
      <c r="Z581">
        <v>0</v>
      </c>
    </row>
    <row r="582" spans="1:26" hidden="1" x14ac:dyDescent="0.25">
      <c r="A582" t="s">
        <v>1513</v>
      </c>
      <c r="B582" t="s">
        <v>38</v>
      </c>
      <c r="C582" s="4">
        <v>44001</v>
      </c>
      <c r="D582" s="4">
        <v>44165</v>
      </c>
      <c r="F582" s="4">
        <v>45200</v>
      </c>
      <c r="G582" t="s">
        <v>52</v>
      </c>
      <c r="H582" t="s">
        <v>1362</v>
      </c>
      <c r="K582" t="s">
        <v>53</v>
      </c>
      <c r="L582" t="s">
        <v>1259</v>
      </c>
      <c r="M582" t="s">
        <v>54</v>
      </c>
      <c r="N582" t="s">
        <v>31</v>
      </c>
      <c r="O582" t="s">
        <v>32</v>
      </c>
      <c r="P582" t="s">
        <v>1514</v>
      </c>
      <c r="Q582">
        <v>100</v>
      </c>
      <c r="R582">
        <v>100</v>
      </c>
      <c r="S582" t="s">
        <v>34</v>
      </c>
      <c r="T582" t="s">
        <v>35</v>
      </c>
      <c r="U582" t="s">
        <v>44</v>
      </c>
      <c r="W582">
        <v>0</v>
      </c>
      <c r="X582">
        <v>0</v>
      </c>
      <c r="Y582">
        <v>0</v>
      </c>
      <c r="Z582">
        <v>0</v>
      </c>
    </row>
    <row r="583" spans="1:26" hidden="1" x14ac:dyDescent="0.25">
      <c r="A583" t="s">
        <v>1515</v>
      </c>
      <c r="B583" t="s">
        <v>25</v>
      </c>
      <c r="C583" s="4">
        <v>45399</v>
      </c>
      <c r="F583" s="4">
        <v>45170</v>
      </c>
      <c r="G583" t="s">
        <v>39</v>
      </c>
      <c r="H583" t="s">
        <v>1516</v>
      </c>
      <c r="K583" t="s">
        <v>41</v>
      </c>
      <c r="L583" t="s">
        <v>1259</v>
      </c>
      <c r="M583" t="s">
        <v>42</v>
      </c>
      <c r="N583" t="s">
        <v>31</v>
      </c>
      <c r="O583" t="s">
        <v>32</v>
      </c>
      <c r="P583" t="s">
        <v>1517</v>
      </c>
      <c r="Q583">
        <v>200</v>
      </c>
      <c r="R583">
        <v>200</v>
      </c>
      <c r="S583" t="s">
        <v>34</v>
      </c>
      <c r="T583" t="s">
        <v>35</v>
      </c>
      <c r="U583" t="s">
        <v>44</v>
      </c>
      <c r="V583" s="4">
        <v>46266</v>
      </c>
      <c r="W583">
        <v>200</v>
      </c>
      <c r="X583">
        <v>200</v>
      </c>
      <c r="Y583">
        <v>200</v>
      </c>
      <c r="Z583">
        <v>200</v>
      </c>
    </row>
    <row r="584" spans="1:26" hidden="1" x14ac:dyDescent="0.25">
      <c r="A584" t="s">
        <v>1518</v>
      </c>
      <c r="B584" t="s">
        <v>38</v>
      </c>
      <c r="C584" s="4">
        <v>44620</v>
      </c>
      <c r="D584" s="4">
        <v>44957</v>
      </c>
      <c r="F584" s="4">
        <v>45449</v>
      </c>
      <c r="G584" t="s">
        <v>39</v>
      </c>
      <c r="H584" t="s">
        <v>1519</v>
      </c>
      <c r="K584" t="s">
        <v>28</v>
      </c>
      <c r="L584" t="s">
        <v>1259</v>
      </c>
      <c r="M584" t="s">
        <v>42</v>
      </c>
      <c r="N584" t="s">
        <v>31</v>
      </c>
      <c r="O584" t="s">
        <v>32</v>
      </c>
      <c r="P584" t="s">
        <v>1520</v>
      </c>
      <c r="Q584">
        <v>160</v>
      </c>
      <c r="R584">
        <v>160</v>
      </c>
      <c r="S584" t="s">
        <v>34</v>
      </c>
      <c r="T584" t="s">
        <v>35</v>
      </c>
      <c r="U584" t="s">
        <v>44</v>
      </c>
      <c r="W584">
        <v>160</v>
      </c>
      <c r="X584">
        <v>160</v>
      </c>
      <c r="Y584">
        <v>0</v>
      </c>
      <c r="Z584">
        <v>0</v>
      </c>
    </row>
    <row r="585" spans="1:26" hidden="1" x14ac:dyDescent="0.25">
      <c r="A585" t="s">
        <v>1521</v>
      </c>
      <c r="B585" t="s">
        <v>25</v>
      </c>
      <c r="C585" s="4">
        <v>43996</v>
      </c>
      <c r="E585" s="4">
        <v>44944</v>
      </c>
      <c r="F585" s="4">
        <v>45200</v>
      </c>
      <c r="G585" t="s">
        <v>1408</v>
      </c>
      <c r="H585" t="s">
        <v>1522</v>
      </c>
      <c r="K585" t="s">
        <v>146</v>
      </c>
      <c r="L585" t="s">
        <v>1259</v>
      </c>
      <c r="M585" t="s">
        <v>68</v>
      </c>
      <c r="N585" t="s">
        <v>31</v>
      </c>
      <c r="O585" t="s">
        <v>32</v>
      </c>
      <c r="P585" t="s">
        <v>1523</v>
      </c>
      <c r="Q585">
        <v>175</v>
      </c>
      <c r="R585">
        <v>175</v>
      </c>
      <c r="S585" t="s">
        <v>34</v>
      </c>
      <c r="T585" t="s">
        <v>35</v>
      </c>
      <c r="U585" t="s">
        <v>44</v>
      </c>
      <c r="V585" s="4">
        <v>45809</v>
      </c>
      <c r="W585">
        <v>175</v>
      </c>
      <c r="X585">
        <v>175</v>
      </c>
      <c r="Y585">
        <v>175</v>
      </c>
      <c r="Z585">
        <v>175</v>
      </c>
    </row>
    <row r="586" spans="1:26" hidden="1" x14ac:dyDescent="0.25">
      <c r="A586" t="s">
        <v>1524</v>
      </c>
      <c r="B586" t="s">
        <v>38</v>
      </c>
      <c r="C586" s="4">
        <v>44003</v>
      </c>
      <c r="D586" s="4">
        <v>44092</v>
      </c>
      <c r="F586" s="4">
        <v>45200</v>
      </c>
      <c r="G586" t="s">
        <v>144</v>
      </c>
      <c r="H586" t="s">
        <v>1405</v>
      </c>
      <c r="K586" t="s">
        <v>146</v>
      </c>
      <c r="L586" t="s">
        <v>1259</v>
      </c>
      <c r="M586" t="s">
        <v>68</v>
      </c>
      <c r="N586" t="s">
        <v>31</v>
      </c>
      <c r="O586" t="s">
        <v>32</v>
      </c>
      <c r="P586" t="s">
        <v>1525</v>
      </c>
      <c r="Q586">
        <v>150</v>
      </c>
      <c r="R586">
        <v>150</v>
      </c>
      <c r="S586" t="s">
        <v>34</v>
      </c>
      <c r="T586" t="s">
        <v>35</v>
      </c>
      <c r="U586" t="s">
        <v>44</v>
      </c>
      <c r="W586">
        <v>0</v>
      </c>
      <c r="X586">
        <v>0</v>
      </c>
      <c r="Y586">
        <v>0</v>
      </c>
      <c r="Z586">
        <v>0</v>
      </c>
    </row>
    <row r="587" spans="1:26" hidden="1" x14ac:dyDescent="0.25">
      <c r="A587" t="s">
        <v>1526</v>
      </c>
      <c r="B587" t="s">
        <v>38</v>
      </c>
      <c r="C587" s="4">
        <v>44000</v>
      </c>
      <c r="D587" s="4">
        <v>45258</v>
      </c>
      <c r="F587" s="4">
        <v>45017</v>
      </c>
      <c r="G587" t="s">
        <v>1251</v>
      </c>
      <c r="H587" t="s">
        <v>1527</v>
      </c>
      <c r="K587" t="s">
        <v>109</v>
      </c>
      <c r="L587" t="s">
        <v>1259</v>
      </c>
      <c r="M587" t="s">
        <v>84</v>
      </c>
      <c r="N587" t="s">
        <v>31</v>
      </c>
      <c r="O587" t="s">
        <v>32</v>
      </c>
      <c r="P587" t="s">
        <v>1528</v>
      </c>
      <c r="Q587">
        <v>200</v>
      </c>
      <c r="R587">
        <v>200</v>
      </c>
      <c r="S587" t="s">
        <v>34</v>
      </c>
      <c r="T587" t="s">
        <v>35</v>
      </c>
      <c r="U587" t="s">
        <v>44</v>
      </c>
      <c r="W587">
        <v>0</v>
      </c>
      <c r="X587">
        <v>0</v>
      </c>
      <c r="Y587">
        <v>0</v>
      </c>
      <c r="Z587">
        <v>0</v>
      </c>
    </row>
    <row r="588" spans="1:26" hidden="1" x14ac:dyDescent="0.25">
      <c r="A588" t="s">
        <v>1529</v>
      </c>
      <c r="B588" t="s">
        <v>25</v>
      </c>
      <c r="C588" s="4">
        <v>44007</v>
      </c>
      <c r="F588" s="4">
        <v>45199</v>
      </c>
      <c r="G588" t="s">
        <v>52</v>
      </c>
      <c r="H588" t="s">
        <v>1530</v>
      </c>
      <c r="K588" t="s">
        <v>53</v>
      </c>
      <c r="L588" t="s">
        <v>1259</v>
      </c>
      <c r="M588" t="s">
        <v>54</v>
      </c>
      <c r="N588" t="s">
        <v>31</v>
      </c>
      <c r="O588" t="s">
        <v>32</v>
      </c>
      <c r="P588" t="s">
        <v>1531</v>
      </c>
      <c r="Q588">
        <v>499</v>
      </c>
      <c r="R588">
        <v>499</v>
      </c>
      <c r="S588" t="s">
        <v>597</v>
      </c>
      <c r="T588" t="s">
        <v>598</v>
      </c>
      <c r="U588" t="s">
        <v>44</v>
      </c>
      <c r="V588" s="4">
        <v>45809</v>
      </c>
      <c r="W588">
        <v>499</v>
      </c>
      <c r="X588">
        <v>499</v>
      </c>
      <c r="Y588">
        <v>499</v>
      </c>
      <c r="Z588">
        <v>499</v>
      </c>
    </row>
    <row r="589" spans="1:26" hidden="1" x14ac:dyDescent="0.25">
      <c r="A589" t="s">
        <v>1532</v>
      </c>
      <c r="B589" t="s">
        <v>25</v>
      </c>
      <c r="C589" s="4">
        <v>44004</v>
      </c>
      <c r="F589" s="4">
        <v>45170</v>
      </c>
      <c r="G589" t="s">
        <v>907</v>
      </c>
      <c r="H589" t="s">
        <v>1350</v>
      </c>
      <c r="K589" t="s">
        <v>53</v>
      </c>
      <c r="L589" t="s">
        <v>1259</v>
      </c>
      <c r="M589" t="s">
        <v>54</v>
      </c>
      <c r="N589" t="s">
        <v>31</v>
      </c>
      <c r="O589" t="s">
        <v>32</v>
      </c>
      <c r="P589" t="s">
        <v>1533</v>
      </c>
      <c r="Q589">
        <v>100</v>
      </c>
      <c r="R589">
        <v>100</v>
      </c>
      <c r="S589" t="s">
        <v>34</v>
      </c>
      <c r="T589" t="s">
        <v>35</v>
      </c>
      <c r="U589" t="s">
        <v>44</v>
      </c>
      <c r="V589" s="4">
        <v>45908</v>
      </c>
      <c r="W589">
        <v>100</v>
      </c>
      <c r="X589">
        <v>100</v>
      </c>
      <c r="Y589">
        <v>100</v>
      </c>
      <c r="Z589">
        <v>100</v>
      </c>
    </row>
    <row r="590" spans="1:26" hidden="1" x14ac:dyDescent="0.25">
      <c r="A590" t="s">
        <v>1534</v>
      </c>
      <c r="B590" t="s">
        <v>25</v>
      </c>
      <c r="C590" s="4">
        <v>45412</v>
      </c>
      <c r="F590" s="4">
        <v>45170</v>
      </c>
      <c r="G590" t="s">
        <v>39</v>
      </c>
      <c r="H590" t="s">
        <v>1402</v>
      </c>
      <c r="K590" t="s">
        <v>185</v>
      </c>
      <c r="L590" t="s">
        <v>1259</v>
      </c>
      <c r="M590" t="s">
        <v>42</v>
      </c>
      <c r="N590" t="s">
        <v>31</v>
      </c>
      <c r="O590" t="s">
        <v>32</v>
      </c>
      <c r="P590" t="s">
        <v>1535</v>
      </c>
      <c r="Q590">
        <v>200</v>
      </c>
      <c r="R590">
        <v>200</v>
      </c>
      <c r="S590" t="s">
        <v>34</v>
      </c>
      <c r="T590" t="s">
        <v>35</v>
      </c>
      <c r="U590" t="s">
        <v>44</v>
      </c>
      <c r="V590" s="4">
        <v>46266</v>
      </c>
      <c r="W590">
        <v>200</v>
      </c>
      <c r="X590">
        <v>200</v>
      </c>
      <c r="Y590">
        <v>200</v>
      </c>
      <c r="Z590">
        <v>200</v>
      </c>
    </row>
    <row r="591" spans="1:26" hidden="1" x14ac:dyDescent="0.25">
      <c r="A591" t="s">
        <v>1536</v>
      </c>
      <c r="B591" t="s">
        <v>38</v>
      </c>
      <c r="C591" s="4">
        <v>44005</v>
      </c>
      <c r="D591" s="4">
        <v>44565</v>
      </c>
      <c r="F591" s="4">
        <v>44910</v>
      </c>
      <c r="G591" t="s">
        <v>52</v>
      </c>
      <c r="H591" t="s">
        <v>1430</v>
      </c>
      <c r="K591" t="s">
        <v>53</v>
      </c>
      <c r="L591" t="s">
        <v>1259</v>
      </c>
      <c r="M591" t="s">
        <v>54</v>
      </c>
      <c r="N591" t="s">
        <v>31</v>
      </c>
      <c r="O591" t="s">
        <v>32</v>
      </c>
      <c r="P591" t="s">
        <v>1537</v>
      </c>
      <c r="Q591">
        <v>150</v>
      </c>
      <c r="R591">
        <v>150</v>
      </c>
      <c r="S591" t="s">
        <v>34</v>
      </c>
      <c r="T591" t="s">
        <v>35</v>
      </c>
      <c r="U591" t="s">
        <v>44</v>
      </c>
      <c r="W591">
        <v>0</v>
      </c>
      <c r="X591">
        <v>0</v>
      </c>
      <c r="Y591">
        <v>0</v>
      </c>
      <c r="Z591">
        <v>0</v>
      </c>
    </row>
    <row r="592" spans="1:26" hidden="1" x14ac:dyDescent="0.25">
      <c r="A592" t="s">
        <v>1538</v>
      </c>
      <c r="B592" t="s">
        <v>25</v>
      </c>
      <c r="C592" s="4">
        <v>45448</v>
      </c>
      <c r="F592" s="4">
        <v>45595</v>
      </c>
      <c r="G592" t="s">
        <v>1368</v>
      </c>
      <c r="H592" t="s">
        <v>1539</v>
      </c>
      <c r="K592" t="s">
        <v>209</v>
      </c>
      <c r="L592" t="s">
        <v>1259</v>
      </c>
      <c r="M592" t="s">
        <v>42</v>
      </c>
      <c r="N592" t="s">
        <v>31</v>
      </c>
      <c r="O592" t="s">
        <v>32</v>
      </c>
      <c r="P592" t="s">
        <v>1540</v>
      </c>
      <c r="Q592">
        <v>200</v>
      </c>
      <c r="R592">
        <v>200</v>
      </c>
      <c r="S592" t="s">
        <v>56</v>
      </c>
      <c r="T592" t="s">
        <v>57</v>
      </c>
      <c r="U592" t="s">
        <v>44</v>
      </c>
      <c r="V592" s="4">
        <v>46280</v>
      </c>
      <c r="W592">
        <v>200</v>
      </c>
      <c r="X592">
        <v>40</v>
      </c>
      <c r="Y592">
        <v>200</v>
      </c>
      <c r="Z592">
        <v>40</v>
      </c>
    </row>
    <row r="593" spans="1:26" hidden="1" x14ac:dyDescent="0.25">
      <c r="A593" t="s">
        <v>1541</v>
      </c>
      <c r="B593" t="s">
        <v>38</v>
      </c>
      <c r="C593" s="4">
        <v>44004</v>
      </c>
      <c r="D593" s="4">
        <v>45538</v>
      </c>
      <c r="F593" s="4">
        <v>45170</v>
      </c>
      <c r="G593" t="s">
        <v>101</v>
      </c>
      <c r="H593" t="s">
        <v>1542</v>
      </c>
      <c r="K593" t="s">
        <v>98</v>
      </c>
      <c r="L593" t="s">
        <v>1259</v>
      </c>
      <c r="M593" t="s">
        <v>84</v>
      </c>
      <c r="N593" t="s">
        <v>31</v>
      </c>
      <c r="O593" t="s">
        <v>32</v>
      </c>
      <c r="P593" t="s">
        <v>1543</v>
      </c>
      <c r="Q593">
        <v>150</v>
      </c>
      <c r="R593">
        <v>150</v>
      </c>
      <c r="S593" t="s">
        <v>34</v>
      </c>
      <c r="T593" t="s">
        <v>35</v>
      </c>
      <c r="U593" t="s">
        <v>44</v>
      </c>
      <c r="W593">
        <v>150</v>
      </c>
      <c r="X593">
        <v>150</v>
      </c>
      <c r="Y593">
        <v>0</v>
      </c>
      <c r="Z593">
        <v>0</v>
      </c>
    </row>
    <row r="594" spans="1:26" hidden="1" x14ac:dyDescent="0.25">
      <c r="A594" t="s">
        <v>1544</v>
      </c>
      <c r="B594" t="s">
        <v>38</v>
      </c>
      <c r="C594" s="4">
        <v>44000</v>
      </c>
      <c r="D594" s="4">
        <v>45268</v>
      </c>
      <c r="F594" s="4">
        <v>45017</v>
      </c>
      <c r="G594" t="s">
        <v>65</v>
      </c>
      <c r="H594" t="s">
        <v>1453</v>
      </c>
      <c r="K594" t="s">
        <v>67</v>
      </c>
      <c r="L594" t="s">
        <v>1259</v>
      </c>
      <c r="M594" t="s">
        <v>68</v>
      </c>
      <c r="N594" t="s">
        <v>31</v>
      </c>
      <c r="O594" t="s">
        <v>32</v>
      </c>
      <c r="P594" t="s">
        <v>1545</v>
      </c>
      <c r="Q594">
        <v>200</v>
      </c>
      <c r="R594">
        <v>200</v>
      </c>
      <c r="S594" t="s">
        <v>34</v>
      </c>
      <c r="T594" t="s">
        <v>35</v>
      </c>
      <c r="U594" t="s">
        <v>44</v>
      </c>
      <c r="W594">
        <v>200</v>
      </c>
      <c r="X594">
        <v>200</v>
      </c>
      <c r="Y594">
        <v>0</v>
      </c>
      <c r="Z594">
        <v>0</v>
      </c>
    </row>
    <row r="595" spans="1:26" hidden="1" x14ac:dyDescent="0.25">
      <c r="A595" t="s">
        <v>1546</v>
      </c>
      <c r="B595" t="s">
        <v>38</v>
      </c>
      <c r="C595" s="4">
        <v>44000</v>
      </c>
      <c r="D595" s="4">
        <v>45538</v>
      </c>
      <c r="F595" s="4">
        <v>45595</v>
      </c>
      <c r="G595" t="s">
        <v>101</v>
      </c>
      <c r="H595" t="s">
        <v>1547</v>
      </c>
      <c r="K595" t="s">
        <v>98</v>
      </c>
      <c r="L595" t="s">
        <v>1259</v>
      </c>
      <c r="M595" t="s">
        <v>84</v>
      </c>
      <c r="N595" t="s">
        <v>31</v>
      </c>
      <c r="O595" t="s">
        <v>32</v>
      </c>
      <c r="P595" t="s">
        <v>1548</v>
      </c>
      <c r="Q595">
        <v>200</v>
      </c>
      <c r="R595">
        <v>200</v>
      </c>
      <c r="S595" t="s">
        <v>34</v>
      </c>
      <c r="T595" t="s">
        <v>35</v>
      </c>
      <c r="U595" t="s">
        <v>44</v>
      </c>
      <c r="W595">
        <v>200</v>
      </c>
      <c r="X595">
        <v>200</v>
      </c>
      <c r="Y595">
        <v>0</v>
      </c>
      <c r="Z595">
        <v>0</v>
      </c>
    </row>
    <row r="596" spans="1:26" hidden="1" x14ac:dyDescent="0.25">
      <c r="A596" t="s">
        <v>1549</v>
      </c>
      <c r="B596" t="s">
        <v>38</v>
      </c>
      <c r="C596" s="4">
        <v>44007</v>
      </c>
      <c r="D596" s="4">
        <v>44517</v>
      </c>
      <c r="F596" s="4">
        <v>45139</v>
      </c>
      <c r="G596" t="s">
        <v>177</v>
      </c>
      <c r="H596" t="s">
        <v>1550</v>
      </c>
      <c r="K596" t="s">
        <v>62</v>
      </c>
      <c r="L596" t="s">
        <v>1259</v>
      </c>
      <c r="M596" t="s">
        <v>42</v>
      </c>
      <c r="N596" t="s">
        <v>31</v>
      </c>
      <c r="O596" t="s">
        <v>32</v>
      </c>
      <c r="P596" t="s">
        <v>1551</v>
      </c>
      <c r="Q596">
        <v>200</v>
      </c>
      <c r="R596">
        <v>200</v>
      </c>
      <c r="S596" t="s">
        <v>56</v>
      </c>
      <c r="T596" t="s">
        <v>57</v>
      </c>
      <c r="U596" t="s">
        <v>44</v>
      </c>
      <c r="W596">
        <v>0</v>
      </c>
      <c r="X596">
        <v>0</v>
      </c>
      <c r="Y596">
        <v>0</v>
      </c>
      <c r="Z596">
        <v>0</v>
      </c>
    </row>
    <row r="597" spans="1:26" hidden="1" x14ac:dyDescent="0.25">
      <c r="A597" t="s">
        <v>1552</v>
      </c>
      <c r="B597" t="s">
        <v>38</v>
      </c>
      <c r="C597" s="4">
        <v>44001</v>
      </c>
      <c r="D597" s="4">
        <v>44201</v>
      </c>
      <c r="F597" s="4">
        <v>45169</v>
      </c>
      <c r="G597" t="s">
        <v>144</v>
      </c>
      <c r="H597" t="s">
        <v>1553</v>
      </c>
      <c r="K597" t="s">
        <v>146</v>
      </c>
      <c r="L597" t="s">
        <v>1259</v>
      </c>
      <c r="M597" t="s">
        <v>68</v>
      </c>
      <c r="N597" t="s">
        <v>31</v>
      </c>
      <c r="O597" t="s">
        <v>32</v>
      </c>
      <c r="P597" t="s">
        <v>1554</v>
      </c>
      <c r="Q597">
        <v>100</v>
      </c>
      <c r="R597">
        <v>100</v>
      </c>
      <c r="S597" t="s">
        <v>34</v>
      </c>
      <c r="T597" t="s">
        <v>35</v>
      </c>
      <c r="U597" t="s">
        <v>44</v>
      </c>
      <c r="W597">
        <v>0</v>
      </c>
      <c r="X597">
        <v>0</v>
      </c>
      <c r="Y597">
        <v>0</v>
      </c>
      <c r="Z597">
        <v>0</v>
      </c>
    </row>
    <row r="598" spans="1:26" hidden="1" x14ac:dyDescent="0.25">
      <c r="A598" t="s">
        <v>1555</v>
      </c>
      <c r="B598" t="s">
        <v>38</v>
      </c>
      <c r="C598" s="4">
        <v>44000</v>
      </c>
      <c r="D598" s="4">
        <v>44251</v>
      </c>
      <c r="F598" s="4">
        <v>45214</v>
      </c>
      <c r="G598" t="s">
        <v>1278</v>
      </c>
      <c r="H598" t="s">
        <v>1556</v>
      </c>
      <c r="K598" t="s">
        <v>28</v>
      </c>
      <c r="L598" t="s">
        <v>1259</v>
      </c>
      <c r="M598" t="s">
        <v>30</v>
      </c>
      <c r="N598" t="s">
        <v>31</v>
      </c>
      <c r="O598" t="s">
        <v>32</v>
      </c>
      <c r="P598" t="s">
        <v>1557</v>
      </c>
      <c r="Q598">
        <v>100</v>
      </c>
      <c r="R598">
        <v>100</v>
      </c>
      <c r="S598" t="s">
        <v>34</v>
      </c>
      <c r="T598" t="s">
        <v>35</v>
      </c>
      <c r="U598" t="s">
        <v>44</v>
      </c>
      <c r="W598">
        <v>0</v>
      </c>
      <c r="X598">
        <v>0</v>
      </c>
      <c r="Y598">
        <v>0</v>
      </c>
      <c r="Z598">
        <v>0</v>
      </c>
    </row>
    <row r="599" spans="1:26" hidden="1" x14ac:dyDescent="0.25">
      <c r="A599" t="s">
        <v>1558</v>
      </c>
      <c r="B599" t="s">
        <v>38</v>
      </c>
      <c r="C599" s="4">
        <v>44005</v>
      </c>
      <c r="D599" s="4">
        <v>44517</v>
      </c>
      <c r="F599" s="4">
        <v>45170</v>
      </c>
      <c r="G599" t="s">
        <v>173</v>
      </c>
      <c r="H599" t="s">
        <v>1559</v>
      </c>
      <c r="K599" t="s">
        <v>41</v>
      </c>
      <c r="L599" t="s">
        <v>1259</v>
      </c>
      <c r="M599" t="s">
        <v>42</v>
      </c>
      <c r="N599" t="s">
        <v>31</v>
      </c>
      <c r="O599" t="s">
        <v>32</v>
      </c>
      <c r="P599" t="s">
        <v>1560</v>
      </c>
      <c r="Q599">
        <v>75</v>
      </c>
      <c r="R599">
        <v>75</v>
      </c>
      <c r="S599" t="s">
        <v>34</v>
      </c>
      <c r="T599" t="s">
        <v>35</v>
      </c>
      <c r="U599" t="s">
        <v>44</v>
      </c>
      <c r="W599">
        <v>0</v>
      </c>
      <c r="X599">
        <v>0</v>
      </c>
      <c r="Y599">
        <v>0</v>
      </c>
      <c r="Z599">
        <v>0</v>
      </c>
    </row>
    <row r="600" spans="1:26" hidden="1" x14ac:dyDescent="0.25">
      <c r="A600" t="s">
        <v>1561</v>
      </c>
      <c r="B600" t="s">
        <v>25</v>
      </c>
      <c r="C600" s="4">
        <v>45271</v>
      </c>
      <c r="E600" s="4">
        <v>44944</v>
      </c>
      <c r="F600" s="4">
        <v>45184</v>
      </c>
      <c r="G600" t="s">
        <v>1408</v>
      </c>
      <c r="H600" t="s">
        <v>1405</v>
      </c>
      <c r="K600" t="s">
        <v>146</v>
      </c>
      <c r="L600" t="s">
        <v>1259</v>
      </c>
      <c r="M600" t="s">
        <v>68</v>
      </c>
      <c r="N600" t="s">
        <v>31</v>
      </c>
      <c r="O600" t="s">
        <v>32</v>
      </c>
      <c r="P600" t="s">
        <v>1562</v>
      </c>
      <c r="Q600">
        <v>325</v>
      </c>
      <c r="R600">
        <v>325</v>
      </c>
      <c r="S600" t="s">
        <v>34</v>
      </c>
      <c r="T600" t="s">
        <v>35</v>
      </c>
      <c r="U600" t="s">
        <v>44</v>
      </c>
      <c r="V600" s="4">
        <v>46266</v>
      </c>
      <c r="W600">
        <v>325</v>
      </c>
      <c r="X600">
        <v>0</v>
      </c>
      <c r="Y600">
        <v>325</v>
      </c>
      <c r="Z600">
        <v>0</v>
      </c>
    </row>
    <row r="601" spans="1:26" hidden="1" x14ac:dyDescent="0.25">
      <c r="A601" t="s">
        <v>1563</v>
      </c>
      <c r="B601" t="s">
        <v>38</v>
      </c>
      <c r="C601" s="4">
        <v>44005</v>
      </c>
      <c r="D601" s="4">
        <v>46066</v>
      </c>
      <c r="F601" s="4">
        <v>45170</v>
      </c>
      <c r="G601" t="s">
        <v>616</v>
      </c>
      <c r="H601" t="s">
        <v>1459</v>
      </c>
      <c r="K601" t="s">
        <v>146</v>
      </c>
      <c r="L601" t="s">
        <v>1259</v>
      </c>
      <c r="M601" t="s">
        <v>68</v>
      </c>
      <c r="N601" t="s">
        <v>31</v>
      </c>
      <c r="O601" t="s">
        <v>32</v>
      </c>
      <c r="P601" t="s">
        <v>1564</v>
      </c>
      <c r="Q601">
        <v>100</v>
      </c>
      <c r="R601">
        <v>100</v>
      </c>
      <c r="S601" t="s">
        <v>597</v>
      </c>
      <c r="T601" t="s">
        <v>598</v>
      </c>
      <c r="U601" t="s">
        <v>38</v>
      </c>
      <c r="V601" s="4">
        <v>45901</v>
      </c>
      <c r="W601">
        <v>100</v>
      </c>
      <c r="X601">
        <v>100</v>
      </c>
      <c r="Y601">
        <v>100</v>
      </c>
      <c r="Z601">
        <v>100</v>
      </c>
    </row>
    <row r="602" spans="1:26" hidden="1" x14ac:dyDescent="0.25">
      <c r="A602" t="s">
        <v>1565</v>
      </c>
      <c r="B602" t="s">
        <v>38</v>
      </c>
      <c r="C602" s="4">
        <v>44001</v>
      </c>
      <c r="D602" s="4">
        <v>45124</v>
      </c>
      <c r="F602" s="4">
        <v>44865</v>
      </c>
      <c r="G602" t="s">
        <v>681</v>
      </c>
      <c r="H602" t="s">
        <v>1566</v>
      </c>
      <c r="K602" t="s">
        <v>683</v>
      </c>
      <c r="L602" t="s">
        <v>1259</v>
      </c>
      <c r="M602" t="s">
        <v>84</v>
      </c>
      <c r="N602" t="s">
        <v>31</v>
      </c>
      <c r="O602" t="s">
        <v>32</v>
      </c>
      <c r="P602" t="s">
        <v>1567</v>
      </c>
      <c r="Q602">
        <v>40</v>
      </c>
      <c r="R602">
        <v>40</v>
      </c>
      <c r="S602" t="s">
        <v>34</v>
      </c>
      <c r="T602" t="s">
        <v>35</v>
      </c>
      <c r="U602" t="s">
        <v>44</v>
      </c>
      <c r="W602">
        <v>0</v>
      </c>
      <c r="X602">
        <v>0</v>
      </c>
      <c r="Y602">
        <v>0</v>
      </c>
      <c r="Z602">
        <v>0</v>
      </c>
    </row>
    <row r="603" spans="1:26" hidden="1" x14ac:dyDescent="0.25">
      <c r="A603" t="s">
        <v>1568</v>
      </c>
      <c r="B603" t="s">
        <v>38</v>
      </c>
      <c r="C603" s="4">
        <v>43991</v>
      </c>
      <c r="D603" s="4">
        <v>44270</v>
      </c>
      <c r="F603" s="4">
        <v>45170</v>
      </c>
      <c r="G603" t="s">
        <v>101</v>
      </c>
      <c r="H603" t="s">
        <v>1258</v>
      </c>
      <c r="K603" t="s">
        <v>98</v>
      </c>
      <c r="L603" t="s">
        <v>1259</v>
      </c>
      <c r="M603" t="s">
        <v>84</v>
      </c>
      <c r="N603" t="s">
        <v>31</v>
      </c>
      <c r="O603" t="s">
        <v>32</v>
      </c>
      <c r="P603" t="s">
        <v>1569</v>
      </c>
      <c r="Q603">
        <v>50</v>
      </c>
      <c r="R603">
        <v>50</v>
      </c>
      <c r="S603" t="s">
        <v>159</v>
      </c>
      <c r="T603" t="s">
        <v>159</v>
      </c>
      <c r="U603" t="s">
        <v>44</v>
      </c>
      <c r="W603">
        <v>0</v>
      </c>
      <c r="X603">
        <v>0</v>
      </c>
      <c r="Y603">
        <v>0</v>
      </c>
      <c r="Z603">
        <v>0</v>
      </c>
    </row>
    <row r="604" spans="1:26" hidden="1" x14ac:dyDescent="0.25">
      <c r="A604" t="s">
        <v>1570</v>
      </c>
      <c r="B604" t="s">
        <v>25</v>
      </c>
      <c r="C604" s="4">
        <v>44502</v>
      </c>
      <c r="E604" s="4">
        <v>44944</v>
      </c>
      <c r="F604" s="4">
        <v>45017</v>
      </c>
      <c r="G604" t="s">
        <v>1408</v>
      </c>
      <c r="H604" t="s">
        <v>1571</v>
      </c>
      <c r="K604" t="s">
        <v>146</v>
      </c>
      <c r="L604" t="s">
        <v>1259</v>
      </c>
      <c r="M604" t="s">
        <v>68</v>
      </c>
      <c r="N604" t="s">
        <v>31</v>
      </c>
      <c r="O604" t="s">
        <v>32</v>
      </c>
      <c r="P604" t="s">
        <v>1572</v>
      </c>
      <c r="Q604">
        <v>25</v>
      </c>
      <c r="R604">
        <v>25</v>
      </c>
      <c r="S604" t="s">
        <v>159</v>
      </c>
      <c r="T604" t="s">
        <v>159</v>
      </c>
      <c r="U604" t="s">
        <v>44</v>
      </c>
      <c r="V604" s="4">
        <v>45580</v>
      </c>
      <c r="W604">
        <v>25</v>
      </c>
      <c r="X604">
        <v>25</v>
      </c>
      <c r="Y604">
        <v>25</v>
      </c>
      <c r="Z604">
        <v>25</v>
      </c>
    </row>
    <row r="605" spans="1:26" hidden="1" x14ac:dyDescent="0.25">
      <c r="A605" t="s">
        <v>1573</v>
      </c>
      <c r="B605" t="s">
        <v>25</v>
      </c>
      <c r="C605" s="4">
        <v>44533</v>
      </c>
      <c r="F605" s="4">
        <v>45184</v>
      </c>
      <c r="G605" t="s">
        <v>52</v>
      </c>
      <c r="H605" t="s">
        <v>1574</v>
      </c>
      <c r="K605" t="s">
        <v>53</v>
      </c>
      <c r="L605" t="s">
        <v>1259</v>
      </c>
      <c r="M605" t="s">
        <v>54</v>
      </c>
      <c r="N605" t="s">
        <v>31</v>
      </c>
      <c r="O605" t="s">
        <v>32</v>
      </c>
      <c r="P605" t="s">
        <v>1575</v>
      </c>
      <c r="Q605">
        <v>200</v>
      </c>
      <c r="R605">
        <v>200</v>
      </c>
      <c r="S605" t="s">
        <v>34</v>
      </c>
      <c r="T605" t="s">
        <v>35</v>
      </c>
      <c r="U605" t="s">
        <v>44</v>
      </c>
      <c r="V605" s="4">
        <v>45871</v>
      </c>
      <c r="W605">
        <v>200</v>
      </c>
      <c r="X605">
        <v>200</v>
      </c>
      <c r="Y605">
        <v>200</v>
      </c>
      <c r="Z605">
        <v>200</v>
      </c>
    </row>
    <row r="606" spans="1:26" hidden="1" x14ac:dyDescent="0.25">
      <c r="A606" t="s">
        <v>1576</v>
      </c>
      <c r="B606" t="s">
        <v>25</v>
      </c>
      <c r="C606" s="4">
        <v>44022</v>
      </c>
      <c r="F606" s="4">
        <v>45169</v>
      </c>
      <c r="G606" t="s">
        <v>1577</v>
      </c>
      <c r="H606" t="s">
        <v>1578</v>
      </c>
      <c r="K606" t="s">
        <v>683</v>
      </c>
      <c r="L606" t="s">
        <v>1259</v>
      </c>
      <c r="M606" t="s">
        <v>84</v>
      </c>
      <c r="N606" t="s">
        <v>31</v>
      </c>
      <c r="O606" t="s">
        <v>32</v>
      </c>
      <c r="P606" t="s">
        <v>1579</v>
      </c>
      <c r="Q606">
        <v>50</v>
      </c>
      <c r="R606">
        <v>50</v>
      </c>
      <c r="S606" t="s">
        <v>34</v>
      </c>
      <c r="T606" t="s">
        <v>35</v>
      </c>
      <c r="U606" t="s">
        <v>44</v>
      </c>
      <c r="V606" s="4">
        <v>46265</v>
      </c>
      <c r="W606">
        <v>50</v>
      </c>
      <c r="X606">
        <v>50</v>
      </c>
      <c r="Y606">
        <v>50</v>
      </c>
      <c r="Z606">
        <v>50</v>
      </c>
    </row>
    <row r="607" spans="1:26" hidden="1" x14ac:dyDescent="0.25">
      <c r="A607" t="s">
        <v>1580</v>
      </c>
      <c r="B607" t="s">
        <v>25</v>
      </c>
      <c r="C607" s="4">
        <v>44005</v>
      </c>
      <c r="F607" s="4">
        <v>45170</v>
      </c>
      <c r="G607" t="s">
        <v>39</v>
      </c>
      <c r="H607" t="s">
        <v>1375</v>
      </c>
      <c r="K607" t="s">
        <v>41</v>
      </c>
      <c r="L607" t="s">
        <v>1259</v>
      </c>
      <c r="M607" t="s">
        <v>42</v>
      </c>
      <c r="N607" t="s">
        <v>31</v>
      </c>
      <c r="O607" t="s">
        <v>32</v>
      </c>
      <c r="P607" t="s">
        <v>1581</v>
      </c>
      <c r="Q607">
        <v>200</v>
      </c>
      <c r="R607">
        <v>200</v>
      </c>
      <c r="S607" t="s">
        <v>34</v>
      </c>
      <c r="T607" t="s">
        <v>35</v>
      </c>
      <c r="U607" t="s">
        <v>44</v>
      </c>
      <c r="V607" s="4">
        <v>46266</v>
      </c>
      <c r="W607">
        <v>200</v>
      </c>
      <c r="X607">
        <v>200</v>
      </c>
      <c r="Y607">
        <v>200</v>
      </c>
      <c r="Z607">
        <v>200</v>
      </c>
    </row>
    <row r="608" spans="1:26" hidden="1" x14ac:dyDescent="0.25">
      <c r="A608" t="s">
        <v>1582</v>
      </c>
      <c r="B608" t="s">
        <v>38</v>
      </c>
      <c r="C608" s="4">
        <v>44006</v>
      </c>
      <c r="D608" s="4">
        <v>44180</v>
      </c>
      <c r="F608" s="4">
        <v>45078</v>
      </c>
      <c r="G608" t="s">
        <v>101</v>
      </c>
      <c r="H608" t="s">
        <v>1583</v>
      </c>
      <c r="K608" t="s">
        <v>98</v>
      </c>
      <c r="L608" t="s">
        <v>1259</v>
      </c>
      <c r="M608" t="s">
        <v>84</v>
      </c>
      <c r="N608" t="s">
        <v>31</v>
      </c>
      <c r="O608" t="s">
        <v>32</v>
      </c>
      <c r="P608" t="s">
        <v>1584</v>
      </c>
      <c r="Q608">
        <v>200</v>
      </c>
      <c r="R608">
        <v>200</v>
      </c>
      <c r="S608" t="s">
        <v>34</v>
      </c>
      <c r="T608" t="s">
        <v>35</v>
      </c>
      <c r="U608" t="s">
        <v>44</v>
      </c>
      <c r="W608">
        <v>0</v>
      </c>
      <c r="X608">
        <v>0</v>
      </c>
      <c r="Y608">
        <v>0</v>
      </c>
      <c r="Z608">
        <v>0</v>
      </c>
    </row>
    <row r="609" spans="1:26" hidden="1" x14ac:dyDescent="0.25">
      <c r="A609" t="s">
        <v>1585</v>
      </c>
      <c r="B609" t="s">
        <v>25</v>
      </c>
      <c r="C609" s="4">
        <v>44007</v>
      </c>
      <c r="F609" s="4">
        <v>45306</v>
      </c>
      <c r="G609" t="s">
        <v>1326</v>
      </c>
      <c r="H609" t="s">
        <v>1505</v>
      </c>
      <c r="K609" t="s">
        <v>67</v>
      </c>
      <c r="L609" t="s">
        <v>1259</v>
      </c>
      <c r="M609" t="s">
        <v>68</v>
      </c>
      <c r="N609" t="s">
        <v>31</v>
      </c>
      <c r="O609" t="s">
        <v>32</v>
      </c>
      <c r="P609" t="s">
        <v>1586</v>
      </c>
      <c r="Q609">
        <v>0</v>
      </c>
      <c r="R609">
        <v>0</v>
      </c>
      <c r="S609" t="s">
        <v>159</v>
      </c>
      <c r="T609" t="s">
        <v>159</v>
      </c>
      <c r="U609" t="s">
        <v>44</v>
      </c>
      <c r="V609" s="4">
        <v>45778</v>
      </c>
      <c r="W609">
        <v>0</v>
      </c>
      <c r="X609">
        <v>0</v>
      </c>
      <c r="Y609">
        <v>0</v>
      </c>
      <c r="Z609">
        <v>0</v>
      </c>
    </row>
    <row r="610" spans="1:26" hidden="1" x14ac:dyDescent="0.25">
      <c r="A610" t="s">
        <v>1587</v>
      </c>
      <c r="B610" t="s">
        <v>38</v>
      </c>
      <c r="C610" s="4">
        <v>44006</v>
      </c>
      <c r="D610" s="4">
        <v>44159</v>
      </c>
      <c r="F610" s="4">
        <v>45184</v>
      </c>
      <c r="G610" t="s">
        <v>52</v>
      </c>
      <c r="H610" t="s">
        <v>1588</v>
      </c>
      <c r="K610" t="s">
        <v>53</v>
      </c>
      <c r="L610" t="s">
        <v>1259</v>
      </c>
      <c r="M610" t="s">
        <v>54</v>
      </c>
      <c r="N610" t="s">
        <v>31</v>
      </c>
      <c r="O610" t="s">
        <v>32</v>
      </c>
      <c r="P610" t="s">
        <v>1589</v>
      </c>
      <c r="Q610">
        <v>100</v>
      </c>
      <c r="R610">
        <v>100</v>
      </c>
      <c r="S610" t="s">
        <v>34</v>
      </c>
      <c r="T610" t="s">
        <v>35</v>
      </c>
      <c r="U610" t="s">
        <v>44</v>
      </c>
      <c r="W610">
        <v>0</v>
      </c>
      <c r="X610">
        <v>0</v>
      </c>
      <c r="Y610">
        <v>0</v>
      </c>
      <c r="Z610">
        <v>0</v>
      </c>
    </row>
    <row r="611" spans="1:26" hidden="1" x14ac:dyDescent="0.25">
      <c r="A611" t="s">
        <v>1590</v>
      </c>
      <c r="B611" t="s">
        <v>38</v>
      </c>
      <c r="C611" s="4">
        <v>44002</v>
      </c>
      <c r="D611" s="4">
        <v>44567</v>
      </c>
      <c r="F611" s="4">
        <v>45170</v>
      </c>
      <c r="G611" t="s">
        <v>527</v>
      </c>
      <c r="H611" t="s">
        <v>1591</v>
      </c>
      <c r="K611" t="s">
        <v>53</v>
      </c>
      <c r="L611" t="s">
        <v>1259</v>
      </c>
      <c r="M611" t="s">
        <v>54</v>
      </c>
      <c r="N611" t="s">
        <v>31</v>
      </c>
      <c r="O611" t="s">
        <v>32</v>
      </c>
      <c r="P611" t="s">
        <v>1592</v>
      </c>
      <c r="Q611">
        <v>125</v>
      </c>
      <c r="R611">
        <v>125</v>
      </c>
      <c r="S611" t="s">
        <v>34</v>
      </c>
      <c r="T611" t="s">
        <v>35</v>
      </c>
      <c r="U611" t="s">
        <v>44</v>
      </c>
      <c r="W611">
        <v>0</v>
      </c>
      <c r="X611">
        <v>0</v>
      </c>
      <c r="Y611">
        <v>0</v>
      </c>
      <c r="Z611">
        <v>0</v>
      </c>
    </row>
    <row r="612" spans="1:26" hidden="1" x14ac:dyDescent="0.25">
      <c r="A612" t="s">
        <v>1593</v>
      </c>
      <c r="B612" t="s">
        <v>25</v>
      </c>
      <c r="C612" s="4">
        <v>43998</v>
      </c>
      <c r="F612" s="4">
        <v>45169</v>
      </c>
      <c r="G612" t="s">
        <v>1594</v>
      </c>
      <c r="H612" t="s">
        <v>1291</v>
      </c>
      <c r="K612" t="s">
        <v>83</v>
      </c>
      <c r="L612" t="s">
        <v>1259</v>
      </c>
      <c r="M612" t="s">
        <v>84</v>
      </c>
      <c r="N612" t="s">
        <v>31</v>
      </c>
      <c r="O612" t="s">
        <v>32</v>
      </c>
      <c r="P612" t="s">
        <v>1595</v>
      </c>
      <c r="Q612">
        <v>100</v>
      </c>
      <c r="R612">
        <v>100</v>
      </c>
      <c r="S612" t="s">
        <v>34</v>
      </c>
      <c r="T612" t="s">
        <v>35</v>
      </c>
      <c r="U612" t="s">
        <v>44</v>
      </c>
      <c r="V612" s="4">
        <v>46265</v>
      </c>
      <c r="W612">
        <v>100</v>
      </c>
      <c r="X612">
        <v>100</v>
      </c>
      <c r="Y612">
        <v>100</v>
      </c>
      <c r="Z612">
        <v>100</v>
      </c>
    </row>
    <row r="613" spans="1:26" hidden="1" x14ac:dyDescent="0.25">
      <c r="A613" t="s">
        <v>1596</v>
      </c>
      <c r="B613" t="s">
        <v>25</v>
      </c>
      <c r="C613" s="4">
        <v>44005</v>
      </c>
      <c r="F613" s="4">
        <v>45170</v>
      </c>
      <c r="G613" t="s">
        <v>1597</v>
      </c>
      <c r="H613" t="s">
        <v>1598</v>
      </c>
      <c r="K613" t="s">
        <v>41</v>
      </c>
      <c r="L613" t="s">
        <v>1259</v>
      </c>
      <c r="M613" t="s">
        <v>42</v>
      </c>
      <c r="N613" t="s">
        <v>31</v>
      </c>
      <c r="O613" t="s">
        <v>32</v>
      </c>
      <c r="P613" t="s">
        <v>1599</v>
      </c>
      <c r="Q613">
        <v>174</v>
      </c>
      <c r="R613">
        <v>174</v>
      </c>
      <c r="S613" t="s">
        <v>34</v>
      </c>
      <c r="T613" t="s">
        <v>35</v>
      </c>
      <c r="U613" t="s">
        <v>44</v>
      </c>
      <c r="V613" s="4">
        <v>46266</v>
      </c>
      <c r="W613">
        <v>120</v>
      </c>
      <c r="X613">
        <v>120</v>
      </c>
      <c r="Y613">
        <v>120</v>
      </c>
      <c r="Z613">
        <v>120</v>
      </c>
    </row>
    <row r="614" spans="1:26" hidden="1" x14ac:dyDescent="0.25">
      <c r="A614" t="s">
        <v>1600</v>
      </c>
      <c r="B614" t="s">
        <v>25</v>
      </c>
      <c r="C614" s="4">
        <v>43990</v>
      </c>
      <c r="F614" s="4">
        <v>45170</v>
      </c>
      <c r="G614" t="s">
        <v>1326</v>
      </c>
      <c r="H614" t="s">
        <v>1285</v>
      </c>
      <c r="K614" t="s">
        <v>67</v>
      </c>
      <c r="L614" t="s">
        <v>1259</v>
      </c>
      <c r="M614" t="s">
        <v>68</v>
      </c>
      <c r="N614" t="s">
        <v>31</v>
      </c>
      <c r="O614" t="s">
        <v>32</v>
      </c>
      <c r="P614" t="s">
        <v>1286</v>
      </c>
      <c r="Q614">
        <v>100</v>
      </c>
      <c r="R614">
        <v>100</v>
      </c>
      <c r="S614" t="s">
        <v>34</v>
      </c>
      <c r="T614" t="s">
        <v>35</v>
      </c>
      <c r="U614" t="s">
        <v>70</v>
      </c>
      <c r="V614" s="4">
        <v>46783</v>
      </c>
      <c r="W614">
        <v>100</v>
      </c>
      <c r="X614">
        <v>100</v>
      </c>
      <c r="Y614">
        <v>100</v>
      </c>
      <c r="Z614">
        <v>100</v>
      </c>
    </row>
    <row r="615" spans="1:26" hidden="1" x14ac:dyDescent="0.25">
      <c r="A615" t="s">
        <v>1601</v>
      </c>
      <c r="B615" t="s">
        <v>38</v>
      </c>
      <c r="C615" s="4">
        <v>44007</v>
      </c>
      <c r="D615" s="4">
        <v>44517</v>
      </c>
      <c r="F615" s="4">
        <v>45139</v>
      </c>
      <c r="G615" t="s">
        <v>39</v>
      </c>
      <c r="H615" t="s">
        <v>1402</v>
      </c>
      <c r="K615" t="s">
        <v>185</v>
      </c>
      <c r="L615" t="s">
        <v>1259</v>
      </c>
      <c r="M615" t="s">
        <v>42</v>
      </c>
      <c r="N615" t="s">
        <v>31</v>
      </c>
      <c r="O615" t="s">
        <v>32</v>
      </c>
      <c r="P615" t="s">
        <v>1602</v>
      </c>
      <c r="Q615">
        <v>400</v>
      </c>
      <c r="R615">
        <v>400</v>
      </c>
      <c r="S615" t="s">
        <v>56</v>
      </c>
      <c r="T615" t="s">
        <v>57</v>
      </c>
      <c r="U615" t="s">
        <v>44</v>
      </c>
      <c r="W615">
        <v>0</v>
      </c>
      <c r="X615">
        <v>0</v>
      </c>
      <c r="Y615">
        <v>0</v>
      </c>
      <c r="Z615">
        <v>0</v>
      </c>
    </row>
    <row r="616" spans="1:26" hidden="1" x14ac:dyDescent="0.25">
      <c r="A616" t="s">
        <v>1603</v>
      </c>
      <c r="B616" t="s">
        <v>25</v>
      </c>
      <c r="C616" s="4">
        <v>43993</v>
      </c>
      <c r="F616" s="4">
        <v>45337</v>
      </c>
      <c r="G616" t="s">
        <v>52</v>
      </c>
      <c r="H616" t="s">
        <v>1350</v>
      </c>
      <c r="K616" t="s">
        <v>53</v>
      </c>
      <c r="L616" t="s">
        <v>1259</v>
      </c>
      <c r="M616" t="s">
        <v>54</v>
      </c>
      <c r="N616" t="s">
        <v>31</v>
      </c>
      <c r="O616" t="s">
        <v>32</v>
      </c>
      <c r="P616" t="s">
        <v>1604</v>
      </c>
      <c r="Q616">
        <v>250</v>
      </c>
      <c r="R616">
        <v>250</v>
      </c>
      <c r="S616" t="s">
        <v>34</v>
      </c>
      <c r="T616" t="s">
        <v>35</v>
      </c>
      <c r="U616" t="s">
        <v>44</v>
      </c>
      <c r="V616" s="4">
        <v>45895</v>
      </c>
      <c r="W616">
        <v>250</v>
      </c>
      <c r="X616">
        <v>250</v>
      </c>
      <c r="Y616">
        <v>250</v>
      </c>
      <c r="Z616">
        <v>250</v>
      </c>
    </row>
    <row r="617" spans="1:26" hidden="1" x14ac:dyDescent="0.25">
      <c r="A617" t="s">
        <v>1605</v>
      </c>
      <c r="B617" t="s">
        <v>25</v>
      </c>
      <c r="C617" s="4">
        <v>43999</v>
      </c>
      <c r="F617" s="4">
        <v>45200</v>
      </c>
      <c r="G617" t="s">
        <v>1278</v>
      </c>
      <c r="H617" t="s">
        <v>1606</v>
      </c>
      <c r="K617" t="s">
        <v>28</v>
      </c>
      <c r="L617" t="s">
        <v>1259</v>
      </c>
      <c r="M617" t="s">
        <v>30</v>
      </c>
      <c r="N617" t="s">
        <v>31</v>
      </c>
      <c r="O617" t="s">
        <v>32</v>
      </c>
      <c r="P617" t="s">
        <v>1607</v>
      </c>
      <c r="Q617">
        <v>150</v>
      </c>
      <c r="R617">
        <v>150</v>
      </c>
      <c r="S617" t="s">
        <v>34</v>
      </c>
      <c r="T617" t="s">
        <v>35</v>
      </c>
      <c r="U617" t="s">
        <v>44</v>
      </c>
      <c r="V617" s="4">
        <v>46235</v>
      </c>
      <c r="W617">
        <v>150</v>
      </c>
      <c r="X617">
        <v>150</v>
      </c>
      <c r="Y617">
        <v>150</v>
      </c>
      <c r="Z617">
        <v>150</v>
      </c>
    </row>
    <row r="618" spans="1:26" hidden="1" x14ac:dyDescent="0.25">
      <c r="A618" t="s">
        <v>1608</v>
      </c>
      <c r="B618" t="s">
        <v>25</v>
      </c>
      <c r="C618" s="4">
        <v>44004</v>
      </c>
      <c r="F618" s="4">
        <v>45169</v>
      </c>
      <c r="G618" t="s">
        <v>691</v>
      </c>
      <c r="H618" t="s">
        <v>1387</v>
      </c>
      <c r="K618" t="s">
        <v>98</v>
      </c>
      <c r="L618" t="s">
        <v>1259</v>
      </c>
      <c r="M618" t="s">
        <v>84</v>
      </c>
      <c r="N618" t="s">
        <v>31</v>
      </c>
      <c r="O618" t="s">
        <v>32</v>
      </c>
      <c r="P618" t="s">
        <v>1609</v>
      </c>
      <c r="Q618">
        <v>200</v>
      </c>
      <c r="R618">
        <v>200</v>
      </c>
      <c r="S618" t="s">
        <v>34</v>
      </c>
      <c r="T618" t="s">
        <v>35</v>
      </c>
      <c r="U618" t="s">
        <v>44</v>
      </c>
      <c r="V618" s="4">
        <v>46265</v>
      </c>
      <c r="W618">
        <v>200</v>
      </c>
      <c r="X618">
        <v>200</v>
      </c>
      <c r="Y618">
        <v>200</v>
      </c>
      <c r="Z618">
        <v>0</v>
      </c>
    </row>
    <row r="619" spans="1:26" hidden="1" x14ac:dyDescent="0.25">
      <c r="A619" t="s">
        <v>1610</v>
      </c>
      <c r="B619" t="s">
        <v>38</v>
      </c>
      <c r="C619" s="4">
        <v>44005</v>
      </c>
      <c r="D619" s="4">
        <v>44183</v>
      </c>
      <c r="F619" s="4">
        <v>45184</v>
      </c>
      <c r="G619" t="s">
        <v>117</v>
      </c>
      <c r="H619" t="s">
        <v>1611</v>
      </c>
      <c r="K619" t="s">
        <v>83</v>
      </c>
      <c r="L619" t="s">
        <v>1259</v>
      </c>
      <c r="M619" t="s">
        <v>84</v>
      </c>
      <c r="N619" t="s">
        <v>31</v>
      </c>
      <c r="O619" t="s">
        <v>32</v>
      </c>
      <c r="P619" t="s">
        <v>1612</v>
      </c>
      <c r="Q619">
        <v>200</v>
      </c>
      <c r="R619">
        <v>200</v>
      </c>
      <c r="S619" t="s">
        <v>34</v>
      </c>
      <c r="T619" t="s">
        <v>35</v>
      </c>
      <c r="U619" t="s">
        <v>44</v>
      </c>
      <c r="W619">
        <v>0</v>
      </c>
      <c r="X619">
        <v>0</v>
      </c>
      <c r="Y619">
        <v>0</v>
      </c>
      <c r="Z619">
        <v>0</v>
      </c>
    </row>
    <row r="620" spans="1:26" hidden="1" x14ac:dyDescent="0.25">
      <c r="A620" t="s">
        <v>1613</v>
      </c>
      <c r="B620" t="s">
        <v>38</v>
      </c>
      <c r="C620" s="4">
        <v>44000</v>
      </c>
      <c r="D620" s="4">
        <v>45331</v>
      </c>
      <c r="F620" s="4">
        <v>45017</v>
      </c>
      <c r="G620" t="s">
        <v>144</v>
      </c>
      <c r="H620" t="s">
        <v>1614</v>
      </c>
      <c r="K620" t="s">
        <v>146</v>
      </c>
      <c r="L620" t="s">
        <v>1259</v>
      </c>
      <c r="M620" t="s">
        <v>68</v>
      </c>
      <c r="N620" t="s">
        <v>31</v>
      </c>
      <c r="O620" t="s">
        <v>32</v>
      </c>
      <c r="P620" t="s">
        <v>1615</v>
      </c>
      <c r="Q620">
        <v>200</v>
      </c>
      <c r="R620">
        <v>200</v>
      </c>
      <c r="S620" t="s">
        <v>34</v>
      </c>
      <c r="T620" t="s">
        <v>35</v>
      </c>
      <c r="U620" t="s">
        <v>44</v>
      </c>
      <c r="W620">
        <v>200</v>
      </c>
      <c r="X620">
        <v>200</v>
      </c>
      <c r="Y620">
        <v>0</v>
      </c>
      <c r="Z620">
        <v>0</v>
      </c>
    </row>
    <row r="621" spans="1:26" hidden="1" x14ac:dyDescent="0.25">
      <c r="A621" t="s">
        <v>1616</v>
      </c>
      <c r="B621" t="s">
        <v>25</v>
      </c>
      <c r="C621" s="4">
        <v>44004</v>
      </c>
      <c r="F621" s="4">
        <v>45170</v>
      </c>
      <c r="G621" t="s">
        <v>1617</v>
      </c>
      <c r="H621" t="s">
        <v>1618</v>
      </c>
      <c r="K621" t="s">
        <v>683</v>
      </c>
      <c r="L621" t="s">
        <v>1259</v>
      </c>
      <c r="M621" t="s">
        <v>84</v>
      </c>
      <c r="N621" t="s">
        <v>31</v>
      </c>
      <c r="O621" t="s">
        <v>32</v>
      </c>
      <c r="P621" t="s">
        <v>1619</v>
      </c>
      <c r="Q621">
        <v>160</v>
      </c>
      <c r="R621">
        <v>160</v>
      </c>
      <c r="S621" t="s">
        <v>34</v>
      </c>
      <c r="T621" t="s">
        <v>35</v>
      </c>
      <c r="U621" t="s">
        <v>44</v>
      </c>
      <c r="V621" s="4">
        <v>45397</v>
      </c>
      <c r="W621">
        <v>160</v>
      </c>
      <c r="X621">
        <v>160</v>
      </c>
      <c r="Y621">
        <v>160</v>
      </c>
      <c r="Z621">
        <v>160</v>
      </c>
    </row>
    <row r="622" spans="1:26" hidden="1" x14ac:dyDescent="0.25">
      <c r="A622" t="s">
        <v>1620</v>
      </c>
      <c r="B622" t="s">
        <v>25</v>
      </c>
      <c r="C622" s="4">
        <v>45399</v>
      </c>
      <c r="F622" s="4">
        <v>45170</v>
      </c>
      <c r="G622" t="s">
        <v>39</v>
      </c>
      <c r="H622" t="s">
        <v>1354</v>
      </c>
      <c r="K622" t="s">
        <v>41</v>
      </c>
      <c r="L622" t="s">
        <v>1259</v>
      </c>
      <c r="M622" t="s">
        <v>42</v>
      </c>
      <c r="N622" t="s">
        <v>31</v>
      </c>
      <c r="O622" t="s">
        <v>32</v>
      </c>
      <c r="P622" t="s">
        <v>1621</v>
      </c>
      <c r="Q622">
        <v>125</v>
      </c>
      <c r="R622">
        <v>125</v>
      </c>
      <c r="S622" t="s">
        <v>34</v>
      </c>
      <c r="T622" t="s">
        <v>35</v>
      </c>
      <c r="U622" t="s">
        <v>44</v>
      </c>
      <c r="V622" s="4">
        <v>46174</v>
      </c>
      <c r="W622">
        <v>125</v>
      </c>
      <c r="X622">
        <v>0</v>
      </c>
      <c r="Y622">
        <v>125</v>
      </c>
      <c r="Z622">
        <v>0</v>
      </c>
    </row>
    <row r="623" spans="1:26" hidden="1" x14ac:dyDescent="0.25">
      <c r="A623" t="s">
        <v>1622</v>
      </c>
      <c r="B623" t="s">
        <v>38</v>
      </c>
      <c r="C623" s="4">
        <v>44007</v>
      </c>
      <c r="D623" s="4">
        <v>44517</v>
      </c>
      <c r="F623" s="4">
        <v>45170</v>
      </c>
      <c r="G623" t="s">
        <v>177</v>
      </c>
      <c r="H623" t="s">
        <v>1623</v>
      </c>
      <c r="K623" t="s">
        <v>62</v>
      </c>
      <c r="L623" t="s">
        <v>1259</v>
      </c>
      <c r="M623" t="s">
        <v>42</v>
      </c>
      <c r="N623" t="s">
        <v>31</v>
      </c>
      <c r="O623" t="s">
        <v>32</v>
      </c>
      <c r="P623" t="s">
        <v>1624</v>
      </c>
      <c r="Q623">
        <v>400</v>
      </c>
      <c r="R623">
        <v>400</v>
      </c>
      <c r="S623" t="s">
        <v>56</v>
      </c>
      <c r="T623" t="s">
        <v>57</v>
      </c>
      <c r="U623" t="s">
        <v>44</v>
      </c>
      <c r="W623">
        <v>0</v>
      </c>
      <c r="X623">
        <v>0</v>
      </c>
      <c r="Y623">
        <v>0</v>
      </c>
      <c r="Z623">
        <v>0</v>
      </c>
    </row>
    <row r="624" spans="1:26" hidden="1" x14ac:dyDescent="0.25">
      <c r="A624" t="s">
        <v>1625</v>
      </c>
      <c r="B624" t="s">
        <v>38</v>
      </c>
      <c r="C624" s="4">
        <v>44005</v>
      </c>
      <c r="D624" s="4">
        <v>44908</v>
      </c>
      <c r="F624" s="4">
        <v>45444</v>
      </c>
      <c r="G624" t="s">
        <v>177</v>
      </c>
      <c r="H624" t="s">
        <v>1626</v>
      </c>
      <c r="K624" t="s">
        <v>185</v>
      </c>
      <c r="L624" t="s">
        <v>1259</v>
      </c>
      <c r="M624" t="s">
        <v>42</v>
      </c>
      <c r="N624" t="s">
        <v>31</v>
      </c>
      <c r="O624" t="s">
        <v>32</v>
      </c>
      <c r="P624" t="s">
        <v>1627</v>
      </c>
      <c r="Q624">
        <v>100</v>
      </c>
      <c r="R624">
        <v>100</v>
      </c>
      <c r="S624" t="s">
        <v>34</v>
      </c>
      <c r="T624" t="s">
        <v>35</v>
      </c>
      <c r="U624" t="s">
        <v>44</v>
      </c>
      <c r="W624">
        <v>100</v>
      </c>
      <c r="X624">
        <v>100</v>
      </c>
      <c r="Y624">
        <v>0</v>
      </c>
      <c r="Z624">
        <v>0</v>
      </c>
    </row>
    <row r="625" spans="1:26" hidden="1" x14ac:dyDescent="0.25">
      <c r="A625" t="s">
        <v>1628</v>
      </c>
      <c r="B625" t="s">
        <v>38</v>
      </c>
      <c r="C625" s="4">
        <v>44000</v>
      </c>
      <c r="D625" s="4">
        <v>44183</v>
      </c>
      <c r="F625" s="4">
        <v>45444</v>
      </c>
      <c r="G625" t="s">
        <v>101</v>
      </c>
      <c r="H625" t="s">
        <v>1629</v>
      </c>
      <c r="K625" t="s">
        <v>98</v>
      </c>
      <c r="L625" t="s">
        <v>1259</v>
      </c>
      <c r="M625" t="s">
        <v>84</v>
      </c>
      <c r="N625" t="s">
        <v>31</v>
      </c>
      <c r="O625" t="s">
        <v>32</v>
      </c>
      <c r="P625" t="s">
        <v>1630</v>
      </c>
      <c r="Q625">
        <v>200</v>
      </c>
      <c r="R625">
        <v>200</v>
      </c>
      <c r="S625" t="s">
        <v>34</v>
      </c>
      <c r="T625" t="s">
        <v>35</v>
      </c>
      <c r="U625" t="s">
        <v>44</v>
      </c>
      <c r="W625">
        <v>0</v>
      </c>
      <c r="X625">
        <v>0</v>
      </c>
      <c r="Y625">
        <v>0</v>
      </c>
      <c r="Z625">
        <v>0</v>
      </c>
    </row>
    <row r="626" spans="1:26" hidden="1" x14ac:dyDescent="0.25">
      <c r="A626" t="s">
        <v>1631</v>
      </c>
      <c r="B626" t="s">
        <v>38</v>
      </c>
      <c r="C626" s="4">
        <v>44004</v>
      </c>
      <c r="D626" s="4">
        <v>45538</v>
      </c>
      <c r="F626" s="4">
        <v>45508</v>
      </c>
      <c r="G626" t="s">
        <v>101</v>
      </c>
      <c r="H626" t="s">
        <v>1508</v>
      </c>
      <c r="K626" t="s">
        <v>98</v>
      </c>
      <c r="L626" t="s">
        <v>1259</v>
      </c>
      <c r="M626" t="s">
        <v>84</v>
      </c>
      <c r="N626" t="s">
        <v>31</v>
      </c>
      <c r="O626" t="s">
        <v>32</v>
      </c>
      <c r="P626" t="s">
        <v>1632</v>
      </c>
      <c r="Q626">
        <v>100</v>
      </c>
      <c r="R626">
        <v>100</v>
      </c>
      <c r="S626" t="s">
        <v>34</v>
      </c>
      <c r="T626" t="s">
        <v>35</v>
      </c>
      <c r="U626" t="s">
        <v>44</v>
      </c>
      <c r="W626">
        <v>100</v>
      </c>
      <c r="X626">
        <v>100</v>
      </c>
      <c r="Y626">
        <v>0</v>
      </c>
      <c r="Z626">
        <v>0</v>
      </c>
    </row>
    <row r="627" spans="1:26" hidden="1" x14ac:dyDescent="0.25">
      <c r="A627" t="s">
        <v>1633</v>
      </c>
      <c r="B627" t="s">
        <v>38</v>
      </c>
      <c r="C627" s="4">
        <v>44428</v>
      </c>
      <c r="D627" s="4">
        <v>45538</v>
      </c>
      <c r="F627" s="4">
        <v>45509</v>
      </c>
      <c r="G627" t="s">
        <v>101</v>
      </c>
      <c r="H627" t="s">
        <v>1634</v>
      </c>
      <c r="K627" t="s">
        <v>98</v>
      </c>
      <c r="L627" t="s">
        <v>1259</v>
      </c>
      <c r="M627" t="s">
        <v>84</v>
      </c>
      <c r="N627" t="s">
        <v>31</v>
      </c>
      <c r="O627" t="s">
        <v>32</v>
      </c>
      <c r="P627" t="s">
        <v>1635</v>
      </c>
      <c r="Q627">
        <v>150</v>
      </c>
      <c r="R627">
        <v>150</v>
      </c>
      <c r="S627" t="s">
        <v>34</v>
      </c>
      <c r="T627" t="s">
        <v>35</v>
      </c>
      <c r="U627" t="s">
        <v>44</v>
      </c>
      <c r="W627">
        <v>120</v>
      </c>
      <c r="X627">
        <v>120</v>
      </c>
      <c r="Y627">
        <v>0</v>
      </c>
      <c r="Z627">
        <v>0</v>
      </c>
    </row>
    <row r="628" spans="1:26" hidden="1" x14ac:dyDescent="0.25">
      <c r="A628" t="s">
        <v>1636</v>
      </c>
      <c r="B628" t="s">
        <v>25</v>
      </c>
      <c r="C628" s="4">
        <v>44005</v>
      </c>
      <c r="F628" s="4">
        <v>45509</v>
      </c>
      <c r="G628" t="s">
        <v>117</v>
      </c>
      <c r="H628" t="s">
        <v>1637</v>
      </c>
      <c r="K628" t="s">
        <v>83</v>
      </c>
      <c r="L628" t="s">
        <v>1259</v>
      </c>
      <c r="M628" t="s">
        <v>84</v>
      </c>
      <c r="N628" t="s">
        <v>31</v>
      </c>
      <c r="O628" t="s">
        <v>32</v>
      </c>
      <c r="P628" t="s">
        <v>1638</v>
      </c>
      <c r="Q628">
        <v>150</v>
      </c>
      <c r="R628">
        <v>150</v>
      </c>
      <c r="S628" t="s">
        <v>34</v>
      </c>
      <c r="T628" t="s">
        <v>35</v>
      </c>
      <c r="U628" t="s">
        <v>44</v>
      </c>
      <c r="V628" s="4">
        <v>46507</v>
      </c>
      <c r="W628">
        <v>150</v>
      </c>
      <c r="X628">
        <v>150</v>
      </c>
      <c r="Y628">
        <v>150</v>
      </c>
      <c r="Z628">
        <v>150</v>
      </c>
    </row>
    <row r="629" spans="1:26" hidden="1" x14ac:dyDescent="0.25">
      <c r="A629" t="s">
        <v>1639</v>
      </c>
      <c r="B629" t="s">
        <v>38</v>
      </c>
      <c r="C629" s="4">
        <v>44005</v>
      </c>
      <c r="D629" s="4">
        <v>44183</v>
      </c>
      <c r="F629" s="4">
        <v>44804</v>
      </c>
      <c r="G629" t="s">
        <v>254</v>
      </c>
      <c r="H629" t="s">
        <v>1640</v>
      </c>
      <c r="K629" t="s">
        <v>98</v>
      </c>
      <c r="L629" t="s">
        <v>1259</v>
      </c>
      <c r="M629" t="s">
        <v>84</v>
      </c>
      <c r="N629" t="s">
        <v>31</v>
      </c>
      <c r="O629" t="s">
        <v>32</v>
      </c>
      <c r="P629" t="s">
        <v>1641</v>
      </c>
      <c r="Q629">
        <v>200</v>
      </c>
      <c r="R629">
        <v>200</v>
      </c>
      <c r="S629" t="s">
        <v>56</v>
      </c>
      <c r="T629" t="s">
        <v>57</v>
      </c>
      <c r="U629" t="s">
        <v>44</v>
      </c>
      <c r="W629">
        <v>0</v>
      </c>
      <c r="X629">
        <v>0</v>
      </c>
      <c r="Y629">
        <v>0</v>
      </c>
      <c r="Z629">
        <v>0</v>
      </c>
    </row>
    <row r="630" spans="1:26" hidden="1" x14ac:dyDescent="0.25">
      <c r="A630" t="s">
        <v>1642</v>
      </c>
      <c r="B630" t="s">
        <v>38</v>
      </c>
      <c r="C630" s="4">
        <v>44006</v>
      </c>
      <c r="D630" s="4">
        <v>44183</v>
      </c>
      <c r="F630" s="4">
        <v>44804</v>
      </c>
      <c r="G630" t="s">
        <v>254</v>
      </c>
      <c r="H630" t="s">
        <v>1640</v>
      </c>
      <c r="K630" t="s">
        <v>98</v>
      </c>
      <c r="L630" t="s">
        <v>1259</v>
      </c>
      <c r="M630" t="s">
        <v>84</v>
      </c>
      <c r="N630" t="s">
        <v>31</v>
      </c>
      <c r="O630" t="s">
        <v>32</v>
      </c>
      <c r="P630" t="s">
        <v>1643</v>
      </c>
      <c r="Q630">
        <v>200</v>
      </c>
      <c r="R630">
        <v>200</v>
      </c>
      <c r="S630" t="s">
        <v>56</v>
      </c>
      <c r="T630" t="s">
        <v>57</v>
      </c>
      <c r="U630" t="s">
        <v>44</v>
      </c>
      <c r="W630">
        <v>0</v>
      </c>
      <c r="X630">
        <v>0</v>
      </c>
      <c r="Y630">
        <v>0</v>
      </c>
      <c r="Z630">
        <v>0</v>
      </c>
    </row>
    <row r="631" spans="1:26" hidden="1" x14ac:dyDescent="0.25">
      <c r="A631" t="s">
        <v>1644</v>
      </c>
      <c r="B631" t="s">
        <v>25</v>
      </c>
      <c r="C631" s="4">
        <v>44004</v>
      </c>
      <c r="F631" s="4">
        <v>45491</v>
      </c>
      <c r="G631" t="s">
        <v>1278</v>
      </c>
      <c r="H631" t="s">
        <v>1645</v>
      </c>
      <c r="K631" t="s">
        <v>28</v>
      </c>
      <c r="L631" t="s">
        <v>1259</v>
      </c>
      <c r="M631" t="s">
        <v>30</v>
      </c>
      <c r="N631" t="s">
        <v>31</v>
      </c>
      <c r="O631" t="s">
        <v>32</v>
      </c>
      <c r="P631" t="s">
        <v>1646</v>
      </c>
      <c r="Q631">
        <v>200</v>
      </c>
      <c r="R631">
        <v>200</v>
      </c>
      <c r="S631" t="s">
        <v>34</v>
      </c>
      <c r="T631" t="s">
        <v>35</v>
      </c>
      <c r="U631" t="s">
        <v>44</v>
      </c>
      <c r="V631" s="4">
        <v>46586</v>
      </c>
      <c r="W631">
        <v>200</v>
      </c>
      <c r="X631">
        <v>200</v>
      </c>
      <c r="Y631">
        <v>200</v>
      </c>
      <c r="Z631">
        <v>200</v>
      </c>
    </row>
    <row r="632" spans="1:26" hidden="1" x14ac:dyDescent="0.25">
      <c r="A632" t="s">
        <v>1647</v>
      </c>
      <c r="B632" t="s">
        <v>38</v>
      </c>
      <c r="C632" s="4">
        <v>44007</v>
      </c>
      <c r="D632" s="4">
        <v>44538</v>
      </c>
      <c r="F632" s="4">
        <v>45230</v>
      </c>
      <c r="G632" t="s">
        <v>1311</v>
      </c>
      <c r="H632" t="s">
        <v>1648</v>
      </c>
      <c r="K632" t="s">
        <v>114</v>
      </c>
      <c r="L632" t="s">
        <v>1259</v>
      </c>
      <c r="M632" t="s">
        <v>68</v>
      </c>
      <c r="N632" t="s">
        <v>31</v>
      </c>
      <c r="O632" t="s">
        <v>32</v>
      </c>
      <c r="P632" t="s">
        <v>1649</v>
      </c>
      <c r="Q632">
        <v>150</v>
      </c>
      <c r="R632">
        <v>150</v>
      </c>
      <c r="S632" t="s">
        <v>34</v>
      </c>
      <c r="T632" t="s">
        <v>35</v>
      </c>
      <c r="U632" t="s">
        <v>44</v>
      </c>
      <c r="W632">
        <v>0</v>
      </c>
      <c r="X632">
        <v>0</v>
      </c>
      <c r="Y632">
        <v>0</v>
      </c>
      <c r="Z632">
        <v>0</v>
      </c>
    </row>
    <row r="633" spans="1:26" hidden="1" x14ac:dyDescent="0.25">
      <c r="A633" t="s">
        <v>1650</v>
      </c>
      <c r="B633" t="s">
        <v>38</v>
      </c>
      <c r="C633" s="4">
        <v>44006</v>
      </c>
      <c r="D633" s="4">
        <v>44159</v>
      </c>
      <c r="F633" s="4">
        <v>45184</v>
      </c>
      <c r="G633" t="s">
        <v>1278</v>
      </c>
      <c r="H633" t="s">
        <v>1550</v>
      </c>
      <c r="K633" t="s">
        <v>28</v>
      </c>
      <c r="L633" t="s">
        <v>1259</v>
      </c>
      <c r="M633" t="s">
        <v>30</v>
      </c>
      <c r="N633" t="s">
        <v>31</v>
      </c>
      <c r="O633" t="s">
        <v>32</v>
      </c>
      <c r="P633" t="s">
        <v>1651</v>
      </c>
      <c r="Q633">
        <v>200</v>
      </c>
      <c r="R633">
        <v>200</v>
      </c>
      <c r="S633" t="s">
        <v>56</v>
      </c>
      <c r="T633" t="s">
        <v>57</v>
      </c>
      <c r="U633" t="s">
        <v>44</v>
      </c>
      <c r="W633">
        <v>0</v>
      </c>
      <c r="X633">
        <v>0</v>
      </c>
      <c r="Y633">
        <v>0</v>
      </c>
      <c r="Z633">
        <v>0</v>
      </c>
    </row>
    <row r="634" spans="1:26" hidden="1" x14ac:dyDescent="0.25">
      <c r="A634" t="s">
        <v>1652</v>
      </c>
      <c r="B634" t="s">
        <v>38</v>
      </c>
      <c r="C634" s="4">
        <v>44004</v>
      </c>
      <c r="D634" s="4">
        <v>45124</v>
      </c>
      <c r="F634" s="4">
        <v>45170</v>
      </c>
      <c r="G634" t="s">
        <v>681</v>
      </c>
      <c r="H634" t="s">
        <v>1653</v>
      </c>
      <c r="K634" t="s">
        <v>683</v>
      </c>
      <c r="L634" t="s">
        <v>1259</v>
      </c>
      <c r="M634" t="s">
        <v>84</v>
      </c>
      <c r="N634" t="s">
        <v>31</v>
      </c>
      <c r="O634" t="s">
        <v>32</v>
      </c>
      <c r="P634" t="s">
        <v>1654</v>
      </c>
      <c r="Q634">
        <v>200</v>
      </c>
      <c r="R634">
        <v>200</v>
      </c>
      <c r="S634" t="s">
        <v>34</v>
      </c>
      <c r="T634" t="s">
        <v>35</v>
      </c>
      <c r="U634" t="s">
        <v>44</v>
      </c>
      <c r="W634">
        <v>0</v>
      </c>
      <c r="X634">
        <v>0</v>
      </c>
      <c r="Y634">
        <v>0</v>
      </c>
      <c r="Z634">
        <v>0</v>
      </c>
    </row>
    <row r="635" spans="1:26" hidden="1" x14ac:dyDescent="0.25">
      <c r="A635" t="s">
        <v>1655</v>
      </c>
      <c r="B635" t="s">
        <v>38</v>
      </c>
      <c r="C635" s="4">
        <v>44007</v>
      </c>
      <c r="D635" s="4">
        <v>44538</v>
      </c>
      <c r="F635" s="4">
        <v>44621</v>
      </c>
      <c r="G635" t="s">
        <v>616</v>
      </c>
      <c r="H635" t="s">
        <v>1656</v>
      </c>
      <c r="K635" t="s">
        <v>146</v>
      </c>
      <c r="L635" t="s">
        <v>1259</v>
      </c>
      <c r="M635" t="s">
        <v>68</v>
      </c>
      <c r="N635" t="s">
        <v>31</v>
      </c>
      <c r="O635" t="s">
        <v>32</v>
      </c>
      <c r="P635" t="s">
        <v>1657</v>
      </c>
      <c r="Q635">
        <v>0</v>
      </c>
      <c r="R635">
        <v>0</v>
      </c>
      <c r="S635" t="s">
        <v>159</v>
      </c>
      <c r="T635" t="s">
        <v>159</v>
      </c>
      <c r="U635" t="s">
        <v>44</v>
      </c>
      <c r="W635">
        <v>0</v>
      </c>
      <c r="X635">
        <v>0</v>
      </c>
      <c r="Y635">
        <v>0</v>
      </c>
      <c r="Z635">
        <v>0</v>
      </c>
    </row>
    <row r="636" spans="1:26" hidden="1" x14ac:dyDescent="0.25">
      <c r="A636" t="s">
        <v>1658</v>
      </c>
      <c r="B636" t="s">
        <v>38</v>
      </c>
      <c r="C636" s="4">
        <v>44007</v>
      </c>
      <c r="D636" s="4">
        <v>44538</v>
      </c>
      <c r="F636" s="4">
        <v>44621</v>
      </c>
      <c r="G636" t="s">
        <v>616</v>
      </c>
      <c r="H636" t="s">
        <v>1656</v>
      </c>
      <c r="K636" t="s">
        <v>146</v>
      </c>
      <c r="L636" t="s">
        <v>1259</v>
      </c>
      <c r="M636" t="s">
        <v>68</v>
      </c>
      <c r="N636" t="s">
        <v>31</v>
      </c>
      <c r="O636" t="s">
        <v>32</v>
      </c>
      <c r="P636" t="s">
        <v>1659</v>
      </c>
      <c r="Q636">
        <v>100</v>
      </c>
      <c r="R636">
        <v>100</v>
      </c>
      <c r="S636" t="s">
        <v>34</v>
      </c>
      <c r="T636" t="s">
        <v>35</v>
      </c>
      <c r="U636" t="s">
        <v>44</v>
      </c>
      <c r="W636">
        <v>0</v>
      </c>
      <c r="X636">
        <v>0</v>
      </c>
      <c r="Y636">
        <v>0</v>
      </c>
      <c r="Z636">
        <v>0</v>
      </c>
    </row>
    <row r="637" spans="1:26" hidden="1" x14ac:dyDescent="0.25">
      <c r="A637" t="s">
        <v>1660</v>
      </c>
      <c r="B637" t="s">
        <v>25</v>
      </c>
      <c r="C637" s="4">
        <v>44006</v>
      </c>
      <c r="F637" s="4">
        <v>44593</v>
      </c>
      <c r="G637" t="s">
        <v>52</v>
      </c>
      <c r="H637" t="s">
        <v>1433</v>
      </c>
      <c r="K637" t="s">
        <v>53</v>
      </c>
      <c r="L637" t="s">
        <v>1259</v>
      </c>
      <c r="M637" t="s">
        <v>54</v>
      </c>
      <c r="N637" t="s">
        <v>31</v>
      </c>
      <c r="O637" t="s">
        <v>32</v>
      </c>
      <c r="P637" t="s">
        <v>1661</v>
      </c>
      <c r="Q637">
        <v>100</v>
      </c>
      <c r="R637">
        <v>100</v>
      </c>
      <c r="S637" t="s">
        <v>159</v>
      </c>
      <c r="T637" t="s">
        <v>159</v>
      </c>
      <c r="U637" t="s">
        <v>44</v>
      </c>
      <c r="V637" s="4">
        <v>45689</v>
      </c>
      <c r="W637">
        <v>100</v>
      </c>
      <c r="X637">
        <v>100</v>
      </c>
      <c r="Y637">
        <v>100</v>
      </c>
      <c r="Z637">
        <v>100</v>
      </c>
    </row>
    <row r="638" spans="1:26" hidden="1" x14ac:dyDescent="0.25">
      <c r="A638" t="s">
        <v>1662</v>
      </c>
      <c r="B638" t="s">
        <v>38</v>
      </c>
      <c r="C638" s="4">
        <v>44005</v>
      </c>
      <c r="D638" s="4">
        <v>45538</v>
      </c>
      <c r="F638" s="4">
        <v>45170</v>
      </c>
      <c r="G638" t="s">
        <v>1251</v>
      </c>
      <c r="H638" t="s">
        <v>1663</v>
      </c>
      <c r="K638" t="s">
        <v>109</v>
      </c>
      <c r="L638" t="s">
        <v>1259</v>
      </c>
      <c r="M638" t="s">
        <v>84</v>
      </c>
      <c r="N638" t="s">
        <v>31</v>
      </c>
      <c r="O638" t="s">
        <v>32</v>
      </c>
      <c r="P638" t="s">
        <v>1664</v>
      </c>
      <c r="Q638">
        <v>44</v>
      </c>
      <c r="R638">
        <v>44</v>
      </c>
      <c r="S638" t="s">
        <v>34</v>
      </c>
      <c r="T638" t="s">
        <v>35</v>
      </c>
      <c r="U638" t="s">
        <v>44</v>
      </c>
      <c r="W638">
        <v>44</v>
      </c>
      <c r="X638">
        <v>44</v>
      </c>
      <c r="Y638">
        <v>0</v>
      </c>
      <c r="Z638">
        <v>0</v>
      </c>
    </row>
    <row r="639" spans="1:26" hidden="1" x14ac:dyDescent="0.25">
      <c r="A639" t="s">
        <v>1665</v>
      </c>
      <c r="B639" t="s">
        <v>38</v>
      </c>
      <c r="C639" s="4">
        <v>44005</v>
      </c>
      <c r="D639" s="4">
        <v>45538</v>
      </c>
      <c r="F639" s="4">
        <v>45170</v>
      </c>
      <c r="G639" t="s">
        <v>101</v>
      </c>
      <c r="H639" t="s">
        <v>1387</v>
      </c>
      <c r="K639" t="s">
        <v>98</v>
      </c>
      <c r="L639" t="s">
        <v>1259</v>
      </c>
      <c r="M639" t="s">
        <v>84</v>
      </c>
      <c r="N639" t="s">
        <v>31</v>
      </c>
      <c r="O639" t="s">
        <v>32</v>
      </c>
      <c r="P639" t="s">
        <v>1666</v>
      </c>
      <c r="Q639">
        <v>150</v>
      </c>
      <c r="R639">
        <v>150</v>
      </c>
      <c r="S639" t="s">
        <v>34</v>
      </c>
      <c r="T639" t="s">
        <v>35</v>
      </c>
      <c r="U639" t="s">
        <v>44</v>
      </c>
      <c r="W639">
        <v>150</v>
      </c>
      <c r="X639">
        <v>150</v>
      </c>
      <c r="Y639">
        <v>0</v>
      </c>
      <c r="Z639">
        <v>0</v>
      </c>
    </row>
    <row r="640" spans="1:26" hidden="1" x14ac:dyDescent="0.25">
      <c r="A640" t="s">
        <v>1667</v>
      </c>
      <c r="B640" t="s">
        <v>25</v>
      </c>
      <c r="C640" s="4">
        <v>44603</v>
      </c>
      <c r="F640" s="4">
        <v>45170</v>
      </c>
      <c r="G640" t="s">
        <v>1617</v>
      </c>
      <c r="H640" t="s">
        <v>1668</v>
      </c>
      <c r="K640" t="s">
        <v>683</v>
      </c>
      <c r="L640" t="s">
        <v>1259</v>
      </c>
      <c r="M640" t="s">
        <v>84</v>
      </c>
      <c r="N640" t="s">
        <v>31</v>
      </c>
      <c r="O640" t="s">
        <v>32</v>
      </c>
      <c r="P640" t="s">
        <v>1669</v>
      </c>
      <c r="Q640">
        <v>150</v>
      </c>
      <c r="R640">
        <v>150</v>
      </c>
      <c r="S640" t="s">
        <v>34</v>
      </c>
      <c r="T640" t="s">
        <v>35</v>
      </c>
      <c r="U640" t="s">
        <v>44</v>
      </c>
      <c r="V640" s="4">
        <v>46266</v>
      </c>
      <c r="W640">
        <v>150</v>
      </c>
      <c r="X640">
        <v>150</v>
      </c>
      <c r="Y640">
        <v>150</v>
      </c>
      <c r="Z640">
        <v>150</v>
      </c>
    </row>
    <row r="641" spans="1:26" hidden="1" x14ac:dyDescent="0.25">
      <c r="A641" t="s">
        <v>1670</v>
      </c>
      <c r="B641" t="s">
        <v>38</v>
      </c>
      <c r="C641" s="4">
        <v>44006</v>
      </c>
      <c r="D641" s="4">
        <v>44567</v>
      </c>
      <c r="F641" s="4">
        <v>44593</v>
      </c>
      <c r="G641" t="s">
        <v>52</v>
      </c>
      <c r="H641" t="s">
        <v>1488</v>
      </c>
      <c r="K641" t="s">
        <v>53</v>
      </c>
      <c r="L641" t="s">
        <v>1259</v>
      </c>
      <c r="M641" t="s">
        <v>54</v>
      </c>
      <c r="N641" t="s">
        <v>31</v>
      </c>
      <c r="O641" t="s">
        <v>32</v>
      </c>
      <c r="P641" t="s">
        <v>1671</v>
      </c>
      <c r="Q641">
        <v>100</v>
      </c>
      <c r="R641">
        <v>100</v>
      </c>
      <c r="S641" t="s">
        <v>159</v>
      </c>
      <c r="T641" t="s">
        <v>159</v>
      </c>
      <c r="U641" t="s">
        <v>44</v>
      </c>
      <c r="W641">
        <v>0</v>
      </c>
      <c r="X641">
        <v>0</v>
      </c>
      <c r="Y641">
        <v>0</v>
      </c>
      <c r="Z641">
        <v>0</v>
      </c>
    </row>
    <row r="642" spans="1:26" hidden="1" x14ac:dyDescent="0.25">
      <c r="A642" t="s">
        <v>1672</v>
      </c>
      <c r="B642" t="s">
        <v>38</v>
      </c>
      <c r="C642" s="4">
        <v>44007</v>
      </c>
      <c r="D642" s="4">
        <v>44096</v>
      </c>
      <c r="F642" s="4">
        <v>45230</v>
      </c>
      <c r="G642" t="s">
        <v>1311</v>
      </c>
      <c r="H642" t="s">
        <v>1673</v>
      </c>
      <c r="K642" t="s">
        <v>114</v>
      </c>
      <c r="L642" t="s">
        <v>1259</v>
      </c>
      <c r="M642" t="s">
        <v>68</v>
      </c>
      <c r="N642" t="s">
        <v>31</v>
      </c>
      <c r="O642" t="s">
        <v>32</v>
      </c>
      <c r="P642" t="s">
        <v>1674</v>
      </c>
      <c r="Q642">
        <v>200</v>
      </c>
      <c r="R642">
        <v>200</v>
      </c>
      <c r="S642" t="s">
        <v>34</v>
      </c>
      <c r="T642" t="s">
        <v>35</v>
      </c>
      <c r="U642" t="s">
        <v>44</v>
      </c>
      <c r="W642">
        <v>0</v>
      </c>
      <c r="X642">
        <v>0</v>
      </c>
      <c r="Y642">
        <v>0</v>
      </c>
      <c r="Z642">
        <v>0</v>
      </c>
    </row>
    <row r="643" spans="1:26" hidden="1" x14ac:dyDescent="0.25">
      <c r="A643" t="s">
        <v>1675</v>
      </c>
      <c r="B643" t="s">
        <v>25</v>
      </c>
      <c r="C643" s="4">
        <v>45366</v>
      </c>
      <c r="F643" s="4">
        <v>45170</v>
      </c>
      <c r="G643" t="s">
        <v>138</v>
      </c>
      <c r="H643" t="s">
        <v>1676</v>
      </c>
      <c r="K643" t="s">
        <v>98</v>
      </c>
      <c r="L643" t="s">
        <v>1259</v>
      </c>
      <c r="M643" t="s">
        <v>84</v>
      </c>
      <c r="N643" t="s">
        <v>31</v>
      </c>
      <c r="O643" t="s">
        <v>32</v>
      </c>
      <c r="P643" t="s">
        <v>1677</v>
      </c>
      <c r="Q643">
        <v>150</v>
      </c>
      <c r="R643">
        <v>150</v>
      </c>
      <c r="S643" t="s">
        <v>34</v>
      </c>
      <c r="T643" t="s">
        <v>35</v>
      </c>
      <c r="U643" t="s">
        <v>44</v>
      </c>
      <c r="V643" s="4">
        <v>46266</v>
      </c>
      <c r="W643">
        <v>150</v>
      </c>
      <c r="X643">
        <v>150</v>
      </c>
      <c r="Y643">
        <v>150</v>
      </c>
      <c r="Z643">
        <v>150</v>
      </c>
    </row>
    <row r="644" spans="1:26" hidden="1" x14ac:dyDescent="0.25">
      <c r="A644" t="s">
        <v>1678</v>
      </c>
      <c r="B644" t="s">
        <v>25</v>
      </c>
      <c r="C644" s="4">
        <v>44609</v>
      </c>
      <c r="F644" s="4">
        <v>45214</v>
      </c>
      <c r="G644" t="s">
        <v>1679</v>
      </c>
      <c r="H644" t="s">
        <v>1680</v>
      </c>
      <c r="K644" t="s">
        <v>98</v>
      </c>
      <c r="L644" t="s">
        <v>1259</v>
      </c>
      <c r="M644" t="s">
        <v>84</v>
      </c>
      <c r="N644" t="s">
        <v>31</v>
      </c>
      <c r="O644" t="s">
        <v>32</v>
      </c>
      <c r="P644" t="s">
        <v>1681</v>
      </c>
      <c r="Q644">
        <v>200</v>
      </c>
      <c r="R644">
        <v>200</v>
      </c>
      <c r="S644" t="s">
        <v>597</v>
      </c>
      <c r="T644" t="s">
        <v>598</v>
      </c>
      <c r="U644" t="s">
        <v>44</v>
      </c>
      <c r="W644">
        <v>200</v>
      </c>
      <c r="X644">
        <v>200</v>
      </c>
      <c r="Y644">
        <v>200</v>
      </c>
      <c r="Z644">
        <v>200</v>
      </c>
    </row>
    <row r="645" spans="1:26" hidden="1" x14ac:dyDescent="0.25">
      <c r="A645" t="s">
        <v>1682</v>
      </c>
      <c r="B645" t="s">
        <v>38</v>
      </c>
      <c r="C645" s="4">
        <v>44005</v>
      </c>
      <c r="D645" s="4">
        <v>44165</v>
      </c>
      <c r="F645" s="4">
        <v>45200</v>
      </c>
      <c r="G645" t="s">
        <v>52</v>
      </c>
      <c r="H645" t="s">
        <v>1393</v>
      </c>
      <c r="K645" t="s">
        <v>53</v>
      </c>
      <c r="L645" t="s">
        <v>1259</v>
      </c>
      <c r="M645" t="s">
        <v>54</v>
      </c>
      <c r="N645" t="s">
        <v>31</v>
      </c>
      <c r="O645" t="s">
        <v>32</v>
      </c>
      <c r="P645" t="s">
        <v>1683</v>
      </c>
      <c r="Q645">
        <v>50</v>
      </c>
      <c r="R645">
        <v>50</v>
      </c>
      <c r="S645" t="s">
        <v>34</v>
      </c>
      <c r="T645" t="s">
        <v>35</v>
      </c>
      <c r="U645" t="s">
        <v>44</v>
      </c>
      <c r="W645">
        <v>0</v>
      </c>
      <c r="X645">
        <v>0</v>
      </c>
      <c r="Y645">
        <v>0</v>
      </c>
      <c r="Z645">
        <v>0</v>
      </c>
    </row>
    <row r="646" spans="1:26" hidden="1" x14ac:dyDescent="0.25">
      <c r="A646" t="s">
        <v>1684</v>
      </c>
      <c r="B646" t="s">
        <v>25</v>
      </c>
      <c r="C646" s="4">
        <v>43992</v>
      </c>
      <c r="E646" s="4">
        <v>44944</v>
      </c>
      <c r="F646" s="4">
        <v>45200</v>
      </c>
      <c r="G646" t="s">
        <v>1408</v>
      </c>
      <c r="H646" t="s">
        <v>1685</v>
      </c>
      <c r="K646" t="s">
        <v>146</v>
      </c>
      <c r="L646" t="s">
        <v>1259</v>
      </c>
      <c r="M646" t="s">
        <v>68</v>
      </c>
      <c r="N646" t="s">
        <v>31</v>
      </c>
      <c r="O646" t="s">
        <v>32</v>
      </c>
      <c r="P646" t="s">
        <v>1686</v>
      </c>
      <c r="Q646">
        <v>150</v>
      </c>
      <c r="R646">
        <v>150</v>
      </c>
      <c r="S646" t="s">
        <v>34</v>
      </c>
      <c r="T646" t="s">
        <v>35</v>
      </c>
      <c r="U646" t="s">
        <v>70</v>
      </c>
      <c r="V646" s="4">
        <v>45641</v>
      </c>
      <c r="W646">
        <v>150</v>
      </c>
      <c r="X646">
        <v>0</v>
      </c>
      <c r="Y646">
        <v>150</v>
      </c>
      <c r="Z646">
        <v>0</v>
      </c>
    </row>
    <row r="647" spans="1:26" hidden="1" x14ac:dyDescent="0.25">
      <c r="A647" t="s">
        <v>1687</v>
      </c>
      <c r="B647" t="s">
        <v>38</v>
      </c>
      <c r="C647" s="4">
        <v>44006</v>
      </c>
      <c r="D647" s="4">
        <v>44188</v>
      </c>
      <c r="F647" s="4">
        <v>45170</v>
      </c>
      <c r="G647" t="s">
        <v>173</v>
      </c>
      <c r="H647" t="s">
        <v>1479</v>
      </c>
      <c r="K647" t="s">
        <v>41</v>
      </c>
      <c r="L647" t="s">
        <v>1259</v>
      </c>
      <c r="M647" t="s">
        <v>42</v>
      </c>
      <c r="N647" t="s">
        <v>31</v>
      </c>
      <c r="O647" t="s">
        <v>32</v>
      </c>
      <c r="P647" t="s">
        <v>1688</v>
      </c>
      <c r="Q647">
        <v>80</v>
      </c>
      <c r="R647">
        <v>80</v>
      </c>
      <c r="S647" t="s">
        <v>34</v>
      </c>
      <c r="T647" t="s">
        <v>35</v>
      </c>
      <c r="U647" t="s">
        <v>44</v>
      </c>
      <c r="W647">
        <v>0</v>
      </c>
      <c r="X647">
        <v>0</v>
      </c>
      <c r="Y647">
        <v>0</v>
      </c>
      <c r="Z647">
        <v>0</v>
      </c>
    </row>
    <row r="648" spans="1:26" hidden="1" x14ac:dyDescent="0.25">
      <c r="A648" t="s">
        <v>1689</v>
      </c>
      <c r="B648" t="s">
        <v>25</v>
      </c>
      <c r="C648" s="4">
        <v>43992</v>
      </c>
      <c r="F648" s="4">
        <v>45200</v>
      </c>
      <c r="G648" t="s">
        <v>1690</v>
      </c>
      <c r="H648" t="s">
        <v>1691</v>
      </c>
      <c r="K648" t="s">
        <v>98</v>
      </c>
      <c r="L648" t="s">
        <v>1259</v>
      </c>
      <c r="M648" t="s">
        <v>84</v>
      </c>
      <c r="N648" t="s">
        <v>31</v>
      </c>
      <c r="O648" t="s">
        <v>32</v>
      </c>
      <c r="P648" t="s">
        <v>1692</v>
      </c>
      <c r="Q648">
        <v>150</v>
      </c>
      <c r="R648">
        <v>150</v>
      </c>
      <c r="S648" t="s">
        <v>34</v>
      </c>
      <c r="T648" t="s">
        <v>35</v>
      </c>
      <c r="U648" t="s">
        <v>44</v>
      </c>
      <c r="V648" s="4">
        <v>46296</v>
      </c>
      <c r="W648">
        <v>150</v>
      </c>
      <c r="X648">
        <v>150</v>
      </c>
      <c r="Y648">
        <v>150</v>
      </c>
      <c r="Z648">
        <v>150</v>
      </c>
    </row>
    <row r="649" spans="1:26" hidden="1" x14ac:dyDescent="0.25">
      <c r="A649" t="s">
        <v>1693</v>
      </c>
      <c r="B649" t="s">
        <v>38</v>
      </c>
      <c r="C649" s="4">
        <v>44006</v>
      </c>
      <c r="D649" s="4">
        <v>44154</v>
      </c>
      <c r="F649" s="4">
        <v>45170</v>
      </c>
      <c r="G649" t="s">
        <v>39</v>
      </c>
      <c r="H649" t="s">
        <v>1694</v>
      </c>
      <c r="K649" t="s">
        <v>41</v>
      </c>
      <c r="L649" t="s">
        <v>1259</v>
      </c>
      <c r="M649" t="s">
        <v>42</v>
      </c>
      <c r="N649" t="s">
        <v>31</v>
      </c>
      <c r="O649" t="s">
        <v>32</v>
      </c>
      <c r="P649" t="s">
        <v>1695</v>
      </c>
      <c r="Q649">
        <v>150</v>
      </c>
      <c r="R649">
        <v>150</v>
      </c>
      <c r="S649" t="s">
        <v>34</v>
      </c>
      <c r="T649" t="s">
        <v>35</v>
      </c>
      <c r="U649" t="s">
        <v>44</v>
      </c>
      <c r="W649">
        <v>0</v>
      </c>
      <c r="X649">
        <v>0</v>
      </c>
      <c r="Y649">
        <v>0</v>
      </c>
      <c r="Z649">
        <v>0</v>
      </c>
    </row>
    <row r="650" spans="1:26" hidden="1" x14ac:dyDescent="0.25">
      <c r="A650" t="s">
        <v>1696</v>
      </c>
      <c r="B650" t="s">
        <v>38</v>
      </c>
      <c r="C650" s="4">
        <v>44007</v>
      </c>
      <c r="D650" s="4">
        <v>44179</v>
      </c>
      <c r="F650" s="4">
        <v>44423</v>
      </c>
      <c r="G650" t="s">
        <v>65</v>
      </c>
      <c r="H650" t="s">
        <v>1697</v>
      </c>
      <c r="K650" t="s">
        <v>67</v>
      </c>
      <c r="L650" t="s">
        <v>1259</v>
      </c>
      <c r="M650" t="s">
        <v>68</v>
      </c>
      <c r="N650" t="s">
        <v>31</v>
      </c>
      <c r="O650" t="s">
        <v>32</v>
      </c>
      <c r="P650" t="s">
        <v>1698</v>
      </c>
      <c r="Q650">
        <v>10</v>
      </c>
      <c r="R650">
        <v>10</v>
      </c>
      <c r="S650" t="s">
        <v>597</v>
      </c>
      <c r="T650" t="s">
        <v>598</v>
      </c>
      <c r="U650" t="s">
        <v>44</v>
      </c>
      <c r="W650">
        <v>0</v>
      </c>
      <c r="X650">
        <v>0</v>
      </c>
      <c r="Y650">
        <v>0</v>
      </c>
      <c r="Z650">
        <v>0</v>
      </c>
    </row>
    <row r="651" spans="1:26" hidden="1" x14ac:dyDescent="0.25">
      <c r="A651" t="s">
        <v>1699</v>
      </c>
      <c r="B651" t="s">
        <v>25</v>
      </c>
      <c r="C651" s="4">
        <v>44265</v>
      </c>
      <c r="F651" s="4">
        <v>44865</v>
      </c>
      <c r="G651" t="s">
        <v>1617</v>
      </c>
      <c r="H651" t="s">
        <v>1700</v>
      </c>
      <c r="K651" t="s">
        <v>683</v>
      </c>
      <c r="L651" t="s">
        <v>1259</v>
      </c>
      <c r="M651" t="s">
        <v>84</v>
      </c>
      <c r="N651" t="s">
        <v>31</v>
      </c>
      <c r="O651" t="s">
        <v>32</v>
      </c>
      <c r="P651" t="s">
        <v>1701</v>
      </c>
      <c r="Q651">
        <v>60</v>
      </c>
      <c r="R651">
        <v>60</v>
      </c>
      <c r="S651" t="s">
        <v>34</v>
      </c>
      <c r="T651" t="s">
        <v>35</v>
      </c>
      <c r="U651" t="s">
        <v>44</v>
      </c>
      <c r="V651" s="4">
        <v>45961</v>
      </c>
      <c r="W651">
        <v>60</v>
      </c>
      <c r="X651">
        <v>60</v>
      </c>
      <c r="Y651">
        <v>60</v>
      </c>
      <c r="Z651">
        <v>60</v>
      </c>
    </row>
    <row r="652" spans="1:26" hidden="1" x14ac:dyDescent="0.25">
      <c r="A652" t="s">
        <v>1702</v>
      </c>
      <c r="B652" t="s">
        <v>38</v>
      </c>
      <c r="C652" s="4">
        <v>44005</v>
      </c>
      <c r="D652" s="4">
        <v>44183</v>
      </c>
      <c r="F652" s="4">
        <v>45184</v>
      </c>
      <c r="G652" t="s">
        <v>117</v>
      </c>
      <c r="H652" t="s">
        <v>1703</v>
      </c>
      <c r="K652" t="s">
        <v>83</v>
      </c>
      <c r="L652" t="s">
        <v>1259</v>
      </c>
      <c r="M652" t="s">
        <v>84</v>
      </c>
      <c r="N652" t="s">
        <v>31</v>
      </c>
      <c r="O652" t="s">
        <v>32</v>
      </c>
      <c r="P652" t="s">
        <v>1704</v>
      </c>
      <c r="Q652">
        <v>200</v>
      </c>
      <c r="R652">
        <v>200</v>
      </c>
      <c r="S652" t="s">
        <v>34</v>
      </c>
      <c r="T652" t="s">
        <v>35</v>
      </c>
      <c r="U652" t="s">
        <v>44</v>
      </c>
      <c r="W652">
        <v>0</v>
      </c>
      <c r="X652">
        <v>0</v>
      </c>
      <c r="Y652">
        <v>0</v>
      </c>
      <c r="Z652">
        <v>0</v>
      </c>
    </row>
    <row r="653" spans="1:26" hidden="1" x14ac:dyDescent="0.25">
      <c r="A653" t="s">
        <v>1705</v>
      </c>
      <c r="B653" t="s">
        <v>25</v>
      </c>
      <c r="C653" s="4">
        <v>44005</v>
      </c>
      <c r="F653" s="4">
        <v>45169</v>
      </c>
      <c r="G653" t="s">
        <v>117</v>
      </c>
      <c r="H653" t="s">
        <v>1703</v>
      </c>
      <c r="K653" t="s">
        <v>83</v>
      </c>
      <c r="L653" t="s">
        <v>1259</v>
      </c>
      <c r="M653" t="s">
        <v>84</v>
      </c>
      <c r="N653" t="s">
        <v>31</v>
      </c>
      <c r="O653" t="s">
        <v>32</v>
      </c>
      <c r="P653" t="s">
        <v>1706</v>
      </c>
      <c r="Q653">
        <v>149.5</v>
      </c>
      <c r="R653">
        <v>149.5</v>
      </c>
      <c r="S653" t="s">
        <v>34</v>
      </c>
      <c r="T653" t="s">
        <v>35</v>
      </c>
      <c r="U653" t="s">
        <v>44</v>
      </c>
      <c r="V653" s="4">
        <v>46784</v>
      </c>
      <c r="W653">
        <v>105</v>
      </c>
      <c r="X653">
        <v>105</v>
      </c>
      <c r="Y653">
        <v>105</v>
      </c>
      <c r="Z653">
        <v>31.5</v>
      </c>
    </row>
    <row r="654" spans="1:26" hidden="1" x14ac:dyDescent="0.25">
      <c r="A654" t="s">
        <v>1707</v>
      </c>
      <c r="B654" t="s">
        <v>38</v>
      </c>
      <c r="C654" s="4">
        <v>44533</v>
      </c>
      <c r="D654" s="4">
        <v>45124</v>
      </c>
      <c r="F654" s="4">
        <v>45184</v>
      </c>
      <c r="G654" t="s">
        <v>117</v>
      </c>
      <c r="H654" t="s">
        <v>1708</v>
      </c>
      <c r="K654" t="s">
        <v>83</v>
      </c>
      <c r="L654" t="s">
        <v>1259</v>
      </c>
      <c r="M654" t="s">
        <v>84</v>
      </c>
      <c r="N654" t="s">
        <v>31</v>
      </c>
      <c r="O654" t="s">
        <v>32</v>
      </c>
      <c r="P654" t="s">
        <v>1709</v>
      </c>
      <c r="Q654">
        <v>116</v>
      </c>
      <c r="R654">
        <v>116</v>
      </c>
      <c r="S654" t="s">
        <v>34</v>
      </c>
      <c r="T654" t="s">
        <v>35</v>
      </c>
      <c r="U654" t="s">
        <v>44</v>
      </c>
      <c r="W654">
        <v>0</v>
      </c>
      <c r="X654">
        <v>0</v>
      </c>
      <c r="Y654">
        <v>0</v>
      </c>
      <c r="Z654">
        <v>0</v>
      </c>
    </row>
    <row r="655" spans="1:26" hidden="1" x14ac:dyDescent="0.25">
      <c r="A655" t="s">
        <v>1710</v>
      </c>
      <c r="B655" t="s">
        <v>25</v>
      </c>
      <c r="C655" s="4">
        <v>44533</v>
      </c>
      <c r="F655" s="4">
        <v>45184</v>
      </c>
      <c r="G655" t="s">
        <v>117</v>
      </c>
      <c r="H655" t="s">
        <v>1711</v>
      </c>
      <c r="K655" t="s">
        <v>83</v>
      </c>
      <c r="L655" t="s">
        <v>1259</v>
      </c>
      <c r="M655" t="s">
        <v>84</v>
      </c>
      <c r="N655" t="s">
        <v>31</v>
      </c>
      <c r="O655" t="s">
        <v>32</v>
      </c>
      <c r="P655" t="s">
        <v>1712</v>
      </c>
      <c r="Q655">
        <v>150</v>
      </c>
      <c r="R655">
        <v>150</v>
      </c>
      <c r="S655" t="s">
        <v>34</v>
      </c>
      <c r="T655" t="s">
        <v>35</v>
      </c>
      <c r="U655" t="s">
        <v>44</v>
      </c>
      <c r="V655" s="4">
        <v>46280</v>
      </c>
      <c r="W655">
        <v>150</v>
      </c>
      <c r="X655">
        <v>150</v>
      </c>
      <c r="Y655">
        <v>150</v>
      </c>
      <c r="Z655">
        <v>0</v>
      </c>
    </row>
    <row r="656" spans="1:26" hidden="1" x14ac:dyDescent="0.25">
      <c r="A656" t="s">
        <v>1713</v>
      </c>
      <c r="B656" t="s">
        <v>38</v>
      </c>
      <c r="C656" s="4">
        <v>44007</v>
      </c>
      <c r="D656" s="4">
        <v>44979</v>
      </c>
      <c r="F656" s="4">
        <v>45170</v>
      </c>
      <c r="G656" t="s">
        <v>52</v>
      </c>
      <c r="H656" t="s">
        <v>1393</v>
      </c>
      <c r="K656" t="s">
        <v>53</v>
      </c>
      <c r="L656" t="s">
        <v>1259</v>
      </c>
      <c r="M656" t="s">
        <v>54</v>
      </c>
      <c r="N656" t="s">
        <v>31</v>
      </c>
      <c r="O656" t="s">
        <v>32</v>
      </c>
      <c r="P656" t="s">
        <v>1714</v>
      </c>
      <c r="Q656">
        <v>200</v>
      </c>
      <c r="R656">
        <v>200</v>
      </c>
      <c r="S656" t="s">
        <v>34</v>
      </c>
      <c r="T656" t="s">
        <v>35</v>
      </c>
      <c r="U656" t="s">
        <v>44</v>
      </c>
      <c r="W656">
        <v>200</v>
      </c>
      <c r="X656">
        <v>200</v>
      </c>
      <c r="Y656">
        <v>0</v>
      </c>
      <c r="Z656">
        <v>0</v>
      </c>
    </row>
    <row r="657" spans="1:26" hidden="1" x14ac:dyDescent="0.25">
      <c r="A657" t="s">
        <v>1715</v>
      </c>
      <c r="B657" t="s">
        <v>38</v>
      </c>
      <c r="C657" s="4">
        <v>44533</v>
      </c>
      <c r="D657" s="4">
        <v>45538</v>
      </c>
      <c r="F657" s="4">
        <v>44819</v>
      </c>
      <c r="G657" t="s">
        <v>117</v>
      </c>
      <c r="H657" t="s">
        <v>1279</v>
      </c>
      <c r="K657" t="s">
        <v>83</v>
      </c>
      <c r="L657" t="s">
        <v>1259</v>
      </c>
      <c r="M657" t="s">
        <v>84</v>
      </c>
      <c r="N657" t="s">
        <v>31</v>
      </c>
      <c r="O657" t="s">
        <v>32</v>
      </c>
      <c r="P657" t="s">
        <v>1716</v>
      </c>
      <c r="Q657">
        <v>50</v>
      </c>
      <c r="R657">
        <v>50</v>
      </c>
      <c r="S657" t="s">
        <v>159</v>
      </c>
      <c r="T657" t="s">
        <v>159</v>
      </c>
      <c r="U657" t="s">
        <v>44</v>
      </c>
      <c r="W657">
        <v>50</v>
      </c>
      <c r="X657">
        <v>50</v>
      </c>
      <c r="Y657">
        <v>0</v>
      </c>
      <c r="Z657">
        <v>0</v>
      </c>
    </row>
    <row r="658" spans="1:26" hidden="1" x14ac:dyDescent="0.25">
      <c r="A658" t="s">
        <v>1717</v>
      </c>
      <c r="B658" t="s">
        <v>38</v>
      </c>
      <c r="C658" s="4">
        <v>44005</v>
      </c>
      <c r="D658" s="4">
        <v>45735</v>
      </c>
      <c r="F658" s="4">
        <v>45169</v>
      </c>
      <c r="G658" t="s">
        <v>117</v>
      </c>
      <c r="H658" t="s">
        <v>1611</v>
      </c>
      <c r="K658" t="s">
        <v>83</v>
      </c>
      <c r="L658" t="s">
        <v>1259</v>
      </c>
      <c r="M658" t="s">
        <v>84</v>
      </c>
      <c r="N658" t="s">
        <v>31</v>
      </c>
      <c r="O658" t="s">
        <v>32</v>
      </c>
      <c r="P658" t="s">
        <v>1718</v>
      </c>
      <c r="Q658">
        <v>412</v>
      </c>
      <c r="R658">
        <v>412</v>
      </c>
      <c r="S658" t="s">
        <v>597</v>
      </c>
      <c r="T658" t="s">
        <v>945</v>
      </c>
      <c r="U658" t="s">
        <v>44</v>
      </c>
      <c r="W658">
        <v>0</v>
      </c>
      <c r="X658">
        <v>0</v>
      </c>
      <c r="Y658">
        <v>0</v>
      </c>
      <c r="Z658">
        <v>0</v>
      </c>
    </row>
    <row r="659" spans="1:26" hidden="1" x14ac:dyDescent="0.25">
      <c r="A659" t="s">
        <v>1719</v>
      </c>
      <c r="B659" t="s">
        <v>25</v>
      </c>
      <c r="C659" s="4">
        <v>44007</v>
      </c>
      <c r="F659" s="4">
        <v>44774</v>
      </c>
      <c r="G659" t="s">
        <v>39</v>
      </c>
      <c r="H659" t="s">
        <v>1519</v>
      </c>
      <c r="K659" t="s">
        <v>28</v>
      </c>
      <c r="L659" t="s">
        <v>1259</v>
      </c>
      <c r="M659" t="s">
        <v>42</v>
      </c>
      <c r="N659" t="s">
        <v>31</v>
      </c>
      <c r="O659" t="s">
        <v>32</v>
      </c>
      <c r="P659" t="s">
        <v>1720</v>
      </c>
      <c r="Q659">
        <v>100</v>
      </c>
      <c r="R659">
        <v>100</v>
      </c>
      <c r="S659" t="s">
        <v>34</v>
      </c>
      <c r="T659" t="s">
        <v>35</v>
      </c>
      <c r="U659" t="s">
        <v>44</v>
      </c>
      <c r="V659" s="4">
        <v>45870</v>
      </c>
      <c r="W659">
        <v>100</v>
      </c>
      <c r="X659">
        <v>0</v>
      </c>
      <c r="Y659">
        <v>100</v>
      </c>
      <c r="Z659">
        <v>0</v>
      </c>
    </row>
    <row r="660" spans="1:26" hidden="1" x14ac:dyDescent="0.25">
      <c r="A660" t="s">
        <v>1721</v>
      </c>
      <c r="B660" t="s">
        <v>25</v>
      </c>
      <c r="C660" s="4">
        <v>45796</v>
      </c>
      <c r="F660" s="4">
        <v>45170</v>
      </c>
      <c r="G660" t="s">
        <v>52</v>
      </c>
      <c r="H660" t="s">
        <v>1445</v>
      </c>
      <c r="K660" t="s">
        <v>53</v>
      </c>
      <c r="L660" t="s">
        <v>1259</v>
      </c>
      <c r="M660" t="s">
        <v>54</v>
      </c>
      <c r="N660" t="s">
        <v>31</v>
      </c>
      <c r="O660" t="s">
        <v>32</v>
      </c>
      <c r="P660" t="s">
        <v>1722</v>
      </c>
      <c r="Q660">
        <v>180</v>
      </c>
      <c r="R660">
        <v>180</v>
      </c>
      <c r="S660" t="s">
        <v>34</v>
      </c>
      <c r="T660" t="s">
        <v>35</v>
      </c>
      <c r="U660" t="s">
        <v>44</v>
      </c>
      <c r="V660" s="4">
        <v>46003</v>
      </c>
      <c r="W660">
        <v>150</v>
      </c>
      <c r="X660">
        <v>150</v>
      </c>
      <c r="Y660">
        <v>150</v>
      </c>
      <c r="Z660">
        <v>150</v>
      </c>
    </row>
    <row r="661" spans="1:26" hidden="1" x14ac:dyDescent="0.25">
      <c r="A661" t="s">
        <v>1723</v>
      </c>
      <c r="B661" t="s">
        <v>25</v>
      </c>
      <c r="C661" s="4">
        <v>44007</v>
      </c>
      <c r="F661" s="4">
        <v>44593</v>
      </c>
      <c r="G661" t="s">
        <v>907</v>
      </c>
      <c r="H661" t="s">
        <v>1724</v>
      </c>
      <c r="K661" t="s">
        <v>53</v>
      </c>
      <c r="L661" t="s">
        <v>1259</v>
      </c>
      <c r="M661" t="s">
        <v>54</v>
      </c>
      <c r="N661" t="s">
        <v>31</v>
      </c>
      <c r="O661" t="s">
        <v>32</v>
      </c>
      <c r="P661" t="s">
        <v>1725</v>
      </c>
      <c r="Q661">
        <v>100</v>
      </c>
      <c r="R661">
        <v>100</v>
      </c>
      <c r="S661" t="s">
        <v>159</v>
      </c>
      <c r="T661" t="s">
        <v>159</v>
      </c>
      <c r="U661" t="s">
        <v>70</v>
      </c>
      <c r="V661" s="4">
        <v>45689</v>
      </c>
      <c r="W661">
        <v>100</v>
      </c>
      <c r="X661">
        <v>100</v>
      </c>
      <c r="Y661">
        <v>100</v>
      </c>
      <c r="Z661">
        <v>100</v>
      </c>
    </row>
    <row r="662" spans="1:26" hidden="1" x14ac:dyDescent="0.25">
      <c r="A662" t="s">
        <v>1726</v>
      </c>
      <c r="B662" t="s">
        <v>38</v>
      </c>
      <c r="C662" s="4">
        <v>44006</v>
      </c>
      <c r="D662" s="4">
        <v>44566</v>
      </c>
      <c r="F662" s="4">
        <v>45170</v>
      </c>
      <c r="G662" t="s">
        <v>52</v>
      </c>
      <c r="H662" t="s">
        <v>1393</v>
      </c>
      <c r="K662" t="s">
        <v>53</v>
      </c>
      <c r="L662" t="s">
        <v>1259</v>
      </c>
      <c r="M662" t="s">
        <v>54</v>
      </c>
      <c r="N662" t="s">
        <v>31</v>
      </c>
      <c r="O662" t="s">
        <v>32</v>
      </c>
      <c r="P662" t="s">
        <v>1714</v>
      </c>
      <c r="Q662">
        <v>50</v>
      </c>
      <c r="R662">
        <v>50</v>
      </c>
      <c r="S662" t="s">
        <v>159</v>
      </c>
      <c r="T662" t="s">
        <v>159</v>
      </c>
      <c r="U662" t="s">
        <v>44</v>
      </c>
      <c r="W662">
        <v>0</v>
      </c>
      <c r="X662">
        <v>0</v>
      </c>
      <c r="Y662">
        <v>0</v>
      </c>
      <c r="Z662">
        <v>0</v>
      </c>
    </row>
    <row r="663" spans="1:26" hidden="1" x14ac:dyDescent="0.25">
      <c r="A663" t="s">
        <v>1727</v>
      </c>
      <c r="B663" t="s">
        <v>38</v>
      </c>
      <c r="C663" s="4">
        <v>44006</v>
      </c>
      <c r="D663" s="4">
        <v>44250</v>
      </c>
      <c r="F663" s="4">
        <v>45170</v>
      </c>
      <c r="G663" t="s">
        <v>907</v>
      </c>
      <c r="H663" t="s">
        <v>1728</v>
      </c>
      <c r="K663" t="s">
        <v>53</v>
      </c>
      <c r="L663" t="s">
        <v>1259</v>
      </c>
      <c r="M663" t="s">
        <v>54</v>
      </c>
      <c r="N663" t="s">
        <v>31</v>
      </c>
      <c r="O663" t="s">
        <v>32</v>
      </c>
      <c r="P663" t="s">
        <v>1729</v>
      </c>
      <c r="Q663">
        <v>200</v>
      </c>
      <c r="R663">
        <v>200</v>
      </c>
      <c r="S663" t="s">
        <v>34</v>
      </c>
      <c r="T663" t="s">
        <v>35</v>
      </c>
      <c r="U663" t="s">
        <v>44</v>
      </c>
      <c r="W663">
        <v>0</v>
      </c>
      <c r="X663">
        <v>0</v>
      </c>
      <c r="Y663">
        <v>0</v>
      </c>
      <c r="Z663">
        <v>0</v>
      </c>
    </row>
    <row r="664" spans="1:26" hidden="1" x14ac:dyDescent="0.25">
      <c r="A664" t="s">
        <v>1730</v>
      </c>
      <c r="B664" t="s">
        <v>38</v>
      </c>
      <c r="C664" s="4">
        <v>44005</v>
      </c>
      <c r="D664" s="4">
        <v>45216</v>
      </c>
      <c r="F664" s="4">
        <v>45169</v>
      </c>
      <c r="G664" t="s">
        <v>254</v>
      </c>
      <c r="H664" t="s">
        <v>1691</v>
      </c>
      <c r="K664" t="s">
        <v>98</v>
      </c>
      <c r="L664" t="s">
        <v>1259</v>
      </c>
      <c r="M664" t="s">
        <v>84</v>
      </c>
      <c r="N664" t="s">
        <v>31</v>
      </c>
      <c r="O664" t="s">
        <v>32</v>
      </c>
      <c r="P664" t="s">
        <v>1731</v>
      </c>
      <c r="Q664">
        <v>200</v>
      </c>
      <c r="R664">
        <v>200</v>
      </c>
      <c r="S664" t="s">
        <v>34</v>
      </c>
      <c r="T664" t="s">
        <v>35</v>
      </c>
      <c r="U664" t="s">
        <v>44</v>
      </c>
      <c r="W664">
        <v>0</v>
      </c>
      <c r="X664">
        <v>0</v>
      </c>
      <c r="Y664">
        <v>0</v>
      </c>
      <c r="Z664">
        <v>0</v>
      </c>
    </row>
    <row r="665" spans="1:26" hidden="1" x14ac:dyDescent="0.25">
      <c r="A665" t="s">
        <v>1732</v>
      </c>
      <c r="B665" t="s">
        <v>25</v>
      </c>
      <c r="C665" s="4">
        <v>44533</v>
      </c>
      <c r="E665" s="4">
        <v>44992</v>
      </c>
      <c r="F665" s="4">
        <v>45184</v>
      </c>
      <c r="G665" t="s">
        <v>52</v>
      </c>
      <c r="H665" t="s">
        <v>1362</v>
      </c>
      <c r="K665" t="s">
        <v>53</v>
      </c>
      <c r="L665" t="s">
        <v>1259</v>
      </c>
      <c r="M665" t="s">
        <v>54</v>
      </c>
      <c r="N665" t="s">
        <v>31</v>
      </c>
      <c r="O665" t="s">
        <v>32</v>
      </c>
      <c r="P665" t="s">
        <v>1733</v>
      </c>
      <c r="Q665">
        <v>200</v>
      </c>
      <c r="R665">
        <v>200</v>
      </c>
      <c r="S665" t="s">
        <v>34</v>
      </c>
      <c r="T665" t="s">
        <v>35</v>
      </c>
      <c r="U665" t="s">
        <v>70</v>
      </c>
      <c r="V665" s="4">
        <v>45871</v>
      </c>
      <c r="W665">
        <v>200</v>
      </c>
      <c r="X665">
        <v>200</v>
      </c>
      <c r="Y665">
        <v>200</v>
      </c>
      <c r="Z665">
        <v>200</v>
      </c>
    </row>
    <row r="666" spans="1:26" hidden="1" x14ac:dyDescent="0.25">
      <c r="A666" t="s">
        <v>1734</v>
      </c>
      <c r="B666" t="s">
        <v>25</v>
      </c>
      <c r="C666" s="4">
        <v>44006</v>
      </c>
      <c r="F666" s="4">
        <v>45170</v>
      </c>
      <c r="G666" t="s">
        <v>907</v>
      </c>
      <c r="H666" t="s">
        <v>1333</v>
      </c>
      <c r="K666" t="s">
        <v>53</v>
      </c>
      <c r="L666" t="s">
        <v>1259</v>
      </c>
      <c r="M666" t="s">
        <v>54</v>
      </c>
      <c r="N666" t="s">
        <v>31</v>
      </c>
      <c r="O666" t="s">
        <v>32</v>
      </c>
      <c r="P666" t="s">
        <v>1735</v>
      </c>
      <c r="Q666">
        <v>200</v>
      </c>
      <c r="R666">
        <v>200</v>
      </c>
      <c r="S666" t="s">
        <v>34</v>
      </c>
      <c r="T666" t="s">
        <v>35</v>
      </c>
      <c r="U666" t="s">
        <v>44</v>
      </c>
      <c r="V666" s="4">
        <v>46266</v>
      </c>
      <c r="W666">
        <v>100</v>
      </c>
      <c r="X666">
        <v>100</v>
      </c>
      <c r="Y666">
        <v>100</v>
      </c>
      <c r="Z666">
        <v>100</v>
      </c>
    </row>
    <row r="667" spans="1:26" hidden="1" x14ac:dyDescent="0.25">
      <c r="A667" t="s">
        <v>1736</v>
      </c>
      <c r="B667" t="s">
        <v>38</v>
      </c>
      <c r="C667" s="4">
        <v>44006</v>
      </c>
      <c r="D667" s="4">
        <v>44566</v>
      </c>
      <c r="F667" s="4">
        <v>45170</v>
      </c>
      <c r="G667" t="s">
        <v>907</v>
      </c>
      <c r="H667" t="s">
        <v>1333</v>
      </c>
      <c r="K667" t="s">
        <v>53</v>
      </c>
      <c r="L667" t="s">
        <v>1259</v>
      </c>
      <c r="M667" t="s">
        <v>54</v>
      </c>
      <c r="N667" t="s">
        <v>31</v>
      </c>
      <c r="O667" t="s">
        <v>32</v>
      </c>
      <c r="P667" t="s">
        <v>1735</v>
      </c>
      <c r="Q667">
        <v>50</v>
      </c>
      <c r="R667">
        <v>50</v>
      </c>
      <c r="S667" t="s">
        <v>159</v>
      </c>
      <c r="T667" t="s">
        <v>159</v>
      </c>
      <c r="U667" t="s">
        <v>44</v>
      </c>
      <c r="W667">
        <v>0</v>
      </c>
      <c r="X667">
        <v>0</v>
      </c>
      <c r="Y667">
        <v>0</v>
      </c>
      <c r="Z667">
        <v>0</v>
      </c>
    </row>
    <row r="668" spans="1:26" hidden="1" x14ac:dyDescent="0.25">
      <c r="A668" t="s">
        <v>1737</v>
      </c>
      <c r="B668" t="s">
        <v>38</v>
      </c>
      <c r="C668" s="4">
        <v>44006</v>
      </c>
      <c r="D668" s="4">
        <v>44567</v>
      </c>
      <c r="F668" s="4">
        <v>45036</v>
      </c>
      <c r="G668" t="s">
        <v>52</v>
      </c>
      <c r="H668" t="s">
        <v>1588</v>
      </c>
      <c r="K668" t="s">
        <v>53</v>
      </c>
      <c r="L668" t="s">
        <v>1259</v>
      </c>
      <c r="M668" t="s">
        <v>54</v>
      </c>
      <c r="N668" t="s">
        <v>31</v>
      </c>
      <c r="O668" t="s">
        <v>32</v>
      </c>
      <c r="P668" t="s">
        <v>1738</v>
      </c>
      <c r="Q668">
        <v>300</v>
      </c>
      <c r="R668">
        <v>300</v>
      </c>
      <c r="S668" t="s">
        <v>56</v>
      </c>
      <c r="T668" t="s">
        <v>57</v>
      </c>
      <c r="U668" t="s">
        <v>44</v>
      </c>
      <c r="W668">
        <v>0</v>
      </c>
      <c r="X668">
        <v>0</v>
      </c>
      <c r="Y668">
        <v>0</v>
      </c>
      <c r="Z668">
        <v>0</v>
      </c>
    </row>
    <row r="669" spans="1:26" hidden="1" x14ac:dyDescent="0.25">
      <c r="A669" t="s">
        <v>1739</v>
      </c>
      <c r="B669" t="s">
        <v>38</v>
      </c>
      <c r="C669" s="4">
        <v>44006</v>
      </c>
      <c r="D669" s="4">
        <v>44551</v>
      </c>
      <c r="F669" s="4">
        <v>45036</v>
      </c>
      <c r="G669" t="s">
        <v>52</v>
      </c>
      <c r="H669" t="s">
        <v>1390</v>
      </c>
      <c r="K669" t="s">
        <v>53</v>
      </c>
      <c r="L669" t="s">
        <v>1259</v>
      </c>
      <c r="M669" t="s">
        <v>54</v>
      </c>
      <c r="N669" t="s">
        <v>31</v>
      </c>
      <c r="O669" t="s">
        <v>32</v>
      </c>
      <c r="P669" t="s">
        <v>1740</v>
      </c>
      <c r="Q669">
        <v>200</v>
      </c>
      <c r="R669">
        <v>200</v>
      </c>
      <c r="S669" t="s">
        <v>56</v>
      </c>
      <c r="T669" t="s">
        <v>57</v>
      </c>
      <c r="U669" t="s">
        <v>44</v>
      </c>
      <c r="W669">
        <v>0</v>
      </c>
      <c r="X669">
        <v>0</v>
      </c>
      <c r="Y669">
        <v>0</v>
      </c>
      <c r="Z669">
        <v>0</v>
      </c>
    </row>
    <row r="670" spans="1:26" hidden="1" x14ac:dyDescent="0.25">
      <c r="A670" t="s">
        <v>1741</v>
      </c>
      <c r="B670" t="s">
        <v>38</v>
      </c>
      <c r="C670" s="4">
        <v>44006</v>
      </c>
      <c r="D670" s="4">
        <v>44538</v>
      </c>
      <c r="F670" s="4">
        <v>45036</v>
      </c>
      <c r="G670" t="s">
        <v>144</v>
      </c>
      <c r="H670" t="s">
        <v>1522</v>
      </c>
      <c r="K670" t="s">
        <v>146</v>
      </c>
      <c r="L670" t="s">
        <v>1259</v>
      </c>
      <c r="M670" t="s">
        <v>68</v>
      </c>
      <c r="N670" t="s">
        <v>31</v>
      </c>
      <c r="O670" t="s">
        <v>32</v>
      </c>
      <c r="P670" t="s">
        <v>1742</v>
      </c>
      <c r="Q670">
        <v>194</v>
      </c>
      <c r="R670">
        <v>194</v>
      </c>
      <c r="S670" t="s">
        <v>34</v>
      </c>
      <c r="T670" t="s">
        <v>35</v>
      </c>
      <c r="U670" t="s">
        <v>44</v>
      </c>
      <c r="W670">
        <v>0</v>
      </c>
      <c r="X670">
        <v>0</v>
      </c>
      <c r="Y670">
        <v>0</v>
      </c>
      <c r="Z670">
        <v>0</v>
      </c>
    </row>
    <row r="671" spans="1:26" hidden="1" x14ac:dyDescent="0.25">
      <c r="A671" t="s">
        <v>1743</v>
      </c>
      <c r="B671" t="s">
        <v>25</v>
      </c>
      <c r="C671" s="4">
        <v>44005</v>
      </c>
      <c r="F671" s="4">
        <v>45170</v>
      </c>
      <c r="G671" t="s">
        <v>1408</v>
      </c>
      <c r="H671" t="s">
        <v>1744</v>
      </c>
      <c r="K671" t="s">
        <v>146</v>
      </c>
      <c r="L671" t="s">
        <v>1259</v>
      </c>
      <c r="M671" t="s">
        <v>68</v>
      </c>
      <c r="N671" t="s">
        <v>31</v>
      </c>
      <c r="O671" t="s">
        <v>122</v>
      </c>
      <c r="P671" t="s">
        <v>1745</v>
      </c>
      <c r="Q671">
        <v>165</v>
      </c>
      <c r="R671">
        <v>165</v>
      </c>
      <c r="S671" t="s">
        <v>34</v>
      </c>
      <c r="T671" t="s">
        <v>35</v>
      </c>
      <c r="U671" t="s">
        <v>44</v>
      </c>
      <c r="V671" s="4">
        <v>45995</v>
      </c>
      <c r="W671">
        <v>165</v>
      </c>
      <c r="X671">
        <v>0</v>
      </c>
      <c r="Y671">
        <v>165</v>
      </c>
      <c r="Z671">
        <v>0</v>
      </c>
    </row>
    <row r="672" spans="1:26" hidden="1" x14ac:dyDescent="0.25">
      <c r="A672" t="s">
        <v>1746</v>
      </c>
      <c r="B672" t="s">
        <v>25</v>
      </c>
      <c r="C672" s="4">
        <v>44005</v>
      </c>
      <c r="F672" s="4">
        <v>45214</v>
      </c>
      <c r="G672" t="s">
        <v>1326</v>
      </c>
      <c r="H672" t="s">
        <v>1327</v>
      </c>
      <c r="K672" t="s">
        <v>67</v>
      </c>
      <c r="L672" t="s">
        <v>1259</v>
      </c>
      <c r="M672" t="s">
        <v>68</v>
      </c>
      <c r="N672" t="s">
        <v>31</v>
      </c>
      <c r="O672" t="s">
        <v>32</v>
      </c>
      <c r="P672" t="s">
        <v>1747</v>
      </c>
      <c r="Q672">
        <v>50</v>
      </c>
      <c r="R672">
        <v>50</v>
      </c>
      <c r="S672" t="s">
        <v>34</v>
      </c>
      <c r="T672" t="s">
        <v>35</v>
      </c>
      <c r="U672" t="s">
        <v>44</v>
      </c>
      <c r="V672" s="4">
        <v>45731</v>
      </c>
      <c r="W672">
        <v>50</v>
      </c>
      <c r="X672">
        <v>50</v>
      </c>
      <c r="Y672">
        <v>50</v>
      </c>
      <c r="Z672">
        <v>50</v>
      </c>
    </row>
    <row r="673" spans="1:26" hidden="1" x14ac:dyDescent="0.25">
      <c r="A673" t="s">
        <v>1748</v>
      </c>
      <c r="B673" t="s">
        <v>25</v>
      </c>
      <c r="C673" s="4">
        <v>44005</v>
      </c>
      <c r="F673" s="4">
        <v>45169</v>
      </c>
      <c r="G673" t="s">
        <v>1749</v>
      </c>
      <c r="H673" t="s">
        <v>1750</v>
      </c>
      <c r="K673" t="s">
        <v>151</v>
      </c>
      <c r="L673" t="s">
        <v>1259</v>
      </c>
      <c r="M673" t="s">
        <v>68</v>
      </c>
      <c r="N673" t="s">
        <v>31</v>
      </c>
      <c r="O673" t="s">
        <v>122</v>
      </c>
      <c r="P673" t="s">
        <v>1751</v>
      </c>
      <c r="Q673">
        <v>150</v>
      </c>
      <c r="R673">
        <v>150</v>
      </c>
      <c r="S673" t="s">
        <v>34</v>
      </c>
      <c r="T673" t="s">
        <v>35</v>
      </c>
      <c r="U673" t="s">
        <v>70</v>
      </c>
      <c r="V673" s="4">
        <v>45995</v>
      </c>
      <c r="W673">
        <v>150</v>
      </c>
      <c r="X673">
        <v>0</v>
      </c>
      <c r="Y673">
        <v>150</v>
      </c>
      <c r="Z673">
        <v>0</v>
      </c>
    </row>
    <row r="674" spans="1:26" hidden="1" x14ac:dyDescent="0.25">
      <c r="A674" t="s">
        <v>1752</v>
      </c>
      <c r="B674" t="s">
        <v>25</v>
      </c>
      <c r="C674" s="4">
        <v>44005</v>
      </c>
      <c r="E674" s="4">
        <v>44944</v>
      </c>
      <c r="F674" s="4">
        <v>45169</v>
      </c>
      <c r="G674" t="s">
        <v>1753</v>
      </c>
      <c r="H674" t="s">
        <v>1673</v>
      </c>
      <c r="K674" t="s">
        <v>114</v>
      </c>
      <c r="L674" t="s">
        <v>1259</v>
      </c>
      <c r="M674" t="s">
        <v>68</v>
      </c>
      <c r="N674" t="s">
        <v>31</v>
      </c>
      <c r="O674" t="s">
        <v>32</v>
      </c>
      <c r="P674" t="s">
        <v>1754</v>
      </c>
      <c r="Q674">
        <v>150</v>
      </c>
      <c r="R674">
        <v>150</v>
      </c>
      <c r="S674" t="s">
        <v>34</v>
      </c>
      <c r="T674" t="s">
        <v>35</v>
      </c>
      <c r="U674" t="s">
        <v>44</v>
      </c>
      <c r="V674" s="4">
        <v>45977</v>
      </c>
      <c r="W674">
        <v>150</v>
      </c>
      <c r="X674">
        <v>150</v>
      </c>
      <c r="Y674">
        <v>150</v>
      </c>
      <c r="Z674">
        <v>150</v>
      </c>
    </row>
    <row r="675" spans="1:26" hidden="1" x14ac:dyDescent="0.25">
      <c r="A675" t="s">
        <v>1755</v>
      </c>
      <c r="B675" t="s">
        <v>25</v>
      </c>
      <c r="C675" s="4">
        <v>44005</v>
      </c>
      <c r="F675" s="4">
        <v>45306</v>
      </c>
      <c r="G675" t="s">
        <v>1108</v>
      </c>
      <c r="H675" t="s">
        <v>1756</v>
      </c>
      <c r="K675" t="s">
        <v>146</v>
      </c>
      <c r="L675" t="s">
        <v>1259</v>
      </c>
      <c r="M675" t="s">
        <v>68</v>
      </c>
      <c r="N675" t="s">
        <v>31</v>
      </c>
      <c r="O675" t="s">
        <v>32</v>
      </c>
      <c r="P675" t="s">
        <v>1757</v>
      </c>
      <c r="Q675">
        <v>200</v>
      </c>
      <c r="R675">
        <v>200</v>
      </c>
      <c r="S675" t="s">
        <v>34</v>
      </c>
      <c r="T675" t="s">
        <v>35</v>
      </c>
      <c r="U675" t="s">
        <v>44</v>
      </c>
      <c r="V675" s="4">
        <v>45717</v>
      </c>
      <c r="W675">
        <v>200</v>
      </c>
      <c r="X675">
        <v>100</v>
      </c>
      <c r="Y675">
        <v>200</v>
      </c>
      <c r="Z675">
        <v>100</v>
      </c>
    </row>
    <row r="676" spans="1:26" hidden="1" x14ac:dyDescent="0.25">
      <c r="A676" t="s">
        <v>1758</v>
      </c>
      <c r="B676" t="s">
        <v>38</v>
      </c>
      <c r="C676" s="4">
        <v>44007</v>
      </c>
      <c r="D676" s="4">
        <v>44186</v>
      </c>
      <c r="F676" s="4">
        <v>45140</v>
      </c>
      <c r="G676" t="s">
        <v>144</v>
      </c>
      <c r="H676" t="s">
        <v>1759</v>
      </c>
      <c r="K676" t="s">
        <v>146</v>
      </c>
      <c r="L676" t="s">
        <v>1259</v>
      </c>
      <c r="M676" t="s">
        <v>68</v>
      </c>
      <c r="N676" t="s">
        <v>31</v>
      </c>
      <c r="O676" t="s">
        <v>32</v>
      </c>
      <c r="P676" t="s">
        <v>1760</v>
      </c>
      <c r="Q676">
        <v>250</v>
      </c>
      <c r="R676">
        <v>250</v>
      </c>
      <c r="S676" t="s">
        <v>597</v>
      </c>
      <c r="T676" t="s">
        <v>598</v>
      </c>
      <c r="U676" t="s">
        <v>44</v>
      </c>
      <c r="W676">
        <v>0</v>
      </c>
      <c r="X676">
        <v>0</v>
      </c>
      <c r="Y676">
        <v>0</v>
      </c>
      <c r="Z676">
        <v>0</v>
      </c>
    </row>
    <row r="677" spans="1:26" hidden="1" x14ac:dyDescent="0.25">
      <c r="A677" t="s">
        <v>1761</v>
      </c>
      <c r="B677" t="s">
        <v>38</v>
      </c>
      <c r="C677" s="4">
        <v>44005</v>
      </c>
      <c r="D677" s="4">
        <v>44240</v>
      </c>
      <c r="F677" s="4">
        <v>45275</v>
      </c>
      <c r="G677" t="s">
        <v>132</v>
      </c>
      <c r="H677" t="s">
        <v>1762</v>
      </c>
      <c r="K677" t="s">
        <v>83</v>
      </c>
      <c r="L677" t="s">
        <v>1259</v>
      </c>
      <c r="M677" t="s">
        <v>84</v>
      </c>
      <c r="N677" t="s">
        <v>31</v>
      </c>
      <c r="O677" t="s">
        <v>32</v>
      </c>
      <c r="P677" t="s">
        <v>1763</v>
      </c>
      <c r="Q677">
        <v>250</v>
      </c>
      <c r="R677">
        <v>250</v>
      </c>
      <c r="S677" t="s">
        <v>56</v>
      </c>
      <c r="T677" t="s">
        <v>57</v>
      </c>
      <c r="U677" t="s">
        <v>44</v>
      </c>
      <c r="W677">
        <v>0</v>
      </c>
      <c r="X677">
        <v>0</v>
      </c>
      <c r="Y677">
        <v>0</v>
      </c>
      <c r="Z677">
        <v>0</v>
      </c>
    </row>
    <row r="678" spans="1:26" hidden="1" x14ac:dyDescent="0.25">
      <c r="A678" t="s">
        <v>1764</v>
      </c>
      <c r="B678" t="s">
        <v>38</v>
      </c>
      <c r="C678" s="4">
        <v>44006</v>
      </c>
      <c r="D678" s="4">
        <v>45538</v>
      </c>
      <c r="F678" s="4">
        <v>45036</v>
      </c>
      <c r="G678" t="s">
        <v>117</v>
      </c>
      <c r="H678" t="s">
        <v>1765</v>
      </c>
      <c r="K678" t="s">
        <v>83</v>
      </c>
      <c r="L678" t="s">
        <v>1259</v>
      </c>
      <c r="M678" t="s">
        <v>84</v>
      </c>
      <c r="N678" t="s">
        <v>31</v>
      </c>
      <c r="O678" t="s">
        <v>32</v>
      </c>
      <c r="P678" t="s">
        <v>1766</v>
      </c>
      <c r="Q678">
        <v>300</v>
      </c>
      <c r="R678">
        <v>300</v>
      </c>
      <c r="S678" t="s">
        <v>56</v>
      </c>
      <c r="T678" t="s">
        <v>57</v>
      </c>
      <c r="U678" t="s">
        <v>44</v>
      </c>
      <c r="W678">
        <v>300</v>
      </c>
      <c r="X678">
        <v>300</v>
      </c>
      <c r="Y678">
        <v>0</v>
      </c>
      <c r="Z678">
        <v>0</v>
      </c>
    </row>
    <row r="679" spans="1:26" hidden="1" x14ac:dyDescent="0.25">
      <c r="A679" t="s">
        <v>1767</v>
      </c>
      <c r="B679" t="s">
        <v>25</v>
      </c>
      <c r="C679" s="4">
        <v>44006</v>
      </c>
      <c r="F679" s="4">
        <v>45036</v>
      </c>
      <c r="G679" t="s">
        <v>117</v>
      </c>
      <c r="H679" t="s">
        <v>1768</v>
      </c>
      <c r="K679" t="s">
        <v>83</v>
      </c>
      <c r="L679" t="s">
        <v>1259</v>
      </c>
      <c r="M679" t="s">
        <v>84</v>
      </c>
      <c r="N679" t="s">
        <v>31</v>
      </c>
      <c r="O679" t="s">
        <v>32</v>
      </c>
      <c r="P679" t="s">
        <v>1769</v>
      </c>
      <c r="Q679">
        <v>180</v>
      </c>
      <c r="R679">
        <v>180</v>
      </c>
      <c r="S679" t="s">
        <v>34</v>
      </c>
      <c r="T679" t="s">
        <v>35</v>
      </c>
      <c r="U679" t="s">
        <v>44</v>
      </c>
      <c r="V679" s="4">
        <v>46051</v>
      </c>
      <c r="W679">
        <v>150</v>
      </c>
      <c r="X679">
        <v>150</v>
      </c>
      <c r="Y679">
        <v>150</v>
      </c>
      <c r="Z679">
        <v>150</v>
      </c>
    </row>
    <row r="680" spans="1:26" hidden="1" x14ac:dyDescent="0.25">
      <c r="A680" t="s">
        <v>1770</v>
      </c>
      <c r="B680" t="s">
        <v>38</v>
      </c>
      <c r="C680" s="4">
        <v>44657</v>
      </c>
      <c r="D680" s="4">
        <v>45538</v>
      </c>
      <c r="F680" s="4">
        <v>45139</v>
      </c>
      <c r="G680" t="s">
        <v>101</v>
      </c>
      <c r="H680" t="s">
        <v>1771</v>
      </c>
      <c r="K680" t="s">
        <v>98</v>
      </c>
      <c r="L680" t="s">
        <v>1259</v>
      </c>
      <c r="M680" t="s">
        <v>84</v>
      </c>
      <c r="N680" t="s">
        <v>31</v>
      </c>
      <c r="O680" t="s">
        <v>32</v>
      </c>
      <c r="P680" t="s">
        <v>1772</v>
      </c>
      <c r="Q680">
        <v>74.7</v>
      </c>
      <c r="R680">
        <v>74.7</v>
      </c>
      <c r="S680" t="s">
        <v>159</v>
      </c>
      <c r="T680" t="s">
        <v>159</v>
      </c>
      <c r="U680" t="s">
        <v>44</v>
      </c>
      <c r="W680">
        <v>74.7</v>
      </c>
      <c r="X680">
        <v>74.7</v>
      </c>
      <c r="Y680">
        <v>0</v>
      </c>
      <c r="Z680">
        <v>0</v>
      </c>
    </row>
    <row r="681" spans="1:26" hidden="1" x14ac:dyDescent="0.25">
      <c r="A681" t="s">
        <v>1773</v>
      </c>
      <c r="B681" t="s">
        <v>25</v>
      </c>
      <c r="C681" s="4">
        <v>44006</v>
      </c>
      <c r="F681" s="4">
        <v>45036</v>
      </c>
      <c r="G681" t="s">
        <v>117</v>
      </c>
      <c r="H681" t="s">
        <v>1542</v>
      </c>
      <c r="K681" t="s">
        <v>83</v>
      </c>
      <c r="L681" t="s">
        <v>1259</v>
      </c>
      <c r="M681" t="s">
        <v>84</v>
      </c>
      <c r="N681" t="s">
        <v>31</v>
      </c>
      <c r="O681" t="s">
        <v>32</v>
      </c>
      <c r="P681" t="s">
        <v>1774</v>
      </c>
      <c r="Q681">
        <v>125</v>
      </c>
      <c r="R681">
        <v>125</v>
      </c>
      <c r="S681" t="s">
        <v>34</v>
      </c>
      <c r="T681" t="s">
        <v>35</v>
      </c>
      <c r="U681" t="s">
        <v>44</v>
      </c>
      <c r="V681" s="4">
        <v>46132</v>
      </c>
      <c r="W681">
        <v>125</v>
      </c>
      <c r="X681">
        <v>125</v>
      </c>
      <c r="Y681">
        <v>125</v>
      </c>
      <c r="Z681">
        <v>125</v>
      </c>
    </row>
    <row r="682" spans="1:26" hidden="1" x14ac:dyDescent="0.25">
      <c r="A682" t="s">
        <v>1775</v>
      </c>
      <c r="B682" t="s">
        <v>38</v>
      </c>
      <c r="C682" s="4">
        <v>44006</v>
      </c>
      <c r="D682" s="4">
        <v>45538</v>
      </c>
      <c r="F682" s="4">
        <v>45036</v>
      </c>
      <c r="G682" t="s">
        <v>101</v>
      </c>
      <c r="H682" t="s">
        <v>1402</v>
      </c>
      <c r="K682" t="s">
        <v>98</v>
      </c>
      <c r="L682" t="s">
        <v>1259</v>
      </c>
      <c r="M682" t="s">
        <v>84</v>
      </c>
      <c r="N682" t="s">
        <v>31</v>
      </c>
      <c r="O682" t="s">
        <v>32</v>
      </c>
      <c r="P682" t="s">
        <v>1776</v>
      </c>
      <c r="Q682">
        <v>100</v>
      </c>
      <c r="R682">
        <v>100</v>
      </c>
      <c r="S682" t="s">
        <v>34</v>
      </c>
      <c r="T682" t="s">
        <v>35</v>
      </c>
      <c r="U682" t="s">
        <v>44</v>
      </c>
      <c r="W682">
        <v>100</v>
      </c>
      <c r="X682">
        <v>100</v>
      </c>
      <c r="Y682">
        <v>0</v>
      </c>
      <c r="Z682">
        <v>0</v>
      </c>
    </row>
    <row r="683" spans="1:26" hidden="1" x14ac:dyDescent="0.25">
      <c r="A683" t="s">
        <v>1777</v>
      </c>
      <c r="B683" t="s">
        <v>38</v>
      </c>
      <c r="C683" s="4">
        <v>44000</v>
      </c>
      <c r="D683" s="4">
        <v>45124</v>
      </c>
      <c r="F683" s="4">
        <v>45596</v>
      </c>
      <c r="G683" t="s">
        <v>1251</v>
      </c>
      <c r="H683" t="s">
        <v>1778</v>
      </c>
      <c r="K683" t="s">
        <v>109</v>
      </c>
      <c r="L683" t="s">
        <v>1259</v>
      </c>
      <c r="M683" t="s">
        <v>84</v>
      </c>
      <c r="N683" t="s">
        <v>31</v>
      </c>
      <c r="O683" t="s">
        <v>32</v>
      </c>
      <c r="P683" t="s">
        <v>1779</v>
      </c>
      <c r="Q683">
        <v>200</v>
      </c>
      <c r="R683">
        <v>200</v>
      </c>
      <c r="S683" t="s">
        <v>34</v>
      </c>
      <c r="T683" t="s">
        <v>35</v>
      </c>
      <c r="U683" t="s">
        <v>44</v>
      </c>
      <c r="W683">
        <v>0</v>
      </c>
      <c r="X683">
        <v>0</v>
      </c>
      <c r="Y683">
        <v>0</v>
      </c>
      <c r="Z683">
        <v>0</v>
      </c>
    </row>
    <row r="684" spans="1:26" hidden="1" x14ac:dyDescent="0.25">
      <c r="A684" t="s">
        <v>1780</v>
      </c>
      <c r="B684" t="s">
        <v>38</v>
      </c>
      <c r="C684" s="4">
        <v>44007</v>
      </c>
      <c r="D684" s="4">
        <v>44183</v>
      </c>
      <c r="F684" s="4">
        <v>45566</v>
      </c>
      <c r="G684" t="s">
        <v>101</v>
      </c>
      <c r="H684" t="s">
        <v>1781</v>
      </c>
      <c r="K684" t="s">
        <v>98</v>
      </c>
      <c r="L684" t="s">
        <v>1259</v>
      </c>
      <c r="M684" t="s">
        <v>84</v>
      </c>
      <c r="N684" t="s">
        <v>31</v>
      </c>
      <c r="O684" t="s">
        <v>32</v>
      </c>
      <c r="P684" t="s">
        <v>1782</v>
      </c>
      <c r="Q684">
        <v>300</v>
      </c>
      <c r="R684">
        <v>300</v>
      </c>
      <c r="S684" t="s">
        <v>34</v>
      </c>
      <c r="T684" t="s">
        <v>35</v>
      </c>
      <c r="U684" t="s">
        <v>44</v>
      </c>
      <c r="W684">
        <v>0</v>
      </c>
      <c r="X684">
        <v>0</v>
      </c>
      <c r="Y684">
        <v>0</v>
      </c>
      <c r="Z684">
        <v>0</v>
      </c>
    </row>
    <row r="685" spans="1:26" hidden="1" x14ac:dyDescent="0.25">
      <c r="A685" t="s">
        <v>1783</v>
      </c>
      <c r="B685" t="s">
        <v>38</v>
      </c>
      <c r="C685" s="4">
        <v>44007</v>
      </c>
      <c r="D685" s="4">
        <v>44179</v>
      </c>
      <c r="F685" s="4">
        <v>45139</v>
      </c>
      <c r="G685" t="s">
        <v>254</v>
      </c>
      <c r="H685" t="s">
        <v>1784</v>
      </c>
      <c r="K685" t="s">
        <v>98</v>
      </c>
      <c r="L685" t="s">
        <v>1259</v>
      </c>
      <c r="M685" t="s">
        <v>84</v>
      </c>
      <c r="N685" t="s">
        <v>31</v>
      </c>
      <c r="O685" t="s">
        <v>32</v>
      </c>
      <c r="P685" t="s">
        <v>1785</v>
      </c>
      <c r="Q685">
        <v>75</v>
      </c>
      <c r="R685">
        <v>75</v>
      </c>
      <c r="S685" t="s">
        <v>159</v>
      </c>
      <c r="T685" t="s">
        <v>159</v>
      </c>
      <c r="U685" t="s">
        <v>44</v>
      </c>
      <c r="W685">
        <v>0</v>
      </c>
      <c r="X685">
        <v>0</v>
      </c>
      <c r="Y685">
        <v>0</v>
      </c>
      <c r="Z685">
        <v>0</v>
      </c>
    </row>
    <row r="686" spans="1:26" hidden="1" x14ac:dyDescent="0.25">
      <c r="A686" t="s">
        <v>1786</v>
      </c>
      <c r="B686" t="s">
        <v>25</v>
      </c>
      <c r="C686" s="4">
        <v>45142</v>
      </c>
      <c r="F686" s="4">
        <v>45036</v>
      </c>
      <c r="G686" t="s">
        <v>1690</v>
      </c>
      <c r="H686" t="s">
        <v>1787</v>
      </c>
      <c r="K686" t="s">
        <v>98</v>
      </c>
      <c r="L686" t="s">
        <v>1259</v>
      </c>
      <c r="M686" t="s">
        <v>84</v>
      </c>
      <c r="N686" t="s">
        <v>31</v>
      </c>
      <c r="O686" t="s">
        <v>32</v>
      </c>
      <c r="P686" t="s">
        <v>1788</v>
      </c>
      <c r="Q686">
        <v>200</v>
      </c>
      <c r="R686">
        <v>200</v>
      </c>
      <c r="S686" t="s">
        <v>34</v>
      </c>
      <c r="T686" t="s">
        <v>35</v>
      </c>
      <c r="U686" t="s">
        <v>44</v>
      </c>
      <c r="V686" s="4">
        <v>47225</v>
      </c>
      <c r="W686">
        <v>200</v>
      </c>
      <c r="X686">
        <v>200</v>
      </c>
      <c r="Y686">
        <v>200</v>
      </c>
      <c r="Z686">
        <v>200</v>
      </c>
    </row>
    <row r="687" spans="1:26" hidden="1" x14ac:dyDescent="0.25">
      <c r="A687" t="s">
        <v>1789</v>
      </c>
      <c r="B687" t="s">
        <v>38</v>
      </c>
      <c r="C687" s="4">
        <v>44007</v>
      </c>
      <c r="D687" s="4">
        <v>44098</v>
      </c>
      <c r="F687" s="4">
        <v>45199</v>
      </c>
      <c r="G687" t="s">
        <v>144</v>
      </c>
      <c r="H687" t="s">
        <v>1614</v>
      </c>
      <c r="K687" t="s">
        <v>146</v>
      </c>
      <c r="L687" t="s">
        <v>1259</v>
      </c>
      <c r="M687" t="s">
        <v>68</v>
      </c>
      <c r="N687" t="s">
        <v>31</v>
      </c>
      <c r="O687" t="s">
        <v>32</v>
      </c>
      <c r="P687" t="s">
        <v>1790</v>
      </c>
      <c r="Q687">
        <v>250</v>
      </c>
      <c r="R687">
        <v>250</v>
      </c>
      <c r="S687" t="s">
        <v>597</v>
      </c>
      <c r="T687" t="s">
        <v>598</v>
      </c>
      <c r="U687" t="s">
        <v>44</v>
      </c>
      <c r="W687">
        <v>0</v>
      </c>
      <c r="X687">
        <v>0</v>
      </c>
      <c r="Y687">
        <v>0</v>
      </c>
      <c r="Z687">
        <v>0</v>
      </c>
    </row>
    <row r="688" spans="1:26" hidden="1" x14ac:dyDescent="0.25">
      <c r="A688" t="s">
        <v>1791</v>
      </c>
      <c r="B688" t="s">
        <v>25</v>
      </c>
      <c r="C688" s="4">
        <v>44749</v>
      </c>
      <c r="F688" s="4">
        <v>45173</v>
      </c>
      <c r="G688" t="s">
        <v>1108</v>
      </c>
      <c r="H688" t="s">
        <v>1792</v>
      </c>
      <c r="K688" t="s">
        <v>146</v>
      </c>
      <c r="L688" t="s">
        <v>1259</v>
      </c>
      <c r="M688" t="s">
        <v>68</v>
      </c>
      <c r="N688" t="s">
        <v>31</v>
      </c>
      <c r="O688" t="s">
        <v>32</v>
      </c>
      <c r="P688" t="s">
        <v>1793</v>
      </c>
      <c r="Q688">
        <v>100</v>
      </c>
      <c r="R688">
        <v>100</v>
      </c>
      <c r="S688" t="s">
        <v>597</v>
      </c>
      <c r="T688" t="s">
        <v>598</v>
      </c>
      <c r="U688" t="s">
        <v>44</v>
      </c>
      <c r="V688" s="4">
        <v>46266</v>
      </c>
      <c r="W688">
        <v>100</v>
      </c>
      <c r="X688">
        <v>100</v>
      </c>
      <c r="Y688">
        <v>100</v>
      </c>
      <c r="Z688">
        <v>70</v>
      </c>
    </row>
    <row r="689" spans="1:26" hidden="1" x14ac:dyDescent="0.25">
      <c r="A689" t="s">
        <v>1794</v>
      </c>
      <c r="B689" t="s">
        <v>38</v>
      </c>
      <c r="C689" s="4">
        <v>44533</v>
      </c>
      <c r="D689" s="4">
        <v>45538</v>
      </c>
      <c r="F689" s="4">
        <v>46266</v>
      </c>
      <c r="G689" t="s">
        <v>138</v>
      </c>
      <c r="H689" t="s">
        <v>1795</v>
      </c>
      <c r="K689" t="s">
        <v>98</v>
      </c>
      <c r="L689" t="s">
        <v>1259</v>
      </c>
      <c r="M689" t="s">
        <v>84</v>
      </c>
      <c r="N689" t="s">
        <v>31</v>
      </c>
      <c r="O689" t="s">
        <v>32</v>
      </c>
      <c r="P689" t="s">
        <v>1796</v>
      </c>
      <c r="Q689">
        <v>160</v>
      </c>
      <c r="R689">
        <v>160</v>
      </c>
      <c r="S689" t="s">
        <v>34</v>
      </c>
      <c r="T689" t="s">
        <v>35</v>
      </c>
      <c r="U689" t="s">
        <v>44</v>
      </c>
      <c r="W689">
        <v>160</v>
      </c>
      <c r="X689">
        <v>160</v>
      </c>
      <c r="Y689">
        <v>0</v>
      </c>
      <c r="Z689">
        <v>0</v>
      </c>
    </row>
    <row r="690" spans="1:26" hidden="1" x14ac:dyDescent="0.25">
      <c r="A690" t="s">
        <v>1797</v>
      </c>
      <c r="B690" t="s">
        <v>38</v>
      </c>
      <c r="C690" s="4">
        <v>44005</v>
      </c>
      <c r="D690" s="4">
        <v>44106</v>
      </c>
      <c r="F690" s="4">
        <v>45184</v>
      </c>
      <c r="G690" t="s">
        <v>117</v>
      </c>
      <c r="H690" t="s">
        <v>1708</v>
      </c>
      <c r="K690" t="s">
        <v>83</v>
      </c>
      <c r="L690" t="s">
        <v>1259</v>
      </c>
      <c r="M690" t="s">
        <v>84</v>
      </c>
      <c r="N690" t="s">
        <v>31</v>
      </c>
      <c r="O690" t="s">
        <v>32</v>
      </c>
      <c r="P690" t="s">
        <v>1798</v>
      </c>
      <c r="Q690">
        <v>200</v>
      </c>
      <c r="R690">
        <v>200</v>
      </c>
      <c r="S690" t="s">
        <v>34</v>
      </c>
      <c r="T690" t="s">
        <v>35</v>
      </c>
      <c r="U690" t="s">
        <v>44</v>
      </c>
      <c r="W690">
        <v>0</v>
      </c>
      <c r="X690">
        <v>0</v>
      </c>
      <c r="Y690">
        <v>0</v>
      </c>
      <c r="Z690">
        <v>0</v>
      </c>
    </row>
    <row r="691" spans="1:26" hidden="1" x14ac:dyDescent="0.25">
      <c r="A691" t="s">
        <v>1799</v>
      </c>
      <c r="B691" t="s">
        <v>38</v>
      </c>
      <c r="C691" s="4">
        <v>44006</v>
      </c>
      <c r="D691" s="4">
        <v>44183</v>
      </c>
      <c r="F691" s="4">
        <v>45184</v>
      </c>
      <c r="G691" t="s">
        <v>101</v>
      </c>
      <c r="H691" t="s">
        <v>1800</v>
      </c>
      <c r="K691" t="s">
        <v>98</v>
      </c>
      <c r="L691" t="s">
        <v>1259</v>
      </c>
      <c r="M691" t="s">
        <v>84</v>
      </c>
      <c r="N691" t="s">
        <v>31</v>
      </c>
      <c r="O691" t="s">
        <v>32</v>
      </c>
      <c r="P691" t="s">
        <v>1801</v>
      </c>
      <c r="Q691">
        <v>150</v>
      </c>
      <c r="R691">
        <v>150</v>
      </c>
      <c r="S691" t="s">
        <v>34</v>
      </c>
      <c r="T691" t="s">
        <v>35</v>
      </c>
      <c r="U691" t="s">
        <v>44</v>
      </c>
      <c r="W691">
        <v>0</v>
      </c>
      <c r="X691">
        <v>0</v>
      </c>
      <c r="Y691">
        <v>0</v>
      </c>
      <c r="Z691">
        <v>0</v>
      </c>
    </row>
    <row r="692" spans="1:26" hidden="1" x14ac:dyDescent="0.25">
      <c r="A692" t="s">
        <v>1802</v>
      </c>
      <c r="B692" t="s">
        <v>38</v>
      </c>
      <c r="C692" s="4">
        <v>44006</v>
      </c>
      <c r="D692" s="4">
        <v>44270</v>
      </c>
      <c r="F692" s="4">
        <v>45184</v>
      </c>
      <c r="G692" t="s">
        <v>101</v>
      </c>
      <c r="H692" t="s">
        <v>1800</v>
      </c>
      <c r="K692" t="s">
        <v>98</v>
      </c>
      <c r="L692" t="s">
        <v>1259</v>
      </c>
      <c r="M692" t="s">
        <v>84</v>
      </c>
      <c r="N692" t="s">
        <v>31</v>
      </c>
      <c r="O692" t="s">
        <v>32</v>
      </c>
      <c r="P692" t="s">
        <v>1803</v>
      </c>
      <c r="Q692">
        <v>125</v>
      </c>
      <c r="R692">
        <v>125</v>
      </c>
      <c r="S692" t="s">
        <v>34</v>
      </c>
      <c r="T692" t="s">
        <v>35</v>
      </c>
      <c r="U692" t="s">
        <v>44</v>
      </c>
      <c r="W692">
        <v>0</v>
      </c>
      <c r="X692">
        <v>0</v>
      </c>
      <c r="Y692">
        <v>0</v>
      </c>
      <c r="Z692">
        <v>0</v>
      </c>
    </row>
    <row r="693" spans="1:26" hidden="1" x14ac:dyDescent="0.25">
      <c r="A693" t="s">
        <v>1804</v>
      </c>
      <c r="B693" t="s">
        <v>25</v>
      </c>
      <c r="C693" s="4">
        <v>44006</v>
      </c>
      <c r="F693" s="4">
        <v>45078</v>
      </c>
      <c r="G693" t="s">
        <v>691</v>
      </c>
      <c r="H693" t="s">
        <v>1805</v>
      </c>
      <c r="K693" t="s">
        <v>98</v>
      </c>
      <c r="L693" t="s">
        <v>1259</v>
      </c>
      <c r="M693" t="s">
        <v>84</v>
      </c>
      <c r="N693" t="s">
        <v>31</v>
      </c>
      <c r="O693" t="s">
        <v>32</v>
      </c>
      <c r="P693" t="s">
        <v>1806</v>
      </c>
      <c r="Q693">
        <v>200</v>
      </c>
      <c r="R693">
        <v>200</v>
      </c>
      <c r="S693" t="s">
        <v>34</v>
      </c>
      <c r="T693" t="s">
        <v>35</v>
      </c>
      <c r="U693" t="s">
        <v>44</v>
      </c>
      <c r="V693" s="4">
        <v>46174</v>
      </c>
      <c r="W693">
        <v>200</v>
      </c>
      <c r="X693">
        <v>200</v>
      </c>
      <c r="Y693">
        <v>200</v>
      </c>
      <c r="Z693">
        <v>0</v>
      </c>
    </row>
    <row r="694" spans="1:26" hidden="1" x14ac:dyDescent="0.25">
      <c r="A694" t="s">
        <v>1807</v>
      </c>
      <c r="B694" t="s">
        <v>38</v>
      </c>
      <c r="C694" s="4">
        <v>44006</v>
      </c>
      <c r="D694" s="4">
        <v>44168</v>
      </c>
      <c r="F694" s="4">
        <v>45078</v>
      </c>
      <c r="G694" t="s">
        <v>101</v>
      </c>
      <c r="H694" t="s">
        <v>1402</v>
      </c>
      <c r="K694" t="s">
        <v>98</v>
      </c>
      <c r="L694" t="s">
        <v>1259</v>
      </c>
      <c r="M694" t="s">
        <v>84</v>
      </c>
      <c r="N694" t="s">
        <v>31</v>
      </c>
      <c r="O694" t="s">
        <v>32</v>
      </c>
      <c r="P694" t="s">
        <v>1808</v>
      </c>
      <c r="Q694">
        <v>65</v>
      </c>
      <c r="R694">
        <v>65</v>
      </c>
      <c r="S694" t="s">
        <v>159</v>
      </c>
      <c r="T694" t="s">
        <v>159</v>
      </c>
      <c r="U694" t="s">
        <v>44</v>
      </c>
      <c r="W694">
        <v>0</v>
      </c>
      <c r="X694">
        <v>0</v>
      </c>
      <c r="Y694">
        <v>0</v>
      </c>
      <c r="Z694">
        <v>0</v>
      </c>
    </row>
    <row r="695" spans="1:26" hidden="1" x14ac:dyDescent="0.25">
      <c r="A695" t="s">
        <v>1809</v>
      </c>
      <c r="B695" t="s">
        <v>38</v>
      </c>
      <c r="C695" s="4">
        <v>44006</v>
      </c>
      <c r="D695" s="4">
        <v>44154</v>
      </c>
      <c r="F695" s="4">
        <v>45170</v>
      </c>
      <c r="G695" t="s">
        <v>39</v>
      </c>
      <c r="H695" t="s">
        <v>1694</v>
      </c>
      <c r="K695" t="s">
        <v>41</v>
      </c>
      <c r="L695" t="s">
        <v>1259</v>
      </c>
      <c r="M695" t="s">
        <v>42</v>
      </c>
      <c r="N695" t="s">
        <v>31</v>
      </c>
      <c r="O695" t="s">
        <v>32</v>
      </c>
      <c r="P695" t="s">
        <v>1695</v>
      </c>
      <c r="Q695">
        <v>50</v>
      </c>
      <c r="R695">
        <v>50</v>
      </c>
      <c r="S695" t="s">
        <v>159</v>
      </c>
      <c r="T695" t="s">
        <v>159</v>
      </c>
      <c r="U695" t="s">
        <v>44</v>
      </c>
      <c r="W695">
        <v>0</v>
      </c>
      <c r="X695">
        <v>0</v>
      </c>
      <c r="Y695">
        <v>0</v>
      </c>
      <c r="Z695">
        <v>0</v>
      </c>
    </row>
    <row r="696" spans="1:26" hidden="1" x14ac:dyDescent="0.25">
      <c r="A696" t="s">
        <v>1810</v>
      </c>
      <c r="B696" t="s">
        <v>38</v>
      </c>
      <c r="C696" s="4">
        <v>44005</v>
      </c>
      <c r="D696" s="4">
        <v>44183</v>
      </c>
      <c r="F696" s="4">
        <v>45444</v>
      </c>
      <c r="G696" t="s">
        <v>101</v>
      </c>
      <c r="H696" t="s">
        <v>1470</v>
      </c>
      <c r="K696" t="s">
        <v>98</v>
      </c>
      <c r="L696" t="s">
        <v>1259</v>
      </c>
      <c r="M696" t="s">
        <v>84</v>
      </c>
      <c r="N696" t="s">
        <v>31</v>
      </c>
      <c r="O696" t="s">
        <v>32</v>
      </c>
      <c r="P696" t="s">
        <v>1811</v>
      </c>
      <c r="Q696">
        <v>100</v>
      </c>
      <c r="R696">
        <v>100</v>
      </c>
      <c r="S696" t="s">
        <v>34</v>
      </c>
      <c r="T696" t="s">
        <v>35</v>
      </c>
      <c r="U696" t="s">
        <v>44</v>
      </c>
      <c r="W696">
        <v>0</v>
      </c>
      <c r="X696">
        <v>0</v>
      </c>
      <c r="Y696">
        <v>0</v>
      </c>
      <c r="Z696">
        <v>0</v>
      </c>
    </row>
    <row r="697" spans="1:26" hidden="1" x14ac:dyDescent="0.25">
      <c r="A697" t="s">
        <v>1812</v>
      </c>
      <c r="B697" t="s">
        <v>38</v>
      </c>
      <c r="C697" s="4">
        <v>45272</v>
      </c>
      <c r="D697" s="4">
        <v>45538</v>
      </c>
      <c r="F697" s="4">
        <v>45170</v>
      </c>
      <c r="G697" t="s">
        <v>117</v>
      </c>
      <c r="H697" t="s">
        <v>1813</v>
      </c>
      <c r="K697" t="s">
        <v>83</v>
      </c>
      <c r="L697" t="s">
        <v>1259</v>
      </c>
      <c r="M697" t="s">
        <v>84</v>
      </c>
      <c r="N697" t="s">
        <v>31</v>
      </c>
      <c r="O697" t="s">
        <v>32</v>
      </c>
      <c r="P697" t="s">
        <v>1814</v>
      </c>
      <c r="Q697">
        <v>50</v>
      </c>
      <c r="R697">
        <v>50</v>
      </c>
      <c r="S697" t="s">
        <v>159</v>
      </c>
      <c r="T697" t="s">
        <v>159</v>
      </c>
      <c r="U697" t="s">
        <v>44</v>
      </c>
      <c r="W697">
        <v>50</v>
      </c>
      <c r="X697">
        <v>50</v>
      </c>
      <c r="Y697">
        <v>0</v>
      </c>
      <c r="Z697">
        <v>0</v>
      </c>
    </row>
    <row r="698" spans="1:26" hidden="1" x14ac:dyDescent="0.25">
      <c r="A698" t="s">
        <v>1815</v>
      </c>
      <c r="B698" t="s">
        <v>25</v>
      </c>
      <c r="C698" s="4">
        <v>43993</v>
      </c>
      <c r="F698" s="4">
        <v>45200</v>
      </c>
      <c r="G698" t="s">
        <v>1617</v>
      </c>
      <c r="H698" t="s">
        <v>1578</v>
      </c>
      <c r="K698" t="s">
        <v>683</v>
      </c>
      <c r="L698" t="s">
        <v>1259</v>
      </c>
      <c r="M698" t="s">
        <v>84</v>
      </c>
      <c r="N698" t="s">
        <v>31</v>
      </c>
      <c r="O698" t="s">
        <v>32</v>
      </c>
      <c r="P698" t="s">
        <v>1816</v>
      </c>
      <c r="Q698">
        <v>150</v>
      </c>
      <c r="R698">
        <v>150</v>
      </c>
      <c r="S698" t="s">
        <v>34</v>
      </c>
      <c r="T698" t="s">
        <v>35</v>
      </c>
      <c r="U698" t="s">
        <v>44</v>
      </c>
      <c r="V698" s="4">
        <v>46185</v>
      </c>
      <c r="W698">
        <v>150</v>
      </c>
      <c r="X698">
        <v>150</v>
      </c>
      <c r="Y698">
        <v>150</v>
      </c>
      <c r="Z698">
        <v>150</v>
      </c>
    </row>
    <row r="699" spans="1:26" hidden="1" x14ac:dyDescent="0.25">
      <c r="A699" t="s">
        <v>1817</v>
      </c>
      <c r="B699" t="s">
        <v>38</v>
      </c>
      <c r="C699" s="4">
        <v>44000</v>
      </c>
      <c r="D699" s="4">
        <v>45538</v>
      </c>
      <c r="F699" s="4">
        <v>45017</v>
      </c>
      <c r="G699" t="s">
        <v>101</v>
      </c>
      <c r="H699" t="s">
        <v>1470</v>
      </c>
      <c r="K699" t="s">
        <v>98</v>
      </c>
      <c r="L699" t="s">
        <v>1259</v>
      </c>
      <c r="M699" t="s">
        <v>84</v>
      </c>
      <c r="N699" t="s">
        <v>31</v>
      </c>
      <c r="O699" t="s">
        <v>32</v>
      </c>
      <c r="P699" t="s">
        <v>1818</v>
      </c>
      <c r="Q699">
        <v>200</v>
      </c>
      <c r="R699">
        <v>200</v>
      </c>
      <c r="S699" t="s">
        <v>34</v>
      </c>
      <c r="T699" t="s">
        <v>35</v>
      </c>
      <c r="U699" t="s">
        <v>44</v>
      </c>
      <c r="W699">
        <v>200</v>
      </c>
      <c r="X699">
        <v>200</v>
      </c>
      <c r="Y699">
        <v>0</v>
      </c>
      <c r="Z699">
        <v>0</v>
      </c>
    </row>
    <row r="700" spans="1:26" hidden="1" x14ac:dyDescent="0.25">
      <c r="A700" t="s">
        <v>1819</v>
      </c>
      <c r="B700" t="s">
        <v>38</v>
      </c>
      <c r="C700" s="4">
        <v>44007</v>
      </c>
      <c r="D700" s="4">
        <v>44186</v>
      </c>
      <c r="F700" s="4">
        <v>45140</v>
      </c>
      <c r="G700" t="s">
        <v>144</v>
      </c>
      <c r="H700" t="s">
        <v>1759</v>
      </c>
      <c r="K700" t="s">
        <v>146</v>
      </c>
      <c r="L700" t="s">
        <v>1259</v>
      </c>
      <c r="M700" t="s">
        <v>68</v>
      </c>
      <c r="N700" t="s">
        <v>31</v>
      </c>
      <c r="O700" t="s">
        <v>32</v>
      </c>
      <c r="P700" t="s">
        <v>1760</v>
      </c>
      <c r="Q700">
        <v>150</v>
      </c>
      <c r="R700">
        <v>150</v>
      </c>
      <c r="S700" t="s">
        <v>597</v>
      </c>
      <c r="T700" t="s">
        <v>598</v>
      </c>
      <c r="U700" t="s">
        <v>44</v>
      </c>
      <c r="W700">
        <v>0</v>
      </c>
      <c r="X700">
        <v>0</v>
      </c>
      <c r="Y700">
        <v>0</v>
      </c>
      <c r="Z700">
        <v>0</v>
      </c>
    </row>
    <row r="701" spans="1:26" hidden="1" x14ac:dyDescent="0.25">
      <c r="A701" t="s">
        <v>1820</v>
      </c>
      <c r="B701" t="s">
        <v>38</v>
      </c>
      <c r="C701" s="4">
        <v>44007</v>
      </c>
      <c r="D701" s="4">
        <v>45124</v>
      </c>
      <c r="F701" s="4">
        <v>45566</v>
      </c>
      <c r="G701" t="s">
        <v>138</v>
      </c>
      <c r="H701" t="s">
        <v>1821</v>
      </c>
      <c r="K701" t="s">
        <v>98</v>
      </c>
      <c r="L701" t="s">
        <v>1259</v>
      </c>
      <c r="M701" t="s">
        <v>84</v>
      </c>
      <c r="N701" t="s">
        <v>31</v>
      </c>
      <c r="O701" t="s">
        <v>32</v>
      </c>
      <c r="P701" t="s">
        <v>1822</v>
      </c>
      <c r="Q701">
        <v>43</v>
      </c>
      <c r="R701">
        <v>43</v>
      </c>
      <c r="S701" t="s">
        <v>34</v>
      </c>
      <c r="T701" t="s">
        <v>35</v>
      </c>
      <c r="U701" t="s">
        <v>44</v>
      </c>
      <c r="W701">
        <v>0</v>
      </c>
      <c r="X701">
        <v>0</v>
      </c>
      <c r="Y701">
        <v>0</v>
      </c>
      <c r="Z701">
        <v>0</v>
      </c>
    </row>
    <row r="702" spans="1:26" hidden="1" x14ac:dyDescent="0.25">
      <c r="A702" t="s">
        <v>1823</v>
      </c>
      <c r="B702" t="s">
        <v>38</v>
      </c>
      <c r="C702" s="4">
        <v>44007</v>
      </c>
      <c r="D702" s="4">
        <v>44126</v>
      </c>
      <c r="F702" s="4">
        <v>45046</v>
      </c>
      <c r="G702" t="s">
        <v>101</v>
      </c>
      <c r="H702" t="s">
        <v>1824</v>
      </c>
      <c r="K702" t="s">
        <v>98</v>
      </c>
      <c r="L702" t="s">
        <v>1259</v>
      </c>
      <c r="M702" t="s">
        <v>84</v>
      </c>
      <c r="N702" t="s">
        <v>31</v>
      </c>
      <c r="O702" t="s">
        <v>32</v>
      </c>
      <c r="P702" t="s">
        <v>1825</v>
      </c>
      <c r="Q702">
        <v>288</v>
      </c>
      <c r="R702">
        <v>288</v>
      </c>
      <c r="S702" t="s">
        <v>34</v>
      </c>
      <c r="T702" t="s">
        <v>35</v>
      </c>
      <c r="U702" t="s">
        <v>44</v>
      </c>
      <c r="W702">
        <v>0</v>
      </c>
      <c r="X702">
        <v>0</v>
      </c>
      <c r="Y702">
        <v>0</v>
      </c>
      <c r="Z702">
        <v>0</v>
      </c>
    </row>
    <row r="703" spans="1:26" hidden="1" x14ac:dyDescent="0.25">
      <c r="A703" t="s">
        <v>1826</v>
      </c>
      <c r="B703" t="s">
        <v>25</v>
      </c>
      <c r="C703" s="4">
        <v>44533</v>
      </c>
      <c r="F703" s="4">
        <v>45184</v>
      </c>
      <c r="G703" t="s">
        <v>117</v>
      </c>
      <c r="H703" t="s">
        <v>1827</v>
      </c>
      <c r="K703" t="s">
        <v>83</v>
      </c>
      <c r="L703" t="s">
        <v>1259</v>
      </c>
      <c r="M703" t="s">
        <v>84</v>
      </c>
      <c r="N703" t="s">
        <v>31</v>
      </c>
      <c r="O703" t="s">
        <v>32</v>
      </c>
      <c r="P703" t="s">
        <v>1828</v>
      </c>
      <c r="Q703">
        <v>200</v>
      </c>
      <c r="R703">
        <v>200</v>
      </c>
      <c r="S703" t="s">
        <v>56</v>
      </c>
      <c r="T703" t="s">
        <v>57</v>
      </c>
      <c r="U703" t="s">
        <v>44</v>
      </c>
      <c r="V703" s="4">
        <v>46280</v>
      </c>
      <c r="W703">
        <v>200</v>
      </c>
      <c r="X703">
        <v>200</v>
      </c>
      <c r="Y703">
        <v>200</v>
      </c>
      <c r="Z703">
        <v>191</v>
      </c>
    </row>
    <row r="704" spans="1:26" hidden="1" x14ac:dyDescent="0.25">
      <c r="A704" t="s">
        <v>1829</v>
      </c>
      <c r="B704" t="s">
        <v>38</v>
      </c>
      <c r="C704" s="4">
        <v>44006</v>
      </c>
      <c r="D704" s="4">
        <v>44179</v>
      </c>
      <c r="F704" s="4">
        <v>45036</v>
      </c>
      <c r="G704" t="s">
        <v>132</v>
      </c>
      <c r="H704" t="s">
        <v>1821</v>
      </c>
      <c r="K704" t="s">
        <v>83</v>
      </c>
      <c r="L704" t="s">
        <v>1259</v>
      </c>
      <c r="M704" t="s">
        <v>84</v>
      </c>
      <c r="N704" t="s">
        <v>31</v>
      </c>
      <c r="O704" t="s">
        <v>32</v>
      </c>
      <c r="P704" t="s">
        <v>1830</v>
      </c>
      <c r="Q704">
        <v>300</v>
      </c>
      <c r="R704">
        <v>300</v>
      </c>
      <c r="S704" t="s">
        <v>56</v>
      </c>
      <c r="T704" t="s">
        <v>57</v>
      </c>
      <c r="U704" t="s">
        <v>44</v>
      </c>
      <c r="W704">
        <v>0</v>
      </c>
      <c r="X704">
        <v>0</v>
      </c>
      <c r="Y704">
        <v>0</v>
      </c>
      <c r="Z704">
        <v>0</v>
      </c>
    </row>
    <row r="705" spans="1:26" hidden="1" x14ac:dyDescent="0.25">
      <c r="A705" t="s">
        <v>1831</v>
      </c>
      <c r="B705" t="s">
        <v>38</v>
      </c>
      <c r="C705" s="4">
        <v>44603</v>
      </c>
      <c r="D705" s="4">
        <v>45124</v>
      </c>
      <c r="F705" s="4">
        <v>45170</v>
      </c>
      <c r="G705" t="s">
        <v>681</v>
      </c>
      <c r="H705" t="s">
        <v>1618</v>
      </c>
      <c r="K705" t="s">
        <v>683</v>
      </c>
      <c r="L705" t="s">
        <v>1259</v>
      </c>
      <c r="M705" t="s">
        <v>84</v>
      </c>
      <c r="N705" t="s">
        <v>31</v>
      </c>
      <c r="O705" t="s">
        <v>32</v>
      </c>
      <c r="P705" t="s">
        <v>1832</v>
      </c>
      <c r="Q705">
        <v>74</v>
      </c>
      <c r="R705">
        <v>74</v>
      </c>
      <c r="S705" t="s">
        <v>34</v>
      </c>
      <c r="T705" t="s">
        <v>35</v>
      </c>
      <c r="U705" t="s">
        <v>44</v>
      </c>
      <c r="W705">
        <v>0</v>
      </c>
      <c r="X705">
        <v>0</v>
      </c>
      <c r="Y705">
        <v>0</v>
      </c>
      <c r="Z705">
        <v>0</v>
      </c>
    </row>
    <row r="706" spans="1:26" hidden="1" x14ac:dyDescent="0.25">
      <c r="A706" t="s">
        <v>1833</v>
      </c>
      <c r="B706" t="s">
        <v>38</v>
      </c>
      <c r="C706" s="4">
        <v>44007</v>
      </c>
      <c r="D706" s="4">
        <v>45258</v>
      </c>
      <c r="F706" s="4">
        <v>45170</v>
      </c>
      <c r="G706" t="s">
        <v>101</v>
      </c>
      <c r="H706" t="s">
        <v>1821</v>
      </c>
      <c r="K706" t="s">
        <v>98</v>
      </c>
      <c r="L706" t="s">
        <v>1259</v>
      </c>
      <c r="M706" t="s">
        <v>84</v>
      </c>
      <c r="N706" t="s">
        <v>31</v>
      </c>
      <c r="O706" t="s">
        <v>32</v>
      </c>
      <c r="P706" t="s">
        <v>1834</v>
      </c>
      <c r="Q706">
        <v>50</v>
      </c>
      <c r="R706">
        <v>50</v>
      </c>
      <c r="S706" t="s">
        <v>159</v>
      </c>
      <c r="T706" t="s">
        <v>159</v>
      </c>
      <c r="U706" t="s">
        <v>44</v>
      </c>
      <c r="W706">
        <v>0</v>
      </c>
      <c r="X706">
        <v>0</v>
      </c>
      <c r="Y706">
        <v>50</v>
      </c>
      <c r="Z706">
        <v>50</v>
      </c>
    </row>
    <row r="707" spans="1:26" hidden="1" x14ac:dyDescent="0.25">
      <c r="A707" t="s">
        <v>1835</v>
      </c>
      <c r="B707" t="s">
        <v>38</v>
      </c>
      <c r="C707" s="4">
        <v>44007</v>
      </c>
      <c r="D707" s="4">
        <v>44250</v>
      </c>
      <c r="F707" s="4">
        <v>45342</v>
      </c>
      <c r="G707" t="s">
        <v>1278</v>
      </c>
      <c r="H707" t="s">
        <v>1645</v>
      </c>
      <c r="K707" t="s">
        <v>28</v>
      </c>
      <c r="L707" t="s">
        <v>1259</v>
      </c>
      <c r="M707" t="s">
        <v>30</v>
      </c>
      <c r="N707" t="s">
        <v>31</v>
      </c>
      <c r="O707" t="s">
        <v>32</v>
      </c>
      <c r="P707" t="s">
        <v>1836</v>
      </c>
      <c r="Q707">
        <v>200</v>
      </c>
      <c r="R707">
        <v>200</v>
      </c>
      <c r="S707" t="s">
        <v>34</v>
      </c>
      <c r="T707" t="s">
        <v>35</v>
      </c>
      <c r="U707" t="s">
        <v>44</v>
      </c>
      <c r="W707">
        <v>0</v>
      </c>
      <c r="X707">
        <v>0</v>
      </c>
      <c r="Y707">
        <v>0</v>
      </c>
      <c r="Z707">
        <v>0</v>
      </c>
    </row>
    <row r="708" spans="1:26" hidden="1" x14ac:dyDescent="0.25">
      <c r="A708" t="s">
        <v>1837</v>
      </c>
      <c r="B708" t="s">
        <v>25</v>
      </c>
      <c r="C708" s="4">
        <v>44005</v>
      </c>
      <c r="F708" s="4">
        <v>45809</v>
      </c>
      <c r="G708" t="s">
        <v>1278</v>
      </c>
      <c r="H708" t="s">
        <v>1838</v>
      </c>
      <c r="K708" t="s">
        <v>28</v>
      </c>
      <c r="L708" t="s">
        <v>1259</v>
      </c>
      <c r="M708" t="s">
        <v>30</v>
      </c>
      <c r="N708" t="s">
        <v>31</v>
      </c>
      <c r="O708" t="s">
        <v>32</v>
      </c>
      <c r="P708" t="s">
        <v>1839</v>
      </c>
      <c r="Q708">
        <v>100</v>
      </c>
      <c r="R708">
        <v>100</v>
      </c>
      <c r="S708" t="s">
        <v>34</v>
      </c>
      <c r="T708" t="s">
        <v>35</v>
      </c>
      <c r="U708" t="s">
        <v>44</v>
      </c>
      <c r="V708" s="4">
        <v>46905</v>
      </c>
      <c r="W708">
        <v>100</v>
      </c>
      <c r="X708">
        <v>100</v>
      </c>
      <c r="Y708">
        <v>100</v>
      </c>
      <c r="Z708">
        <v>100</v>
      </c>
    </row>
    <row r="709" spans="1:26" hidden="1" x14ac:dyDescent="0.25">
      <c r="A709" t="s">
        <v>1840</v>
      </c>
      <c r="B709" t="s">
        <v>38</v>
      </c>
      <c r="C709" s="4">
        <v>44491</v>
      </c>
      <c r="D709" s="4">
        <v>45124</v>
      </c>
      <c r="F709" s="4">
        <v>45036</v>
      </c>
      <c r="G709" t="s">
        <v>1679</v>
      </c>
      <c r="H709" t="s">
        <v>1841</v>
      </c>
      <c r="K709" t="s">
        <v>98</v>
      </c>
      <c r="L709" t="s">
        <v>1259</v>
      </c>
      <c r="M709" t="s">
        <v>84</v>
      </c>
      <c r="N709" t="s">
        <v>31</v>
      </c>
      <c r="O709" t="s">
        <v>32</v>
      </c>
      <c r="P709" t="s">
        <v>1842</v>
      </c>
      <c r="Q709">
        <v>72</v>
      </c>
      <c r="R709">
        <v>72</v>
      </c>
      <c r="S709" t="s">
        <v>34</v>
      </c>
      <c r="T709" t="s">
        <v>35</v>
      </c>
      <c r="U709" t="s">
        <v>44</v>
      </c>
      <c r="W709">
        <v>0</v>
      </c>
      <c r="X709">
        <v>0</v>
      </c>
      <c r="Y709">
        <v>0</v>
      </c>
      <c r="Z709">
        <v>0</v>
      </c>
    </row>
    <row r="710" spans="1:26" hidden="1" x14ac:dyDescent="0.25">
      <c r="A710" t="s">
        <v>1843</v>
      </c>
      <c r="B710" t="s">
        <v>38</v>
      </c>
      <c r="C710" s="4">
        <v>44005</v>
      </c>
      <c r="D710" s="4">
        <v>45099</v>
      </c>
      <c r="F710" s="4">
        <v>45809</v>
      </c>
      <c r="G710" t="s">
        <v>1278</v>
      </c>
      <c r="H710" t="s">
        <v>1505</v>
      </c>
      <c r="K710" t="s">
        <v>28</v>
      </c>
      <c r="L710" t="s">
        <v>1259</v>
      </c>
      <c r="M710" t="s">
        <v>30</v>
      </c>
      <c r="N710" t="s">
        <v>31</v>
      </c>
      <c r="O710" t="s">
        <v>32</v>
      </c>
      <c r="P710" t="s">
        <v>1844</v>
      </c>
      <c r="Q710">
        <v>75</v>
      </c>
      <c r="R710">
        <v>75</v>
      </c>
      <c r="S710" t="s">
        <v>34</v>
      </c>
      <c r="T710" t="s">
        <v>35</v>
      </c>
      <c r="U710" t="s">
        <v>44</v>
      </c>
      <c r="W710">
        <v>75</v>
      </c>
      <c r="X710">
        <v>75</v>
      </c>
      <c r="Y710">
        <v>75</v>
      </c>
      <c r="Z710">
        <v>75</v>
      </c>
    </row>
    <row r="711" spans="1:26" hidden="1" x14ac:dyDescent="0.25">
      <c r="A711" t="s">
        <v>1845</v>
      </c>
      <c r="B711" t="s">
        <v>38</v>
      </c>
      <c r="C711" s="4">
        <v>44582</v>
      </c>
      <c r="D711" s="4">
        <v>45580</v>
      </c>
      <c r="E711" s="4">
        <v>44944</v>
      </c>
      <c r="F711" s="4">
        <v>44593</v>
      </c>
      <c r="G711" t="s">
        <v>149</v>
      </c>
      <c r="H711" t="s">
        <v>1846</v>
      </c>
      <c r="K711" t="s">
        <v>151</v>
      </c>
      <c r="L711" t="s">
        <v>1259</v>
      </c>
      <c r="M711" t="s">
        <v>68</v>
      </c>
      <c r="N711" t="s">
        <v>31</v>
      </c>
      <c r="O711" t="s">
        <v>122</v>
      </c>
      <c r="P711" t="s">
        <v>1847</v>
      </c>
      <c r="Q711">
        <v>100</v>
      </c>
      <c r="R711">
        <v>100</v>
      </c>
      <c r="S711" t="s">
        <v>159</v>
      </c>
      <c r="T711" t="s">
        <v>159</v>
      </c>
      <c r="U711" t="s">
        <v>38</v>
      </c>
      <c r="V711" s="4">
        <v>45689</v>
      </c>
      <c r="W711">
        <v>100</v>
      </c>
      <c r="X711">
        <v>0</v>
      </c>
      <c r="Y711">
        <v>100</v>
      </c>
      <c r="Z711">
        <v>0</v>
      </c>
    </row>
    <row r="712" spans="1:26" hidden="1" x14ac:dyDescent="0.25">
      <c r="A712" t="s">
        <v>1848</v>
      </c>
      <c r="B712" t="s">
        <v>25</v>
      </c>
      <c r="C712" s="4">
        <v>44007</v>
      </c>
      <c r="F712" s="4">
        <v>45182</v>
      </c>
      <c r="G712" t="s">
        <v>1326</v>
      </c>
      <c r="H712" t="s">
        <v>1849</v>
      </c>
      <c r="K712" t="s">
        <v>67</v>
      </c>
      <c r="L712" t="s">
        <v>1259</v>
      </c>
      <c r="M712" t="s">
        <v>68</v>
      </c>
      <c r="N712" t="s">
        <v>31</v>
      </c>
      <c r="O712" t="s">
        <v>32</v>
      </c>
      <c r="P712" t="s">
        <v>1850</v>
      </c>
      <c r="Q712">
        <v>300</v>
      </c>
      <c r="R712">
        <v>300</v>
      </c>
      <c r="S712" t="s">
        <v>34</v>
      </c>
      <c r="T712" t="s">
        <v>35</v>
      </c>
      <c r="U712" t="s">
        <v>44</v>
      </c>
      <c r="V712" s="4">
        <v>46278</v>
      </c>
      <c r="W712">
        <v>300</v>
      </c>
      <c r="X712">
        <v>300</v>
      </c>
      <c r="Y712">
        <v>300</v>
      </c>
      <c r="Z712">
        <v>300</v>
      </c>
    </row>
    <row r="713" spans="1:26" hidden="1" x14ac:dyDescent="0.25">
      <c r="A713" t="s">
        <v>1851</v>
      </c>
      <c r="B713" t="s">
        <v>38</v>
      </c>
      <c r="C713" s="4">
        <v>44006</v>
      </c>
      <c r="D713" s="4">
        <v>44165</v>
      </c>
      <c r="F713" s="4">
        <v>45170</v>
      </c>
      <c r="G713" t="s">
        <v>1278</v>
      </c>
      <c r="H713" t="s">
        <v>1838</v>
      </c>
      <c r="K713" t="s">
        <v>28</v>
      </c>
      <c r="L713" t="s">
        <v>1259</v>
      </c>
      <c r="M713" t="s">
        <v>30</v>
      </c>
      <c r="N713" t="s">
        <v>31</v>
      </c>
      <c r="O713" t="s">
        <v>32</v>
      </c>
      <c r="P713" t="s">
        <v>1852</v>
      </c>
      <c r="Q713">
        <v>100</v>
      </c>
      <c r="R713">
        <v>100</v>
      </c>
      <c r="S713" t="s">
        <v>34</v>
      </c>
      <c r="T713" t="s">
        <v>35</v>
      </c>
      <c r="U713" t="s">
        <v>44</v>
      </c>
      <c r="W713">
        <v>0</v>
      </c>
      <c r="X713">
        <v>0</v>
      </c>
      <c r="Y713">
        <v>0</v>
      </c>
      <c r="Z713">
        <v>0</v>
      </c>
    </row>
    <row r="714" spans="1:26" hidden="1" x14ac:dyDescent="0.25">
      <c r="A714" t="s">
        <v>1853</v>
      </c>
      <c r="B714" t="s">
        <v>25</v>
      </c>
      <c r="C714" s="4">
        <v>44005</v>
      </c>
      <c r="F714" s="4">
        <v>44910</v>
      </c>
      <c r="G714" t="s">
        <v>117</v>
      </c>
      <c r="H714" t="s">
        <v>1813</v>
      </c>
      <c r="K714" t="s">
        <v>83</v>
      </c>
      <c r="L714" t="s">
        <v>1259</v>
      </c>
      <c r="M714" t="s">
        <v>84</v>
      </c>
      <c r="N714" t="s">
        <v>31</v>
      </c>
      <c r="O714" t="s">
        <v>32</v>
      </c>
      <c r="P714" t="s">
        <v>1854</v>
      </c>
      <c r="Q714">
        <v>300</v>
      </c>
      <c r="R714">
        <v>300</v>
      </c>
      <c r="S714" t="s">
        <v>34</v>
      </c>
      <c r="T714" t="s">
        <v>35</v>
      </c>
      <c r="U714" t="s">
        <v>44</v>
      </c>
      <c r="V714" s="4">
        <v>46006</v>
      </c>
      <c r="W714">
        <v>300</v>
      </c>
      <c r="X714">
        <v>300</v>
      </c>
      <c r="Y714">
        <v>300</v>
      </c>
      <c r="Z714">
        <v>300</v>
      </c>
    </row>
    <row r="715" spans="1:26" hidden="1" x14ac:dyDescent="0.25">
      <c r="A715" t="s">
        <v>1855</v>
      </c>
      <c r="B715" t="s">
        <v>38</v>
      </c>
      <c r="C715" s="4">
        <v>44006</v>
      </c>
      <c r="D715" s="4">
        <v>45538</v>
      </c>
      <c r="F715" s="4">
        <v>44774</v>
      </c>
      <c r="G715" t="s">
        <v>132</v>
      </c>
      <c r="H715" t="s">
        <v>1768</v>
      </c>
      <c r="K715" t="s">
        <v>83</v>
      </c>
      <c r="L715" t="s">
        <v>1259</v>
      </c>
      <c r="M715" t="s">
        <v>84</v>
      </c>
      <c r="N715" t="s">
        <v>31</v>
      </c>
      <c r="O715" t="s">
        <v>32</v>
      </c>
      <c r="P715" t="s">
        <v>1856</v>
      </c>
      <c r="Q715">
        <v>147.19999999999999</v>
      </c>
      <c r="R715">
        <v>147.19999999999999</v>
      </c>
      <c r="S715" t="s">
        <v>56</v>
      </c>
      <c r="T715" t="s">
        <v>57</v>
      </c>
      <c r="U715" t="s">
        <v>44</v>
      </c>
      <c r="W715">
        <v>147.19</v>
      </c>
      <c r="X715">
        <v>147.19</v>
      </c>
      <c r="Y715">
        <v>0</v>
      </c>
      <c r="Z715">
        <v>0</v>
      </c>
    </row>
    <row r="716" spans="1:26" hidden="1" x14ac:dyDescent="0.25">
      <c r="A716" t="s">
        <v>1857</v>
      </c>
      <c r="B716" t="s">
        <v>25</v>
      </c>
      <c r="C716" s="4">
        <v>44007</v>
      </c>
      <c r="F716" s="4">
        <v>45170</v>
      </c>
      <c r="G716" t="s">
        <v>117</v>
      </c>
      <c r="H716" t="s">
        <v>1637</v>
      </c>
      <c r="K716" t="s">
        <v>83</v>
      </c>
      <c r="L716" t="s">
        <v>1259</v>
      </c>
      <c r="M716" t="s">
        <v>84</v>
      </c>
      <c r="N716" t="s">
        <v>31</v>
      </c>
      <c r="O716" t="s">
        <v>32</v>
      </c>
      <c r="P716" t="s">
        <v>1858</v>
      </c>
      <c r="Q716">
        <v>100</v>
      </c>
      <c r="R716">
        <v>100</v>
      </c>
      <c r="S716" t="s">
        <v>34</v>
      </c>
      <c r="T716" t="s">
        <v>35</v>
      </c>
      <c r="U716" t="s">
        <v>44</v>
      </c>
      <c r="V716" s="4">
        <v>46357</v>
      </c>
      <c r="W716">
        <v>100</v>
      </c>
      <c r="X716">
        <v>100</v>
      </c>
      <c r="Y716">
        <v>100</v>
      </c>
      <c r="Z716">
        <v>100</v>
      </c>
    </row>
    <row r="717" spans="1:26" hidden="1" x14ac:dyDescent="0.25">
      <c r="A717" t="s">
        <v>1859</v>
      </c>
      <c r="B717" t="s">
        <v>38</v>
      </c>
      <c r="C717" s="4">
        <v>44006</v>
      </c>
      <c r="D717" s="4">
        <v>44183</v>
      </c>
      <c r="F717" s="4">
        <v>45184</v>
      </c>
      <c r="G717" t="s">
        <v>138</v>
      </c>
      <c r="H717" t="s">
        <v>1795</v>
      </c>
      <c r="K717" t="s">
        <v>98</v>
      </c>
      <c r="L717" t="s">
        <v>1259</v>
      </c>
      <c r="M717" t="s">
        <v>84</v>
      </c>
      <c r="N717" t="s">
        <v>31</v>
      </c>
      <c r="O717" t="s">
        <v>32</v>
      </c>
      <c r="P717" t="s">
        <v>1860</v>
      </c>
      <c r="Q717">
        <v>145</v>
      </c>
      <c r="R717">
        <v>145</v>
      </c>
      <c r="S717" t="s">
        <v>34</v>
      </c>
      <c r="T717" t="s">
        <v>35</v>
      </c>
      <c r="U717" t="s">
        <v>44</v>
      </c>
      <c r="W717">
        <v>0</v>
      </c>
      <c r="X717">
        <v>0</v>
      </c>
      <c r="Y717">
        <v>0</v>
      </c>
      <c r="Z717">
        <v>0</v>
      </c>
    </row>
    <row r="718" spans="1:26" hidden="1" x14ac:dyDescent="0.25">
      <c r="A718" t="s">
        <v>1861</v>
      </c>
      <c r="B718" t="s">
        <v>38</v>
      </c>
      <c r="C718" s="4">
        <v>44006</v>
      </c>
      <c r="D718" s="4">
        <v>45586</v>
      </c>
      <c r="F718" s="4">
        <v>44774</v>
      </c>
      <c r="G718" t="s">
        <v>1278</v>
      </c>
      <c r="H718" t="s">
        <v>1862</v>
      </c>
      <c r="K718" t="s">
        <v>28</v>
      </c>
      <c r="L718" t="s">
        <v>1259</v>
      </c>
      <c r="M718" t="s">
        <v>30</v>
      </c>
      <c r="N718" t="s">
        <v>31</v>
      </c>
      <c r="O718" t="s">
        <v>32</v>
      </c>
      <c r="P718" t="s">
        <v>1863</v>
      </c>
      <c r="Q718">
        <v>100</v>
      </c>
      <c r="R718">
        <v>100</v>
      </c>
      <c r="S718" t="s">
        <v>34</v>
      </c>
      <c r="T718" t="s">
        <v>35</v>
      </c>
      <c r="U718" t="s">
        <v>38</v>
      </c>
      <c r="V718" s="4">
        <v>45870</v>
      </c>
      <c r="W718">
        <v>100</v>
      </c>
      <c r="X718">
        <v>0</v>
      </c>
      <c r="Y718">
        <v>100</v>
      </c>
      <c r="Z718">
        <v>0</v>
      </c>
    </row>
    <row r="719" spans="1:26" hidden="1" x14ac:dyDescent="0.25">
      <c r="A719" t="s">
        <v>1864</v>
      </c>
      <c r="B719" t="s">
        <v>38</v>
      </c>
      <c r="C719" s="4">
        <v>44006</v>
      </c>
      <c r="D719" s="4">
        <v>44183</v>
      </c>
      <c r="F719" s="4">
        <v>45184</v>
      </c>
      <c r="G719" t="s">
        <v>101</v>
      </c>
      <c r="H719" t="s">
        <v>1795</v>
      </c>
      <c r="K719" t="s">
        <v>98</v>
      </c>
      <c r="L719" t="s">
        <v>1259</v>
      </c>
      <c r="M719" t="s">
        <v>84</v>
      </c>
      <c r="N719" t="s">
        <v>31</v>
      </c>
      <c r="O719" t="s">
        <v>32</v>
      </c>
      <c r="P719" t="s">
        <v>1865</v>
      </c>
      <c r="Q719">
        <v>150</v>
      </c>
      <c r="R719">
        <v>150</v>
      </c>
      <c r="S719" t="s">
        <v>34</v>
      </c>
      <c r="T719" t="s">
        <v>35</v>
      </c>
      <c r="U719" t="s">
        <v>44</v>
      </c>
      <c r="W719">
        <v>0</v>
      </c>
      <c r="X719">
        <v>0</v>
      </c>
      <c r="Y719">
        <v>0</v>
      </c>
      <c r="Z719">
        <v>0</v>
      </c>
    </row>
    <row r="720" spans="1:26" hidden="1" x14ac:dyDescent="0.25">
      <c r="A720" t="s">
        <v>1866</v>
      </c>
      <c r="B720" t="s">
        <v>38</v>
      </c>
      <c r="C720" s="4">
        <v>44006</v>
      </c>
      <c r="D720" s="4">
        <v>44092</v>
      </c>
      <c r="F720" s="4">
        <v>45184</v>
      </c>
      <c r="G720" t="s">
        <v>117</v>
      </c>
      <c r="H720" t="s">
        <v>1611</v>
      </c>
      <c r="K720" t="s">
        <v>83</v>
      </c>
      <c r="L720" t="s">
        <v>1259</v>
      </c>
      <c r="M720" t="s">
        <v>84</v>
      </c>
      <c r="N720" t="s">
        <v>31</v>
      </c>
      <c r="O720" t="s">
        <v>32</v>
      </c>
      <c r="P720" t="s">
        <v>1867</v>
      </c>
      <c r="Q720">
        <v>200</v>
      </c>
      <c r="R720">
        <v>200</v>
      </c>
      <c r="S720" t="s">
        <v>56</v>
      </c>
      <c r="T720" t="s">
        <v>57</v>
      </c>
      <c r="U720" t="s">
        <v>44</v>
      </c>
      <c r="W720">
        <v>0</v>
      </c>
      <c r="X720">
        <v>0</v>
      </c>
      <c r="Y720">
        <v>0</v>
      </c>
      <c r="Z720">
        <v>0</v>
      </c>
    </row>
    <row r="721" spans="1:26" hidden="1" x14ac:dyDescent="0.25">
      <c r="A721" t="s">
        <v>1868</v>
      </c>
      <c r="B721" t="s">
        <v>38</v>
      </c>
      <c r="C721" s="4">
        <v>44006</v>
      </c>
      <c r="D721" s="4">
        <v>44538</v>
      </c>
      <c r="F721" s="4">
        <v>45170</v>
      </c>
      <c r="G721" t="s">
        <v>1278</v>
      </c>
      <c r="H721" t="s">
        <v>1556</v>
      </c>
      <c r="K721" t="s">
        <v>28</v>
      </c>
      <c r="L721" t="s">
        <v>1259</v>
      </c>
      <c r="M721" t="s">
        <v>30</v>
      </c>
      <c r="N721" t="s">
        <v>31</v>
      </c>
      <c r="O721" t="s">
        <v>32</v>
      </c>
      <c r="P721" t="s">
        <v>1869</v>
      </c>
      <c r="Q721">
        <v>100</v>
      </c>
      <c r="R721">
        <v>100</v>
      </c>
      <c r="S721" t="s">
        <v>34</v>
      </c>
      <c r="T721" t="s">
        <v>35</v>
      </c>
      <c r="U721" t="s">
        <v>44</v>
      </c>
      <c r="W721">
        <v>0</v>
      </c>
      <c r="X721">
        <v>0</v>
      </c>
      <c r="Y721">
        <v>0</v>
      </c>
      <c r="Z721">
        <v>0</v>
      </c>
    </row>
    <row r="722" spans="1:26" hidden="1" x14ac:dyDescent="0.25">
      <c r="A722" t="s">
        <v>1870</v>
      </c>
      <c r="B722" t="s">
        <v>38</v>
      </c>
      <c r="C722" s="4">
        <v>44004</v>
      </c>
      <c r="D722" s="4">
        <v>44538</v>
      </c>
      <c r="F722" s="4">
        <v>45432</v>
      </c>
      <c r="G722" t="s">
        <v>1278</v>
      </c>
      <c r="H722" t="s">
        <v>1645</v>
      </c>
      <c r="K722" t="s">
        <v>28</v>
      </c>
      <c r="L722" t="s">
        <v>1259</v>
      </c>
      <c r="M722" t="s">
        <v>30</v>
      </c>
      <c r="N722" t="s">
        <v>31</v>
      </c>
      <c r="O722" t="s">
        <v>32</v>
      </c>
      <c r="P722" t="s">
        <v>1871</v>
      </c>
      <c r="Q722">
        <v>99</v>
      </c>
      <c r="R722">
        <v>99</v>
      </c>
      <c r="S722" t="s">
        <v>34</v>
      </c>
      <c r="T722" t="s">
        <v>35</v>
      </c>
      <c r="U722" t="s">
        <v>44</v>
      </c>
      <c r="W722">
        <v>0</v>
      </c>
      <c r="X722">
        <v>0</v>
      </c>
      <c r="Y722">
        <v>0</v>
      </c>
      <c r="Z722">
        <v>0</v>
      </c>
    </row>
    <row r="723" spans="1:26" hidden="1" x14ac:dyDescent="0.25">
      <c r="A723" t="s">
        <v>1872</v>
      </c>
      <c r="B723" t="s">
        <v>38</v>
      </c>
      <c r="C723" s="4">
        <v>44006</v>
      </c>
      <c r="D723" s="4">
        <v>45987</v>
      </c>
      <c r="F723" s="4">
        <v>45078</v>
      </c>
      <c r="G723" t="s">
        <v>101</v>
      </c>
      <c r="H723" t="s">
        <v>1873</v>
      </c>
      <c r="K723" t="s">
        <v>98</v>
      </c>
      <c r="L723" t="s">
        <v>1259</v>
      </c>
      <c r="M723" t="s">
        <v>84</v>
      </c>
      <c r="N723" t="s">
        <v>31</v>
      </c>
      <c r="O723" t="s">
        <v>32</v>
      </c>
      <c r="P723" t="s">
        <v>1874</v>
      </c>
      <c r="Q723">
        <v>175.12</v>
      </c>
      <c r="R723">
        <v>175.12</v>
      </c>
      <c r="S723" t="s">
        <v>34</v>
      </c>
      <c r="T723" t="s">
        <v>35</v>
      </c>
      <c r="U723" t="s">
        <v>38</v>
      </c>
      <c r="V723" s="4">
        <v>46174</v>
      </c>
      <c r="W723">
        <v>175.12</v>
      </c>
      <c r="X723">
        <v>175.12</v>
      </c>
      <c r="Y723">
        <v>175.12</v>
      </c>
      <c r="Z723">
        <v>175.12</v>
      </c>
    </row>
    <row r="724" spans="1:26" hidden="1" x14ac:dyDescent="0.25">
      <c r="A724" t="s">
        <v>1875</v>
      </c>
      <c r="B724" t="s">
        <v>38</v>
      </c>
      <c r="C724" s="4">
        <v>44004</v>
      </c>
      <c r="D724" s="4">
        <v>44538</v>
      </c>
      <c r="F724" s="4">
        <v>45331</v>
      </c>
      <c r="G724" t="s">
        <v>65</v>
      </c>
      <c r="H724" t="s">
        <v>1876</v>
      </c>
      <c r="K724" t="s">
        <v>67</v>
      </c>
      <c r="L724" t="s">
        <v>1259</v>
      </c>
      <c r="M724" t="s">
        <v>68</v>
      </c>
      <c r="N724" t="s">
        <v>31</v>
      </c>
      <c r="O724" t="s">
        <v>32</v>
      </c>
      <c r="P724" t="s">
        <v>1877</v>
      </c>
      <c r="Q724">
        <v>100</v>
      </c>
      <c r="R724">
        <v>100</v>
      </c>
      <c r="S724" t="s">
        <v>34</v>
      </c>
      <c r="T724" t="s">
        <v>35</v>
      </c>
      <c r="U724" t="s">
        <v>44</v>
      </c>
      <c r="W724">
        <v>0</v>
      </c>
      <c r="X724">
        <v>0</v>
      </c>
      <c r="Y724">
        <v>0</v>
      </c>
      <c r="Z724">
        <v>0</v>
      </c>
    </row>
    <row r="725" spans="1:26" hidden="1" x14ac:dyDescent="0.25">
      <c r="A725" t="s">
        <v>1878</v>
      </c>
      <c r="B725" t="s">
        <v>38</v>
      </c>
      <c r="C725" s="4">
        <v>44502</v>
      </c>
      <c r="D725" s="4">
        <v>44778</v>
      </c>
      <c r="F725" s="4">
        <v>45017</v>
      </c>
      <c r="G725" t="s">
        <v>65</v>
      </c>
      <c r="H725" t="s">
        <v>1879</v>
      </c>
      <c r="K725" t="s">
        <v>67</v>
      </c>
      <c r="L725" t="s">
        <v>1259</v>
      </c>
      <c r="M725" t="s">
        <v>68</v>
      </c>
      <c r="N725" t="s">
        <v>31</v>
      </c>
      <c r="O725" t="s">
        <v>32</v>
      </c>
      <c r="P725" t="s">
        <v>1880</v>
      </c>
      <c r="Q725">
        <v>10</v>
      </c>
      <c r="R725">
        <v>10</v>
      </c>
      <c r="S725" t="s">
        <v>159</v>
      </c>
      <c r="T725" t="s">
        <v>159</v>
      </c>
      <c r="U725" t="s">
        <v>44</v>
      </c>
      <c r="W725">
        <v>10</v>
      </c>
      <c r="X725">
        <v>10</v>
      </c>
      <c r="Y725">
        <v>10</v>
      </c>
      <c r="Z725">
        <v>10</v>
      </c>
    </row>
    <row r="726" spans="1:26" hidden="1" x14ac:dyDescent="0.25">
      <c r="A726" t="s">
        <v>1881</v>
      </c>
      <c r="B726" t="s">
        <v>25</v>
      </c>
      <c r="C726" s="4">
        <v>44533</v>
      </c>
      <c r="F726" s="4">
        <v>45184</v>
      </c>
      <c r="G726" t="s">
        <v>1690</v>
      </c>
      <c r="H726" t="s">
        <v>1882</v>
      </c>
      <c r="K726" t="s">
        <v>98</v>
      </c>
      <c r="L726" t="s">
        <v>1259</v>
      </c>
      <c r="M726" t="s">
        <v>84</v>
      </c>
      <c r="N726" t="s">
        <v>31</v>
      </c>
      <c r="O726" t="s">
        <v>32</v>
      </c>
      <c r="P726" t="s">
        <v>1883</v>
      </c>
      <c r="Q726">
        <v>150</v>
      </c>
      <c r="R726">
        <v>150</v>
      </c>
      <c r="S726" t="s">
        <v>34</v>
      </c>
      <c r="T726" t="s">
        <v>35</v>
      </c>
      <c r="U726" t="s">
        <v>44</v>
      </c>
      <c r="W726">
        <v>150</v>
      </c>
      <c r="X726">
        <v>150</v>
      </c>
      <c r="Y726">
        <v>150</v>
      </c>
      <c r="Z726">
        <v>150</v>
      </c>
    </row>
    <row r="727" spans="1:26" hidden="1" x14ac:dyDescent="0.25">
      <c r="A727" t="s">
        <v>1884</v>
      </c>
      <c r="B727" t="s">
        <v>25</v>
      </c>
      <c r="C727" s="4">
        <v>44005</v>
      </c>
      <c r="F727" s="4">
        <v>45536</v>
      </c>
      <c r="G727" t="s">
        <v>117</v>
      </c>
      <c r="H727" t="s">
        <v>1711</v>
      </c>
      <c r="K727" t="s">
        <v>83</v>
      </c>
      <c r="L727" t="s">
        <v>1259</v>
      </c>
      <c r="M727" t="s">
        <v>84</v>
      </c>
      <c r="N727" t="s">
        <v>31</v>
      </c>
      <c r="O727" t="s">
        <v>32</v>
      </c>
      <c r="P727" t="s">
        <v>1885</v>
      </c>
      <c r="Q727">
        <v>100</v>
      </c>
      <c r="R727">
        <v>100</v>
      </c>
      <c r="S727" t="s">
        <v>56</v>
      </c>
      <c r="T727" t="s">
        <v>57</v>
      </c>
      <c r="U727" t="s">
        <v>44</v>
      </c>
      <c r="V727" s="4">
        <v>46539</v>
      </c>
      <c r="W727">
        <v>100</v>
      </c>
      <c r="X727">
        <v>100</v>
      </c>
      <c r="Y727">
        <v>100</v>
      </c>
      <c r="Z727">
        <v>14</v>
      </c>
    </row>
    <row r="728" spans="1:26" hidden="1" x14ac:dyDescent="0.25">
      <c r="A728" t="s">
        <v>1886</v>
      </c>
      <c r="B728" t="s">
        <v>38</v>
      </c>
      <c r="C728" s="4">
        <v>43997</v>
      </c>
      <c r="D728" s="4">
        <v>45538</v>
      </c>
      <c r="F728" s="4">
        <v>45200</v>
      </c>
      <c r="G728" t="s">
        <v>254</v>
      </c>
      <c r="H728" t="s">
        <v>1887</v>
      </c>
      <c r="K728" t="s">
        <v>98</v>
      </c>
      <c r="L728" t="s">
        <v>1259</v>
      </c>
      <c r="M728" t="s">
        <v>84</v>
      </c>
      <c r="N728" t="s">
        <v>31</v>
      </c>
      <c r="O728" t="s">
        <v>32</v>
      </c>
      <c r="P728" t="s">
        <v>1888</v>
      </c>
      <c r="Q728">
        <v>200</v>
      </c>
      <c r="R728">
        <v>200</v>
      </c>
      <c r="S728" t="s">
        <v>34</v>
      </c>
      <c r="T728" t="s">
        <v>35</v>
      </c>
      <c r="U728" t="s">
        <v>44</v>
      </c>
      <c r="W728">
        <v>200</v>
      </c>
      <c r="X728">
        <v>200</v>
      </c>
      <c r="Y728">
        <v>0</v>
      </c>
      <c r="Z728">
        <v>0</v>
      </c>
    </row>
    <row r="729" spans="1:26" hidden="1" x14ac:dyDescent="0.25">
      <c r="A729" t="s">
        <v>1889</v>
      </c>
      <c r="B729" t="s">
        <v>38</v>
      </c>
      <c r="C729" s="4">
        <v>44006</v>
      </c>
      <c r="D729" s="4">
        <v>44112</v>
      </c>
      <c r="F729" s="4">
        <v>45261</v>
      </c>
      <c r="G729" t="s">
        <v>72</v>
      </c>
      <c r="H729" t="s">
        <v>1668</v>
      </c>
      <c r="K729" t="s">
        <v>209</v>
      </c>
      <c r="L729" t="s">
        <v>1259</v>
      </c>
      <c r="M729" t="s">
        <v>42</v>
      </c>
      <c r="N729" t="s">
        <v>31</v>
      </c>
      <c r="O729" t="s">
        <v>32</v>
      </c>
      <c r="P729" t="s">
        <v>1890</v>
      </c>
      <c r="Q729">
        <v>33.75</v>
      </c>
      <c r="R729">
        <v>33.75</v>
      </c>
      <c r="S729" t="s">
        <v>56</v>
      </c>
      <c r="T729" t="s">
        <v>57</v>
      </c>
      <c r="U729" t="s">
        <v>44</v>
      </c>
      <c r="W729">
        <v>0</v>
      </c>
      <c r="X729">
        <v>0</v>
      </c>
      <c r="Y729">
        <v>0</v>
      </c>
      <c r="Z729">
        <v>0</v>
      </c>
    </row>
    <row r="730" spans="1:26" hidden="1" x14ac:dyDescent="0.25">
      <c r="A730" t="s">
        <v>1891</v>
      </c>
      <c r="B730" t="s">
        <v>38</v>
      </c>
      <c r="C730" s="4">
        <v>44007</v>
      </c>
      <c r="D730" s="4">
        <v>44112</v>
      </c>
      <c r="F730" s="4">
        <v>45261</v>
      </c>
      <c r="G730" t="s">
        <v>72</v>
      </c>
      <c r="H730" t="s">
        <v>1892</v>
      </c>
      <c r="K730" t="s">
        <v>209</v>
      </c>
      <c r="L730" t="s">
        <v>1259</v>
      </c>
      <c r="M730" t="s">
        <v>42</v>
      </c>
      <c r="N730" t="s">
        <v>31</v>
      </c>
      <c r="O730" t="s">
        <v>1110</v>
      </c>
      <c r="P730" t="s">
        <v>1893</v>
      </c>
      <c r="Q730">
        <v>39</v>
      </c>
      <c r="R730">
        <v>39</v>
      </c>
      <c r="S730" t="s">
        <v>56</v>
      </c>
      <c r="T730" t="s">
        <v>57</v>
      </c>
      <c r="U730" t="s">
        <v>44</v>
      </c>
      <c r="W730">
        <v>0</v>
      </c>
      <c r="X730">
        <v>0</v>
      </c>
      <c r="Y730">
        <v>0</v>
      </c>
      <c r="Z730">
        <v>0</v>
      </c>
    </row>
    <row r="731" spans="1:26" hidden="1" x14ac:dyDescent="0.25">
      <c r="A731" t="s">
        <v>1894</v>
      </c>
      <c r="B731" t="s">
        <v>38</v>
      </c>
      <c r="C731" s="4">
        <v>44006</v>
      </c>
      <c r="D731" s="4">
        <v>44112</v>
      </c>
      <c r="F731" s="4">
        <v>45261</v>
      </c>
      <c r="G731" t="s">
        <v>72</v>
      </c>
      <c r="H731" t="s">
        <v>1668</v>
      </c>
      <c r="K731" t="s">
        <v>209</v>
      </c>
      <c r="L731" t="s">
        <v>1259</v>
      </c>
      <c r="M731" t="s">
        <v>42</v>
      </c>
      <c r="N731" t="s">
        <v>31</v>
      </c>
      <c r="O731" t="s">
        <v>1110</v>
      </c>
      <c r="P731" t="s">
        <v>1890</v>
      </c>
      <c r="Q731">
        <v>43</v>
      </c>
      <c r="R731">
        <v>43</v>
      </c>
      <c r="S731" t="s">
        <v>56</v>
      </c>
      <c r="T731" t="s">
        <v>57</v>
      </c>
      <c r="U731" t="s">
        <v>44</v>
      </c>
      <c r="W731">
        <v>0</v>
      </c>
      <c r="X731">
        <v>0</v>
      </c>
      <c r="Y731">
        <v>0</v>
      </c>
      <c r="Z731">
        <v>0</v>
      </c>
    </row>
    <row r="732" spans="1:26" hidden="1" x14ac:dyDescent="0.25">
      <c r="A732" t="s">
        <v>1895</v>
      </c>
      <c r="B732" t="s">
        <v>25</v>
      </c>
      <c r="C732" s="4">
        <v>44637</v>
      </c>
      <c r="F732" s="4">
        <v>45449</v>
      </c>
      <c r="G732" t="s">
        <v>39</v>
      </c>
      <c r="H732" t="s">
        <v>1365</v>
      </c>
      <c r="K732" t="s">
        <v>28</v>
      </c>
      <c r="L732" t="s">
        <v>1259</v>
      </c>
      <c r="M732" t="s">
        <v>42</v>
      </c>
      <c r="N732" t="s">
        <v>31</v>
      </c>
      <c r="O732" t="s">
        <v>32</v>
      </c>
      <c r="P732" t="s">
        <v>1896</v>
      </c>
      <c r="Q732">
        <v>300</v>
      </c>
      <c r="R732">
        <v>300</v>
      </c>
      <c r="S732" t="s">
        <v>34</v>
      </c>
      <c r="T732" t="s">
        <v>35</v>
      </c>
      <c r="U732" t="s">
        <v>70</v>
      </c>
      <c r="V732" s="4">
        <v>46544</v>
      </c>
      <c r="W732">
        <v>300</v>
      </c>
      <c r="X732">
        <v>300</v>
      </c>
      <c r="Y732">
        <v>300</v>
      </c>
      <c r="Z732">
        <v>300</v>
      </c>
    </row>
    <row r="733" spans="1:26" hidden="1" x14ac:dyDescent="0.25">
      <c r="A733" t="s">
        <v>1897</v>
      </c>
      <c r="B733" t="s">
        <v>38</v>
      </c>
      <c r="C733" s="4">
        <v>44006</v>
      </c>
      <c r="D733" s="4">
        <v>44267</v>
      </c>
      <c r="F733" s="4">
        <v>44593</v>
      </c>
      <c r="G733" t="s">
        <v>1257</v>
      </c>
      <c r="H733" t="s">
        <v>1648</v>
      </c>
      <c r="K733" t="s">
        <v>98</v>
      </c>
      <c r="L733" t="s">
        <v>1259</v>
      </c>
      <c r="M733" t="s">
        <v>84</v>
      </c>
      <c r="N733" t="s">
        <v>31</v>
      </c>
      <c r="O733" t="s">
        <v>32</v>
      </c>
      <c r="P733" t="s">
        <v>1898</v>
      </c>
      <c r="Q733">
        <v>100</v>
      </c>
      <c r="R733">
        <v>100</v>
      </c>
      <c r="S733" t="s">
        <v>159</v>
      </c>
      <c r="T733" t="s">
        <v>159</v>
      </c>
      <c r="U733" t="s">
        <v>44</v>
      </c>
      <c r="W733">
        <v>0</v>
      </c>
      <c r="X733">
        <v>0</v>
      </c>
      <c r="Y733">
        <v>0</v>
      </c>
      <c r="Z733">
        <v>0</v>
      </c>
    </row>
    <row r="734" spans="1:26" hidden="1" x14ac:dyDescent="0.25">
      <c r="A734" t="s">
        <v>1899</v>
      </c>
      <c r="B734" t="s">
        <v>25</v>
      </c>
      <c r="C734" s="4">
        <v>44006</v>
      </c>
      <c r="F734" s="4">
        <v>45657</v>
      </c>
      <c r="G734" t="s">
        <v>1278</v>
      </c>
      <c r="H734" t="s">
        <v>1645</v>
      </c>
      <c r="K734" t="s">
        <v>28</v>
      </c>
      <c r="L734" t="s">
        <v>1259</v>
      </c>
      <c r="M734" t="s">
        <v>30</v>
      </c>
      <c r="N734" t="s">
        <v>31</v>
      </c>
      <c r="O734" t="s">
        <v>32</v>
      </c>
      <c r="P734" t="s">
        <v>1900</v>
      </c>
      <c r="Q734">
        <v>98.4</v>
      </c>
      <c r="R734">
        <v>98.4</v>
      </c>
      <c r="S734" t="s">
        <v>34</v>
      </c>
      <c r="T734" t="s">
        <v>35</v>
      </c>
      <c r="U734" t="s">
        <v>44</v>
      </c>
      <c r="V734" s="4">
        <v>46022</v>
      </c>
      <c r="W734">
        <v>98.4</v>
      </c>
      <c r="X734">
        <v>98.4</v>
      </c>
      <c r="Y734">
        <v>98.4</v>
      </c>
      <c r="Z734">
        <v>98.4</v>
      </c>
    </row>
    <row r="735" spans="1:26" hidden="1" x14ac:dyDescent="0.25">
      <c r="A735" t="s">
        <v>1901</v>
      </c>
      <c r="B735" t="s">
        <v>38</v>
      </c>
      <c r="C735" s="4">
        <v>44006</v>
      </c>
      <c r="D735" s="4">
        <v>44517</v>
      </c>
      <c r="F735" s="4">
        <v>45809</v>
      </c>
      <c r="G735" t="s">
        <v>72</v>
      </c>
      <c r="H735" t="s">
        <v>1902</v>
      </c>
      <c r="K735" t="s">
        <v>209</v>
      </c>
      <c r="L735" t="s">
        <v>1259</v>
      </c>
      <c r="M735" t="s">
        <v>42</v>
      </c>
      <c r="N735" t="s">
        <v>31</v>
      </c>
      <c r="O735" t="s">
        <v>32</v>
      </c>
      <c r="P735" t="s">
        <v>1903</v>
      </c>
      <c r="Q735">
        <v>50</v>
      </c>
      <c r="R735">
        <v>50</v>
      </c>
      <c r="S735" t="s">
        <v>159</v>
      </c>
      <c r="T735" t="s">
        <v>159</v>
      </c>
      <c r="U735" t="s">
        <v>44</v>
      </c>
      <c r="W735">
        <v>0</v>
      </c>
      <c r="X735">
        <v>0</v>
      </c>
      <c r="Y735">
        <v>0</v>
      </c>
      <c r="Z735">
        <v>0</v>
      </c>
    </row>
    <row r="736" spans="1:26" hidden="1" x14ac:dyDescent="0.25">
      <c r="A736" t="s">
        <v>1904</v>
      </c>
      <c r="B736" t="s">
        <v>25</v>
      </c>
      <c r="C736" s="4">
        <v>44006</v>
      </c>
      <c r="F736" s="4">
        <v>45809</v>
      </c>
      <c r="G736" t="s">
        <v>72</v>
      </c>
      <c r="H736" t="s">
        <v>1849</v>
      </c>
      <c r="K736" t="s">
        <v>209</v>
      </c>
      <c r="L736" t="s">
        <v>1259</v>
      </c>
      <c r="M736" t="s">
        <v>42</v>
      </c>
      <c r="N736" t="s">
        <v>31</v>
      </c>
      <c r="O736" t="s">
        <v>32</v>
      </c>
      <c r="P736" t="s">
        <v>1905</v>
      </c>
      <c r="Q736">
        <v>150</v>
      </c>
      <c r="R736">
        <v>150</v>
      </c>
      <c r="S736" t="s">
        <v>34</v>
      </c>
      <c r="T736" t="s">
        <v>35</v>
      </c>
      <c r="U736" t="s">
        <v>454</v>
      </c>
      <c r="V736" s="4">
        <v>45473</v>
      </c>
      <c r="W736">
        <v>150</v>
      </c>
      <c r="X736">
        <v>150</v>
      </c>
      <c r="Y736">
        <v>150</v>
      </c>
      <c r="Z736">
        <v>150</v>
      </c>
    </row>
    <row r="737" spans="1:26" hidden="1" x14ac:dyDescent="0.25">
      <c r="A737" t="s">
        <v>1906</v>
      </c>
      <c r="B737" t="s">
        <v>38</v>
      </c>
      <c r="C737" s="4">
        <v>44005</v>
      </c>
      <c r="D737" s="4">
        <v>45099</v>
      </c>
      <c r="F737" s="4">
        <v>45809</v>
      </c>
      <c r="G737" t="s">
        <v>1278</v>
      </c>
      <c r="H737" t="s">
        <v>1485</v>
      </c>
      <c r="K737" t="s">
        <v>28</v>
      </c>
      <c r="L737" t="s">
        <v>1259</v>
      </c>
      <c r="M737" t="s">
        <v>30</v>
      </c>
      <c r="N737" t="s">
        <v>31</v>
      </c>
      <c r="O737" t="s">
        <v>32</v>
      </c>
      <c r="P737" t="s">
        <v>1907</v>
      </c>
      <c r="Q737">
        <v>75</v>
      </c>
      <c r="R737">
        <v>75</v>
      </c>
      <c r="S737" t="s">
        <v>34</v>
      </c>
      <c r="T737" t="s">
        <v>35</v>
      </c>
      <c r="U737" t="s">
        <v>44</v>
      </c>
      <c r="W737">
        <v>75</v>
      </c>
      <c r="X737">
        <v>75</v>
      </c>
      <c r="Y737">
        <v>75</v>
      </c>
      <c r="Z737">
        <v>75</v>
      </c>
    </row>
    <row r="738" spans="1:26" hidden="1" x14ac:dyDescent="0.25">
      <c r="A738" t="s">
        <v>1908</v>
      </c>
      <c r="B738" t="s">
        <v>25</v>
      </c>
      <c r="C738" s="4">
        <v>44004</v>
      </c>
      <c r="F738" s="4">
        <v>45169</v>
      </c>
      <c r="G738" t="s">
        <v>1679</v>
      </c>
      <c r="H738" t="s">
        <v>1841</v>
      </c>
      <c r="K738" t="s">
        <v>98</v>
      </c>
      <c r="L738" t="s">
        <v>1259</v>
      </c>
      <c r="M738" t="s">
        <v>84</v>
      </c>
      <c r="N738" t="s">
        <v>31</v>
      </c>
      <c r="O738" t="s">
        <v>32</v>
      </c>
      <c r="P738" t="s">
        <v>1909</v>
      </c>
      <c r="Q738">
        <v>100</v>
      </c>
      <c r="R738">
        <v>100</v>
      </c>
      <c r="S738" t="s">
        <v>34</v>
      </c>
      <c r="T738" t="s">
        <v>35</v>
      </c>
      <c r="U738" t="s">
        <v>44</v>
      </c>
      <c r="W738">
        <v>100</v>
      </c>
      <c r="X738">
        <v>100</v>
      </c>
      <c r="Y738">
        <v>100</v>
      </c>
      <c r="Z738">
        <v>100</v>
      </c>
    </row>
    <row r="739" spans="1:26" hidden="1" x14ac:dyDescent="0.25">
      <c r="A739" t="s">
        <v>1910</v>
      </c>
      <c r="B739" t="s">
        <v>38</v>
      </c>
      <c r="C739" s="4">
        <v>44491</v>
      </c>
      <c r="D739" s="4">
        <v>45124</v>
      </c>
      <c r="F739" s="4">
        <v>45036</v>
      </c>
      <c r="G739" t="s">
        <v>101</v>
      </c>
      <c r="H739" t="s">
        <v>1547</v>
      </c>
      <c r="K739" t="s">
        <v>98</v>
      </c>
      <c r="L739" t="s">
        <v>1259</v>
      </c>
      <c r="M739" t="s">
        <v>84</v>
      </c>
      <c r="N739" t="s">
        <v>31</v>
      </c>
      <c r="O739" t="s">
        <v>32</v>
      </c>
      <c r="P739" t="s">
        <v>1911</v>
      </c>
      <c r="Q739">
        <v>210</v>
      </c>
      <c r="R739">
        <v>210</v>
      </c>
      <c r="S739" t="s">
        <v>34</v>
      </c>
      <c r="T739" t="s">
        <v>35</v>
      </c>
      <c r="U739" t="s">
        <v>44</v>
      </c>
      <c r="W739">
        <v>0</v>
      </c>
      <c r="X739">
        <v>0</v>
      </c>
      <c r="Y739">
        <v>0</v>
      </c>
      <c r="Z739">
        <v>0</v>
      </c>
    </row>
    <row r="740" spans="1:26" hidden="1" x14ac:dyDescent="0.25">
      <c r="A740" t="s">
        <v>1912</v>
      </c>
      <c r="B740" t="s">
        <v>38</v>
      </c>
      <c r="C740" s="4">
        <v>44006</v>
      </c>
      <c r="D740" s="4">
        <v>44167</v>
      </c>
      <c r="F740" s="4">
        <v>45061</v>
      </c>
      <c r="G740" t="s">
        <v>183</v>
      </c>
      <c r="H740" t="s">
        <v>1623</v>
      </c>
      <c r="K740" t="s">
        <v>62</v>
      </c>
      <c r="L740" t="s">
        <v>1259</v>
      </c>
      <c r="M740" t="s">
        <v>42</v>
      </c>
      <c r="N740" t="s">
        <v>31</v>
      </c>
      <c r="O740" t="s">
        <v>32</v>
      </c>
      <c r="P740" t="s">
        <v>1913</v>
      </c>
      <c r="Q740">
        <v>20</v>
      </c>
      <c r="R740">
        <v>20</v>
      </c>
      <c r="S740" t="s">
        <v>597</v>
      </c>
      <c r="T740" t="s">
        <v>598</v>
      </c>
      <c r="U740" t="s">
        <v>44</v>
      </c>
      <c r="W740">
        <v>0</v>
      </c>
      <c r="X740">
        <v>0</v>
      </c>
      <c r="Y740">
        <v>0</v>
      </c>
      <c r="Z740">
        <v>0</v>
      </c>
    </row>
    <row r="741" spans="1:26" hidden="1" x14ac:dyDescent="0.25">
      <c r="A741" t="s">
        <v>1914</v>
      </c>
      <c r="B741" t="s">
        <v>38</v>
      </c>
      <c r="C741" s="4">
        <v>44006</v>
      </c>
      <c r="D741" s="4">
        <v>44250</v>
      </c>
      <c r="F741" s="4">
        <v>45170</v>
      </c>
      <c r="G741" t="s">
        <v>1278</v>
      </c>
      <c r="H741" t="s">
        <v>1556</v>
      </c>
      <c r="K741" t="s">
        <v>28</v>
      </c>
      <c r="L741" t="s">
        <v>1259</v>
      </c>
      <c r="M741" t="s">
        <v>30</v>
      </c>
      <c r="N741" t="s">
        <v>31</v>
      </c>
      <c r="O741" t="s">
        <v>32</v>
      </c>
      <c r="P741" t="s">
        <v>1869</v>
      </c>
      <c r="Q741">
        <v>50</v>
      </c>
      <c r="R741">
        <v>50</v>
      </c>
      <c r="S741" t="s">
        <v>159</v>
      </c>
      <c r="T741" t="s">
        <v>159</v>
      </c>
      <c r="U741" t="s">
        <v>44</v>
      </c>
      <c r="W741">
        <v>0</v>
      </c>
      <c r="X741">
        <v>0</v>
      </c>
      <c r="Y741">
        <v>0</v>
      </c>
      <c r="Z741">
        <v>0</v>
      </c>
    </row>
    <row r="742" spans="1:26" hidden="1" x14ac:dyDescent="0.25">
      <c r="A742" t="s">
        <v>1915</v>
      </c>
      <c r="B742" t="s">
        <v>38</v>
      </c>
      <c r="C742" s="4">
        <v>44007</v>
      </c>
      <c r="D742" s="4">
        <v>44538</v>
      </c>
      <c r="F742" s="4">
        <v>45170</v>
      </c>
      <c r="G742" t="s">
        <v>1278</v>
      </c>
      <c r="H742" t="s">
        <v>1916</v>
      </c>
      <c r="K742" t="s">
        <v>28</v>
      </c>
      <c r="L742" t="s">
        <v>1259</v>
      </c>
      <c r="M742" t="s">
        <v>30</v>
      </c>
      <c r="N742" t="s">
        <v>31</v>
      </c>
      <c r="O742" t="s">
        <v>32</v>
      </c>
      <c r="P742" t="s">
        <v>1917</v>
      </c>
      <c r="Q742">
        <v>100</v>
      </c>
      <c r="R742">
        <v>100</v>
      </c>
      <c r="S742" t="s">
        <v>34</v>
      </c>
      <c r="T742" t="s">
        <v>35</v>
      </c>
      <c r="U742" t="s">
        <v>44</v>
      </c>
      <c r="W742">
        <v>0</v>
      </c>
      <c r="X742">
        <v>0</v>
      </c>
      <c r="Y742">
        <v>0</v>
      </c>
      <c r="Z742">
        <v>0</v>
      </c>
    </row>
    <row r="743" spans="1:26" hidden="1" x14ac:dyDescent="0.25">
      <c r="A743" t="s">
        <v>1918</v>
      </c>
      <c r="B743" t="s">
        <v>38</v>
      </c>
      <c r="C743" s="4">
        <v>44006</v>
      </c>
      <c r="D743" s="4">
        <v>44168</v>
      </c>
      <c r="F743" s="4">
        <v>45078</v>
      </c>
      <c r="G743" t="s">
        <v>101</v>
      </c>
      <c r="H743" t="s">
        <v>1402</v>
      </c>
      <c r="K743" t="s">
        <v>98</v>
      </c>
      <c r="L743" t="s">
        <v>1259</v>
      </c>
      <c r="M743" t="s">
        <v>84</v>
      </c>
      <c r="N743" t="s">
        <v>31</v>
      </c>
      <c r="O743" t="s">
        <v>32</v>
      </c>
      <c r="P743" t="s">
        <v>1919</v>
      </c>
      <c r="Q743">
        <v>270</v>
      </c>
      <c r="R743">
        <v>270</v>
      </c>
      <c r="S743" t="s">
        <v>34</v>
      </c>
      <c r="T743" t="s">
        <v>35</v>
      </c>
      <c r="U743" t="s">
        <v>44</v>
      </c>
      <c r="W743">
        <v>0</v>
      </c>
      <c r="X743">
        <v>0</v>
      </c>
      <c r="Y743">
        <v>0</v>
      </c>
      <c r="Z743">
        <v>0</v>
      </c>
    </row>
    <row r="744" spans="1:26" hidden="1" x14ac:dyDescent="0.25">
      <c r="A744" t="s">
        <v>1920</v>
      </c>
      <c r="B744" t="s">
        <v>38</v>
      </c>
      <c r="C744" s="4">
        <v>44007</v>
      </c>
      <c r="D744" s="4">
        <v>44179</v>
      </c>
      <c r="F744" s="4">
        <v>45139</v>
      </c>
      <c r="G744" t="s">
        <v>254</v>
      </c>
      <c r="H744" t="s">
        <v>1784</v>
      </c>
      <c r="K744" t="s">
        <v>98</v>
      </c>
      <c r="L744" t="s">
        <v>1259</v>
      </c>
      <c r="M744" t="s">
        <v>84</v>
      </c>
      <c r="N744" t="s">
        <v>31</v>
      </c>
      <c r="O744" t="s">
        <v>32</v>
      </c>
      <c r="P744" t="s">
        <v>1785</v>
      </c>
      <c r="Q744">
        <v>294.10000000000002</v>
      </c>
      <c r="R744">
        <v>294.10000000000002</v>
      </c>
      <c r="S744" t="s">
        <v>34</v>
      </c>
      <c r="T744" t="s">
        <v>35</v>
      </c>
      <c r="U744" t="s">
        <v>44</v>
      </c>
      <c r="W744">
        <v>0</v>
      </c>
      <c r="X744">
        <v>0</v>
      </c>
      <c r="Y744">
        <v>0</v>
      </c>
      <c r="Z744">
        <v>0</v>
      </c>
    </row>
    <row r="745" spans="1:26" hidden="1" x14ac:dyDescent="0.25">
      <c r="A745" t="s">
        <v>1921</v>
      </c>
      <c r="B745" t="s">
        <v>25</v>
      </c>
      <c r="C745" s="4">
        <v>44657</v>
      </c>
      <c r="F745" s="4">
        <v>45139</v>
      </c>
      <c r="G745" t="s">
        <v>691</v>
      </c>
      <c r="H745" t="s">
        <v>1771</v>
      </c>
      <c r="K745" t="s">
        <v>98</v>
      </c>
      <c r="L745" t="s">
        <v>1259</v>
      </c>
      <c r="M745" t="s">
        <v>84</v>
      </c>
      <c r="N745" t="s">
        <v>31</v>
      </c>
      <c r="O745" t="s">
        <v>32</v>
      </c>
      <c r="P745" t="s">
        <v>474</v>
      </c>
      <c r="Q745">
        <v>292.89999999999998</v>
      </c>
      <c r="R745">
        <v>292.89999999999998</v>
      </c>
      <c r="S745" t="s">
        <v>34</v>
      </c>
      <c r="T745" t="s">
        <v>35</v>
      </c>
      <c r="U745" t="s">
        <v>44</v>
      </c>
      <c r="V745" s="4">
        <v>46235</v>
      </c>
      <c r="W745">
        <v>292.89</v>
      </c>
      <c r="X745">
        <v>292.89</v>
      </c>
      <c r="Y745">
        <v>292.89</v>
      </c>
      <c r="Z745">
        <v>292.89</v>
      </c>
    </row>
    <row r="746" spans="1:26" hidden="1" x14ac:dyDescent="0.25">
      <c r="A746" t="s">
        <v>1922</v>
      </c>
      <c r="B746" t="s">
        <v>25</v>
      </c>
      <c r="C746" s="4">
        <v>44656</v>
      </c>
      <c r="F746" s="4">
        <v>45139</v>
      </c>
      <c r="G746" t="s">
        <v>117</v>
      </c>
      <c r="H746" t="s">
        <v>1923</v>
      </c>
      <c r="K746" t="s">
        <v>83</v>
      </c>
      <c r="L746" t="s">
        <v>1259</v>
      </c>
      <c r="M746" t="s">
        <v>84</v>
      </c>
      <c r="N746" t="s">
        <v>31</v>
      </c>
      <c r="O746" t="s">
        <v>32</v>
      </c>
      <c r="P746" t="s">
        <v>1924</v>
      </c>
      <c r="Q746">
        <v>149.5</v>
      </c>
      <c r="R746">
        <v>149.5</v>
      </c>
      <c r="S746" t="s">
        <v>34</v>
      </c>
      <c r="T746" t="s">
        <v>35</v>
      </c>
      <c r="U746" t="s">
        <v>44</v>
      </c>
      <c r="V746" s="4">
        <v>46539</v>
      </c>
      <c r="W746">
        <v>149.5</v>
      </c>
      <c r="X746">
        <v>149.5</v>
      </c>
      <c r="Y746">
        <v>149.5</v>
      </c>
      <c r="Z746">
        <v>149.5</v>
      </c>
    </row>
    <row r="747" spans="1:26" hidden="1" x14ac:dyDescent="0.25">
      <c r="A747" t="s">
        <v>1925</v>
      </c>
      <c r="B747" t="s">
        <v>25</v>
      </c>
      <c r="C747" s="4">
        <v>44005</v>
      </c>
      <c r="F747" s="4">
        <v>45809</v>
      </c>
      <c r="G747" t="s">
        <v>1278</v>
      </c>
      <c r="H747" t="s">
        <v>1926</v>
      </c>
      <c r="K747" t="s">
        <v>28</v>
      </c>
      <c r="L747" t="s">
        <v>1259</v>
      </c>
      <c r="M747" t="s">
        <v>30</v>
      </c>
      <c r="N747" t="s">
        <v>31</v>
      </c>
      <c r="O747" t="s">
        <v>32</v>
      </c>
      <c r="P747" t="s">
        <v>1927</v>
      </c>
      <c r="Q747">
        <v>100</v>
      </c>
      <c r="R747">
        <v>100</v>
      </c>
      <c r="S747" t="s">
        <v>34</v>
      </c>
      <c r="T747" t="s">
        <v>35</v>
      </c>
      <c r="U747" t="s">
        <v>44</v>
      </c>
      <c r="V747" s="4">
        <v>46905</v>
      </c>
      <c r="W747">
        <v>100</v>
      </c>
      <c r="X747">
        <v>100</v>
      </c>
      <c r="Y747">
        <v>100</v>
      </c>
      <c r="Z747">
        <v>100</v>
      </c>
    </row>
    <row r="748" spans="1:26" hidden="1" x14ac:dyDescent="0.25">
      <c r="A748" t="s">
        <v>1928</v>
      </c>
      <c r="B748" t="s">
        <v>25</v>
      </c>
      <c r="C748" s="4">
        <v>44006</v>
      </c>
      <c r="F748" s="4">
        <v>45809</v>
      </c>
      <c r="G748" t="s">
        <v>1278</v>
      </c>
      <c r="H748" t="s">
        <v>1645</v>
      </c>
      <c r="K748" t="s">
        <v>28</v>
      </c>
      <c r="L748" t="s">
        <v>1259</v>
      </c>
      <c r="M748" t="s">
        <v>30</v>
      </c>
      <c r="N748" t="s">
        <v>31</v>
      </c>
      <c r="O748" t="s">
        <v>32</v>
      </c>
      <c r="P748" t="s">
        <v>1929</v>
      </c>
      <c r="Q748">
        <v>150</v>
      </c>
      <c r="R748">
        <v>150</v>
      </c>
      <c r="S748" t="s">
        <v>34</v>
      </c>
      <c r="T748" t="s">
        <v>35</v>
      </c>
      <c r="U748" t="s">
        <v>44</v>
      </c>
      <c r="V748" s="4">
        <v>46916</v>
      </c>
      <c r="W748">
        <v>150</v>
      </c>
      <c r="X748">
        <v>150</v>
      </c>
      <c r="Y748">
        <v>150</v>
      </c>
      <c r="Z748">
        <v>150</v>
      </c>
    </row>
    <row r="749" spans="1:26" hidden="1" x14ac:dyDescent="0.25">
      <c r="A749" t="s">
        <v>1930</v>
      </c>
      <c r="B749" t="s">
        <v>25</v>
      </c>
      <c r="C749" s="4">
        <v>44005</v>
      </c>
      <c r="F749" s="4">
        <v>44620</v>
      </c>
      <c r="G749" t="s">
        <v>1753</v>
      </c>
      <c r="H749" t="s">
        <v>1648</v>
      </c>
      <c r="K749" t="s">
        <v>114</v>
      </c>
      <c r="L749" t="s">
        <v>1259</v>
      </c>
      <c r="M749" t="s">
        <v>68</v>
      </c>
      <c r="N749" t="s">
        <v>31</v>
      </c>
      <c r="O749" t="s">
        <v>32</v>
      </c>
      <c r="P749" t="s">
        <v>1931</v>
      </c>
      <c r="Q749">
        <v>50</v>
      </c>
      <c r="R749">
        <v>50</v>
      </c>
      <c r="S749" t="s">
        <v>34</v>
      </c>
      <c r="T749" t="s">
        <v>35</v>
      </c>
      <c r="U749" t="s">
        <v>70</v>
      </c>
      <c r="V749" s="4">
        <v>45504</v>
      </c>
      <c r="W749">
        <v>50</v>
      </c>
      <c r="X749">
        <v>50</v>
      </c>
      <c r="Y749">
        <v>50</v>
      </c>
      <c r="Z749">
        <v>50</v>
      </c>
    </row>
    <row r="750" spans="1:26" hidden="1" x14ac:dyDescent="0.25">
      <c r="A750" t="s">
        <v>1932</v>
      </c>
      <c r="B750" t="s">
        <v>25</v>
      </c>
      <c r="C750" s="4">
        <v>44029</v>
      </c>
      <c r="E750" s="4">
        <v>44894</v>
      </c>
      <c r="F750" s="4">
        <v>45153</v>
      </c>
      <c r="G750" t="s">
        <v>1753</v>
      </c>
      <c r="H750" t="s">
        <v>1933</v>
      </c>
      <c r="K750" t="s">
        <v>114</v>
      </c>
      <c r="L750" t="s">
        <v>1259</v>
      </c>
      <c r="M750" t="s">
        <v>68</v>
      </c>
      <c r="N750" t="s">
        <v>31</v>
      </c>
      <c r="O750" t="s">
        <v>32</v>
      </c>
      <c r="P750" t="s">
        <v>1934</v>
      </c>
      <c r="Q750">
        <v>100</v>
      </c>
      <c r="R750">
        <v>100</v>
      </c>
      <c r="S750" t="s">
        <v>34</v>
      </c>
      <c r="T750" t="s">
        <v>35</v>
      </c>
      <c r="U750" t="s">
        <v>44</v>
      </c>
      <c r="V750" s="4">
        <v>45748</v>
      </c>
      <c r="W750">
        <v>100</v>
      </c>
      <c r="X750">
        <v>100</v>
      </c>
      <c r="Y750">
        <v>100</v>
      </c>
      <c r="Z750">
        <v>100</v>
      </c>
    </row>
    <row r="751" spans="1:26" hidden="1" x14ac:dyDescent="0.25">
      <c r="A751" t="s">
        <v>1935</v>
      </c>
      <c r="B751" t="s">
        <v>38</v>
      </c>
      <c r="C751" s="4">
        <v>44006</v>
      </c>
      <c r="D751" s="4">
        <v>44538</v>
      </c>
      <c r="F751" s="4">
        <v>44774</v>
      </c>
      <c r="G751" t="s">
        <v>144</v>
      </c>
      <c r="H751" t="s">
        <v>1399</v>
      </c>
      <c r="K751" t="s">
        <v>146</v>
      </c>
      <c r="L751" t="s">
        <v>1259</v>
      </c>
      <c r="M751" t="s">
        <v>68</v>
      </c>
      <c r="N751" t="s">
        <v>31</v>
      </c>
      <c r="O751" t="s">
        <v>32</v>
      </c>
      <c r="P751" t="s">
        <v>1936</v>
      </c>
      <c r="Q751">
        <v>50</v>
      </c>
      <c r="R751">
        <v>50</v>
      </c>
      <c r="S751" t="s">
        <v>597</v>
      </c>
      <c r="T751" t="s">
        <v>598</v>
      </c>
      <c r="U751" t="s">
        <v>44</v>
      </c>
      <c r="W751">
        <v>0</v>
      </c>
      <c r="X751">
        <v>0</v>
      </c>
      <c r="Y751">
        <v>0</v>
      </c>
      <c r="Z751">
        <v>0</v>
      </c>
    </row>
    <row r="752" spans="1:26" hidden="1" x14ac:dyDescent="0.25">
      <c r="A752" t="s">
        <v>1937</v>
      </c>
      <c r="B752" t="s">
        <v>25</v>
      </c>
      <c r="C752" s="4">
        <v>44657</v>
      </c>
      <c r="F752" s="4">
        <v>45139</v>
      </c>
      <c r="G752" t="s">
        <v>1278</v>
      </c>
      <c r="H752" t="s">
        <v>1938</v>
      </c>
      <c r="K752" t="s">
        <v>53</v>
      </c>
      <c r="L752" t="s">
        <v>1259</v>
      </c>
      <c r="M752" t="s">
        <v>30</v>
      </c>
      <c r="N752" t="s">
        <v>31</v>
      </c>
      <c r="O752" t="s">
        <v>32</v>
      </c>
      <c r="P752" t="s">
        <v>1345</v>
      </c>
      <c r="Q752">
        <v>149.69999999999999</v>
      </c>
      <c r="R752">
        <v>149.69999999999999</v>
      </c>
      <c r="S752" t="s">
        <v>34</v>
      </c>
      <c r="T752" t="s">
        <v>35</v>
      </c>
      <c r="U752" t="s">
        <v>70</v>
      </c>
      <c r="V752" s="4">
        <v>46235</v>
      </c>
      <c r="W752">
        <v>149.69999999999999</v>
      </c>
      <c r="X752">
        <v>149.69999999999999</v>
      </c>
      <c r="Y752">
        <v>149.69999999999999</v>
      </c>
      <c r="Z752">
        <v>149.69999999999999</v>
      </c>
    </row>
    <row r="753" spans="1:26" hidden="1" x14ac:dyDescent="0.25">
      <c r="A753" t="s">
        <v>1939</v>
      </c>
      <c r="B753" t="s">
        <v>25</v>
      </c>
      <c r="C753" s="4">
        <v>44657</v>
      </c>
      <c r="F753" s="4">
        <v>45139</v>
      </c>
      <c r="G753" t="s">
        <v>1278</v>
      </c>
      <c r="H753" t="s">
        <v>1315</v>
      </c>
      <c r="K753" t="s">
        <v>28</v>
      </c>
      <c r="L753" t="s">
        <v>1259</v>
      </c>
      <c r="M753" t="s">
        <v>30</v>
      </c>
      <c r="N753" t="s">
        <v>31</v>
      </c>
      <c r="O753" t="s">
        <v>32</v>
      </c>
      <c r="P753" t="s">
        <v>1940</v>
      </c>
      <c r="Q753">
        <v>150.5</v>
      </c>
      <c r="R753">
        <v>150.5</v>
      </c>
      <c r="S753" t="s">
        <v>34</v>
      </c>
      <c r="T753" t="s">
        <v>35</v>
      </c>
      <c r="U753" t="s">
        <v>44</v>
      </c>
      <c r="V753" s="4">
        <v>46144</v>
      </c>
      <c r="W753">
        <v>150.5</v>
      </c>
      <c r="X753">
        <v>150.5</v>
      </c>
      <c r="Y753">
        <v>150.5</v>
      </c>
      <c r="Z753">
        <v>150.5</v>
      </c>
    </row>
    <row r="754" spans="1:26" hidden="1" x14ac:dyDescent="0.25">
      <c r="A754" t="s">
        <v>1941</v>
      </c>
      <c r="B754" t="s">
        <v>25</v>
      </c>
      <c r="C754" s="4">
        <v>44687</v>
      </c>
      <c r="F754" s="4">
        <v>45139</v>
      </c>
      <c r="G754" t="s">
        <v>1278</v>
      </c>
      <c r="H754" t="s">
        <v>1493</v>
      </c>
      <c r="K754" t="s">
        <v>28</v>
      </c>
      <c r="L754" t="s">
        <v>1259</v>
      </c>
      <c r="M754" t="s">
        <v>30</v>
      </c>
      <c r="N754" t="s">
        <v>31</v>
      </c>
      <c r="O754" t="s">
        <v>32</v>
      </c>
      <c r="P754" t="s">
        <v>1942</v>
      </c>
      <c r="Q754">
        <v>148.1</v>
      </c>
      <c r="R754">
        <v>148.1</v>
      </c>
      <c r="S754" t="s">
        <v>34</v>
      </c>
      <c r="T754" t="s">
        <v>35</v>
      </c>
      <c r="U754" t="s">
        <v>70</v>
      </c>
      <c r="V754" s="4">
        <v>46235</v>
      </c>
      <c r="W754">
        <v>148.1</v>
      </c>
      <c r="X754">
        <v>148.1</v>
      </c>
      <c r="Y754">
        <v>148.1</v>
      </c>
      <c r="Z754">
        <v>148.1</v>
      </c>
    </row>
    <row r="755" spans="1:26" hidden="1" x14ac:dyDescent="0.25">
      <c r="A755" t="s">
        <v>1943</v>
      </c>
      <c r="B755" t="s">
        <v>38</v>
      </c>
      <c r="C755" s="4">
        <v>44005</v>
      </c>
      <c r="D755" s="4">
        <v>44166</v>
      </c>
      <c r="F755" s="4">
        <v>45444</v>
      </c>
      <c r="G755" t="s">
        <v>1278</v>
      </c>
      <c r="H755" t="s">
        <v>1838</v>
      </c>
      <c r="K755" t="s">
        <v>28</v>
      </c>
      <c r="L755" t="s">
        <v>1259</v>
      </c>
      <c r="M755" t="s">
        <v>30</v>
      </c>
      <c r="N755" t="s">
        <v>31</v>
      </c>
      <c r="O755" t="s">
        <v>32</v>
      </c>
      <c r="P755" t="s">
        <v>1944</v>
      </c>
      <c r="Q755">
        <v>300</v>
      </c>
      <c r="R755">
        <v>300</v>
      </c>
      <c r="S755" t="s">
        <v>34</v>
      </c>
      <c r="T755" t="s">
        <v>35</v>
      </c>
      <c r="U755" t="s">
        <v>44</v>
      </c>
      <c r="W755">
        <v>0</v>
      </c>
      <c r="X755">
        <v>0</v>
      </c>
      <c r="Y755">
        <v>0</v>
      </c>
      <c r="Z755">
        <v>0</v>
      </c>
    </row>
    <row r="756" spans="1:26" hidden="1" x14ac:dyDescent="0.25">
      <c r="A756" t="s">
        <v>1945</v>
      </c>
      <c r="B756" t="s">
        <v>38</v>
      </c>
      <c r="C756" s="4">
        <v>44007</v>
      </c>
      <c r="D756" s="4">
        <v>44907</v>
      </c>
      <c r="F756" s="4">
        <v>45017</v>
      </c>
      <c r="G756" t="s">
        <v>173</v>
      </c>
      <c r="H756" t="s">
        <v>1946</v>
      </c>
      <c r="K756" t="s">
        <v>185</v>
      </c>
      <c r="L756" t="s">
        <v>1259</v>
      </c>
      <c r="M756" t="s">
        <v>42</v>
      </c>
      <c r="N756" t="s">
        <v>31</v>
      </c>
      <c r="O756" t="s">
        <v>32</v>
      </c>
      <c r="P756" t="s">
        <v>1947</v>
      </c>
      <c r="Q756">
        <v>200</v>
      </c>
      <c r="R756">
        <v>200</v>
      </c>
      <c r="S756" t="s">
        <v>56</v>
      </c>
      <c r="T756" t="s">
        <v>57</v>
      </c>
      <c r="U756" t="s">
        <v>44</v>
      </c>
      <c r="W756">
        <v>200</v>
      </c>
      <c r="X756">
        <v>200</v>
      </c>
      <c r="Y756">
        <v>0</v>
      </c>
      <c r="Z756">
        <v>0</v>
      </c>
    </row>
    <row r="757" spans="1:26" hidden="1" x14ac:dyDescent="0.25">
      <c r="A757" t="s">
        <v>1948</v>
      </c>
      <c r="B757" t="s">
        <v>25</v>
      </c>
      <c r="C757" s="4">
        <v>44007</v>
      </c>
      <c r="F757" s="4">
        <v>44774</v>
      </c>
      <c r="G757" t="s">
        <v>117</v>
      </c>
      <c r="H757" t="s">
        <v>1949</v>
      </c>
      <c r="K757" t="s">
        <v>83</v>
      </c>
      <c r="L757" t="s">
        <v>1259</v>
      </c>
      <c r="M757" t="s">
        <v>84</v>
      </c>
      <c r="N757" t="s">
        <v>31</v>
      </c>
      <c r="O757" t="s">
        <v>32</v>
      </c>
      <c r="P757" t="s">
        <v>1950</v>
      </c>
      <c r="Q757">
        <v>147.19999999999999</v>
      </c>
      <c r="R757">
        <v>147.19999999999999</v>
      </c>
      <c r="S757" t="s">
        <v>56</v>
      </c>
      <c r="T757" t="s">
        <v>57</v>
      </c>
      <c r="U757" t="s">
        <v>44</v>
      </c>
      <c r="V757" s="4">
        <v>45870</v>
      </c>
      <c r="W757">
        <v>147.19</v>
      </c>
      <c r="X757">
        <v>147.19</v>
      </c>
      <c r="Y757">
        <v>147.19</v>
      </c>
      <c r="Z757">
        <v>147.19</v>
      </c>
    </row>
    <row r="758" spans="1:26" hidden="1" x14ac:dyDescent="0.25">
      <c r="A758" t="s">
        <v>1951</v>
      </c>
      <c r="B758" t="s">
        <v>38</v>
      </c>
      <c r="C758" s="4">
        <v>44007</v>
      </c>
      <c r="D758" s="4">
        <v>45124</v>
      </c>
      <c r="F758" s="4">
        <v>45016</v>
      </c>
      <c r="G758" t="s">
        <v>1257</v>
      </c>
      <c r="H758" t="s">
        <v>1821</v>
      </c>
      <c r="K758" t="s">
        <v>98</v>
      </c>
      <c r="L758" t="s">
        <v>1259</v>
      </c>
      <c r="M758" t="s">
        <v>84</v>
      </c>
      <c r="N758" t="s">
        <v>31</v>
      </c>
      <c r="O758" t="s">
        <v>32</v>
      </c>
      <c r="P758" t="s">
        <v>1952</v>
      </c>
      <c r="Q758">
        <v>309</v>
      </c>
      <c r="R758">
        <v>309</v>
      </c>
      <c r="S758" t="s">
        <v>597</v>
      </c>
      <c r="T758" t="s">
        <v>598</v>
      </c>
      <c r="U758" t="s">
        <v>44</v>
      </c>
      <c r="W758">
        <v>0</v>
      </c>
      <c r="X758">
        <v>0</v>
      </c>
      <c r="Y758">
        <v>0</v>
      </c>
      <c r="Z758">
        <v>0</v>
      </c>
    </row>
    <row r="759" spans="1:26" hidden="1" x14ac:dyDescent="0.25">
      <c r="A759" t="s">
        <v>1953</v>
      </c>
      <c r="B759" t="s">
        <v>38</v>
      </c>
      <c r="C759" s="4">
        <v>44006</v>
      </c>
      <c r="D759" s="4">
        <v>44179</v>
      </c>
      <c r="F759" s="4">
        <v>45036</v>
      </c>
      <c r="G759" t="s">
        <v>132</v>
      </c>
      <c r="H759" t="s">
        <v>1954</v>
      </c>
      <c r="K759" t="s">
        <v>83</v>
      </c>
      <c r="L759" t="s">
        <v>1259</v>
      </c>
      <c r="M759" t="s">
        <v>84</v>
      </c>
      <c r="N759" t="s">
        <v>31</v>
      </c>
      <c r="O759" t="s">
        <v>32</v>
      </c>
      <c r="P759" t="s">
        <v>1955</v>
      </c>
      <c r="Q759">
        <v>300</v>
      </c>
      <c r="R759">
        <v>300</v>
      </c>
      <c r="S759" t="s">
        <v>56</v>
      </c>
      <c r="T759" t="s">
        <v>57</v>
      </c>
      <c r="U759" t="s">
        <v>44</v>
      </c>
      <c r="W759">
        <v>0</v>
      </c>
      <c r="X759">
        <v>0</v>
      </c>
      <c r="Y759">
        <v>0</v>
      </c>
      <c r="Z759">
        <v>0</v>
      </c>
    </row>
    <row r="760" spans="1:26" hidden="1" x14ac:dyDescent="0.25">
      <c r="A760" t="s">
        <v>1956</v>
      </c>
      <c r="B760" t="s">
        <v>38</v>
      </c>
      <c r="C760" s="4">
        <v>44006</v>
      </c>
      <c r="D760" s="4">
        <v>44112</v>
      </c>
      <c r="F760" s="4">
        <v>45261</v>
      </c>
      <c r="G760" t="s">
        <v>39</v>
      </c>
      <c r="H760" t="s">
        <v>1957</v>
      </c>
      <c r="K760" t="s">
        <v>185</v>
      </c>
      <c r="L760" t="s">
        <v>1259</v>
      </c>
      <c r="M760" t="s">
        <v>42</v>
      </c>
      <c r="N760" t="s">
        <v>31</v>
      </c>
      <c r="O760" t="s">
        <v>32</v>
      </c>
      <c r="P760" t="s">
        <v>1958</v>
      </c>
      <c r="Q760">
        <v>42</v>
      </c>
      <c r="R760">
        <v>42</v>
      </c>
      <c r="S760" t="s">
        <v>56</v>
      </c>
      <c r="T760" t="s">
        <v>57</v>
      </c>
      <c r="U760" t="s">
        <v>44</v>
      </c>
      <c r="W760">
        <v>0</v>
      </c>
      <c r="X760">
        <v>0</v>
      </c>
      <c r="Y760">
        <v>0</v>
      </c>
      <c r="Z760">
        <v>0</v>
      </c>
    </row>
    <row r="761" spans="1:26" hidden="1" x14ac:dyDescent="0.25">
      <c r="A761" t="s">
        <v>1959</v>
      </c>
      <c r="B761" t="s">
        <v>25</v>
      </c>
      <c r="C761" s="4">
        <v>44005</v>
      </c>
      <c r="F761" s="4">
        <v>45306</v>
      </c>
      <c r="G761" t="s">
        <v>1108</v>
      </c>
      <c r="H761" t="s">
        <v>1756</v>
      </c>
      <c r="K761" t="s">
        <v>146</v>
      </c>
      <c r="L761" t="s">
        <v>1259</v>
      </c>
      <c r="M761" t="s">
        <v>68</v>
      </c>
      <c r="N761" t="s">
        <v>31</v>
      </c>
      <c r="O761" t="s">
        <v>32</v>
      </c>
      <c r="P761" t="s">
        <v>1960</v>
      </c>
      <c r="Q761">
        <v>0</v>
      </c>
      <c r="R761">
        <v>0</v>
      </c>
      <c r="S761" t="s">
        <v>159</v>
      </c>
      <c r="T761" t="s">
        <v>159</v>
      </c>
      <c r="U761" t="s">
        <v>44</v>
      </c>
      <c r="V761" s="4">
        <v>45717</v>
      </c>
      <c r="W761">
        <v>0</v>
      </c>
      <c r="X761">
        <v>0</v>
      </c>
      <c r="Y761">
        <v>0</v>
      </c>
      <c r="Z761">
        <v>0</v>
      </c>
    </row>
    <row r="762" spans="1:26" hidden="1" x14ac:dyDescent="0.25">
      <c r="A762" t="s">
        <v>1961</v>
      </c>
      <c r="B762" t="s">
        <v>25</v>
      </c>
      <c r="C762" s="4">
        <v>43997</v>
      </c>
      <c r="E762" s="4">
        <v>44944</v>
      </c>
      <c r="F762" s="4">
        <v>45200</v>
      </c>
      <c r="G762" t="s">
        <v>1749</v>
      </c>
      <c r="H762" t="s">
        <v>1962</v>
      </c>
      <c r="K762" t="s">
        <v>151</v>
      </c>
      <c r="L762" t="s">
        <v>1259</v>
      </c>
      <c r="M762" t="s">
        <v>68</v>
      </c>
      <c r="N762" t="s">
        <v>31</v>
      </c>
      <c r="O762" t="s">
        <v>32</v>
      </c>
      <c r="P762" t="s">
        <v>1963</v>
      </c>
      <c r="Q762">
        <v>205</v>
      </c>
      <c r="R762">
        <v>205</v>
      </c>
      <c r="S762" t="s">
        <v>34</v>
      </c>
      <c r="T762" t="s">
        <v>35</v>
      </c>
      <c r="U762" t="s">
        <v>44</v>
      </c>
      <c r="V762" s="4">
        <v>45078</v>
      </c>
      <c r="W762">
        <v>215</v>
      </c>
      <c r="X762">
        <v>60</v>
      </c>
      <c r="Y762">
        <v>205</v>
      </c>
      <c r="Z762">
        <v>60</v>
      </c>
    </row>
    <row r="763" spans="1:26" hidden="1" x14ac:dyDescent="0.25">
      <c r="A763" t="s">
        <v>1964</v>
      </c>
      <c r="B763" t="s">
        <v>38</v>
      </c>
      <c r="C763" s="4">
        <v>44006</v>
      </c>
      <c r="D763" s="4">
        <v>44112</v>
      </c>
      <c r="F763" s="4">
        <v>45261</v>
      </c>
      <c r="G763" t="s">
        <v>39</v>
      </c>
      <c r="H763" t="s">
        <v>1957</v>
      </c>
      <c r="K763" t="s">
        <v>185</v>
      </c>
      <c r="L763" t="s">
        <v>1259</v>
      </c>
      <c r="M763" t="s">
        <v>42</v>
      </c>
      <c r="N763" t="s">
        <v>31</v>
      </c>
      <c r="O763" t="s">
        <v>251</v>
      </c>
      <c r="P763" t="s">
        <v>1965</v>
      </c>
      <c r="Q763">
        <v>39</v>
      </c>
      <c r="R763">
        <v>39</v>
      </c>
      <c r="S763" t="s">
        <v>56</v>
      </c>
      <c r="T763" t="s">
        <v>57</v>
      </c>
      <c r="U763" t="s">
        <v>44</v>
      </c>
      <c r="W763">
        <v>0</v>
      </c>
      <c r="X763">
        <v>0</v>
      </c>
      <c r="Y763">
        <v>0</v>
      </c>
      <c r="Z763">
        <v>0</v>
      </c>
    </row>
    <row r="764" spans="1:26" hidden="1" x14ac:dyDescent="0.25">
      <c r="A764" t="s">
        <v>1966</v>
      </c>
      <c r="B764" t="s">
        <v>38</v>
      </c>
      <c r="C764" s="4">
        <v>44006</v>
      </c>
      <c r="D764" s="4">
        <v>44246</v>
      </c>
      <c r="F764" s="4">
        <v>45184</v>
      </c>
      <c r="G764" t="s">
        <v>1278</v>
      </c>
      <c r="H764" t="s">
        <v>1967</v>
      </c>
      <c r="K764" t="s">
        <v>53</v>
      </c>
      <c r="L764" t="s">
        <v>1259</v>
      </c>
      <c r="M764" t="s">
        <v>30</v>
      </c>
      <c r="N764" t="s">
        <v>31</v>
      </c>
      <c r="O764" t="s">
        <v>32</v>
      </c>
      <c r="P764" t="s">
        <v>1968</v>
      </c>
      <c r="Q764">
        <v>22.5</v>
      </c>
      <c r="R764">
        <v>22.5</v>
      </c>
      <c r="S764" t="s">
        <v>34</v>
      </c>
      <c r="T764" t="s">
        <v>35</v>
      </c>
      <c r="U764" t="s">
        <v>44</v>
      </c>
      <c r="W764">
        <v>0</v>
      </c>
      <c r="X764">
        <v>0</v>
      </c>
      <c r="Y764">
        <v>0</v>
      </c>
      <c r="Z764">
        <v>0</v>
      </c>
    </row>
    <row r="765" spans="1:26" hidden="1" x14ac:dyDescent="0.25">
      <c r="A765" t="s">
        <v>1969</v>
      </c>
      <c r="B765" t="s">
        <v>38</v>
      </c>
      <c r="C765" s="4">
        <v>44007</v>
      </c>
      <c r="D765" s="4">
        <v>44186</v>
      </c>
      <c r="F765" s="4">
        <v>45261</v>
      </c>
      <c r="G765" t="s">
        <v>177</v>
      </c>
      <c r="H765" t="s">
        <v>1970</v>
      </c>
      <c r="K765" t="s">
        <v>185</v>
      </c>
      <c r="L765" t="s">
        <v>1259</v>
      </c>
      <c r="M765" t="s">
        <v>42</v>
      </c>
      <c r="N765" t="s">
        <v>31</v>
      </c>
      <c r="O765" t="s">
        <v>1110</v>
      </c>
      <c r="P765" t="s">
        <v>1971</v>
      </c>
      <c r="Q765">
        <v>33</v>
      </c>
      <c r="R765">
        <v>33</v>
      </c>
      <c r="S765" t="s">
        <v>56</v>
      </c>
      <c r="T765" t="s">
        <v>57</v>
      </c>
      <c r="U765" t="s">
        <v>44</v>
      </c>
      <c r="W765">
        <v>0</v>
      </c>
      <c r="X765">
        <v>0</v>
      </c>
      <c r="Y765">
        <v>0</v>
      </c>
      <c r="Z765">
        <v>0</v>
      </c>
    </row>
    <row r="766" spans="1:26" hidden="1" x14ac:dyDescent="0.25">
      <c r="A766" t="s">
        <v>1972</v>
      </c>
      <c r="B766" t="s">
        <v>38</v>
      </c>
      <c r="C766" s="4">
        <v>44006</v>
      </c>
      <c r="D766" s="4">
        <v>44166</v>
      </c>
      <c r="F766" s="4">
        <v>45170</v>
      </c>
      <c r="G766" t="s">
        <v>1973</v>
      </c>
      <c r="H766" t="s">
        <v>1813</v>
      </c>
      <c r="K766" t="s">
        <v>109</v>
      </c>
      <c r="L766" t="s">
        <v>1259</v>
      </c>
      <c r="M766" t="s">
        <v>84</v>
      </c>
      <c r="N766" t="s">
        <v>31</v>
      </c>
      <c r="O766" t="s">
        <v>32</v>
      </c>
      <c r="P766" t="s">
        <v>1974</v>
      </c>
      <c r="Q766">
        <v>125</v>
      </c>
      <c r="R766">
        <v>125</v>
      </c>
      <c r="S766" t="s">
        <v>34</v>
      </c>
      <c r="T766" t="s">
        <v>35</v>
      </c>
      <c r="U766" t="s">
        <v>44</v>
      </c>
      <c r="W766">
        <v>0</v>
      </c>
      <c r="X766">
        <v>0</v>
      </c>
      <c r="Y766">
        <v>0</v>
      </c>
      <c r="Z766">
        <v>0</v>
      </c>
    </row>
    <row r="767" spans="1:26" hidden="1" x14ac:dyDescent="0.25">
      <c r="A767" t="s">
        <v>1975</v>
      </c>
      <c r="B767" t="s">
        <v>38</v>
      </c>
      <c r="C767" s="4">
        <v>43993</v>
      </c>
      <c r="D767" s="4">
        <v>45124</v>
      </c>
      <c r="F767" s="4">
        <v>45200</v>
      </c>
      <c r="G767" t="s">
        <v>101</v>
      </c>
      <c r="H767" t="s">
        <v>1634</v>
      </c>
      <c r="K767" t="s">
        <v>98</v>
      </c>
      <c r="L767" t="s">
        <v>1259</v>
      </c>
      <c r="M767" t="s">
        <v>84</v>
      </c>
      <c r="N767" t="s">
        <v>31</v>
      </c>
      <c r="O767" t="s">
        <v>32</v>
      </c>
      <c r="P767" t="s">
        <v>1976</v>
      </c>
      <c r="Q767">
        <v>93.2</v>
      </c>
      <c r="R767">
        <v>93.2</v>
      </c>
      <c r="S767" t="s">
        <v>34</v>
      </c>
      <c r="T767" t="s">
        <v>35</v>
      </c>
      <c r="U767" t="s">
        <v>44</v>
      </c>
      <c r="W767">
        <v>0</v>
      </c>
      <c r="X767">
        <v>0</v>
      </c>
      <c r="Y767">
        <v>0</v>
      </c>
      <c r="Z767">
        <v>0</v>
      </c>
    </row>
    <row r="768" spans="1:26" hidden="1" x14ac:dyDescent="0.25">
      <c r="A768" t="s">
        <v>1977</v>
      </c>
      <c r="B768" t="s">
        <v>38</v>
      </c>
      <c r="C768" s="4">
        <v>44006</v>
      </c>
      <c r="D768" s="4">
        <v>44517</v>
      </c>
      <c r="F768" s="4">
        <v>45214</v>
      </c>
      <c r="G768" t="s">
        <v>183</v>
      </c>
      <c r="H768" t="s">
        <v>1978</v>
      </c>
      <c r="K768" t="s">
        <v>1979</v>
      </c>
      <c r="L768" t="s">
        <v>1259</v>
      </c>
      <c r="M768" t="s">
        <v>42</v>
      </c>
      <c r="N768" t="s">
        <v>31</v>
      </c>
      <c r="O768" t="s">
        <v>32</v>
      </c>
      <c r="P768" t="s">
        <v>1980</v>
      </c>
      <c r="Q768">
        <v>20</v>
      </c>
      <c r="R768">
        <v>20</v>
      </c>
      <c r="S768" t="s">
        <v>597</v>
      </c>
      <c r="T768" t="s">
        <v>598</v>
      </c>
      <c r="U768" t="s">
        <v>44</v>
      </c>
      <c r="W768">
        <v>0</v>
      </c>
      <c r="X768">
        <v>0</v>
      </c>
      <c r="Y768">
        <v>0</v>
      </c>
      <c r="Z768">
        <v>0</v>
      </c>
    </row>
    <row r="769" spans="1:26" hidden="1" x14ac:dyDescent="0.25">
      <c r="A769" t="s">
        <v>1981</v>
      </c>
      <c r="B769" t="s">
        <v>38</v>
      </c>
      <c r="C769" s="4">
        <v>44007</v>
      </c>
      <c r="D769" s="4">
        <v>44112</v>
      </c>
      <c r="F769" s="4">
        <v>45261</v>
      </c>
      <c r="G769" t="s">
        <v>72</v>
      </c>
      <c r="H769" t="s">
        <v>1668</v>
      </c>
      <c r="K769" t="s">
        <v>209</v>
      </c>
      <c r="L769" t="s">
        <v>1259</v>
      </c>
      <c r="M769" t="s">
        <v>42</v>
      </c>
      <c r="N769" t="s">
        <v>31</v>
      </c>
      <c r="O769" t="s">
        <v>1110</v>
      </c>
      <c r="P769" t="s">
        <v>1982</v>
      </c>
      <c r="Q769">
        <v>37</v>
      </c>
      <c r="R769">
        <v>37</v>
      </c>
      <c r="S769" t="s">
        <v>56</v>
      </c>
      <c r="T769" t="s">
        <v>57</v>
      </c>
      <c r="U769" t="s">
        <v>44</v>
      </c>
      <c r="W769">
        <v>0</v>
      </c>
      <c r="X769">
        <v>0</v>
      </c>
      <c r="Y769">
        <v>0</v>
      </c>
      <c r="Z769">
        <v>0</v>
      </c>
    </row>
    <row r="770" spans="1:26" hidden="1" x14ac:dyDescent="0.25">
      <c r="A770" t="s">
        <v>1983</v>
      </c>
      <c r="B770" t="s">
        <v>38</v>
      </c>
      <c r="C770" s="4">
        <v>43998</v>
      </c>
      <c r="D770" s="4">
        <v>44183</v>
      </c>
      <c r="F770" s="4">
        <v>45017</v>
      </c>
      <c r="G770" t="s">
        <v>101</v>
      </c>
      <c r="H770" t="s">
        <v>1629</v>
      </c>
      <c r="K770" t="s">
        <v>98</v>
      </c>
      <c r="L770" t="s">
        <v>1259</v>
      </c>
      <c r="M770" t="s">
        <v>84</v>
      </c>
      <c r="N770" t="s">
        <v>31</v>
      </c>
      <c r="O770" t="s">
        <v>32</v>
      </c>
      <c r="P770" t="s">
        <v>1984</v>
      </c>
      <c r="Q770">
        <v>200</v>
      </c>
      <c r="R770">
        <v>200</v>
      </c>
      <c r="S770" t="s">
        <v>34</v>
      </c>
      <c r="T770" t="s">
        <v>35</v>
      </c>
      <c r="U770" t="s">
        <v>44</v>
      </c>
      <c r="W770">
        <v>0</v>
      </c>
      <c r="X770">
        <v>0</v>
      </c>
      <c r="Y770">
        <v>0</v>
      </c>
      <c r="Z770">
        <v>0</v>
      </c>
    </row>
    <row r="771" spans="1:26" hidden="1" x14ac:dyDescent="0.25">
      <c r="A771" t="s">
        <v>1985</v>
      </c>
      <c r="B771" t="s">
        <v>25</v>
      </c>
      <c r="C771" s="4">
        <v>44007</v>
      </c>
      <c r="F771" s="4">
        <v>45200</v>
      </c>
      <c r="G771" t="s">
        <v>1294</v>
      </c>
      <c r="H771" t="s">
        <v>1986</v>
      </c>
      <c r="K771" t="s">
        <v>209</v>
      </c>
      <c r="L771" t="s">
        <v>1259</v>
      </c>
      <c r="M771" t="s">
        <v>42</v>
      </c>
      <c r="N771" t="s">
        <v>31</v>
      </c>
      <c r="O771" t="s">
        <v>32</v>
      </c>
      <c r="P771" t="s">
        <v>1987</v>
      </c>
      <c r="Q771">
        <v>120</v>
      </c>
      <c r="R771">
        <v>120</v>
      </c>
      <c r="S771" t="s">
        <v>56</v>
      </c>
      <c r="T771" t="s">
        <v>57</v>
      </c>
      <c r="U771" t="s">
        <v>44</v>
      </c>
      <c r="V771" s="4">
        <v>46266</v>
      </c>
      <c r="W771">
        <v>80</v>
      </c>
      <c r="X771">
        <v>0</v>
      </c>
      <c r="Y771">
        <v>80</v>
      </c>
      <c r="Z771">
        <v>0</v>
      </c>
    </row>
    <row r="772" spans="1:26" hidden="1" x14ac:dyDescent="0.25">
      <c r="A772" t="s">
        <v>1988</v>
      </c>
      <c r="B772" t="s">
        <v>38</v>
      </c>
      <c r="C772" s="4">
        <v>44001</v>
      </c>
      <c r="D772" s="4">
        <v>45538</v>
      </c>
      <c r="F772" s="4">
        <v>45596</v>
      </c>
      <c r="G772" t="s">
        <v>117</v>
      </c>
      <c r="H772" t="s">
        <v>1611</v>
      </c>
      <c r="K772" t="s">
        <v>83</v>
      </c>
      <c r="L772" t="s">
        <v>1259</v>
      </c>
      <c r="M772" t="s">
        <v>84</v>
      </c>
      <c r="N772" t="s">
        <v>31</v>
      </c>
      <c r="O772" t="s">
        <v>122</v>
      </c>
      <c r="P772" t="s">
        <v>1989</v>
      </c>
      <c r="Q772">
        <v>150</v>
      </c>
      <c r="R772">
        <v>150</v>
      </c>
      <c r="S772" t="s">
        <v>56</v>
      </c>
      <c r="T772" t="s">
        <v>57</v>
      </c>
      <c r="U772" t="s">
        <v>44</v>
      </c>
      <c r="W772">
        <v>150</v>
      </c>
      <c r="X772">
        <v>0</v>
      </c>
      <c r="Y772">
        <v>0</v>
      </c>
      <c r="Z772">
        <v>0</v>
      </c>
    </row>
    <row r="773" spans="1:26" hidden="1" x14ac:dyDescent="0.25">
      <c r="A773" t="s">
        <v>1990</v>
      </c>
      <c r="B773" t="s">
        <v>38</v>
      </c>
      <c r="C773" s="4">
        <v>44007</v>
      </c>
      <c r="D773" s="4">
        <v>44270</v>
      </c>
      <c r="F773" s="4">
        <v>45139</v>
      </c>
      <c r="G773" t="s">
        <v>117</v>
      </c>
      <c r="H773" t="s">
        <v>1923</v>
      </c>
      <c r="K773" t="s">
        <v>83</v>
      </c>
      <c r="L773" t="s">
        <v>1259</v>
      </c>
      <c r="M773" t="s">
        <v>84</v>
      </c>
      <c r="N773" t="s">
        <v>31</v>
      </c>
      <c r="O773" t="s">
        <v>32</v>
      </c>
      <c r="P773" t="s">
        <v>1991</v>
      </c>
      <c r="Q773">
        <v>197.3</v>
      </c>
      <c r="R773">
        <v>197.3</v>
      </c>
      <c r="S773" t="s">
        <v>34</v>
      </c>
      <c r="T773" t="s">
        <v>35</v>
      </c>
      <c r="U773" t="s">
        <v>44</v>
      </c>
      <c r="W773">
        <v>0</v>
      </c>
      <c r="X773">
        <v>0</v>
      </c>
      <c r="Y773">
        <v>0</v>
      </c>
      <c r="Z773">
        <v>0</v>
      </c>
    </row>
    <row r="774" spans="1:26" hidden="1" x14ac:dyDescent="0.25">
      <c r="A774" t="s">
        <v>1992</v>
      </c>
      <c r="B774" t="s">
        <v>25</v>
      </c>
      <c r="C774" s="4">
        <v>44004</v>
      </c>
      <c r="F774" s="4">
        <v>45169</v>
      </c>
      <c r="G774" t="s">
        <v>1690</v>
      </c>
      <c r="H774" t="s">
        <v>1640</v>
      </c>
      <c r="K774" t="s">
        <v>98</v>
      </c>
      <c r="L774" t="s">
        <v>1259</v>
      </c>
      <c r="M774" t="s">
        <v>84</v>
      </c>
      <c r="N774" t="s">
        <v>31</v>
      </c>
      <c r="O774" t="s">
        <v>32</v>
      </c>
      <c r="P774" t="s">
        <v>1641</v>
      </c>
      <c r="Q774">
        <v>200</v>
      </c>
      <c r="R774">
        <v>200</v>
      </c>
      <c r="S774" t="s">
        <v>34</v>
      </c>
      <c r="T774" t="s">
        <v>35</v>
      </c>
      <c r="U774" t="s">
        <v>44</v>
      </c>
      <c r="V774" s="4">
        <v>46112</v>
      </c>
      <c r="W774">
        <v>200</v>
      </c>
      <c r="X774">
        <v>200</v>
      </c>
      <c r="Y774">
        <v>200</v>
      </c>
      <c r="Z774">
        <v>200</v>
      </c>
    </row>
    <row r="775" spans="1:26" hidden="1" x14ac:dyDescent="0.25">
      <c r="A775" t="s">
        <v>1993</v>
      </c>
      <c r="B775" t="s">
        <v>25</v>
      </c>
      <c r="C775" s="4">
        <v>44004</v>
      </c>
      <c r="F775" s="4">
        <v>45397</v>
      </c>
      <c r="G775" t="s">
        <v>1278</v>
      </c>
      <c r="H775" t="s">
        <v>1320</v>
      </c>
      <c r="K775" t="s">
        <v>28</v>
      </c>
      <c r="L775" t="s">
        <v>1259</v>
      </c>
      <c r="M775" t="s">
        <v>30</v>
      </c>
      <c r="N775" t="s">
        <v>31</v>
      </c>
      <c r="O775" t="s">
        <v>32</v>
      </c>
      <c r="P775" t="s">
        <v>1994</v>
      </c>
      <c r="Q775">
        <v>300</v>
      </c>
      <c r="R775">
        <v>300</v>
      </c>
      <c r="S775" t="s">
        <v>56</v>
      </c>
      <c r="T775" t="s">
        <v>57</v>
      </c>
      <c r="U775" t="s">
        <v>44</v>
      </c>
      <c r="V775" s="4">
        <v>46478</v>
      </c>
      <c r="W775">
        <v>300</v>
      </c>
      <c r="X775">
        <v>300</v>
      </c>
      <c r="Y775">
        <v>300</v>
      </c>
      <c r="Z775">
        <v>300</v>
      </c>
    </row>
    <row r="776" spans="1:26" hidden="1" x14ac:dyDescent="0.25">
      <c r="A776" t="s">
        <v>1995</v>
      </c>
      <c r="B776" t="s">
        <v>38</v>
      </c>
      <c r="C776" s="4">
        <v>44006</v>
      </c>
      <c r="D776" s="4">
        <v>45127</v>
      </c>
      <c r="F776" s="4">
        <v>45047</v>
      </c>
      <c r="G776" t="s">
        <v>101</v>
      </c>
      <c r="H776" t="s">
        <v>1996</v>
      </c>
      <c r="K776" t="s">
        <v>98</v>
      </c>
      <c r="L776" t="s">
        <v>1259</v>
      </c>
      <c r="M776" t="s">
        <v>84</v>
      </c>
      <c r="N776" t="s">
        <v>31</v>
      </c>
      <c r="O776" t="s">
        <v>1110</v>
      </c>
      <c r="P776" t="s">
        <v>1997</v>
      </c>
      <c r="Q776">
        <v>50</v>
      </c>
      <c r="R776">
        <v>50</v>
      </c>
      <c r="S776" t="s">
        <v>56</v>
      </c>
      <c r="T776" t="s">
        <v>57</v>
      </c>
      <c r="U776" t="s">
        <v>44</v>
      </c>
      <c r="W776">
        <v>0</v>
      </c>
      <c r="X776">
        <v>0</v>
      </c>
      <c r="Y776">
        <v>0</v>
      </c>
      <c r="Z776">
        <v>0</v>
      </c>
    </row>
    <row r="777" spans="1:26" hidden="1" x14ac:dyDescent="0.25">
      <c r="A777" t="s">
        <v>1998</v>
      </c>
      <c r="B777" t="s">
        <v>38</v>
      </c>
      <c r="C777" s="4">
        <v>44007</v>
      </c>
      <c r="D777" s="4">
        <v>44146</v>
      </c>
      <c r="F777" s="4">
        <v>45261</v>
      </c>
      <c r="G777" t="s">
        <v>1278</v>
      </c>
      <c r="H777" t="s">
        <v>1999</v>
      </c>
      <c r="K777" t="s">
        <v>28</v>
      </c>
      <c r="L777" t="s">
        <v>1259</v>
      </c>
      <c r="M777" t="s">
        <v>30</v>
      </c>
      <c r="N777" t="s">
        <v>31</v>
      </c>
      <c r="O777" t="s">
        <v>32</v>
      </c>
      <c r="P777" t="s">
        <v>2000</v>
      </c>
      <c r="Q777">
        <v>150</v>
      </c>
      <c r="R777">
        <v>150</v>
      </c>
      <c r="S777" t="s">
        <v>34</v>
      </c>
      <c r="T777" t="s">
        <v>35</v>
      </c>
      <c r="U777" t="s">
        <v>44</v>
      </c>
      <c r="W777">
        <v>0</v>
      </c>
      <c r="X777">
        <v>0</v>
      </c>
      <c r="Y777">
        <v>0</v>
      </c>
      <c r="Z777">
        <v>0</v>
      </c>
    </row>
    <row r="778" spans="1:26" hidden="1" x14ac:dyDescent="0.25">
      <c r="A778" t="s">
        <v>2001</v>
      </c>
      <c r="B778" t="s">
        <v>38</v>
      </c>
      <c r="C778" s="4">
        <v>44007</v>
      </c>
      <c r="D778" s="4">
        <v>44112</v>
      </c>
      <c r="F778" s="4">
        <v>45261</v>
      </c>
      <c r="G778" t="s">
        <v>72</v>
      </c>
      <c r="H778" t="s">
        <v>2002</v>
      </c>
      <c r="K778" t="s">
        <v>209</v>
      </c>
      <c r="L778" t="s">
        <v>1259</v>
      </c>
      <c r="M778" t="s">
        <v>42</v>
      </c>
      <c r="N778" t="s">
        <v>31</v>
      </c>
      <c r="O778" t="s">
        <v>1110</v>
      </c>
      <c r="P778" t="s">
        <v>2003</v>
      </c>
      <c r="Q778">
        <v>34</v>
      </c>
      <c r="R778">
        <v>34</v>
      </c>
      <c r="S778" t="s">
        <v>56</v>
      </c>
      <c r="T778" t="s">
        <v>57</v>
      </c>
      <c r="U778" t="s">
        <v>44</v>
      </c>
      <c r="W778">
        <v>0</v>
      </c>
      <c r="X778">
        <v>0</v>
      </c>
      <c r="Y778">
        <v>0</v>
      </c>
      <c r="Z778">
        <v>0</v>
      </c>
    </row>
    <row r="779" spans="1:26" hidden="1" x14ac:dyDescent="0.25">
      <c r="A779" t="s">
        <v>2004</v>
      </c>
      <c r="B779" t="s">
        <v>25</v>
      </c>
      <c r="C779" s="4">
        <v>44007</v>
      </c>
      <c r="F779" s="4">
        <v>45170</v>
      </c>
      <c r="G779" t="s">
        <v>117</v>
      </c>
      <c r="H779" t="s">
        <v>1813</v>
      </c>
      <c r="K779" t="s">
        <v>83</v>
      </c>
      <c r="L779" t="s">
        <v>1259</v>
      </c>
      <c r="M779" t="s">
        <v>84</v>
      </c>
      <c r="N779" t="s">
        <v>31</v>
      </c>
      <c r="O779" t="s">
        <v>32</v>
      </c>
      <c r="P779" t="s">
        <v>2005</v>
      </c>
      <c r="Q779">
        <v>100</v>
      </c>
      <c r="R779">
        <v>100</v>
      </c>
      <c r="S779" t="s">
        <v>34</v>
      </c>
      <c r="T779" t="s">
        <v>35</v>
      </c>
      <c r="U779" t="s">
        <v>44</v>
      </c>
      <c r="V779" s="4">
        <v>46387</v>
      </c>
      <c r="W779">
        <v>100</v>
      </c>
      <c r="X779">
        <v>100</v>
      </c>
      <c r="Y779">
        <v>100</v>
      </c>
      <c r="Z779">
        <v>100</v>
      </c>
    </row>
    <row r="780" spans="1:26" hidden="1" x14ac:dyDescent="0.25">
      <c r="A780" t="s">
        <v>2006</v>
      </c>
      <c r="B780" t="s">
        <v>25</v>
      </c>
      <c r="C780" s="4">
        <v>44004</v>
      </c>
      <c r="F780" s="4">
        <v>45596</v>
      </c>
      <c r="G780" t="s">
        <v>1278</v>
      </c>
      <c r="H780" t="s">
        <v>2007</v>
      </c>
      <c r="K780" t="s">
        <v>28</v>
      </c>
      <c r="L780" t="s">
        <v>1259</v>
      </c>
      <c r="M780" t="s">
        <v>30</v>
      </c>
      <c r="N780" t="s">
        <v>31</v>
      </c>
      <c r="O780" t="s">
        <v>32</v>
      </c>
      <c r="P780" t="s">
        <v>2008</v>
      </c>
      <c r="Q780">
        <v>100</v>
      </c>
      <c r="R780">
        <v>100</v>
      </c>
      <c r="S780" t="s">
        <v>34</v>
      </c>
      <c r="T780" t="s">
        <v>35</v>
      </c>
      <c r="U780" t="s">
        <v>44</v>
      </c>
      <c r="V780" s="4">
        <v>46476</v>
      </c>
      <c r="W780">
        <v>100</v>
      </c>
      <c r="X780">
        <v>50</v>
      </c>
      <c r="Y780">
        <v>100</v>
      </c>
      <c r="Z780">
        <v>50</v>
      </c>
    </row>
    <row r="781" spans="1:26" hidden="1" x14ac:dyDescent="0.25">
      <c r="A781" t="s">
        <v>2009</v>
      </c>
      <c r="B781" t="s">
        <v>25</v>
      </c>
      <c r="C781" s="4">
        <v>44440</v>
      </c>
      <c r="F781" s="4">
        <v>45596</v>
      </c>
      <c r="G781" t="s">
        <v>1278</v>
      </c>
      <c r="H781" t="s">
        <v>2010</v>
      </c>
      <c r="K781" t="s">
        <v>28</v>
      </c>
      <c r="L781" t="s">
        <v>1259</v>
      </c>
      <c r="M781" t="s">
        <v>30</v>
      </c>
      <c r="N781" t="s">
        <v>31</v>
      </c>
      <c r="O781" t="s">
        <v>32</v>
      </c>
      <c r="P781" t="s">
        <v>2011</v>
      </c>
      <c r="Q781">
        <v>200</v>
      </c>
      <c r="R781">
        <v>200</v>
      </c>
      <c r="S781" t="s">
        <v>597</v>
      </c>
      <c r="T781" t="s">
        <v>598</v>
      </c>
      <c r="U781" t="s">
        <v>44</v>
      </c>
      <c r="V781" s="4">
        <v>46687</v>
      </c>
      <c r="W781">
        <v>200</v>
      </c>
      <c r="X781">
        <v>200</v>
      </c>
      <c r="Y781">
        <v>200</v>
      </c>
      <c r="Z781">
        <v>200</v>
      </c>
    </row>
    <row r="782" spans="1:26" hidden="1" x14ac:dyDescent="0.25">
      <c r="A782" t="s">
        <v>2012</v>
      </c>
      <c r="B782" t="s">
        <v>25</v>
      </c>
      <c r="C782" s="4">
        <v>44005</v>
      </c>
      <c r="F782" s="4">
        <v>45153</v>
      </c>
      <c r="G782" t="s">
        <v>691</v>
      </c>
      <c r="H782" t="s">
        <v>2013</v>
      </c>
      <c r="K782" t="s">
        <v>98</v>
      </c>
      <c r="L782" t="s">
        <v>1259</v>
      </c>
      <c r="M782" t="s">
        <v>84</v>
      </c>
      <c r="N782" t="s">
        <v>31</v>
      </c>
      <c r="O782" t="s">
        <v>32</v>
      </c>
      <c r="P782" t="s">
        <v>1345</v>
      </c>
      <c r="Q782">
        <v>200</v>
      </c>
      <c r="R782">
        <v>200</v>
      </c>
      <c r="S782" t="s">
        <v>34</v>
      </c>
      <c r="T782" t="s">
        <v>35</v>
      </c>
      <c r="U782" t="s">
        <v>44</v>
      </c>
      <c r="V782" s="4">
        <v>46249</v>
      </c>
      <c r="W782">
        <v>200</v>
      </c>
      <c r="X782">
        <v>200</v>
      </c>
      <c r="Y782">
        <v>200</v>
      </c>
      <c r="Z782">
        <v>200</v>
      </c>
    </row>
    <row r="783" spans="1:26" hidden="1" x14ac:dyDescent="0.25">
      <c r="A783" t="s">
        <v>2014</v>
      </c>
      <c r="B783" t="s">
        <v>25</v>
      </c>
      <c r="C783" s="4">
        <v>44004</v>
      </c>
      <c r="F783" s="4">
        <v>45397</v>
      </c>
      <c r="G783" t="s">
        <v>1278</v>
      </c>
      <c r="H783" t="s">
        <v>2015</v>
      </c>
      <c r="K783" t="s">
        <v>28</v>
      </c>
      <c r="L783" t="s">
        <v>1259</v>
      </c>
      <c r="M783" t="s">
        <v>30</v>
      </c>
      <c r="N783" t="s">
        <v>31</v>
      </c>
      <c r="O783" t="s">
        <v>32</v>
      </c>
      <c r="P783" t="s">
        <v>2016</v>
      </c>
      <c r="Q783">
        <v>300</v>
      </c>
      <c r="R783">
        <v>300</v>
      </c>
      <c r="S783" t="s">
        <v>56</v>
      </c>
      <c r="T783" t="s">
        <v>57</v>
      </c>
      <c r="U783" t="s">
        <v>70</v>
      </c>
      <c r="V783" s="4">
        <v>46478</v>
      </c>
      <c r="W783">
        <v>300</v>
      </c>
      <c r="X783">
        <v>300</v>
      </c>
      <c r="Y783">
        <v>300</v>
      </c>
      <c r="Z783">
        <v>300</v>
      </c>
    </row>
    <row r="784" spans="1:26" hidden="1" x14ac:dyDescent="0.25">
      <c r="A784" t="s">
        <v>2017</v>
      </c>
      <c r="B784" t="s">
        <v>38</v>
      </c>
      <c r="C784" s="4">
        <v>44005</v>
      </c>
      <c r="D784" s="4">
        <v>46244</v>
      </c>
      <c r="F784" s="4">
        <v>45717</v>
      </c>
      <c r="G784" t="s">
        <v>691</v>
      </c>
      <c r="H784" t="s">
        <v>2013</v>
      </c>
      <c r="K784" t="s">
        <v>98</v>
      </c>
      <c r="L784" t="s">
        <v>1259</v>
      </c>
      <c r="M784" t="s">
        <v>84</v>
      </c>
      <c r="N784" t="s">
        <v>31</v>
      </c>
      <c r="O784" t="s">
        <v>32</v>
      </c>
      <c r="P784" t="s">
        <v>2018</v>
      </c>
      <c r="Q784">
        <v>150</v>
      </c>
      <c r="R784">
        <v>150</v>
      </c>
      <c r="S784" t="s">
        <v>34</v>
      </c>
      <c r="T784" t="s">
        <v>35</v>
      </c>
      <c r="U784" t="s">
        <v>44</v>
      </c>
      <c r="W784">
        <v>150</v>
      </c>
      <c r="X784">
        <v>150</v>
      </c>
      <c r="Y784">
        <v>150</v>
      </c>
      <c r="Z784">
        <v>150</v>
      </c>
    </row>
    <row r="785" spans="1:26" hidden="1" x14ac:dyDescent="0.25">
      <c r="A785" t="s">
        <v>2019</v>
      </c>
      <c r="B785" t="s">
        <v>38</v>
      </c>
      <c r="C785" s="4">
        <v>44005</v>
      </c>
      <c r="D785" s="4">
        <v>46244</v>
      </c>
      <c r="F785" s="4">
        <v>45717</v>
      </c>
      <c r="G785" t="s">
        <v>691</v>
      </c>
      <c r="H785" t="s">
        <v>2013</v>
      </c>
      <c r="K785" t="s">
        <v>98</v>
      </c>
      <c r="L785" t="s">
        <v>1259</v>
      </c>
      <c r="M785" t="s">
        <v>84</v>
      </c>
      <c r="N785" t="s">
        <v>31</v>
      </c>
      <c r="O785" t="s">
        <v>32</v>
      </c>
      <c r="P785" t="s">
        <v>2020</v>
      </c>
      <c r="Q785">
        <v>150</v>
      </c>
      <c r="R785">
        <v>150</v>
      </c>
      <c r="S785" t="s">
        <v>34</v>
      </c>
      <c r="T785" t="s">
        <v>35</v>
      </c>
      <c r="U785" t="s">
        <v>44</v>
      </c>
      <c r="W785">
        <v>150</v>
      </c>
      <c r="X785">
        <v>150</v>
      </c>
      <c r="Y785">
        <v>150</v>
      </c>
      <c r="Z785">
        <v>150</v>
      </c>
    </row>
    <row r="786" spans="1:26" hidden="1" x14ac:dyDescent="0.25">
      <c r="A786" t="s">
        <v>2021</v>
      </c>
      <c r="B786" t="s">
        <v>38</v>
      </c>
      <c r="C786" s="4">
        <v>44005</v>
      </c>
      <c r="D786" s="4">
        <v>45124</v>
      </c>
      <c r="F786" s="4">
        <v>45170</v>
      </c>
      <c r="G786" t="s">
        <v>101</v>
      </c>
      <c r="H786" t="s">
        <v>1800</v>
      </c>
      <c r="K786" t="s">
        <v>98</v>
      </c>
      <c r="L786" t="s">
        <v>1259</v>
      </c>
      <c r="M786" t="s">
        <v>84</v>
      </c>
      <c r="N786" t="s">
        <v>31</v>
      </c>
      <c r="O786" t="s">
        <v>32</v>
      </c>
      <c r="P786" t="s">
        <v>2022</v>
      </c>
      <c r="Q786">
        <v>39</v>
      </c>
      <c r="R786">
        <v>39</v>
      </c>
      <c r="S786" t="s">
        <v>34</v>
      </c>
      <c r="T786" t="s">
        <v>35</v>
      </c>
      <c r="U786" t="s">
        <v>44</v>
      </c>
      <c r="W786">
        <v>0</v>
      </c>
      <c r="X786">
        <v>0</v>
      </c>
      <c r="Y786">
        <v>0</v>
      </c>
      <c r="Z786">
        <v>0</v>
      </c>
    </row>
    <row r="787" spans="1:26" hidden="1" x14ac:dyDescent="0.25">
      <c r="A787" t="s">
        <v>2023</v>
      </c>
      <c r="B787" t="s">
        <v>38</v>
      </c>
      <c r="C787" s="4">
        <v>44572</v>
      </c>
      <c r="D787" s="4">
        <v>46031</v>
      </c>
      <c r="F787" s="4">
        <v>45485</v>
      </c>
      <c r="G787" t="s">
        <v>254</v>
      </c>
      <c r="H787" t="s">
        <v>1882</v>
      </c>
      <c r="K787" t="s">
        <v>98</v>
      </c>
      <c r="L787" t="s">
        <v>1259</v>
      </c>
      <c r="M787" t="s">
        <v>84</v>
      </c>
      <c r="N787" t="s">
        <v>31</v>
      </c>
      <c r="O787" t="s">
        <v>32</v>
      </c>
      <c r="P787" t="s">
        <v>2024</v>
      </c>
      <c r="Q787">
        <v>100</v>
      </c>
      <c r="R787">
        <v>100</v>
      </c>
      <c r="S787" t="s">
        <v>34</v>
      </c>
      <c r="T787" t="s">
        <v>35</v>
      </c>
      <c r="U787" t="s">
        <v>44</v>
      </c>
      <c r="W787">
        <v>100</v>
      </c>
      <c r="X787">
        <v>100</v>
      </c>
      <c r="Y787">
        <v>90</v>
      </c>
      <c r="Z787">
        <v>90</v>
      </c>
    </row>
    <row r="788" spans="1:26" hidden="1" x14ac:dyDescent="0.25">
      <c r="A788" t="s">
        <v>2025</v>
      </c>
      <c r="B788" t="s">
        <v>25</v>
      </c>
      <c r="C788" s="4">
        <v>44006</v>
      </c>
      <c r="F788" s="4">
        <v>45078</v>
      </c>
      <c r="G788" t="s">
        <v>691</v>
      </c>
      <c r="H788" t="s">
        <v>1805</v>
      </c>
      <c r="K788" t="s">
        <v>98</v>
      </c>
      <c r="L788" t="s">
        <v>1259</v>
      </c>
      <c r="M788" t="s">
        <v>84</v>
      </c>
      <c r="N788" t="s">
        <v>31</v>
      </c>
      <c r="O788" t="s">
        <v>32</v>
      </c>
      <c r="P788" t="s">
        <v>1806</v>
      </c>
      <c r="Q788">
        <v>200</v>
      </c>
      <c r="R788">
        <v>200</v>
      </c>
      <c r="S788" t="s">
        <v>34</v>
      </c>
      <c r="T788" t="s">
        <v>35</v>
      </c>
      <c r="U788" t="s">
        <v>44</v>
      </c>
      <c r="V788" s="4">
        <v>46174</v>
      </c>
      <c r="W788">
        <v>200</v>
      </c>
      <c r="X788">
        <v>200</v>
      </c>
      <c r="Y788">
        <v>200</v>
      </c>
      <c r="Z788">
        <v>0</v>
      </c>
    </row>
    <row r="789" spans="1:26" hidden="1" x14ac:dyDescent="0.25">
      <c r="A789" t="s">
        <v>2026</v>
      </c>
      <c r="B789" t="s">
        <v>38</v>
      </c>
      <c r="C789" s="4">
        <v>44007</v>
      </c>
      <c r="D789" s="4">
        <v>44096</v>
      </c>
      <c r="F789" s="4">
        <v>45230</v>
      </c>
      <c r="G789" t="s">
        <v>1311</v>
      </c>
      <c r="H789" t="s">
        <v>1673</v>
      </c>
      <c r="K789" t="s">
        <v>114</v>
      </c>
      <c r="L789" t="s">
        <v>1259</v>
      </c>
      <c r="M789" t="s">
        <v>68</v>
      </c>
      <c r="N789" t="s">
        <v>31</v>
      </c>
      <c r="O789" t="s">
        <v>32</v>
      </c>
      <c r="P789" t="s">
        <v>1674</v>
      </c>
      <c r="Q789">
        <v>0</v>
      </c>
      <c r="R789">
        <v>0</v>
      </c>
      <c r="S789" t="s">
        <v>159</v>
      </c>
      <c r="T789" t="s">
        <v>159</v>
      </c>
      <c r="U789" t="s">
        <v>44</v>
      </c>
      <c r="W789">
        <v>0</v>
      </c>
      <c r="X789">
        <v>0</v>
      </c>
      <c r="Y789">
        <v>0</v>
      </c>
      <c r="Z789">
        <v>0</v>
      </c>
    </row>
    <row r="790" spans="1:26" hidden="1" x14ac:dyDescent="0.25">
      <c r="A790" t="s">
        <v>2027</v>
      </c>
      <c r="B790" t="s">
        <v>38</v>
      </c>
      <c r="C790" s="4">
        <v>44007</v>
      </c>
      <c r="D790" s="4">
        <v>44098</v>
      </c>
      <c r="F790" s="4">
        <v>44985</v>
      </c>
      <c r="G790" t="s">
        <v>616</v>
      </c>
      <c r="H790" t="s">
        <v>2028</v>
      </c>
      <c r="K790" t="s">
        <v>146</v>
      </c>
      <c r="L790" t="s">
        <v>1259</v>
      </c>
      <c r="M790" t="s">
        <v>68</v>
      </c>
      <c r="N790" t="s">
        <v>31</v>
      </c>
      <c r="O790" t="s">
        <v>32</v>
      </c>
      <c r="P790" t="s">
        <v>2029</v>
      </c>
      <c r="Q790">
        <v>120</v>
      </c>
      <c r="R790">
        <v>120</v>
      </c>
      <c r="S790" t="s">
        <v>34</v>
      </c>
      <c r="T790" t="s">
        <v>35</v>
      </c>
      <c r="U790" t="s">
        <v>44</v>
      </c>
      <c r="W790">
        <v>0</v>
      </c>
      <c r="X790">
        <v>0</v>
      </c>
      <c r="Y790">
        <v>0</v>
      </c>
      <c r="Z790">
        <v>0</v>
      </c>
    </row>
    <row r="791" spans="1:26" hidden="1" x14ac:dyDescent="0.25">
      <c r="A791" t="s">
        <v>2030</v>
      </c>
      <c r="B791" t="s">
        <v>38</v>
      </c>
      <c r="C791" s="4">
        <v>44007</v>
      </c>
      <c r="D791" s="4">
        <v>44538</v>
      </c>
      <c r="F791" s="4">
        <v>44470</v>
      </c>
      <c r="G791" t="s">
        <v>65</v>
      </c>
      <c r="H791" t="s">
        <v>1421</v>
      </c>
      <c r="K791" t="s">
        <v>67</v>
      </c>
      <c r="L791" t="s">
        <v>1259</v>
      </c>
      <c r="M791" t="s">
        <v>68</v>
      </c>
      <c r="N791" t="s">
        <v>31</v>
      </c>
      <c r="O791" t="s">
        <v>32</v>
      </c>
      <c r="P791" t="s">
        <v>2031</v>
      </c>
      <c r="Q791">
        <v>5.99</v>
      </c>
      <c r="R791">
        <v>5.99</v>
      </c>
      <c r="S791" t="s">
        <v>34</v>
      </c>
      <c r="T791" t="s">
        <v>35</v>
      </c>
      <c r="U791" t="s">
        <v>44</v>
      </c>
      <c r="W791">
        <v>0</v>
      </c>
      <c r="X791">
        <v>0</v>
      </c>
      <c r="Y791">
        <v>0</v>
      </c>
      <c r="Z791">
        <v>0</v>
      </c>
    </row>
    <row r="792" spans="1:26" hidden="1" x14ac:dyDescent="0.25">
      <c r="A792" t="s">
        <v>2032</v>
      </c>
      <c r="B792" t="s">
        <v>38</v>
      </c>
      <c r="C792" s="4">
        <v>44007</v>
      </c>
      <c r="D792" s="4">
        <v>44973</v>
      </c>
      <c r="F792" s="4">
        <v>44621</v>
      </c>
      <c r="G792" t="s">
        <v>65</v>
      </c>
      <c r="H792" t="s">
        <v>2033</v>
      </c>
      <c r="K792" t="s">
        <v>67</v>
      </c>
      <c r="L792" t="s">
        <v>1259</v>
      </c>
      <c r="M792" t="s">
        <v>68</v>
      </c>
      <c r="N792" t="s">
        <v>31</v>
      </c>
      <c r="O792" t="s">
        <v>32</v>
      </c>
      <c r="P792" t="s">
        <v>2034</v>
      </c>
      <c r="Q792">
        <v>0</v>
      </c>
      <c r="R792">
        <v>0</v>
      </c>
      <c r="S792" t="s">
        <v>159</v>
      </c>
      <c r="T792" t="s">
        <v>159</v>
      </c>
      <c r="U792" t="s">
        <v>44</v>
      </c>
      <c r="W792">
        <v>0</v>
      </c>
      <c r="X792">
        <v>0</v>
      </c>
      <c r="Y792">
        <v>0</v>
      </c>
      <c r="Z792">
        <v>0</v>
      </c>
    </row>
    <row r="793" spans="1:26" hidden="1" x14ac:dyDescent="0.25">
      <c r="A793" t="s">
        <v>2035</v>
      </c>
      <c r="B793" t="s">
        <v>38</v>
      </c>
      <c r="C793" s="4">
        <v>44007</v>
      </c>
      <c r="D793" s="4">
        <v>44538</v>
      </c>
      <c r="F793" s="4">
        <v>45230</v>
      </c>
      <c r="G793" t="s">
        <v>1311</v>
      </c>
      <c r="H793" t="s">
        <v>1648</v>
      </c>
      <c r="K793" t="s">
        <v>114</v>
      </c>
      <c r="L793" t="s">
        <v>1259</v>
      </c>
      <c r="M793" t="s">
        <v>68</v>
      </c>
      <c r="N793" t="s">
        <v>31</v>
      </c>
      <c r="O793" t="s">
        <v>32</v>
      </c>
      <c r="P793" t="s">
        <v>1649</v>
      </c>
      <c r="Q793">
        <v>0</v>
      </c>
      <c r="R793">
        <v>0</v>
      </c>
      <c r="S793" t="s">
        <v>159</v>
      </c>
      <c r="T793" t="s">
        <v>159</v>
      </c>
      <c r="U793" t="s">
        <v>44</v>
      </c>
      <c r="W793">
        <v>0</v>
      </c>
      <c r="X793">
        <v>0</v>
      </c>
      <c r="Y793">
        <v>0</v>
      </c>
      <c r="Z793">
        <v>0</v>
      </c>
    </row>
    <row r="794" spans="1:26" hidden="1" x14ac:dyDescent="0.25">
      <c r="A794" t="s">
        <v>2036</v>
      </c>
      <c r="B794" t="s">
        <v>38</v>
      </c>
      <c r="C794" s="4">
        <v>44006</v>
      </c>
      <c r="D794" s="4">
        <v>44246</v>
      </c>
      <c r="F794" s="4">
        <v>45184</v>
      </c>
      <c r="G794" t="s">
        <v>1278</v>
      </c>
      <c r="H794" t="s">
        <v>2037</v>
      </c>
      <c r="K794" t="s">
        <v>53</v>
      </c>
      <c r="L794" t="s">
        <v>1259</v>
      </c>
      <c r="M794" t="s">
        <v>30</v>
      </c>
      <c r="N794" t="s">
        <v>31</v>
      </c>
      <c r="O794" t="s">
        <v>32</v>
      </c>
      <c r="P794" t="s">
        <v>2038</v>
      </c>
      <c r="Q794">
        <v>22.5</v>
      </c>
      <c r="R794">
        <v>22.5</v>
      </c>
      <c r="S794" t="s">
        <v>34</v>
      </c>
      <c r="T794" t="s">
        <v>35</v>
      </c>
      <c r="U794" t="s">
        <v>44</v>
      </c>
      <c r="W794">
        <v>0</v>
      </c>
      <c r="X794">
        <v>0</v>
      </c>
      <c r="Y794">
        <v>0</v>
      </c>
      <c r="Z794">
        <v>0</v>
      </c>
    </row>
    <row r="795" spans="1:26" hidden="1" x14ac:dyDescent="0.25">
      <c r="A795" t="s">
        <v>2039</v>
      </c>
      <c r="B795" t="s">
        <v>25</v>
      </c>
      <c r="C795" s="4">
        <v>44005</v>
      </c>
      <c r="F795" s="4">
        <v>45809</v>
      </c>
      <c r="G795" t="s">
        <v>1278</v>
      </c>
      <c r="H795" t="s">
        <v>2040</v>
      </c>
      <c r="K795" t="s">
        <v>28</v>
      </c>
      <c r="L795" t="s">
        <v>1259</v>
      </c>
      <c r="M795" t="s">
        <v>30</v>
      </c>
      <c r="N795" t="s">
        <v>31</v>
      </c>
      <c r="O795" t="s">
        <v>32</v>
      </c>
      <c r="P795" t="s">
        <v>2041</v>
      </c>
      <c r="Q795">
        <v>75</v>
      </c>
      <c r="R795">
        <v>75</v>
      </c>
      <c r="S795" t="s">
        <v>34</v>
      </c>
      <c r="T795" t="s">
        <v>35</v>
      </c>
      <c r="U795" t="s">
        <v>44</v>
      </c>
      <c r="V795" s="4">
        <v>46905</v>
      </c>
      <c r="W795">
        <v>75</v>
      </c>
      <c r="X795">
        <v>75</v>
      </c>
      <c r="Y795">
        <v>75</v>
      </c>
      <c r="Z795">
        <v>75</v>
      </c>
    </row>
    <row r="796" spans="1:26" hidden="1" x14ac:dyDescent="0.25">
      <c r="A796" t="s">
        <v>2042</v>
      </c>
      <c r="B796" t="s">
        <v>25</v>
      </c>
      <c r="C796" s="4">
        <v>44004</v>
      </c>
      <c r="E796" s="4">
        <v>44883</v>
      </c>
      <c r="F796" s="4">
        <v>45169</v>
      </c>
      <c r="G796" t="s">
        <v>1408</v>
      </c>
      <c r="H796" t="s">
        <v>1462</v>
      </c>
      <c r="K796" t="s">
        <v>146</v>
      </c>
      <c r="L796" t="s">
        <v>1259</v>
      </c>
      <c r="M796" t="s">
        <v>68</v>
      </c>
      <c r="N796" t="s">
        <v>31</v>
      </c>
      <c r="O796" t="s">
        <v>122</v>
      </c>
      <c r="P796" t="s">
        <v>2043</v>
      </c>
      <c r="Q796">
        <v>150</v>
      </c>
      <c r="R796">
        <v>150</v>
      </c>
      <c r="S796" t="s">
        <v>34</v>
      </c>
      <c r="T796" t="s">
        <v>35</v>
      </c>
      <c r="U796" t="s">
        <v>44</v>
      </c>
      <c r="V796" s="4">
        <v>45803</v>
      </c>
      <c r="W796">
        <v>150</v>
      </c>
      <c r="X796">
        <v>0</v>
      </c>
      <c r="Y796">
        <v>150</v>
      </c>
      <c r="Z796">
        <v>0</v>
      </c>
    </row>
    <row r="797" spans="1:26" hidden="1" x14ac:dyDescent="0.25">
      <c r="A797" t="s">
        <v>2044</v>
      </c>
      <c r="B797" t="s">
        <v>25</v>
      </c>
      <c r="C797" s="4">
        <v>44004</v>
      </c>
      <c r="F797" s="4">
        <v>45169</v>
      </c>
      <c r="G797" t="s">
        <v>1408</v>
      </c>
      <c r="H797" t="s">
        <v>1462</v>
      </c>
      <c r="K797" t="s">
        <v>146</v>
      </c>
      <c r="L797" t="s">
        <v>1259</v>
      </c>
      <c r="M797" t="s">
        <v>68</v>
      </c>
      <c r="N797" t="s">
        <v>31</v>
      </c>
      <c r="O797" t="s">
        <v>122</v>
      </c>
      <c r="P797" t="s">
        <v>2045</v>
      </c>
      <c r="Q797">
        <v>100</v>
      </c>
      <c r="R797">
        <v>100</v>
      </c>
      <c r="S797" t="s">
        <v>34</v>
      </c>
      <c r="T797" t="s">
        <v>35</v>
      </c>
      <c r="U797" t="s">
        <v>44</v>
      </c>
      <c r="V797" s="4">
        <v>45995</v>
      </c>
      <c r="W797">
        <v>100</v>
      </c>
      <c r="X797">
        <v>0</v>
      </c>
      <c r="Y797">
        <v>100</v>
      </c>
      <c r="Z797">
        <v>0</v>
      </c>
    </row>
    <row r="798" spans="1:26" hidden="1" x14ac:dyDescent="0.25">
      <c r="A798" t="s">
        <v>2046</v>
      </c>
      <c r="B798" t="s">
        <v>38</v>
      </c>
      <c r="C798" s="4">
        <v>44007</v>
      </c>
      <c r="D798" s="4">
        <v>44538</v>
      </c>
      <c r="F798" s="4">
        <v>44985</v>
      </c>
      <c r="G798" t="s">
        <v>616</v>
      </c>
      <c r="H798" t="s">
        <v>1792</v>
      </c>
      <c r="K798" t="s">
        <v>146</v>
      </c>
      <c r="L798" t="s">
        <v>1259</v>
      </c>
      <c r="M798" t="s">
        <v>68</v>
      </c>
      <c r="N798" t="s">
        <v>31</v>
      </c>
      <c r="O798" t="s">
        <v>32</v>
      </c>
      <c r="P798" t="s">
        <v>2047</v>
      </c>
      <c r="Q798">
        <v>150</v>
      </c>
      <c r="R798">
        <v>150</v>
      </c>
      <c r="S798" t="s">
        <v>34</v>
      </c>
      <c r="T798" t="s">
        <v>35</v>
      </c>
      <c r="U798" t="s">
        <v>44</v>
      </c>
      <c r="W798">
        <v>0</v>
      </c>
      <c r="X798">
        <v>0</v>
      </c>
      <c r="Y798">
        <v>0</v>
      </c>
      <c r="Z798">
        <v>0</v>
      </c>
    </row>
    <row r="799" spans="1:26" hidden="1" x14ac:dyDescent="0.25">
      <c r="A799" t="s">
        <v>2048</v>
      </c>
      <c r="B799" t="s">
        <v>38</v>
      </c>
      <c r="C799" s="4">
        <v>44000</v>
      </c>
      <c r="D799" s="4">
        <v>44538</v>
      </c>
      <c r="F799" s="4">
        <v>45230</v>
      </c>
      <c r="G799" t="s">
        <v>144</v>
      </c>
      <c r="H799" t="s">
        <v>2049</v>
      </c>
      <c r="K799" t="s">
        <v>146</v>
      </c>
      <c r="L799" t="s">
        <v>1259</v>
      </c>
      <c r="M799" t="s">
        <v>68</v>
      </c>
      <c r="N799" t="s">
        <v>31</v>
      </c>
      <c r="O799" t="s">
        <v>32</v>
      </c>
      <c r="P799" t="s">
        <v>2050</v>
      </c>
      <c r="Q799">
        <v>100</v>
      </c>
      <c r="R799">
        <v>100</v>
      </c>
      <c r="S799" t="s">
        <v>34</v>
      </c>
      <c r="T799" t="s">
        <v>35</v>
      </c>
      <c r="U799" t="s">
        <v>44</v>
      </c>
      <c r="W799">
        <v>0</v>
      </c>
      <c r="X799">
        <v>0</v>
      </c>
      <c r="Y799">
        <v>0</v>
      </c>
      <c r="Z799">
        <v>0</v>
      </c>
    </row>
    <row r="800" spans="1:26" hidden="1" x14ac:dyDescent="0.25">
      <c r="A800" t="s">
        <v>2051</v>
      </c>
      <c r="B800" t="s">
        <v>25</v>
      </c>
      <c r="C800" s="4">
        <v>44006</v>
      </c>
      <c r="F800" s="4">
        <v>44348</v>
      </c>
      <c r="G800" t="s">
        <v>907</v>
      </c>
      <c r="H800" t="s">
        <v>2052</v>
      </c>
      <c r="K800" t="s">
        <v>53</v>
      </c>
      <c r="L800" t="s">
        <v>1259</v>
      </c>
      <c r="M800" t="s">
        <v>54</v>
      </c>
      <c r="N800" t="s">
        <v>31</v>
      </c>
      <c r="O800" t="s">
        <v>122</v>
      </c>
      <c r="P800" t="s">
        <v>2053</v>
      </c>
      <c r="Q800">
        <v>0</v>
      </c>
      <c r="R800">
        <v>25</v>
      </c>
      <c r="S800" t="s">
        <v>389</v>
      </c>
      <c r="T800" t="s">
        <v>390</v>
      </c>
      <c r="U800" t="s">
        <v>44</v>
      </c>
      <c r="V800" s="4">
        <v>44986</v>
      </c>
      <c r="W800">
        <v>25</v>
      </c>
      <c r="X800">
        <v>0</v>
      </c>
      <c r="Y800">
        <v>25</v>
      </c>
      <c r="Z800">
        <v>0</v>
      </c>
    </row>
    <row r="801" spans="1:26" hidden="1" x14ac:dyDescent="0.25">
      <c r="A801" t="s">
        <v>2054</v>
      </c>
      <c r="B801" t="s">
        <v>38</v>
      </c>
      <c r="C801" s="4">
        <v>44005</v>
      </c>
      <c r="D801" s="4">
        <v>44240</v>
      </c>
      <c r="F801" s="4">
        <v>44607</v>
      </c>
      <c r="G801" t="s">
        <v>117</v>
      </c>
      <c r="H801" t="s">
        <v>1887</v>
      </c>
      <c r="K801" t="s">
        <v>83</v>
      </c>
      <c r="L801" t="s">
        <v>1259</v>
      </c>
      <c r="M801" t="s">
        <v>84</v>
      </c>
      <c r="N801" t="s">
        <v>31</v>
      </c>
      <c r="O801" t="s">
        <v>251</v>
      </c>
      <c r="P801" t="s">
        <v>2055</v>
      </c>
      <c r="Q801">
        <v>100</v>
      </c>
      <c r="R801">
        <v>100</v>
      </c>
      <c r="S801" t="s">
        <v>34</v>
      </c>
      <c r="T801" t="s">
        <v>35</v>
      </c>
      <c r="U801" t="s">
        <v>44</v>
      </c>
      <c r="W801">
        <v>0</v>
      </c>
      <c r="X801">
        <v>0</v>
      </c>
      <c r="Y801">
        <v>0</v>
      </c>
      <c r="Z801">
        <v>0</v>
      </c>
    </row>
    <row r="802" spans="1:26" hidden="1" x14ac:dyDescent="0.25">
      <c r="A802" t="s">
        <v>2056</v>
      </c>
      <c r="B802" t="s">
        <v>38</v>
      </c>
      <c r="C802" s="4">
        <v>44007</v>
      </c>
      <c r="D802" s="4">
        <v>44112</v>
      </c>
      <c r="F802" s="4">
        <v>45261</v>
      </c>
      <c r="G802" t="s">
        <v>72</v>
      </c>
      <c r="H802" t="s">
        <v>2057</v>
      </c>
      <c r="K802" t="s">
        <v>41</v>
      </c>
      <c r="L802" t="s">
        <v>1259</v>
      </c>
      <c r="M802" t="s">
        <v>42</v>
      </c>
      <c r="N802" t="s">
        <v>31</v>
      </c>
      <c r="O802" t="s">
        <v>1110</v>
      </c>
      <c r="P802" t="s">
        <v>2058</v>
      </c>
      <c r="Q802">
        <v>25</v>
      </c>
      <c r="R802">
        <v>25</v>
      </c>
      <c r="S802" t="s">
        <v>56</v>
      </c>
      <c r="T802" t="s">
        <v>57</v>
      </c>
      <c r="U802" t="s">
        <v>44</v>
      </c>
      <c r="W802">
        <v>0</v>
      </c>
      <c r="X802">
        <v>0</v>
      </c>
      <c r="Y802">
        <v>0</v>
      </c>
      <c r="Z802">
        <v>0</v>
      </c>
    </row>
    <row r="803" spans="1:26" hidden="1" x14ac:dyDescent="0.25">
      <c r="A803" t="s">
        <v>2059</v>
      </c>
      <c r="B803" t="s">
        <v>38</v>
      </c>
      <c r="C803" s="4">
        <v>44007</v>
      </c>
      <c r="D803" s="4">
        <v>44517</v>
      </c>
      <c r="F803" s="4">
        <v>45261</v>
      </c>
      <c r="G803" t="s">
        <v>72</v>
      </c>
      <c r="H803" t="s">
        <v>1892</v>
      </c>
      <c r="K803" t="s">
        <v>209</v>
      </c>
      <c r="L803" t="s">
        <v>1259</v>
      </c>
      <c r="M803" t="s">
        <v>42</v>
      </c>
      <c r="N803" t="s">
        <v>31</v>
      </c>
      <c r="O803" t="s">
        <v>1110</v>
      </c>
      <c r="P803" t="s">
        <v>1893</v>
      </c>
      <c r="Q803">
        <v>39</v>
      </c>
      <c r="R803">
        <v>39</v>
      </c>
      <c r="S803" t="s">
        <v>56</v>
      </c>
      <c r="T803" t="s">
        <v>57</v>
      </c>
      <c r="U803" t="s">
        <v>44</v>
      </c>
      <c r="W803">
        <v>0</v>
      </c>
      <c r="X803">
        <v>0</v>
      </c>
      <c r="Y803">
        <v>0</v>
      </c>
      <c r="Z803">
        <v>0</v>
      </c>
    </row>
    <row r="804" spans="1:26" hidden="1" x14ac:dyDescent="0.25">
      <c r="A804" t="s">
        <v>2060</v>
      </c>
      <c r="B804" t="s">
        <v>25</v>
      </c>
      <c r="C804" s="4">
        <v>44000</v>
      </c>
      <c r="F804" s="4">
        <v>45595</v>
      </c>
      <c r="G804" t="s">
        <v>1690</v>
      </c>
      <c r="H804" t="s">
        <v>1500</v>
      </c>
      <c r="K804" t="s">
        <v>98</v>
      </c>
      <c r="L804" t="s">
        <v>1259</v>
      </c>
      <c r="M804" t="s">
        <v>84</v>
      </c>
      <c r="N804" t="s">
        <v>31</v>
      </c>
      <c r="O804" t="s">
        <v>32</v>
      </c>
      <c r="P804" t="s">
        <v>2061</v>
      </c>
      <c r="Q804">
        <v>150</v>
      </c>
      <c r="R804">
        <v>150</v>
      </c>
      <c r="S804" t="s">
        <v>34</v>
      </c>
      <c r="T804" t="s">
        <v>35</v>
      </c>
      <c r="U804" t="s">
        <v>44</v>
      </c>
      <c r="W804">
        <v>150</v>
      </c>
      <c r="X804">
        <v>150</v>
      </c>
      <c r="Y804">
        <v>150</v>
      </c>
      <c r="Z804">
        <v>150</v>
      </c>
    </row>
    <row r="805" spans="1:26" hidden="1" x14ac:dyDescent="0.25">
      <c r="A805" t="s">
        <v>2062</v>
      </c>
      <c r="B805" t="s">
        <v>38</v>
      </c>
      <c r="C805" s="4">
        <v>44006</v>
      </c>
      <c r="D805" s="4">
        <v>44985</v>
      </c>
      <c r="F805" s="4">
        <v>44454</v>
      </c>
      <c r="G805" t="s">
        <v>1278</v>
      </c>
      <c r="H805" t="s">
        <v>2037</v>
      </c>
      <c r="K805" t="s">
        <v>53</v>
      </c>
      <c r="L805" t="s">
        <v>1259</v>
      </c>
      <c r="M805" t="s">
        <v>30</v>
      </c>
      <c r="N805" t="s">
        <v>31</v>
      </c>
      <c r="O805" t="s">
        <v>32</v>
      </c>
      <c r="P805" t="s">
        <v>2063</v>
      </c>
      <c r="Q805">
        <v>1.6</v>
      </c>
      <c r="R805">
        <v>1.6</v>
      </c>
      <c r="S805" t="s">
        <v>56</v>
      </c>
      <c r="T805" t="s">
        <v>57</v>
      </c>
      <c r="U805" t="s">
        <v>44</v>
      </c>
      <c r="W805">
        <v>1.6</v>
      </c>
      <c r="X805">
        <v>1.6</v>
      </c>
      <c r="Y805">
        <v>0</v>
      </c>
      <c r="Z805">
        <v>0</v>
      </c>
    </row>
    <row r="806" spans="1:26" hidden="1" x14ac:dyDescent="0.25">
      <c r="A806" t="s">
        <v>2064</v>
      </c>
      <c r="B806" t="s">
        <v>38</v>
      </c>
      <c r="C806" s="4">
        <v>44620</v>
      </c>
      <c r="D806" s="4">
        <v>44957</v>
      </c>
      <c r="F806" s="4">
        <v>45449</v>
      </c>
      <c r="G806" t="s">
        <v>39</v>
      </c>
      <c r="H806" t="s">
        <v>1519</v>
      </c>
      <c r="K806" t="s">
        <v>28</v>
      </c>
      <c r="L806" t="s">
        <v>1259</v>
      </c>
      <c r="M806" t="s">
        <v>42</v>
      </c>
      <c r="N806" t="s">
        <v>31</v>
      </c>
      <c r="O806" t="s">
        <v>32</v>
      </c>
      <c r="P806" t="s">
        <v>2065</v>
      </c>
      <c r="Q806">
        <v>0</v>
      </c>
      <c r="R806">
        <v>0</v>
      </c>
      <c r="S806" t="s">
        <v>159</v>
      </c>
      <c r="T806" t="s">
        <v>159</v>
      </c>
      <c r="U806" t="s">
        <v>44</v>
      </c>
      <c r="W806">
        <v>0</v>
      </c>
      <c r="X806">
        <v>0</v>
      </c>
      <c r="Y806">
        <v>0</v>
      </c>
      <c r="Z806">
        <v>0</v>
      </c>
    </row>
    <row r="807" spans="1:26" hidden="1" x14ac:dyDescent="0.25">
      <c r="A807" t="s">
        <v>2066</v>
      </c>
      <c r="B807" t="s">
        <v>38</v>
      </c>
      <c r="C807" s="4">
        <v>44572</v>
      </c>
      <c r="D807" s="4">
        <v>46031</v>
      </c>
      <c r="F807" s="4">
        <v>45394</v>
      </c>
      <c r="G807" t="s">
        <v>254</v>
      </c>
      <c r="H807" t="s">
        <v>1882</v>
      </c>
      <c r="K807" t="s">
        <v>98</v>
      </c>
      <c r="L807" t="s">
        <v>1259</v>
      </c>
      <c r="M807" t="s">
        <v>84</v>
      </c>
      <c r="N807" t="s">
        <v>31</v>
      </c>
      <c r="O807" t="s">
        <v>32</v>
      </c>
      <c r="P807" t="s">
        <v>2024</v>
      </c>
      <c r="Q807">
        <v>0</v>
      </c>
      <c r="R807">
        <v>0</v>
      </c>
      <c r="S807" t="s">
        <v>159</v>
      </c>
      <c r="T807" t="s">
        <v>159</v>
      </c>
      <c r="U807" t="s">
        <v>44</v>
      </c>
      <c r="W807">
        <v>0</v>
      </c>
      <c r="X807">
        <v>0</v>
      </c>
      <c r="Y807">
        <v>0</v>
      </c>
      <c r="Z807">
        <v>0</v>
      </c>
    </row>
    <row r="808" spans="1:26" hidden="1" x14ac:dyDescent="0.25">
      <c r="A808" t="s">
        <v>2067</v>
      </c>
      <c r="B808" t="s">
        <v>38</v>
      </c>
      <c r="C808" s="4">
        <v>44002</v>
      </c>
      <c r="D808" s="4">
        <v>45124</v>
      </c>
      <c r="F808" s="4">
        <v>44805</v>
      </c>
      <c r="G808" t="s">
        <v>101</v>
      </c>
      <c r="H808" t="s">
        <v>1800</v>
      </c>
      <c r="K808" t="s">
        <v>98</v>
      </c>
      <c r="L808" t="s">
        <v>1259</v>
      </c>
      <c r="M808" t="s">
        <v>84</v>
      </c>
      <c r="N808" t="s">
        <v>31</v>
      </c>
      <c r="O808" t="s">
        <v>32</v>
      </c>
      <c r="P808" t="s">
        <v>2068</v>
      </c>
      <c r="Q808">
        <v>30</v>
      </c>
      <c r="R808">
        <v>30</v>
      </c>
      <c r="S808" t="s">
        <v>159</v>
      </c>
      <c r="T808" t="s">
        <v>159</v>
      </c>
      <c r="U808" t="s">
        <v>44</v>
      </c>
      <c r="W808">
        <v>0</v>
      </c>
      <c r="X808">
        <v>0</v>
      </c>
      <c r="Y808">
        <v>0</v>
      </c>
      <c r="Z808">
        <v>0</v>
      </c>
    </row>
    <row r="809" spans="1:26" hidden="1" x14ac:dyDescent="0.25">
      <c r="A809" t="s">
        <v>2069</v>
      </c>
      <c r="B809" t="s">
        <v>38</v>
      </c>
      <c r="C809" s="4">
        <v>44005</v>
      </c>
      <c r="D809" s="4">
        <v>44183</v>
      </c>
      <c r="F809" s="4">
        <v>45047</v>
      </c>
      <c r="G809" t="s">
        <v>101</v>
      </c>
      <c r="H809" t="s">
        <v>1302</v>
      </c>
      <c r="K809" t="s">
        <v>98</v>
      </c>
      <c r="L809" t="s">
        <v>1259</v>
      </c>
      <c r="M809" t="s">
        <v>84</v>
      </c>
      <c r="N809" t="s">
        <v>31</v>
      </c>
      <c r="O809" t="s">
        <v>32</v>
      </c>
      <c r="P809" t="s">
        <v>2070</v>
      </c>
      <c r="Q809">
        <v>150</v>
      </c>
      <c r="R809">
        <v>150</v>
      </c>
      <c r="S809" t="s">
        <v>34</v>
      </c>
      <c r="T809" t="s">
        <v>35</v>
      </c>
      <c r="U809" t="s">
        <v>44</v>
      </c>
      <c r="W809">
        <v>0</v>
      </c>
      <c r="X809">
        <v>0</v>
      </c>
      <c r="Y809">
        <v>0</v>
      </c>
      <c r="Z809">
        <v>0</v>
      </c>
    </row>
    <row r="810" spans="1:26" hidden="1" x14ac:dyDescent="0.25">
      <c r="A810" t="s">
        <v>2071</v>
      </c>
      <c r="B810" t="s">
        <v>25</v>
      </c>
      <c r="C810" s="4">
        <v>44007</v>
      </c>
      <c r="F810" s="4">
        <v>44985</v>
      </c>
      <c r="G810" t="s">
        <v>1294</v>
      </c>
      <c r="H810" t="s">
        <v>2072</v>
      </c>
      <c r="K810" t="s">
        <v>28</v>
      </c>
      <c r="L810" t="s">
        <v>1259</v>
      </c>
      <c r="M810" t="s">
        <v>42</v>
      </c>
      <c r="N810" t="s">
        <v>31</v>
      </c>
      <c r="O810" t="s">
        <v>32</v>
      </c>
      <c r="P810" t="s">
        <v>2073</v>
      </c>
      <c r="Q810">
        <v>200</v>
      </c>
      <c r="R810">
        <v>200</v>
      </c>
      <c r="S810" t="s">
        <v>34</v>
      </c>
      <c r="T810" t="s">
        <v>35</v>
      </c>
      <c r="U810" t="s">
        <v>44</v>
      </c>
      <c r="V810" s="4">
        <v>46081</v>
      </c>
      <c r="W810">
        <v>148</v>
      </c>
      <c r="X810">
        <v>0</v>
      </c>
      <c r="Y810">
        <v>148</v>
      </c>
      <c r="Z810">
        <v>0</v>
      </c>
    </row>
    <row r="811" spans="1:26" hidden="1" x14ac:dyDescent="0.25">
      <c r="A811" t="s">
        <v>2074</v>
      </c>
      <c r="B811" t="s">
        <v>38</v>
      </c>
      <c r="C811" s="4">
        <v>44006</v>
      </c>
      <c r="D811" s="4">
        <v>44246</v>
      </c>
      <c r="F811" s="4">
        <v>45153</v>
      </c>
      <c r="G811" t="s">
        <v>1278</v>
      </c>
      <c r="H811" t="s">
        <v>2037</v>
      </c>
      <c r="K811" t="s">
        <v>53</v>
      </c>
      <c r="L811" t="s">
        <v>1259</v>
      </c>
      <c r="M811" t="s">
        <v>30</v>
      </c>
      <c r="N811" t="s">
        <v>31</v>
      </c>
      <c r="O811" t="s">
        <v>32</v>
      </c>
      <c r="P811" t="s">
        <v>2075</v>
      </c>
      <c r="Q811">
        <v>62.5</v>
      </c>
      <c r="R811">
        <v>62.5</v>
      </c>
      <c r="S811" t="s">
        <v>34</v>
      </c>
      <c r="T811" t="s">
        <v>35</v>
      </c>
      <c r="U811" t="s">
        <v>44</v>
      </c>
      <c r="W811">
        <v>0</v>
      </c>
      <c r="X811">
        <v>0</v>
      </c>
      <c r="Y811">
        <v>0</v>
      </c>
      <c r="Z811">
        <v>0</v>
      </c>
    </row>
    <row r="812" spans="1:26" hidden="1" x14ac:dyDescent="0.25">
      <c r="A812" t="s">
        <v>2076</v>
      </c>
      <c r="B812" t="s">
        <v>38</v>
      </c>
      <c r="C812" s="4">
        <v>44002</v>
      </c>
      <c r="D812" s="4">
        <v>45124</v>
      </c>
      <c r="F812" s="4">
        <v>45170</v>
      </c>
      <c r="G812" t="s">
        <v>254</v>
      </c>
      <c r="H812" t="s">
        <v>1640</v>
      </c>
      <c r="K812" t="s">
        <v>98</v>
      </c>
      <c r="L812" t="s">
        <v>1259</v>
      </c>
      <c r="M812" t="s">
        <v>84</v>
      </c>
      <c r="N812" t="s">
        <v>31</v>
      </c>
      <c r="O812" t="s">
        <v>32</v>
      </c>
      <c r="P812" t="s">
        <v>2077</v>
      </c>
      <c r="Q812">
        <v>60</v>
      </c>
      <c r="R812">
        <v>60</v>
      </c>
      <c r="S812" t="s">
        <v>597</v>
      </c>
      <c r="T812" t="s">
        <v>598</v>
      </c>
      <c r="U812" t="s">
        <v>44</v>
      </c>
      <c r="W812">
        <v>0</v>
      </c>
      <c r="X812">
        <v>0</v>
      </c>
      <c r="Y812">
        <v>0</v>
      </c>
      <c r="Z812">
        <v>0</v>
      </c>
    </row>
    <row r="813" spans="1:26" hidden="1" x14ac:dyDescent="0.25">
      <c r="A813" t="s">
        <v>2078</v>
      </c>
      <c r="B813" t="s">
        <v>38</v>
      </c>
      <c r="C813" s="4">
        <v>44001</v>
      </c>
      <c r="D813" s="4">
        <v>44538</v>
      </c>
      <c r="F813" s="4">
        <v>45230</v>
      </c>
      <c r="G813" t="s">
        <v>65</v>
      </c>
      <c r="H813" t="s">
        <v>2079</v>
      </c>
      <c r="K813" t="s">
        <v>67</v>
      </c>
      <c r="L813" t="s">
        <v>1259</v>
      </c>
      <c r="M813" t="s">
        <v>68</v>
      </c>
      <c r="N813" t="s">
        <v>31</v>
      </c>
      <c r="O813" t="s">
        <v>32</v>
      </c>
      <c r="P813" t="s">
        <v>2080</v>
      </c>
      <c r="Q813">
        <v>150</v>
      </c>
      <c r="R813">
        <v>150</v>
      </c>
      <c r="S813" t="s">
        <v>34</v>
      </c>
      <c r="T813" t="s">
        <v>35</v>
      </c>
      <c r="U813" t="s">
        <v>44</v>
      </c>
      <c r="W813">
        <v>0</v>
      </c>
      <c r="X813">
        <v>0</v>
      </c>
      <c r="Y813">
        <v>0</v>
      </c>
      <c r="Z813">
        <v>0</v>
      </c>
    </row>
    <row r="814" spans="1:26" hidden="1" x14ac:dyDescent="0.25">
      <c r="A814" t="s">
        <v>2081</v>
      </c>
      <c r="B814" t="s">
        <v>38</v>
      </c>
      <c r="C814" s="4">
        <v>44007</v>
      </c>
      <c r="D814" s="4">
        <v>44538</v>
      </c>
      <c r="F814" s="4">
        <v>45536</v>
      </c>
      <c r="G814" t="s">
        <v>149</v>
      </c>
      <c r="H814" t="s">
        <v>2082</v>
      </c>
      <c r="K814" t="s">
        <v>151</v>
      </c>
      <c r="L814" t="s">
        <v>1259</v>
      </c>
      <c r="M814" t="s">
        <v>68</v>
      </c>
      <c r="N814" t="s">
        <v>31</v>
      </c>
      <c r="O814" t="s">
        <v>32</v>
      </c>
      <c r="P814" t="s">
        <v>2083</v>
      </c>
      <c r="Q814">
        <v>294.25</v>
      </c>
      <c r="R814">
        <v>294.25</v>
      </c>
      <c r="S814" t="s">
        <v>56</v>
      </c>
      <c r="T814" t="s">
        <v>57</v>
      </c>
      <c r="U814" t="s">
        <v>44</v>
      </c>
      <c r="W814">
        <v>0</v>
      </c>
      <c r="X814">
        <v>0</v>
      </c>
      <c r="Y814">
        <v>0</v>
      </c>
      <c r="Z814">
        <v>0</v>
      </c>
    </row>
    <row r="815" spans="1:26" hidden="1" x14ac:dyDescent="0.25">
      <c r="A815" t="s">
        <v>2084</v>
      </c>
      <c r="B815" t="s">
        <v>25</v>
      </c>
      <c r="C815" s="4">
        <v>44749</v>
      </c>
      <c r="F815" s="4">
        <v>43910</v>
      </c>
      <c r="G815" t="s">
        <v>1753</v>
      </c>
      <c r="H815" t="s">
        <v>1933</v>
      </c>
      <c r="K815" t="s">
        <v>114</v>
      </c>
      <c r="L815" t="s">
        <v>1259</v>
      </c>
      <c r="M815" t="s">
        <v>68</v>
      </c>
      <c r="N815" t="s">
        <v>31</v>
      </c>
      <c r="O815" t="s">
        <v>122</v>
      </c>
      <c r="P815" t="s">
        <v>2085</v>
      </c>
      <c r="Q815">
        <v>920</v>
      </c>
      <c r="R815">
        <v>1005</v>
      </c>
      <c r="S815" t="s">
        <v>389</v>
      </c>
      <c r="T815" t="s">
        <v>390</v>
      </c>
      <c r="U815" t="s">
        <v>44</v>
      </c>
      <c r="V815" s="4">
        <v>37335</v>
      </c>
      <c r="W815">
        <v>205</v>
      </c>
      <c r="X815">
        <v>0</v>
      </c>
      <c r="Y815">
        <v>205</v>
      </c>
      <c r="Z815">
        <v>0</v>
      </c>
    </row>
    <row r="816" spans="1:26" hidden="1" x14ac:dyDescent="0.25">
      <c r="A816" t="s">
        <v>2086</v>
      </c>
      <c r="B816" t="s">
        <v>25</v>
      </c>
      <c r="C816" s="4">
        <v>44006</v>
      </c>
      <c r="F816" s="4">
        <v>45184</v>
      </c>
      <c r="G816" t="s">
        <v>1278</v>
      </c>
      <c r="H816" t="s">
        <v>2087</v>
      </c>
      <c r="K816" t="s">
        <v>53</v>
      </c>
      <c r="L816" t="s">
        <v>1259</v>
      </c>
      <c r="M816" t="s">
        <v>30</v>
      </c>
      <c r="N816" t="s">
        <v>31</v>
      </c>
      <c r="O816" t="s">
        <v>32</v>
      </c>
      <c r="P816" t="s">
        <v>2088</v>
      </c>
      <c r="Q816">
        <v>22.5</v>
      </c>
      <c r="R816">
        <v>22.5</v>
      </c>
      <c r="S816" t="s">
        <v>34</v>
      </c>
      <c r="T816" t="s">
        <v>35</v>
      </c>
      <c r="U816" t="s">
        <v>44</v>
      </c>
      <c r="V816" s="4">
        <v>46280</v>
      </c>
      <c r="W816">
        <v>22.5</v>
      </c>
      <c r="X816">
        <v>22.5</v>
      </c>
      <c r="Y816">
        <v>22.5</v>
      </c>
      <c r="Z816">
        <v>22.5</v>
      </c>
    </row>
    <row r="817" spans="1:26" hidden="1" x14ac:dyDescent="0.25">
      <c r="A817" t="s">
        <v>2089</v>
      </c>
      <c r="B817" t="s">
        <v>38</v>
      </c>
      <c r="C817" s="4">
        <v>44636</v>
      </c>
      <c r="D817" s="4">
        <v>45538</v>
      </c>
      <c r="F817" s="4">
        <v>45139</v>
      </c>
      <c r="G817" t="s">
        <v>101</v>
      </c>
      <c r="H817" t="s">
        <v>2013</v>
      </c>
      <c r="K817" t="s">
        <v>98</v>
      </c>
      <c r="L817" t="s">
        <v>1259</v>
      </c>
      <c r="M817" t="s">
        <v>84</v>
      </c>
      <c r="N817" t="s">
        <v>31</v>
      </c>
      <c r="O817" t="s">
        <v>32</v>
      </c>
      <c r="P817" t="s">
        <v>2090</v>
      </c>
      <c r="Q817">
        <v>180</v>
      </c>
      <c r="R817">
        <v>180</v>
      </c>
      <c r="S817" t="s">
        <v>34</v>
      </c>
      <c r="T817" t="s">
        <v>35</v>
      </c>
      <c r="U817" t="s">
        <v>44</v>
      </c>
      <c r="W817">
        <v>130</v>
      </c>
      <c r="X817">
        <v>130</v>
      </c>
      <c r="Y817">
        <v>0</v>
      </c>
      <c r="Z817">
        <v>0</v>
      </c>
    </row>
    <row r="818" spans="1:26" hidden="1" x14ac:dyDescent="0.25">
      <c r="A818" t="s">
        <v>2091</v>
      </c>
      <c r="B818" t="s">
        <v>25</v>
      </c>
      <c r="C818" s="4">
        <v>44637</v>
      </c>
      <c r="F818" s="4">
        <v>45960</v>
      </c>
      <c r="G818" t="s">
        <v>1326</v>
      </c>
      <c r="H818" t="s">
        <v>1879</v>
      </c>
      <c r="K818" t="s">
        <v>67</v>
      </c>
      <c r="L818" t="s">
        <v>1259</v>
      </c>
      <c r="M818" t="s">
        <v>68</v>
      </c>
      <c r="N818" t="s">
        <v>31</v>
      </c>
      <c r="O818" t="s">
        <v>32</v>
      </c>
      <c r="P818" t="s">
        <v>2092</v>
      </c>
      <c r="Q818">
        <v>135</v>
      </c>
      <c r="R818">
        <v>135</v>
      </c>
      <c r="S818" t="s">
        <v>34</v>
      </c>
      <c r="T818" t="s">
        <v>35</v>
      </c>
      <c r="U818" t="s">
        <v>44</v>
      </c>
      <c r="V818" s="4">
        <v>45962</v>
      </c>
      <c r="W818">
        <v>135</v>
      </c>
      <c r="X818">
        <v>100</v>
      </c>
      <c r="Y818">
        <v>135</v>
      </c>
      <c r="Z818">
        <v>100</v>
      </c>
    </row>
    <row r="819" spans="1:26" hidden="1" x14ac:dyDescent="0.25">
      <c r="A819" t="s">
        <v>2093</v>
      </c>
      <c r="B819" t="s">
        <v>38</v>
      </c>
      <c r="C819" s="4">
        <v>44040</v>
      </c>
      <c r="D819" s="4">
        <v>44985</v>
      </c>
      <c r="F819" s="4">
        <v>44454</v>
      </c>
      <c r="G819" t="s">
        <v>1278</v>
      </c>
      <c r="H819" t="s">
        <v>2037</v>
      </c>
      <c r="K819" t="s">
        <v>53</v>
      </c>
      <c r="L819" t="s">
        <v>1259</v>
      </c>
      <c r="M819" t="s">
        <v>30</v>
      </c>
      <c r="N819" t="s">
        <v>31</v>
      </c>
      <c r="O819" t="s">
        <v>32</v>
      </c>
      <c r="P819" t="s">
        <v>2094</v>
      </c>
      <c r="Q819">
        <v>20</v>
      </c>
      <c r="R819">
        <v>20</v>
      </c>
      <c r="S819" t="s">
        <v>56</v>
      </c>
      <c r="T819" t="s">
        <v>57</v>
      </c>
      <c r="U819" t="s">
        <v>44</v>
      </c>
      <c r="W819">
        <v>20</v>
      </c>
      <c r="X819">
        <v>20</v>
      </c>
      <c r="Y819">
        <v>0</v>
      </c>
      <c r="Z819">
        <v>0</v>
      </c>
    </row>
    <row r="820" spans="1:26" hidden="1" x14ac:dyDescent="0.25">
      <c r="A820" t="s">
        <v>2095</v>
      </c>
      <c r="B820" t="s">
        <v>25</v>
      </c>
      <c r="C820" s="4">
        <v>44001</v>
      </c>
      <c r="E820" s="4">
        <v>44944</v>
      </c>
      <c r="F820" s="4">
        <v>45200</v>
      </c>
      <c r="G820" t="s">
        <v>2096</v>
      </c>
      <c r="H820" t="s">
        <v>1320</v>
      </c>
      <c r="K820" t="s">
        <v>146</v>
      </c>
      <c r="L820" t="s">
        <v>1259</v>
      </c>
      <c r="M820" t="s">
        <v>68</v>
      </c>
      <c r="N820" t="s">
        <v>31</v>
      </c>
      <c r="O820" t="s">
        <v>32</v>
      </c>
      <c r="P820" t="s">
        <v>2097</v>
      </c>
      <c r="Q820">
        <v>80</v>
      </c>
      <c r="R820">
        <v>80</v>
      </c>
      <c r="S820" t="s">
        <v>34</v>
      </c>
      <c r="T820" t="s">
        <v>35</v>
      </c>
      <c r="U820" t="s">
        <v>44</v>
      </c>
      <c r="V820" s="4">
        <v>46203</v>
      </c>
      <c r="W820">
        <v>80</v>
      </c>
      <c r="X820">
        <v>80</v>
      </c>
      <c r="Y820">
        <v>80</v>
      </c>
      <c r="Z820">
        <v>80</v>
      </c>
    </row>
    <row r="821" spans="1:26" hidden="1" x14ac:dyDescent="0.25">
      <c r="A821" t="s">
        <v>2098</v>
      </c>
      <c r="B821" t="s">
        <v>25</v>
      </c>
      <c r="C821" s="4">
        <v>44007</v>
      </c>
      <c r="F821" s="4">
        <v>45182</v>
      </c>
      <c r="G821" t="s">
        <v>1326</v>
      </c>
      <c r="H821" t="s">
        <v>1849</v>
      </c>
      <c r="K821" t="s">
        <v>67</v>
      </c>
      <c r="L821" t="s">
        <v>1259</v>
      </c>
      <c r="M821" t="s">
        <v>68</v>
      </c>
      <c r="N821" t="s">
        <v>31</v>
      </c>
      <c r="O821" t="s">
        <v>32</v>
      </c>
      <c r="P821" t="s">
        <v>2099</v>
      </c>
      <c r="Q821">
        <v>0</v>
      </c>
      <c r="R821">
        <v>0</v>
      </c>
      <c r="S821" t="s">
        <v>159</v>
      </c>
      <c r="T821" t="s">
        <v>159</v>
      </c>
      <c r="U821" t="s">
        <v>44</v>
      </c>
      <c r="V821" s="4">
        <v>46278</v>
      </c>
      <c r="W821">
        <v>0</v>
      </c>
      <c r="X821">
        <v>0</v>
      </c>
      <c r="Y821">
        <v>0</v>
      </c>
      <c r="Z821">
        <v>0</v>
      </c>
    </row>
    <row r="822" spans="1:26" hidden="1" x14ac:dyDescent="0.25">
      <c r="A822" t="s">
        <v>2100</v>
      </c>
      <c r="B822" t="s">
        <v>25</v>
      </c>
      <c r="C822" s="4">
        <v>44007</v>
      </c>
      <c r="F822" s="4">
        <v>45182</v>
      </c>
      <c r="G822" t="s">
        <v>1326</v>
      </c>
      <c r="H822" t="s">
        <v>1849</v>
      </c>
      <c r="K822" t="s">
        <v>67</v>
      </c>
      <c r="L822" t="s">
        <v>1259</v>
      </c>
      <c r="M822" t="s">
        <v>68</v>
      </c>
      <c r="N822" t="s">
        <v>31</v>
      </c>
      <c r="O822" t="s">
        <v>32</v>
      </c>
      <c r="P822" t="s">
        <v>2099</v>
      </c>
      <c r="Q822">
        <v>100</v>
      </c>
      <c r="R822">
        <v>100</v>
      </c>
      <c r="S822" t="s">
        <v>34</v>
      </c>
      <c r="T822" t="s">
        <v>35</v>
      </c>
      <c r="U822" t="s">
        <v>44</v>
      </c>
      <c r="V822" s="4">
        <v>46278</v>
      </c>
      <c r="W822">
        <v>100</v>
      </c>
      <c r="X822">
        <v>100</v>
      </c>
      <c r="Y822">
        <v>100</v>
      </c>
      <c r="Z822">
        <v>100</v>
      </c>
    </row>
    <row r="823" spans="1:26" hidden="1" x14ac:dyDescent="0.25">
      <c r="A823" t="s">
        <v>2101</v>
      </c>
      <c r="B823" t="s">
        <v>25</v>
      </c>
      <c r="C823" s="4">
        <v>44007</v>
      </c>
      <c r="F823" s="4">
        <v>45182</v>
      </c>
      <c r="G823" t="s">
        <v>1326</v>
      </c>
      <c r="H823" t="s">
        <v>1849</v>
      </c>
      <c r="K823" t="s">
        <v>67</v>
      </c>
      <c r="L823" t="s">
        <v>1259</v>
      </c>
      <c r="M823" t="s">
        <v>68</v>
      </c>
      <c r="N823" t="s">
        <v>31</v>
      </c>
      <c r="O823" t="s">
        <v>32</v>
      </c>
      <c r="P823" t="s">
        <v>2099</v>
      </c>
      <c r="Q823">
        <v>0</v>
      </c>
      <c r="R823">
        <v>0</v>
      </c>
      <c r="S823" t="s">
        <v>159</v>
      </c>
      <c r="T823" t="s">
        <v>159</v>
      </c>
      <c r="U823" t="s">
        <v>44</v>
      </c>
      <c r="V823" s="4">
        <v>46278</v>
      </c>
      <c r="W823">
        <v>0</v>
      </c>
      <c r="X823">
        <v>0</v>
      </c>
      <c r="Y823">
        <v>0</v>
      </c>
      <c r="Z823">
        <v>0</v>
      </c>
    </row>
    <row r="824" spans="1:26" hidden="1" x14ac:dyDescent="0.25">
      <c r="A824" t="s">
        <v>2102</v>
      </c>
      <c r="B824" t="s">
        <v>38</v>
      </c>
      <c r="C824" s="4">
        <v>44007</v>
      </c>
      <c r="D824" s="4">
        <v>44200</v>
      </c>
      <c r="F824" s="4">
        <v>45078</v>
      </c>
      <c r="G824" t="s">
        <v>72</v>
      </c>
      <c r="H824" t="s">
        <v>1424</v>
      </c>
      <c r="K824" t="s">
        <v>209</v>
      </c>
      <c r="L824" t="s">
        <v>1259</v>
      </c>
      <c r="M824" t="s">
        <v>42</v>
      </c>
      <c r="N824" t="s">
        <v>31</v>
      </c>
      <c r="O824" t="s">
        <v>32</v>
      </c>
      <c r="P824" t="s">
        <v>2103</v>
      </c>
      <c r="Q824">
        <v>200</v>
      </c>
      <c r="R824">
        <v>200</v>
      </c>
      <c r="S824" t="s">
        <v>56</v>
      </c>
      <c r="T824" t="s">
        <v>57</v>
      </c>
      <c r="U824" t="s">
        <v>44</v>
      </c>
      <c r="W824">
        <v>0</v>
      </c>
      <c r="X824">
        <v>0</v>
      </c>
      <c r="Y824">
        <v>0</v>
      </c>
      <c r="Z824">
        <v>0</v>
      </c>
    </row>
    <row r="825" spans="1:26" hidden="1" x14ac:dyDescent="0.25">
      <c r="A825" t="s">
        <v>2104</v>
      </c>
      <c r="B825" t="s">
        <v>38</v>
      </c>
      <c r="C825" s="4">
        <v>44006</v>
      </c>
      <c r="D825" s="4">
        <v>44246</v>
      </c>
      <c r="F825" s="4">
        <v>45184</v>
      </c>
      <c r="G825" t="s">
        <v>1278</v>
      </c>
      <c r="H825" t="s">
        <v>2037</v>
      </c>
      <c r="K825" t="s">
        <v>53</v>
      </c>
      <c r="L825" t="s">
        <v>1259</v>
      </c>
      <c r="M825" t="s">
        <v>30</v>
      </c>
      <c r="N825" t="s">
        <v>31</v>
      </c>
      <c r="O825" t="s">
        <v>32</v>
      </c>
      <c r="P825" t="s">
        <v>2105</v>
      </c>
      <c r="Q825">
        <v>62.5</v>
      </c>
      <c r="R825">
        <v>62.5</v>
      </c>
      <c r="S825" t="s">
        <v>34</v>
      </c>
      <c r="T825" t="s">
        <v>35</v>
      </c>
      <c r="U825" t="s">
        <v>44</v>
      </c>
      <c r="W825">
        <v>0</v>
      </c>
      <c r="X825">
        <v>0</v>
      </c>
      <c r="Y825">
        <v>0</v>
      </c>
      <c r="Z825">
        <v>0</v>
      </c>
    </row>
    <row r="826" spans="1:26" hidden="1" x14ac:dyDescent="0.25">
      <c r="A826" t="s">
        <v>2106</v>
      </c>
      <c r="B826" t="s">
        <v>25</v>
      </c>
      <c r="C826" s="4">
        <v>44006</v>
      </c>
      <c r="F826" s="4">
        <v>45657</v>
      </c>
      <c r="G826" t="s">
        <v>1278</v>
      </c>
      <c r="H826" t="s">
        <v>1645</v>
      </c>
      <c r="K826" t="s">
        <v>28</v>
      </c>
      <c r="L826" t="s">
        <v>1259</v>
      </c>
      <c r="M826" t="s">
        <v>30</v>
      </c>
      <c r="N826" t="s">
        <v>31</v>
      </c>
      <c r="O826" t="s">
        <v>32</v>
      </c>
      <c r="P826" t="s">
        <v>2107</v>
      </c>
      <c r="Q826">
        <v>73.8</v>
      </c>
      <c r="R826">
        <v>73.8</v>
      </c>
      <c r="S826" t="s">
        <v>34</v>
      </c>
      <c r="T826" t="s">
        <v>35</v>
      </c>
      <c r="U826" t="s">
        <v>44</v>
      </c>
      <c r="V826" s="4">
        <v>46022</v>
      </c>
      <c r="W826">
        <v>67</v>
      </c>
      <c r="X826">
        <v>67</v>
      </c>
      <c r="Y826">
        <v>67</v>
      </c>
      <c r="Z826">
        <v>67</v>
      </c>
    </row>
    <row r="827" spans="1:26" hidden="1" x14ac:dyDescent="0.25">
      <c r="A827" t="s">
        <v>2108</v>
      </c>
      <c r="B827" t="s">
        <v>38</v>
      </c>
      <c r="C827" s="4">
        <v>44007</v>
      </c>
      <c r="D827" s="4">
        <v>44183</v>
      </c>
      <c r="F827" s="4">
        <v>45566</v>
      </c>
      <c r="G827" t="s">
        <v>101</v>
      </c>
      <c r="H827" t="s">
        <v>1795</v>
      </c>
      <c r="K827" t="s">
        <v>98</v>
      </c>
      <c r="L827" t="s">
        <v>1259</v>
      </c>
      <c r="M827" t="s">
        <v>84</v>
      </c>
      <c r="N827" t="s">
        <v>31</v>
      </c>
      <c r="O827" t="s">
        <v>32</v>
      </c>
      <c r="P827" t="s">
        <v>2109</v>
      </c>
      <c r="Q827">
        <v>100</v>
      </c>
      <c r="R827">
        <v>100</v>
      </c>
      <c r="S827" t="s">
        <v>34</v>
      </c>
      <c r="T827" t="s">
        <v>35</v>
      </c>
      <c r="U827" t="s">
        <v>44</v>
      </c>
      <c r="W827">
        <v>0</v>
      </c>
      <c r="X827">
        <v>0</v>
      </c>
      <c r="Y827">
        <v>0</v>
      </c>
      <c r="Z827">
        <v>0</v>
      </c>
    </row>
    <row r="828" spans="1:26" hidden="1" x14ac:dyDescent="0.25">
      <c r="A828" t="s">
        <v>2110</v>
      </c>
      <c r="B828" t="s">
        <v>25</v>
      </c>
      <c r="C828" s="4">
        <v>44812</v>
      </c>
      <c r="F828" s="4">
        <v>44621</v>
      </c>
      <c r="G828" t="s">
        <v>39</v>
      </c>
      <c r="H828" t="s">
        <v>2111</v>
      </c>
      <c r="K828" t="s">
        <v>41</v>
      </c>
      <c r="L828" t="s">
        <v>1259</v>
      </c>
      <c r="M828" t="s">
        <v>42</v>
      </c>
      <c r="N828" t="s">
        <v>31</v>
      </c>
      <c r="O828" t="s">
        <v>32</v>
      </c>
      <c r="P828" t="s">
        <v>2112</v>
      </c>
      <c r="Q828">
        <v>4</v>
      </c>
      <c r="R828">
        <v>4</v>
      </c>
      <c r="S828" t="s">
        <v>637</v>
      </c>
      <c r="T828" t="s">
        <v>638</v>
      </c>
      <c r="U828" t="s">
        <v>44</v>
      </c>
      <c r="V828" s="4">
        <v>45534</v>
      </c>
      <c r="W828">
        <v>4</v>
      </c>
      <c r="X828">
        <v>0</v>
      </c>
      <c r="Y828">
        <v>4</v>
      </c>
      <c r="Z828">
        <v>0</v>
      </c>
    </row>
    <row r="829" spans="1:26" hidden="1" x14ac:dyDescent="0.25">
      <c r="A829" t="s">
        <v>2113</v>
      </c>
      <c r="B829" t="s">
        <v>25</v>
      </c>
      <c r="C829" s="4">
        <v>44489</v>
      </c>
      <c r="E829" s="4">
        <v>44944</v>
      </c>
      <c r="F829" s="4">
        <v>45230</v>
      </c>
      <c r="G829" t="s">
        <v>1408</v>
      </c>
      <c r="H829" t="s">
        <v>1418</v>
      </c>
      <c r="K829" t="s">
        <v>146</v>
      </c>
      <c r="L829" t="s">
        <v>1259</v>
      </c>
      <c r="M829" t="s">
        <v>68</v>
      </c>
      <c r="N829" t="s">
        <v>31</v>
      </c>
      <c r="O829" t="s">
        <v>32</v>
      </c>
      <c r="P829" t="s">
        <v>2114</v>
      </c>
      <c r="Q829">
        <v>90</v>
      </c>
      <c r="R829">
        <v>90</v>
      </c>
      <c r="S829" t="s">
        <v>34</v>
      </c>
      <c r="T829" t="s">
        <v>35</v>
      </c>
      <c r="U829" t="s">
        <v>44</v>
      </c>
      <c r="V829" s="4">
        <v>46113</v>
      </c>
      <c r="W829">
        <v>90</v>
      </c>
      <c r="X829">
        <v>90</v>
      </c>
      <c r="Y829">
        <v>90</v>
      </c>
      <c r="Z829">
        <v>0</v>
      </c>
    </row>
    <row r="830" spans="1:26" hidden="1" x14ac:dyDescent="0.25">
      <c r="A830" t="s">
        <v>2115</v>
      </c>
      <c r="B830" t="s">
        <v>38</v>
      </c>
      <c r="C830" s="4">
        <v>44007</v>
      </c>
      <c r="D830" s="4">
        <v>44267</v>
      </c>
      <c r="F830" s="4">
        <v>45524</v>
      </c>
      <c r="G830" t="s">
        <v>117</v>
      </c>
      <c r="H830" t="s">
        <v>1291</v>
      </c>
      <c r="K830" t="s">
        <v>83</v>
      </c>
      <c r="L830" t="s">
        <v>1259</v>
      </c>
      <c r="M830" t="s">
        <v>84</v>
      </c>
      <c r="N830" t="s">
        <v>31</v>
      </c>
      <c r="O830" t="s">
        <v>122</v>
      </c>
      <c r="P830" t="s">
        <v>2116</v>
      </c>
      <c r="Q830">
        <v>99.2</v>
      </c>
      <c r="R830">
        <v>99.2</v>
      </c>
      <c r="S830" t="s">
        <v>597</v>
      </c>
      <c r="T830" t="s">
        <v>1077</v>
      </c>
      <c r="U830" t="s">
        <v>44</v>
      </c>
      <c r="W830">
        <v>0</v>
      </c>
      <c r="X830">
        <v>0</v>
      </c>
      <c r="Y830">
        <v>0</v>
      </c>
      <c r="Z830">
        <v>0</v>
      </c>
    </row>
    <row r="831" spans="1:26" hidden="1" x14ac:dyDescent="0.25">
      <c r="A831" t="s">
        <v>2117</v>
      </c>
      <c r="B831" t="s">
        <v>38</v>
      </c>
      <c r="C831" s="4">
        <v>44007</v>
      </c>
      <c r="D831" s="4">
        <v>45124</v>
      </c>
      <c r="F831" s="4">
        <v>45566</v>
      </c>
      <c r="G831" t="s">
        <v>101</v>
      </c>
      <c r="H831" t="s">
        <v>1821</v>
      </c>
      <c r="K831" t="s">
        <v>98</v>
      </c>
      <c r="L831" t="s">
        <v>1259</v>
      </c>
      <c r="M831" t="s">
        <v>84</v>
      </c>
      <c r="N831" t="s">
        <v>31</v>
      </c>
      <c r="O831" t="s">
        <v>32</v>
      </c>
      <c r="P831" t="s">
        <v>2118</v>
      </c>
      <c r="Q831">
        <v>180</v>
      </c>
      <c r="R831">
        <v>180</v>
      </c>
      <c r="S831" t="s">
        <v>34</v>
      </c>
      <c r="T831" t="s">
        <v>35</v>
      </c>
      <c r="U831" t="s">
        <v>44</v>
      </c>
      <c r="W831">
        <v>0</v>
      </c>
      <c r="X831">
        <v>0</v>
      </c>
      <c r="Y831">
        <v>0</v>
      </c>
      <c r="Z831">
        <v>0</v>
      </c>
    </row>
    <row r="832" spans="1:26" hidden="1" x14ac:dyDescent="0.25">
      <c r="A832" t="s">
        <v>2119</v>
      </c>
      <c r="B832" t="s">
        <v>38</v>
      </c>
      <c r="C832" s="4">
        <v>44005</v>
      </c>
      <c r="D832" s="4">
        <v>45538</v>
      </c>
      <c r="F832" s="4">
        <v>45170</v>
      </c>
      <c r="G832" t="s">
        <v>117</v>
      </c>
      <c r="H832" t="s">
        <v>1887</v>
      </c>
      <c r="K832" t="s">
        <v>83</v>
      </c>
      <c r="L832" t="s">
        <v>1259</v>
      </c>
      <c r="M832" t="s">
        <v>84</v>
      </c>
      <c r="N832" t="s">
        <v>31</v>
      </c>
      <c r="O832" t="s">
        <v>32</v>
      </c>
      <c r="P832" t="s">
        <v>2120</v>
      </c>
      <c r="Q832">
        <v>200</v>
      </c>
      <c r="R832">
        <v>200</v>
      </c>
      <c r="S832" t="s">
        <v>597</v>
      </c>
      <c r="T832" t="s">
        <v>598</v>
      </c>
      <c r="U832" t="s">
        <v>44</v>
      </c>
      <c r="W832">
        <v>200</v>
      </c>
      <c r="X832">
        <v>200</v>
      </c>
      <c r="Y832">
        <v>0</v>
      </c>
      <c r="Z832">
        <v>0</v>
      </c>
    </row>
    <row r="833" spans="1:26" hidden="1" x14ac:dyDescent="0.25">
      <c r="A833" t="s">
        <v>2121</v>
      </c>
      <c r="B833" t="s">
        <v>25</v>
      </c>
      <c r="C833" s="4">
        <v>44007</v>
      </c>
      <c r="F833" s="4">
        <v>45230</v>
      </c>
      <c r="G833" t="s">
        <v>117</v>
      </c>
      <c r="H833" t="s">
        <v>2122</v>
      </c>
      <c r="K833" t="s">
        <v>83</v>
      </c>
      <c r="L833" t="s">
        <v>1259</v>
      </c>
      <c r="M833" t="s">
        <v>84</v>
      </c>
      <c r="N833" t="s">
        <v>31</v>
      </c>
      <c r="O833" t="s">
        <v>32</v>
      </c>
      <c r="P833" t="s">
        <v>2123</v>
      </c>
      <c r="Q833">
        <v>200</v>
      </c>
      <c r="R833">
        <v>200</v>
      </c>
      <c r="S833" t="s">
        <v>56</v>
      </c>
      <c r="T833" t="s">
        <v>57</v>
      </c>
      <c r="U833" t="s">
        <v>44</v>
      </c>
      <c r="V833" s="4">
        <v>46249</v>
      </c>
      <c r="W833">
        <v>200</v>
      </c>
      <c r="X833">
        <v>200</v>
      </c>
      <c r="Y833">
        <v>200</v>
      </c>
      <c r="Z833">
        <v>175</v>
      </c>
    </row>
    <row r="834" spans="1:26" hidden="1" x14ac:dyDescent="0.25">
      <c r="A834" t="s">
        <v>2124</v>
      </c>
      <c r="B834" t="s">
        <v>25</v>
      </c>
      <c r="C834" s="4">
        <v>44007</v>
      </c>
      <c r="F834" s="4">
        <v>45017</v>
      </c>
      <c r="G834" t="s">
        <v>1108</v>
      </c>
      <c r="H834" t="s">
        <v>1685</v>
      </c>
      <c r="K834" t="s">
        <v>146</v>
      </c>
      <c r="L834" t="s">
        <v>1259</v>
      </c>
      <c r="M834" t="s">
        <v>68</v>
      </c>
      <c r="N834" t="s">
        <v>31</v>
      </c>
      <c r="O834" t="s">
        <v>32</v>
      </c>
      <c r="P834" t="s">
        <v>2125</v>
      </c>
      <c r="Q834">
        <v>145.09</v>
      </c>
      <c r="R834">
        <v>145.09</v>
      </c>
      <c r="S834" t="s">
        <v>34</v>
      </c>
      <c r="T834" t="s">
        <v>35</v>
      </c>
      <c r="U834" t="s">
        <v>36</v>
      </c>
      <c r="V834" s="4">
        <v>45488</v>
      </c>
      <c r="W834">
        <v>150</v>
      </c>
      <c r="X834">
        <v>150</v>
      </c>
      <c r="Y834">
        <v>145</v>
      </c>
      <c r="Z834">
        <v>90</v>
      </c>
    </row>
    <row r="835" spans="1:26" hidden="1" x14ac:dyDescent="0.25">
      <c r="A835" t="s">
        <v>2126</v>
      </c>
      <c r="B835" t="s">
        <v>25</v>
      </c>
      <c r="C835" s="4">
        <v>44488</v>
      </c>
      <c r="E835" s="4">
        <v>44944</v>
      </c>
      <c r="F835" s="4">
        <v>46143</v>
      </c>
      <c r="G835" t="s">
        <v>1408</v>
      </c>
      <c r="H835" t="s">
        <v>2127</v>
      </c>
      <c r="K835" t="s">
        <v>146</v>
      </c>
      <c r="L835" t="s">
        <v>1259</v>
      </c>
      <c r="M835" t="s">
        <v>68</v>
      </c>
      <c r="N835" t="s">
        <v>31</v>
      </c>
      <c r="O835" t="s">
        <v>122</v>
      </c>
      <c r="P835" t="s">
        <v>2128</v>
      </c>
      <c r="Q835">
        <v>115.1</v>
      </c>
      <c r="R835">
        <v>115.1</v>
      </c>
      <c r="S835" t="s">
        <v>389</v>
      </c>
      <c r="T835" t="s">
        <v>2129</v>
      </c>
      <c r="U835" t="s">
        <v>44</v>
      </c>
      <c r="V835" s="4">
        <v>45931</v>
      </c>
      <c r="W835">
        <v>115.1</v>
      </c>
      <c r="X835">
        <v>115.1</v>
      </c>
      <c r="Y835">
        <v>115.1</v>
      </c>
      <c r="Z835">
        <v>0</v>
      </c>
    </row>
    <row r="836" spans="1:26" hidden="1" x14ac:dyDescent="0.25">
      <c r="A836" t="s">
        <v>2130</v>
      </c>
      <c r="B836" t="s">
        <v>25</v>
      </c>
      <c r="C836" s="4">
        <v>44546</v>
      </c>
      <c r="F836" s="4">
        <v>45772</v>
      </c>
      <c r="G836" t="s">
        <v>1749</v>
      </c>
      <c r="H836" t="s">
        <v>1629</v>
      </c>
      <c r="K836" t="s">
        <v>151</v>
      </c>
      <c r="L836" t="s">
        <v>1259</v>
      </c>
      <c r="M836" t="s">
        <v>68</v>
      </c>
      <c r="N836" t="s">
        <v>31</v>
      </c>
      <c r="O836" t="s">
        <v>32</v>
      </c>
      <c r="P836" t="s">
        <v>2131</v>
      </c>
      <c r="Q836">
        <v>66.7</v>
      </c>
      <c r="R836">
        <v>126</v>
      </c>
      <c r="S836" t="s">
        <v>389</v>
      </c>
      <c r="T836" t="s">
        <v>390</v>
      </c>
      <c r="U836" t="s">
        <v>44</v>
      </c>
      <c r="V836" s="4">
        <v>45802</v>
      </c>
      <c r="W836">
        <v>126</v>
      </c>
      <c r="X836">
        <v>66.7</v>
      </c>
      <c r="Y836">
        <v>126</v>
      </c>
      <c r="Z836">
        <v>66.7</v>
      </c>
    </row>
    <row r="837" spans="1:26" hidden="1" x14ac:dyDescent="0.25">
      <c r="A837" t="s">
        <v>2132</v>
      </c>
      <c r="B837" t="s">
        <v>38</v>
      </c>
      <c r="C837" s="4">
        <v>44007</v>
      </c>
      <c r="D837" s="4">
        <v>45538</v>
      </c>
      <c r="F837" s="4">
        <v>45078</v>
      </c>
      <c r="G837" t="s">
        <v>1679</v>
      </c>
      <c r="H837" t="s">
        <v>1680</v>
      </c>
      <c r="K837" t="s">
        <v>98</v>
      </c>
      <c r="L837" t="s">
        <v>1259</v>
      </c>
      <c r="M837" t="s">
        <v>84</v>
      </c>
      <c r="N837" t="s">
        <v>31</v>
      </c>
      <c r="O837" t="s">
        <v>32</v>
      </c>
      <c r="P837" t="s">
        <v>2133</v>
      </c>
      <c r="Q837">
        <v>200</v>
      </c>
      <c r="R837">
        <v>200</v>
      </c>
      <c r="S837" t="s">
        <v>56</v>
      </c>
      <c r="T837" t="s">
        <v>57</v>
      </c>
      <c r="U837" t="s">
        <v>44</v>
      </c>
      <c r="W837">
        <v>200</v>
      </c>
      <c r="X837">
        <v>200</v>
      </c>
      <c r="Y837">
        <v>0</v>
      </c>
      <c r="Z837">
        <v>0</v>
      </c>
    </row>
    <row r="838" spans="1:26" hidden="1" x14ac:dyDescent="0.25">
      <c r="A838" t="s">
        <v>2134</v>
      </c>
      <c r="B838" t="s">
        <v>25</v>
      </c>
      <c r="C838" s="4">
        <v>44005</v>
      </c>
      <c r="F838" s="4">
        <v>45870</v>
      </c>
      <c r="G838" t="s">
        <v>1251</v>
      </c>
      <c r="H838" t="s">
        <v>2135</v>
      </c>
      <c r="K838" t="s">
        <v>109</v>
      </c>
      <c r="L838" t="s">
        <v>1259</v>
      </c>
      <c r="M838" t="s">
        <v>84</v>
      </c>
      <c r="N838" t="s">
        <v>31</v>
      </c>
      <c r="O838" t="s">
        <v>32</v>
      </c>
      <c r="P838" t="s">
        <v>2136</v>
      </c>
      <c r="Q838">
        <v>300</v>
      </c>
      <c r="R838">
        <v>300</v>
      </c>
      <c r="S838" t="s">
        <v>34</v>
      </c>
      <c r="T838" t="s">
        <v>35</v>
      </c>
      <c r="U838" t="s">
        <v>44</v>
      </c>
      <c r="V838" s="4">
        <v>46751</v>
      </c>
      <c r="W838">
        <v>300</v>
      </c>
      <c r="X838">
        <v>300</v>
      </c>
      <c r="Y838">
        <v>275</v>
      </c>
      <c r="Z838">
        <v>275</v>
      </c>
    </row>
    <row r="839" spans="1:26" hidden="1" x14ac:dyDescent="0.25">
      <c r="A839" t="s">
        <v>2137</v>
      </c>
      <c r="B839" t="s">
        <v>38</v>
      </c>
      <c r="C839" s="4">
        <v>44007</v>
      </c>
      <c r="D839" s="4">
        <v>44267</v>
      </c>
      <c r="F839" s="4">
        <v>45078</v>
      </c>
      <c r="G839" t="s">
        <v>117</v>
      </c>
      <c r="H839" t="s">
        <v>1821</v>
      </c>
      <c r="K839" t="s">
        <v>83</v>
      </c>
      <c r="L839" t="s">
        <v>1259</v>
      </c>
      <c r="M839" t="s">
        <v>84</v>
      </c>
      <c r="N839" t="s">
        <v>31</v>
      </c>
      <c r="O839" t="s">
        <v>32</v>
      </c>
      <c r="P839" t="s">
        <v>2138</v>
      </c>
      <c r="Q839">
        <v>200</v>
      </c>
      <c r="R839">
        <v>200</v>
      </c>
      <c r="S839" t="s">
        <v>56</v>
      </c>
      <c r="T839" t="s">
        <v>57</v>
      </c>
      <c r="U839" t="s">
        <v>44</v>
      </c>
      <c r="W839">
        <v>0</v>
      </c>
      <c r="X839">
        <v>0</v>
      </c>
      <c r="Y839">
        <v>0</v>
      </c>
      <c r="Z839">
        <v>0</v>
      </c>
    </row>
    <row r="840" spans="1:26" hidden="1" x14ac:dyDescent="0.25">
      <c r="A840" t="s">
        <v>2139</v>
      </c>
      <c r="B840" t="s">
        <v>38</v>
      </c>
      <c r="C840" s="4">
        <v>44007</v>
      </c>
      <c r="D840" s="4">
        <v>44250</v>
      </c>
      <c r="F840" s="4">
        <v>45700</v>
      </c>
      <c r="G840" t="s">
        <v>1278</v>
      </c>
      <c r="H840" t="s">
        <v>2010</v>
      </c>
      <c r="K840" t="s">
        <v>28</v>
      </c>
      <c r="L840" t="s">
        <v>1259</v>
      </c>
      <c r="M840" t="s">
        <v>30</v>
      </c>
      <c r="N840" t="s">
        <v>31</v>
      </c>
      <c r="O840" t="s">
        <v>32</v>
      </c>
      <c r="P840" t="s">
        <v>2140</v>
      </c>
      <c r="Q840">
        <v>320</v>
      </c>
      <c r="R840">
        <v>320</v>
      </c>
      <c r="S840" t="s">
        <v>389</v>
      </c>
      <c r="T840" t="s">
        <v>2141</v>
      </c>
      <c r="U840" t="s">
        <v>44</v>
      </c>
      <c r="W840">
        <v>0</v>
      </c>
      <c r="X840">
        <v>0</v>
      </c>
      <c r="Y840">
        <v>0</v>
      </c>
      <c r="Z840">
        <v>0</v>
      </c>
    </row>
    <row r="841" spans="1:26" hidden="1" x14ac:dyDescent="0.25">
      <c r="A841" t="s">
        <v>2142</v>
      </c>
      <c r="B841" t="s">
        <v>25</v>
      </c>
      <c r="C841" s="4">
        <v>44007</v>
      </c>
      <c r="F841" s="4">
        <v>46388</v>
      </c>
      <c r="G841" t="s">
        <v>117</v>
      </c>
      <c r="H841" t="s">
        <v>1768</v>
      </c>
      <c r="K841" t="s">
        <v>83</v>
      </c>
      <c r="L841" t="s">
        <v>1259</v>
      </c>
      <c r="M841" t="s">
        <v>84</v>
      </c>
      <c r="N841" t="s">
        <v>31</v>
      </c>
      <c r="O841" t="s">
        <v>32</v>
      </c>
      <c r="P841" t="s">
        <v>2143</v>
      </c>
      <c r="Q841">
        <v>325</v>
      </c>
      <c r="R841">
        <v>340.3</v>
      </c>
      <c r="S841" t="s">
        <v>389</v>
      </c>
      <c r="T841" t="s">
        <v>584</v>
      </c>
      <c r="U841" t="s">
        <v>44</v>
      </c>
      <c r="V841" s="4">
        <v>46327</v>
      </c>
      <c r="W841">
        <v>340.3</v>
      </c>
      <c r="X841">
        <v>340.3</v>
      </c>
      <c r="Y841">
        <v>340.3</v>
      </c>
      <c r="Z841">
        <v>340.3</v>
      </c>
    </row>
    <row r="842" spans="1:26" hidden="1" x14ac:dyDescent="0.25">
      <c r="A842" t="s">
        <v>2144</v>
      </c>
      <c r="B842" t="s">
        <v>25</v>
      </c>
      <c r="C842" s="4">
        <v>44007</v>
      </c>
      <c r="F842" s="4">
        <v>45168</v>
      </c>
      <c r="G842" t="s">
        <v>117</v>
      </c>
      <c r="H842" t="s">
        <v>2145</v>
      </c>
      <c r="K842" t="s">
        <v>83</v>
      </c>
      <c r="L842" t="s">
        <v>1259</v>
      </c>
      <c r="M842" t="s">
        <v>84</v>
      </c>
      <c r="N842" t="s">
        <v>31</v>
      </c>
      <c r="O842" t="s">
        <v>32</v>
      </c>
      <c r="P842" t="s">
        <v>2146</v>
      </c>
      <c r="Q842">
        <v>250</v>
      </c>
      <c r="R842">
        <v>250</v>
      </c>
      <c r="S842" t="s">
        <v>34</v>
      </c>
      <c r="T842" t="s">
        <v>35</v>
      </c>
      <c r="U842" t="s">
        <v>44</v>
      </c>
      <c r="W842">
        <v>250</v>
      </c>
      <c r="X842">
        <v>250</v>
      </c>
      <c r="Y842">
        <v>250</v>
      </c>
      <c r="Z842">
        <v>250</v>
      </c>
    </row>
    <row r="843" spans="1:26" hidden="1" x14ac:dyDescent="0.25">
      <c r="A843" t="s">
        <v>2147</v>
      </c>
      <c r="B843" t="s">
        <v>38</v>
      </c>
      <c r="C843" s="4">
        <v>44007</v>
      </c>
      <c r="D843" s="4">
        <v>44538</v>
      </c>
      <c r="F843" s="4">
        <v>45078</v>
      </c>
      <c r="G843" t="s">
        <v>65</v>
      </c>
      <c r="H843" t="s">
        <v>1879</v>
      </c>
      <c r="K843" t="s">
        <v>67</v>
      </c>
      <c r="L843" t="s">
        <v>1259</v>
      </c>
      <c r="M843" t="s">
        <v>68</v>
      </c>
      <c r="N843" t="s">
        <v>31</v>
      </c>
      <c r="O843" t="s">
        <v>32</v>
      </c>
      <c r="P843" t="s">
        <v>2148</v>
      </c>
      <c r="Q843">
        <v>52</v>
      </c>
      <c r="R843">
        <v>52</v>
      </c>
      <c r="S843" t="s">
        <v>56</v>
      </c>
      <c r="T843" t="s">
        <v>57</v>
      </c>
      <c r="U843" t="s">
        <v>44</v>
      </c>
      <c r="W843">
        <v>0</v>
      </c>
      <c r="X843">
        <v>0</v>
      </c>
      <c r="Y843">
        <v>0</v>
      </c>
      <c r="Z843">
        <v>0</v>
      </c>
    </row>
    <row r="844" spans="1:26" hidden="1" x14ac:dyDescent="0.25">
      <c r="A844" t="s">
        <v>2149</v>
      </c>
      <c r="B844" t="s">
        <v>25</v>
      </c>
      <c r="C844" s="4">
        <v>44488</v>
      </c>
      <c r="F844" s="4">
        <v>46055</v>
      </c>
      <c r="G844" t="s">
        <v>1326</v>
      </c>
      <c r="H844" t="s">
        <v>1879</v>
      </c>
      <c r="K844" t="s">
        <v>67</v>
      </c>
      <c r="L844" t="s">
        <v>1259</v>
      </c>
      <c r="M844" t="s">
        <v>68</v>
      </c>
      <c r="N844" t="s">
        <v>31</v>
      </c>
      <c r="O844" t="s">
        <v>1110</v>
      </c>
      <c r="P844" t="s">
        <v>2150</v>
      </c>
      <c r="Q844">
        <v>135</v>
      </c>
      <c r="R844">
        <v>135</v>
      </c>
      <c r="S844" t="s">
        <v>56</v>
      </c>
      <c r="T844" t="s">
        <v>57</v>
      </c>
      <c r="U844" t="s">
        <v>44</v>
      </c>
      <c r="V844" s="4">
        <v>45596</v>
      </c>
      <c r="W844">
        <v>135</v>
      </c>
      <c r="X844">
        <v>0</v>
      </c>
      <c r="Y844">
        <v>135</v>
      </c>
      <c r="Z844">
        <v>0</v>
      </c>
    </row>
    <row r="845" spans="1:26" hidden="1" x14ac:dyDescent="0.25">
      <c r="A845" t="s">
        <v>2151</v>
      </c>
      <c r="B845" t="s">
        <v>38</v>
      </c>
      <c r="C845" s="4">
        <v>44567</v>
      </c>
      <c r="D845" s="4">
        <v>45099</v>
      </c>
      <c r="F845" s="4">
        <v>45000</v>
      </c>
      <c r="G845" t="s">
        <v>1278</v>
      </c>
      <c r="H845" t="s">
        <v>2010</v>
      </c>
      <c r="K845" t="s">
        <v>28</v>
      </c>
      <c r="L845" t="s">
        <v>1259</v>
      </c>
      <c r="M845" t="s">
        <v>30</v>
      </c>
      <c r="N845" t="s">
        <v>31</v>
      </c>
      <c r="O845" t="s">
        <v>32</v>
      </c>
      <c r="P845" t="s">
        <v>2140</v>
      </c>
      <c r="Q845">
        <v>12</v>
      </c>
      <c r="R845">
        <v>12</v>
      </c>
      <c r="S845" t="s">
        <v>389</v>
      </c>
      <c r="T845" t="s">
        <v>584</v>
      </c>
      <c r="U845" t="s">
        <v>44</v>
      </c>
      <c r="W845">
        <v>12</v>
      </c>
      <c r="X845">
        <v>12</v>
      </c>
      <c r="Y845">
        <v>12</v>
      </c>
      <c r="Z845">
        <v>12</v>
      </c>
    </row>
    <row r="846" spans="1:26" hidden="1" x14ac:dyDescent="0.25">
      <c r="A846" t="s">
        <v>2152</v>
      </c>
      <c r="B846" t="s">
        <v>2153</v>
      </c>
      <c r="C846" s="4">
        <v>44196</v>
      </c>
      <c r="F846" s="4">
        <v>45572</v>
      </c>
      <c r="G846" t="s">
        <v>907</v>
      </c>
      <c r="H846" t="s">
        <v>1724</v>
      </c>
      <c r="K846" t="s">
        <v>53</v>
      </c>
      <c r="L846" t="s">
        <v>2154</v>
      </c>
      <c r="M846" t="s">
        <v>54</v>
      </c>
      <c r="N846" t="s">
        <v>2155</v>
      </c>
      <c r="O846" t="s">
        <v>32</v>
      </c>
      <c r="P846" t="s">
        <v>2156</v>
      </c>
      <c r="Q846">
        <v>100</v>
      </c>
      <c r="R846">
        <v>100</v>
      </c>
      <c r="S846" t="s">
        <v>159</v>
      </c>
      <c r="T846" t="s">
        <v>159</v>
      </c>
      <c r="U846" t="s">
        <v>44</v>
      </c>
      <c r="V846" s="4">
        <v>47155</v>
      </c>
      <c r="W846">
        <v>100</v>
      </c>
      <c r="X846">
        <v>100</v>
      </c>
      <c r="Y846">
        <v>100</v>
      </c>
      <c r="Z846">
        <v>100</v>
      </c>
    </row>
    <row r="847" spans="1:26" hidden="1" x14ac:dyDescent="0.25">
      <c r="A847" t="s">
        <v>2157</v>
      </c>
      <c r="B847" t="s">
        <v>2153</v>
      </c>
      <c r="C847" s="4">
        <v>44196</v>
      </c>
      <c r="F847" s="4">
        <v>45936</v>
      </c>
      <c r="G847" t="s">
        <v>52</v>
      </c>
      <c r="H847" t="s">
        <v>1530</v>
      </c>
      <c r="K847" t="s">
        <v>53</v>
      </c>
      <c r="L847" t="s">
        <v>2154</v>
      </c>
      <c r="M847" t="s">
        <v>54</v>
      </c>
      <c r="N847" t="s">
        <v>2155</v>
      </c>
      <c r="O847" t="s">
        <v>32</v>
      </c>
      <c r="P847" t="s">
        <v>2158</v>
      </c>
      <c r="Q847">
        <v>100</v>
      </c>
      <c r="R847">
        <v>100</v>
      </c>
      <c r="S847" t="s">
        <v>159</v>
      </c>
      <c r="T847" t="s">
        <v>159</v>
      </c>
      <c r="U847" t="s">
        <v>44</v>
      </c>
      <c r="V847" s="4">
        <v>46994</v>
      </c>
      <c r="W847">
        <v>100</v>
      </c>
      <c r="X847">
        <v>100</v>
      </c>
      <c r="Y847">
        <v>100</v>
      </c>
      <c r="Z847">
        <v>100</v>
      </c>
    </row>
    <row r="848" spans="1:26" hidden="1" x14ac:dyDescent="0.25">
      <c r="A848" t="s">
        <v>2159</v>
      </c>
      <c r="B848" t="s">
        <v>2153</v>
      </c>
      <c r="C848" s="4">
        <v>44399</v>
      </c>
      <c r="F848" s="4">
        <v>45536</v>
      </c>
      <c r="G848" t="s">
        <v>173</v>
      </c>
      <c r="H848" t="s">
        <v>1479</v>
      </c>
      <c r="K848" t="s">
        <v>41</v>
      </c>
      <c r="L848" t="s">
        <v>2154</v>
      </c>
      <c r="M848" t="s">
        <v>42</v>
      </c>
      <c r="N848" t="s">
        <v>2160</v>
      </c>
      <c r="O848" t="s">
        <v>32</v>
      </c>
      <c r="P848" t="s">
        <v>2161</v>
      </c>
      <c r="Q848">
        <v>200</v>
      </c>
      <c r="R848">
        <v>200</v>
      </c>
      <c r="S848" t="s">
        <v>597</v>
      </c>
      <c r="T848" t="s">
        <v>598</v>
      </c>
      <c r="U848" t="s">
        <v>44</v>
      </c>
      <c r="W848">
        <v>200</v>
      </c>
      <c r="X848">
        <v>200</v>
      </c>
      <c r="Y848">
        <v>200</v>
      </c>
      <c r="Z848">
        <v>200</v>
      </c>
    </row>
    <row r="849" spans="1:26" hidden="1" x14ac:dyDescent="0.25">
      <c r="A849" t="s">
        <v>2162</v>
      </c>
      <c r="B849" t="s">
        <v>38</v>
      </c>
      <c r="C849" s="4">
        <v>44417</v>
      </c>
      <c r="D849" s="4">
        <v>45957</v>
      </c>
      <c r="F849" s="4">
        <v>45444</v>
      </c>
      <c r="G849" t="s">
        <v>1274</v>
      </c>
      <c r="H849" t="s">
        <v>2057</v>
      </c>
      <c r="K849" t="s">
        <v>41</v>
      </c>
      <c r="L849" t="s">
        <v>2154</v>
      </c>
      <c r="M849" t="s">
        <v>42</v>
      </c>
      <c r="N849" t="s">
        <v>2160</v>
      </c>
      <c r="O849" t="s">
        <v>32</v>
      </c>
      <c r="P849" t="s">
        <v>2163</v>
      </c>
      <c r="Q849">
        <v>200</v>
      </c>
      <c r="R849">
        <v>200</v>
      </c>
      <c r="S849" t="s">
        <v>34</v>
      </c>
      <c r="T849" t="s">
        <v>35</v>
      </c>
      <c r="U849" t="s">
        <v>44</v>
      </c>
      <c r="W849">
        <v>200</v>
      </c>
      <c r="X849">
        <v>200</v>
      </c>
      <c r="Y849">
        <v>0</v>
      </c>
      <c r="Z849">
        <v>0</v>
      </c>
    </row>
    <row r="850" spans="1:26" hidden="1" x14ac:dyDescent="0.25">
      <c r="A850" t="s">
        <v>2164</v>
      </c>
      <c r="B850" t="s">
        <v>38</v>
      </c>
      <c r="C850" s="4">
        <v>44420</v>
      </c>
      <c r="D850" s="4">
        <v>45153</v>
      </c>
      <c r="F850" s="4">
        <v>45017</v>
      </c>
      <c r="G850" t="s">
        <v>907</v>
      </c>
      <c r="H850" t="s">
        <v>2165</v>
      </c>
      <c r="K850" t="s">
        <v>53</v>
      </c>
      <c r="L850" t="s">
        <v>2154</v>
      </c>
      <c r="M850" t="s">
        <v>54</v>
      </c>
      <c r="N850" t="s">
        <v>2155</v>
      </c>
      <c r="O850" t="s">
        <v>1110</v>
      </c>
      <c r="P850" t="s">
        <v>2166</v>
      </c>
      <c r="Q850">
        <v>1128</v>
      </c>
      <c r="R850">
        <v>1235</v>
      </c>
      <c r="S850" t="s">
        <v>389</v>
      </c>
      <c r="T850" t="s">
        <v>390</v>
      </c>
      <c r="U850" t="s">
        <v>44</v>
      </c>
      <c r="W850">
        <v>0</v>
      </c>
      <c r="X850">
        <v>0</v>
      </c>
      <c r="Y850">
        <v>0</v>
      </c>
      <c r="Z850">
        <v>0</v>
      </c>
    </row>
    <row r="851" spans="1:26" hidden="1" x14ac:dyDescent="0.25">
      <c r="A851" t="s">
        <v>2167</v>
      </c>
      <c r="B851" t="s">
        <v>25</v>
      </c>
      <c r="C851" s="4">
        <v>44530</v>
      </c>
      <c r="F851" s="4">
        <v>45658</v>
      </c>
      <c r="G851" t="s">
        <v>1749</v>
      </c>
      <c r="H851" t="s">
        <v>2168</v>
      </c>
      <c r="K851" t="s">
        <v>151</v>
      </c>
      <c r="L851" t="s">
        <v>2154</v>
      </c>
      <c r="M851" t="s">
        <v>68</v>
      </c>
      <c r="N851" t="s">
        <v>2155</v>
      </c>
      <c r="O851" t="s">
        <v>32</v>
      </c>
      <c r="P851" t="s">
        <v>2169</v>
      </c>
      <c r="Q851">
        <v>200</v>
      </c>
      <c r="R851">
        <v>200</v>
      </c>
      <c r="S851" t="s">
        <v>34</v>
      </c>
      <c r="T851" t="s">
        <v>35</v>
      </c>
      <c r="U851" t="s">
        <v>44</v>
      </c>
      <c r="V851" s="4">
        <v>46903</v>
      </c>
      <c r="W851">
        <v>200</v>
      </c>
      <c r="X851">
        <v>0</v>
      </c>
      <c r="Y851">
        <v>200</v>
      </c>
      <c r="Z851">
        <v>0</v>
      </c>
    </row>
    <row r="852" spans="1:26" hidden="1" x14ac:dyDescent="0.25">
      <c r="A852" t="s">
        <v>2170</v>
      </c>
      <c r="B852" t="s">
        <v>38</v>
      </c>
      <c r="C852" s="4">
        <v>44524</v>
      </c>
      <c r="D852" s="4">
        <v>45723</v>
      </c>
      <c r="F852" s="4">
        <v>45626</v>
      </c>
      <c r="G852" t="s">
        <v>144</v>
      </c>
      <c r="H852" t="s">
        <v>1553</v>
      </c>
      <c r="K852" t="s">
        <v>146</v>
      </c>
      <c r="L852" t="s">
        <v>2154</v>
      </c>
      <c r="M852" t="s">
        <v>68</v>
      </c>
      <c r="N852" t="s">
        <v>2155</v>
      </c>
      <c r="O852" t="s">
        <v>32</v>
      </c>
      <c r="P852" t="s">
        <v>2171</v>
      </c>
      <c r="Q852">
        <v>100</v>
      </c>
      <c r="R852">
        <v>100</v>
      </c>
      <c r="S852" t="s">
        <v>34</v>
      </c>
      <c r="T852" t="s">
        <v>35</v>
      </c>
      <c r="U852" t="s">
        <v>44</v>
      </c>
      <c r="W852">
        <v>100</v>
      </c>
      <c r="X852">
        <v>0</v>
      </c>
      <c r="Y852">
        <v>0</v>
      </c>
      <c r="Z852">
        <v>0</v>
      </c>
    </row>
    <row r="853" spans="1:26" hidden="1" x14ac:dyDescent="0.25">
      <c r="A853" t="s">
        <v>2172</v>
      </c>
      <c r="B853" t="s">
        <v>25</v>
      </c>
      <c r="C853" s="4">
        <v>44530</v>
      </c>
      <c r="F853" s="4">
        <v>45658</v>
      </c>
      <c r="G853" t="s">
        <v>1408</v>
      </c>
      <c r="H853" t="s">
        <v>1418</v>
      </c>
      <c r="K853" t="s">
        <v>146</v>
      </c>
      <c r="L853" t="s">
        <v>2154</v>
      </c>
      <c r="M853" t="s">
        <v>68</v>
      </c>
      <c r="N853" t="s">
        <v>2155</v>
      </c>
      <c r="O853" t="s">
        <v>122</v>
      </c>
      <c r="P853" t="s">
        <v>2173</v>
      </c>
      <c r="Q853">
        <v>185</v>
      </c>
      <c r="R853">
        <v>185</v>
      </c>
      <c r="S853" t="s">
        <v>34</v>
      </c>
      <c r="T853" t="s">
        <v>35</v>
      </c>
      <c r="U853" t="s">
        <v>44</v>
      </c>
      <c r="V853" s="4">
        <v>46341</v>
      </c>
      <c r="W853">
        <v>195</v>
      </c>
      <c r="X853">
        <v>80</v>
      </c>
      <c r="Y853">
        <v>185</v>
      </c>
      <c r="Z853">
        <v>0</v>
      </c>
    </row>
    <row r="854" spans="1:26" hidden="1" x14ac:dyDescent="0.25">
      <c r="A854" t="s">
        <v>2174</v>
      </c>
      <c r="B854" t="s">
        <v>38</v>
      </c>
      <c r="C854" s="4">
        <v>44728</v>
      </c>
      <c r="D854" s="4">
        <v>45208</v>
      </c>
      <c r="F854" s="4">
        <v>45809</v>
      </c>
      <c r="G854" t="s">
        <v>39</v>
      </c>
      <c r="H854" t="s">
        <v>1402</v>
      </c>
      <c r="K854" t="s">
        <v>185</v>
      </c>
      <c r="L854" t="s">
        <v>2154</v>
      </c>
      <c r="M854" t="s">
        <v>42</v>
      </c>
      <c r="N854" t="s">
        <v>2160</v>
      </c>
      <c r="O854" t="s">
        <v>32</v>
      </c>
      <c r="P854" t="s">
        <v>2175</v>
      </c>
      <c r="Q854">
        <v>200</v>
      </c>
      <c r="R854">
        <v>200</v>
      </c>
      <c r="S854" t="s">
        <v>34</v>
      </c>
      <c r="T854" t="s">
        <v>35</v>
      </c>
      <c r="U854" t="s">
        <v>44</v>
      </c>
      <c r="W854">
        <v>200</v>
      </c>
      <c r="X854">
        <v>200</v>
      </c>
      <c r="Y854">
        <v>0</v>
      </c>
      <c r="Z854">
        <v>0</v>
      </c>
    </row>
    <row r="855" spans="1:26" hidden="1" x14ac:dyDescent="0.25">
      <c r="A855" t="s">
        <v>2176</v>
      </c>
      <c r="B855" t="s">
        <v>38</v>
      </c>
      <c r="C855" s="4">
        <v>44425</v>
      </c>
      <c r="D855" s="4">
        <v>45208</v>
      </c>
      <c r="F855" s="4">
        <v>45566</v>
      </c>
      <c r="G855" t="s">
        <v>72</v>
      </c>
      <c r="H855" t="s">
        <v>2177</v>
      </c>
      <c r="K855" t="s">
        <v>209</v>
      </c>
      <c r="L855" t="s">
        <v>2154</v>
      </c>
      <c r="M855" t="s">
        <v>42</v>
      </c>
      <c r="N855" t="s">
        <v>2160</v>
      </c>
      <c r="O855" t="s">
        <v>32</v>
      </c>
      <c r="P855" t="s">
        <v>2178</v>
      </c>
      <c r="Q855">
        <v>50</v>
      </c>
      <c r="R855">
        <v>50</v>
      </c>
      <c r="S855" t="s">
        <v>159</v>
      </c>
      <c r="T855" t="s">
        <v>159</v>
      </c>
      <c r="U855" t="s">
        <v>44</v>
      </c>
      <c r="W855">
        <v>0</v>
      </c>
      <c r="X855">
        <v>0</v>
      </c>
      <c r="Y855">
        <v>0</v>
      </c>
      <c r="Z855">
        <v>0</v>
      </c>
    </row>
    <row r="856" spans="1:26" hidden="1" x14ac:dyDescent="0.25">
      <c r="A856" t="s">
        <v>2179</v>
      </c>
      <c r="B856" t="s">
        <v>38</v>
      </c>
      <c r="C856" s="4">
        <v>44426</v>
      </c>
      <c r="D856" s="4">
        <v>44538</v>
      </c>
      <c r="F856" s="4">
        <v>45778</v>
      </c>
      <c r="G856" t="s">
        <v>101</v>
      </c>
      <c r="H856" t="s">
        <v>2180</v>
      </c>
      <c r="K856" t="s">
        <v>98</v>
      </c>
      <c r="L856" t="s">
        <v>2154</v>
      </c>
      <c r="M856" t="s">
        <v>84</v>
      </c>
      <c r="N856" t="s">
        <v>2160</v>
      </c>
      <c r="O856" t="s">
        <v>32</v>
      </c>
      <c r="P856" t="s">
        <v>2181</v>
      </c>
      <c r="Q856">
        <v>150</v>
      </c>
      <c r="R856">
        <v>150</v>
      </c>
      <c r="S856" t="s">
        <v>34</v>
      </c>
      <c r="T856" t="s">
        <v>35</v>
      </c>
      <c r="W856">
        <v>0</v>
      </c>
      <c r="X856">
        <v>0</v>
      </c>
      <c r="Y856">
        <v>0</v>
      </c>
      <c r="Z856">
        <v>0</v>
      </c>
    </row>
    <row r="857" spans="1:26" hidden="1" x14ac:dyDescent="0.25">
      <c r="A857" t="s">
        <v>2182</v>
      </c>
      <c r="B857" t="s">
        <v>25</v>
      </c>
      <c r="C857" s="4">
        <v>44517</v>
      </c>
      <c r="F857" s="4">
        <v>46127</v>
      </c>
      <c r="G857" t="s">
        <v>1326</v>
      </c>
      <c r="H857" t="s">
        <v>1437</v>
      </c>
      <c r="K857" t="s">
        <v>67</v>
      </c>
      <c r="L857" t="s">
        <v>2154</v>
      </c>
      <c r="M857" t="s">
        <v>68</v>
      </c>
      <c r="N857" t="s">
        <v>2155</v>
      </c>
      <c r="O857" t="s">
        <v>32</v>
      </c>
      <c r="P857" t="s">
        <v>2183</v>
      </c>
      <c r="Q857">
        <v>500</v>
      </c>
      <c r="R857">
        <v>500</v>
      </c>
      <c r="S857" t="s">
        <v>34</v>
      </c>
      <c r="T857" t="s">
        <v>35</v>
      </c>
      <c r="U857" t="s">
        <v>44</v>
      </c>
      <c r="W857">
        <v>500</v>
      </c>
      <c r="X857">
        <v>500</v>
      </c>
      <c r="Y857">
        <v>500</v>
      </c>
      <c r="Z857">
        <v>0</v>
      </c>
    </row>
    <row r="858" spans="1:26" hidden="1" x14ac:dyDescent="0.25">
      <c r="A858" t="s">
        <v>2184</v>
      </c>
      <c r="B858" t="s">
        <v>25</v>
      </c>
      <c r="C858" s="4">
        <v>44517</v>
      </c>
      <c r="F858" s="4">
        <v>46127</v>
      </c>
      <c r="G858" t="s">
        <v>1326</v>
      </c>
      <c r="H858" t="s">
        <v>1437</v>
      </c>
      <c r="K858" t="s">
        <v>67</v>
      </c>
      <c r="L858" t="s">
        <v>2154</v>
      </c>
      <c r="M858" t="s">
        <v>68</v>
      </c>
      <c r="N858" t="s">
        <v>2155</v>
      </c>
      <c r="O858" t="s">
        <v>32</v>
      </c>
      <c r="P858" t="s">
        <v>2185</v>
      </c>
      <c r="Q858">
        <v>150</v>
      </c>
      <c r="R858">
        <v>150</v>
      </c>
      <c r="S858" t="s">
        <v>34</v>
      </c>
      <c r="T858" t="s">
        <v>35</v>
      </c>
      <c r="U858" t="s">
        <v>44</v>
      </c>
      <c r="W858">
        <v>147</v>
      </c>
      <c r="X858">
        <v>147</v>
      </c>
      <c r="Y858">
        <v>140</v>
      </c>
      <c r="Z858">
        <v>0</v>
      </c>
    </row>
    <row r="859" spans="1:26" hidden="1" x14ac:dyDescent="0.25">
      <c r="A859" t="s">
        <v>2186</v>
      </c>
      <c r="B859" t="s">
        <v>38</v>
      </c>
      <c r="C859" s="4">
        <v>44517</v>
      </c>
      <c r="D859" s="4">
        <v>45723</v>
      </c>
      <c r="F859" s="4">
        <v>46127</v>
      </c>
      <c r="G859" t="s">
        <v>65</v>
      </c>
      <c r="H859" t="s">
        <v>1879</v>
      </c>
      <c r="K859" t="s">
        <v>67</v>
      </c>
      <c r="L859" t="s">
        <v>2154</v>
      </c>
      <c r="M859" t="s">
        <v>68</v>
      </c>
      <c r="N859" t="s">
        <v>2155</v>
      </c>
      <c r="O859" t="s">
        <v>32</v>
      </c>
      <c r="P859" t="s">
        <v>2187</v>
      </c>
      <c r="Q859">
        <v>250</v>
      </c>
      <c r="R859">
        <v>250</v>
      </c>
      <c r="S859" t="s">
        <v>34</v>
      </c>
      <c r="T859" t="s">
        <v>35</v>
      </c>
      <c r="U859" t="s">
        <v>44</v>
      </c>
      <c r="W859">
        <v>250</v>
      </c>
      <c r="X859">
        <v>250</v>
      </c>
      <c r="Y859">
        <v>0</v>
      </c>
      <c r="Z859">
        <v>0</v>
      </c>
    </row>
    <row r="860" spans="1:26" hidden="1" x14ac:dyDescent="0.25">
      <c r="A860" t="s">
        <v>2188</v>
      </c>
      <c r="B860" t="s">
        <v>25</v>
      </c>
      <c r="C860" s="4">
        <v>44530</v>
      </c>
      <c r="F860" s="4">
        <v>46127</v>
      </c>
      <c r="G860" t="s">
        <v>1326</v>
      </c>
      <c r="H860" t="s">
        <v>1327</v>
      </c>
      <c r="K860" t="s">
        <v>67</v>
      </c>
      <c r="L860" t="s">
        <v>2154</v>
      </c>
      <c r="M860" t="s">
        <v>68</v>
      </c>
      <c r="N860" t="s">
        <v>2155</v>
      </c>
      <c r="O860" t="s">
        <v>32</v>
      </c>
      <c r="P860" t="s">
        <v>2189</v>
      </c>
      <c r="Q860">
        <v>440</v>
      </c>
      <c r="R860">
        <v>440</v>
      </c>
      <c r="S860" t="s">
        <v>34</v>
      </c>
      <c r="T860" t="s">
        <v>35</v>
      </c>
      <c r="U860" t="s">
        <v>44</v>
      </c>
      <c r="V860" s="4">
        <v>46832</v>
      </c>
      <c r="W860">
        <v>440</v>
      </c>
      <c r="X860">
        <v>440</v>
      </c>
      <c r="Y860">
        <v>440</v>
      </c>
      <c r="Z860">
        <v>0</v>
      </c>
    </row>
    <row r="861" spans="1:26" hidden="1" x14ac:dyDescent="0.25">
      <c r="A861" t="s">
        <v>2190</v>
      </c>
      <c r="B861" t="s">
        <v>38</v>
      </c>
      <c r="C861" s="4">
        <v>44424</v>
      </c>
      <c r="D861" s="4">
        <v>44481</v>
      </c>
      <c r="F861" s="4">
        <v>45550</v>
      </c>
      <c r="G861" t="s">
        <v>1381</v>
      </c>
      <c r="H861" t="s">
        <v>2191</v>
      </c>
      <c r="K861" t="s">
        <v>209</v>
      </c>
      <c r="L861" t="s">
        <v>2154</v>
      </c>
      <c r="M861" t="s">
        <v>42</v>
      </c>
      <c r="N861" t="s">
        <v>2160</v>
      </c>
      <c r="O861" t="s">
        <v>32</v>
      </c>
      <c r="P861" t="s">
        <v>2192</v>
      </c>
      <c r="Q861">
        <v>200</v>
      </c>
      <c r="R861">
        <v>200</v>
      </c>
      <c r="S861" t="s">
        <v>56</v>
      </c>
      <c r="T861" t="s">
        <v>57</v>
      </c>
      <c r="W861">
        <v>0</v>
      </c>
      <c r="X861">
        <v>0</v>
      </c>
      <c r="Y861">
        <v>0</v>
      </c>
      <c r="Z861">
        <v>0</v>
      </c>
    </row>
    <row r="862" spans="1:26" hidden="1" x14ac:dyDescent="0.25">
      <c r="A862" t="s">
        <v>2193</v>
      </c>
      <c r="B862" t="s">
        <v>38</v>
      </c>
      <c r="C862" s="4">
        <v>44424</v>
      </c>
      <c r="D862" s="4">
        <v>45719</v>
      </c>
      <c r="F862" s="4">
        <v>45550</v>
      </c>
      <c r="G862" t="s">
        <v>52</v>
      </c>
      <c r="H862" t="s">
        <v>1488</v>
      </c>
      <c r="K862" t="s">
        <v>53</v>
      </c>
      <c r="L862" t="s">
        <v>2154</v>
      </c>
      <c r="M862" t="s">
        <v>54</v>
      </c>
      <c r="N862" t="s">
        <v>2155</v>
      </c>
      <c r="O862" t="s">
        <v>32</v>
      </c>
      <c r="P862" t="s">
        <v>2194</v>
      </c>
      <c r="Q862">
        <v>60</v>
      </c>
      <c r="R862">
        <v>60</v>
      </c>
      <c r="S862" t="s">
        <v>159</v>
      </c>
      <c r="T862" t="s">
        <v>159</v>
      </c>
      <c r="U862" t="s">
        <v>44</v>
      </c>
      <c r="W862">
        <v>60</v>
      </c>
      <c r="X862">
        <v>60</v>
      </c>
      <c r="Y862">
        <v>0</v>
      </c>
      <c r="Z862">
        <v>0</v>
      </c>
    </row>
    <row r="863" spans="1:26" hidden="1" x14ac:dyDescent="0.25">
      <c r="A863" t="s">
        <v>2195</v>
      </c>
      <c r="B863" t="s">
        <v>2153</v>
      </c>
      <c r="C863" s="4">
        <v>44648</v>
      </c>
      <c r="F863" s="4">
        <v>45550</v>
      </c>
      <c r="G863" t="s">
        <v>1690</v>
      </c>
      <c r="H863" t="s">
        <v>1882</v>
      </c>
      <c r="K863" t="s">
        <v>98</v>
      </c>
      <c r="L863" t="s">
        <v>2154</v>
      </c>
      <c r="M863" t="s">
        <v>84</v>
      </c>
      <c r="N863" t="s">
        <v>2160</v>
      </c>
      <c r="O863" t="s">
        <v>32</v>
      </c>
      <c r="P863" t="s">
        <v>2196</v>
      </c>
      <c r="Q863">
        <v>45</v>
      </c>
      <c r="R863">
        <v>45</v>
      </c>
      <c r="S863" t="s">
        <v>159</v>
      </c>
      <c r="T863" t="s">
        <v>159</v>
      </c>
      <c r="U863" t="s">
        <v>44</v>
      </c>
      <c r="W863">
        <v>45</v>
      </c>
      <c r="X863">
        <v>45</v>
      </c>
      <c r="Y863">
        <v>45</v>
      </c>
      <c r="Z863">
        <v>45</v>
      </c>
    </row>
    <row r="864" spans="1:26" hidden="1" x14ac:dyDescent="0.25">
      <c r="A864" t="s">
        <v>2197</v>
      </c>
      <c r="B864" t="s">
        <v>38</v>
      </c>
      <c r="C864" s="4">
        <v>44424</v>
      </c>
      <c r="D864" s="4">
        <v>45719</v>
      </c>
      <c r="F864" s="4">
        <v>45550</v>
      </c>
      <c r="G864" t="s">
        <v>52</v>
      </c>
      <c r="H864" t="s">
        <v>1430</v>
      </c>
      <c r="K864" t="s">
        <v>53</v>
      </c>
      <c r="L864" t="s">
        <v>2154</v>
      </c>
      <c r="M864" t="s">
        <v>54</v>
      </c>
      <c r="N864" t="s">
        <v>2155</v>
      </c>
      <c r="O864" t="s">
        <v>32</v>
      </c>
      <c r="P864" t="s">
        <v>2198</v>
      </c>
      <c r="Q864">
        <v>45</v>
      </c>
      <c r="R864">
        <v>45</v>
      </c>
      <c r="S864" t="s">
        <v>159</v>
      </c>
      <c r="T864" t="s">
        <v>159</v>
      </c>
      <c r="U864" t="s">
        <v>44</v>
      </c>
      <c r="W864">
        <v>45</v>
      </c>
      <c r="X864">
        <v>45</v>
      </c>
      <c r="Y864">
        <v>0</v>
      </c>
      <c r="Z864">
        <v>0</v>
      </c>
    </row>
    <row r="865" spans="1:26" hidden="1" x14ac:dyDescent="0.25">
      <c r="A865" t="s">
        <v>2199</v>
      </c>
      <c r="B865" t="s">
        <v>2153</v>
      </c>
      <c r="C865" s="4">
        <v>44424</v>
      </c>
      <c r="F865" s="4">
        <v>45550</v>
      </c>
      <c r="G865" t="s">
        <v>52</v>
      </c>
      <c r="H865" t="s">
        <v>1574</v>
      </c>
      <c r="K865" t="s">
        <v>53</v>
      </c>
      <c r="L865" t="s">
        <v>2154</v>
      </c>
      <c r="M865" t="s">
        <v>54</v>
      </c>
      <c r="N865" t="s">
        <v>2155</v>
      </c>
      <c r="O865" t="s">
        <v>32</v>
      </c>
      <c r="P865" t="s">
        <v>1575</v>
      </c>
      <c r="Q865">
        <v>60</v>
      </c>
      <c r="R865">
        <v>60</v>
      </c>
      <c r="S865" t="s">
        <v>159</v>
      </c>
      <c r="T865" t="s">
        <v>159</v>
      </c>
      <c r="U865" t="s">
        <v>44</v>
      </c>
      <c r="V865" s="4">
        <v>46185</v>
      </c>
      <c r="W865">
        <v>60</v>
      </c>
      <c r="X865">
        <v>60</v>
      </c>
      <c r="Y865">
        <v>60</v>
      </c>
      <c r="Z865">
        <v>60</v>
      </c>
    </row>
    <row r="866" spans="1:26" hidden="1" x14ac:dyDescent="0.25">
      <c r="A866" t="s">
        <v>2200</v>
      </c>
      <c r="B866" t="s">
        <v>38</v>
      </c>
      <c r="C866" s="4">
        <v>44424</v>
      </c>
      <c r="D866" s="4">
        <v>44481</v>
      </c>
      <c r="F866" s="4">
        <v>45550</v>
      </c>
      <c r="G866" t="s">
        <v>72</v>
      </c>
      <c r="H866" t="s">
        <v>2201</v>
      </c>
      <c r="K866" t="s">
        <v>209</v>
      </c>
      <c r="L866" t="s">
        <v>2154</v>
      </c>
      <c r="M866" t="s">
        <v>42</v>
      </c>
      <c r="N866" t="s">
        <v>2160</v>
      </c>
      <c r="O866" t="s">
        <v>32</v>
      </c>
      <c r="P866" t="s">
        <v>2202</v>
      </c>
      <c r="Q866">
        <v>250</v>
      </c>
      <c r="R866">
        <v>250</v>
      </c>
      <c r="S866" t="s">
        <v>56</v>
      </c>
      <c r="T866" t="s">
        <v>57</v>
      </c>
      <c r="W866">
        <v>0</v>
      </c>
      <c r="X866">
        <v>0</v>
      </c>
      <c r="Y866">
        <v>0</v>
      </c>
      <c r="Z866">
        <v>0</v>
      </c>
    </row>
    <row r="867" spans="1:26" hidden="1" x14ac:dyDescent="0.25">
      <c r="A867" t="s">
        <v>2203</v>
      </c>
      <c r="B867" t="s">
        <v>38</v>
      </c>
      <c r="C867" s="4">
        <v>44424</v>
      </c>
      <c r="D867" s="4">
        <v>44456</v>
      </c>
      <c r="F867" s="4">
        <v>45550</v>
      </c>
      <c r="G867" t="s">
        <v>72</v>
      </c>
      <c r="H867" t="s">
        <v>2168</v>
      </c>
      <c r="K867" t="s">
        <v>209</v>
      </c>
      <c r="L867" t="s">
        <v>2154</v>
      </c>
      <c r="M867" t="s">
        <v>42</v>
      </c>
      <c r="N867" t="s">
        <v>2160</v>
      </c>
      <c r="O867" t="s">
        <v>32</v>
      </c>
      <c r="P867" t="s">
        <v>2204</v>
      </c>
      <c r="Q867">
        <v>250</v>
      </c>
      <c r="R867">
        <v>250</v>
      </c>
      <c r="S867" t="s">
        <v>56</v>
      </c>
      <c r="T867" t="s">
        <v>57</v>
      </c>
      <c r="W867">
        <v>0</v>
      </c>
      <c r="X867">
        <v>0</v>
      </c>
      <c r="Y867">
        <v>0</v>
      </c>
      <c r="Z867">
        <v>0</v>
      </c>
    </row>
    <row r="868" spans="1:26" hidden="1" x14ac:dyDescent="0.25">
      <c r="A868" t="s">
        <v>2205</v>
      </c>
      <c r="B868" t="s">
        <v>38</v>
      </c>
      <c r="C868" s="4">
        <v>44424</v>
      </c>
      <c r="D868" s="4">
        <v>45208</v>
      </c>
      <c r="F868" s="4">
        <v>45550</v>
      </c>
      <c r="G868" t="s">
        <v>39</v>
      </c>
      <c r="H868" t="s">
        <v>1550</v>
      </c>
      <c r="K868" t="s">
        <v>28</v>
      </c>
      <c r="L868" t="s">
        <v>2154</v>
      </c>
      <c r="M868" t="s">
        <v>42</v>
      </c>
      <c r="N868" t="s">
        <v>2160</v>
      </c>
      <c r="O868" t="s">
        <v>32</v>
      </c>
      <c r="P868" t="s">
        <v>2206</v>
      </c>
      <c r="Q868">
        <v>125</v>
      </c>
      <c r="R868">
        <v>125</v>
      </c>
      <c r="S868" t="s">
        <v>56</v>
      </c>
      <c r="T868" t="s">
        <v>57</v>
      </c>
      <c r="U868" t="s">
        <v>44</v>
      </c>
      <c r="W868">
        <v>0</v>
      </c>
      <c r="X868">
        <v>0</v>
      </c>
      <c r="Y868">
        <v>0</v>
      </c>
      <c r="Z868">
        <v>0</v>
      </c>
    </row>
    <row r="869" spans="1:26" hidden="1" x14ac:dyDescent="0.25">
      <c r="A869" t="s">
        <v>2207</v>
      </c>
      <c r="B869" t="s">
        <v>2153</v>
      </c>
      <c r="C869" s="4">
        <v>44522</v>
      </c>
      <c r="F869" s="4">
        <v>45901</v>
      </c>
      <c r="G869" t="s">
        <v>72</v>
      </c>
      <c r="H869" t="s">
        <v>1424</v>
      </c>
      <c r="K869" t="s">
        <v>209</v>
      </c>
      <c r="L869" t="s">
        <v>2154</v>
      </c>
      <c r="M869" t="s">
        <v>42</v>
      </c>
      <c r="N869" t="s">
        <v>2160</v>
      </c>
      <c r="O869" t="s">
        <v>32</v>
      </c>
      <c r="P869" t="s">
        <v>2208</v>
      </c>
      <c r="Q869">
        <v>200</v>
      </c>
      <c r="R869">
        <v>200</v>
      </c>
      <c r="S869" t="s">
        <v>56</v>
      </c>
      <c r="T869" t="s">
        <v>57</v>
      </c>
      <c r="U869" t="s">
        <v>44</v>
      </c>
      <c r="W869">
        <v>200</v>
      </c>
      <c r="X869">
        <v>200</v>
      </c>
      <c r="Y869">
        <v>200</v>
      </c>
      <c r="Z869">
        <v>200</v>
      </c>
    </row>
    <row r="870" spans="1:26" hidden="1" x14ac:dyDescent="0.25">
      <c r="A870" t="s">
        <v>2209</v>
      </c>
      <c r="B870" t="s">
        <v>38</v>
      </c>
      <c r="C870" s="4">
        <v>44424</v>
      </c>
      <c r="D870" s="4">
        <v>45224</v>
      </c>
      <c r="F870" s="4">
        <v>45550</v>
      </c>
      <c r="G870" t="s">
        <v>144</v>
      </c>
      <c r="H870" t="s">
        <v>2210</v>
      </c>
      <c r="K870" t="s">
        <v>146</v>
      </c>
      <c r="L870" t="s">
        <v>2154</v>
      </c>
      <c r="M870" t="s">
        <v>68</v>
      </c>
      <c r="N870" t="s">
        <v>2155</v>
      </c>
      <c r="O870" t="s">
        <v>32</v>
      </c>
      <c r="P870" t="s">
        <v>2211</v>
      </c>
      <c r="Q870">
        <v>260</v>
      </c>
      <c r="R870">
        <v>260</v>
      </c>
      <c r="S870" t="s">
        <v>34</v>
      </c>
      <c r="T870" t="s">
        <v>35</v>
      </c>
      <c r="U870" t="s">
        <v>44</v>
      </c>
      <c r="W870">
        <v>0</v>
      </c>
      <c r="X870">
        <v>0</v>
      </c>
      <c r="Y870">
        <v>0</v>
      </c>
      <c r="Z870">
        <v>0</v>
      </c>
    </row>
    <row r="871" spans="1:26" hidden="1" x14ac:dyDescent="0.25">
      <c r="A871" t="s">
        <v>2212</v>
      </c>
      <c r="B871" t="s">
        <v>38</v>
      </c>
      <c r="C871" s="4">
        <v>44424</v>
      </c>
      <c r="D871" s="4">
        <v>45224</v>
      </c>
      <c r="F871" s="4">
        <v>45550</v>
      </c>
      <c r="G871" t="s">
        <v>144</v>
      </c>
      <c r="H871" t="s">
        <v>2210</v>
      </c>
      <c r="K871" t="s">
        <v>146</v>
      </c>
      <c r="L871" t="s">
        <v>2154</v>
      </c>
      <c r="M871" t="s">
        <v>68</v>
      </c>
      <c r="N871" t="s">
        <v>2155</v>
      </c>
      <c r="O871" t="s">
        <v>32</v>
      </c>
      <c r="P871" t="s">
        <v>2211</v>
      </c>
      <c r="Q871">
        <v>78</v>
      </c>
      <c r="R871">
        <v>78</v>
      </c>
      <c r="S871" t="s">
        <v>159</v>
      </c>
      <c r="T871" t="s">
        <v>159</v>
      </c>
      <c r="U871" t="s">
        <v>44</v>
      </c>
      <c r="W871">
        <v>0</v>
      </c>
      <c r="X871">
        <v>0</v>
      </c>
      <c r="Y871">
        <v>0</v>
      </c>
      <c r="Z871">
        <v>0</v>
      </c>
    </row>
    <row r="872" spans="1:26" hidden="1" x14ac:dyDescent="0.25">
      <c r="A872" t="s">
        <v>2213</v>
      </c>
      <c r="B872" t="s">
        <v>25</v>
      </c>
      <c r="C872" s="4">
        <v>44424</v>
      </c>
      <c r="F872" s="4">
        <v>45550</v>
      </c>
      <c r="G872" t="s">
        <v>1408</v>
      </c>
      <c r="H872" t="s">
        <v>2214</v>
      </c>
      <c r="K872" t="s">
        <v>146</v>
      </c>
      <c r="L872" t="s">
        <v>2154</v>
      </c>
      <c r="M872" t="s">
        <v>68</v>
      </c>
      <c r="N872" t="s">
        <v>2155</v>
      </c>
      <c r="O872" t="s">
        <v>32</v>
      </c>
      <c r="P872" t="s">
        <v>2215</v>
      </c>
      <c r="Q872">
        <v>200</v>
      </c>
      <c r="R872">
        <v>200</v>
      </c>
      <c r="S872" t="s">
        <v>34</v>
      </c>
      <c r="T872" t="s">
        <v>35</v>
      </c>
      <c r="U872" t="s">
        <v>44</v>
      </c>
      <c r="V872" s="4">
        <v>46874</v>
      </c>
      <c r="W872">
        <v>200</v>
      </c>
      <c r="X872">
        <v>200</v>
      </c>
      <c r="Y872">
        <v>180</v>
      </c>
      <c r="Z872">
        <v>0</v>
      </c>
    </row>
    <row r="873" spans="1:26" hidden="1" x14ac:dyDescent="0.25">
      <c r="A873" t="s">
        <v>2216</v>
      </c>
      <c r="B873" t="s">
        <v>38</v>
      </c>
      <c r="C873" s="4">
        <v>44424</v>
      </c>
      <c r="D873" s="4">
        <v>45723</v>
      </c>
      <c r="F873" s="4">
        <v>45550</v>
      </c>
      <c r="G873" t="s">
        <v>144</v>
      </c>
      <c r="H873" t="s">
        <v>2214</v>
      </c>
      <c r="K873" t="s">
        <v>146</v>
      </c>
      <c r="L873" t="s">
        <v>2154</v>
      </c>
      <c r="M873" t="s">
        <v>68</v>
      </c>
      <c r="N873" t="s">
        <v>2155</v>
      </c>
      <c r="O873" t="s">
        <v>32</v>
      </c>
      <c r="P873" t="s">
        <v>2215</v>
      </c>
      <c r="Q873">
        <v>60</v>
      </c>
      <c r="R873">
        <v>60</v>
      </c>
      <c r="S873" t="s">
        <v>159</v>
      </c>
      <c r="T873" t="s">
        <v>159</v>
      </c>
      <c r="U873" t="s">
        <v>44</v>
      </c>
      <c r="W873">
        <v>60</v>
      </c>
      <c r="X873">
        <v>60</v>
      </c>
      <c r="Y873">
        <v>0</v>
      </c>
      <c r="Z873">
        <v>0</v>
      </c>
    </row>
    <row r="874" spans="1:26" hidden="1" x14ac:dyDescent="0.25">
      <c r="A874" t="s">
        <v>2217</v>
      </c>
      <c r="B874" t="s">
        <v>25</v>
      </c>
      <c r="C874" s="4">
        <v>44424</v>
      </c>
      <c r="F874" s="4">
        <v>45550</v>
      </c>
      <c r="G874" t="s">
        <v>1326</v>
      </c>
      <c r="H874" t="s">
        <v>1285</v>
      </c>
      <c r="K874" t="s">
        <v>67</v>
      </c>
      <c r="L874" t="s">
        <v>2154</v>
      </c>
      <c r="M874" t="s">
        <v>68</v>
      </c>
      <c r="N874" t="s">
        <v>2155</v>
      </c>
      <c r="O874" t="s">
        <v>32</v>
      </c>
      <c r="P874" t="s">
        <v>2218</v>
      </c>
      <c r="Q874">
        <v>250</v>
      </c>
      <c r="R874">
        <v>250</v>
      </c>
      <c r="S874" t="s">
        <v>34</v>
      </c>
      <c r="T874" t="s">
        <v>35</v>
      </c>
      <c r="U874" t="s">
        <v>44</v>
      </c>
      <c r="V874" s="4">
        <v>47058</v>
      </c>
      <c r="W874">
        <v>250</v>
      </c>
      <c r="X874">
        <v>250</v>
      </c>
      <c r="Y874">
        <v>250</v>
      </c>
      <c r="Z874">
        <v>0</v>
      </c>
    </row>
    <row r="875" spans="1:26" hidden="1" x14ac:dyDescent="0.25">
      <c r="A875" t="s">
        <v>2219</v>
      </c>
      <c r="B875" t="s">
        <v>25</v>
      </c>
      <c r="C875" s="4">
        <v>44424</v>
      </c>
      <c r="F875" s="4">
        <v>45550</v>
      </c>
      <c r="G875" t="s">
        <v>1326</v>
      </c>
      <c r="H875" t="s">
        <v>1285</v>
      </c>
      <c r="K875" t="s">
        <v>67</v>
      </c>
      <c r="L875" t="s">
        <v>2154</v>
      </c>
      <c r="M875" t="s">
        <v>68</v>
      </c>
      <c r="N875" t="s">
        <v>2155</v>
      </c>
      <c r="O875" t="s">
        <v>32</v>
      </c>
      <c r="P875" t="s">
        <v>2218</v>
      </c>
      <c r="Q875">
        <v>250</v>
      </c>
      <c r="R875">
        <v>250</v>
      </c>
      <c r="S875" t="s">
        <v>34</v>
      </c>
      <c r="T875" t="s">
        <v>35</v>
      </c>
      <c r="U875" t="s">
        <v>44</v>
      </c>
      <c r="V875" s="4">
        <v>47058</v>
      </c>
      <c r="W875">
        <v>250</v>
      </c>
      <c r="X875">
        <v>250</v>
      </c>
      <c r="Y875">
        <v>250</v>
      </c>
      <c r="Z875">
        <v>0</v>
      </c>
    </row>
    <row r="876" spans="1:26" hidden="1" x14ac:dyDescent="0.25">
      <c r="A876" t="s">
        <v>2220</v>
      </c>
      <c r="B876" t="s">
        <v>38</v>
      </c>
      <c r="C876" s="4">
        <v>44424</v>
      </c>
      <c r="D876" s="4">
        <v>45723</v>
      </c>
      <c r="F876" s="4">
        <v>45550</v>
      </c>
      <c r="G876" t="s">
        <v>65</v>
      </c>
      <c r="H876" t="s">
        <v>1285</v>
      </c>
      <c r="K876" t="s">
        <v>67</v>
      </c>
      <c r="L876" t="s">
        <v>2154</v>
      </c>
      <c r="M876" t="s">
        <v>68</v>
      </c>
      <c r="N876" t="s">
        <v>2155</v>
      </c>
      <c r="O876" t="s">
        <v>32</v>
      </c>
      <c r="P876" t="s">
        <v>2218</v>
      </c>
      <c r="Q876">
        <v>75</v>
      </c>
      <c r="R876">
        <v>75</v>
      </c>
      <c r="S876" t="s">
        <v>159</v>
      </c>
      <c r="T876" t="s">
        <v>159</v>
      </c>
      <c r="U876" t="s">
        <v>44</v>
      </c>
      <c r="W876">
        <v>75</v>
      </c>
      <c r="X876">
        <v>75</v>
      </c>
      <c r="Y876">
        <v>0</v>
      </c>
      <c r="Z876">
        <v>0</v>
      </c>
    </row>
    <row r="877" spans="1:26" hidden="1" x14ac:dyDescent="0.25">
      <c r="A877" t="s">
        <v>2221</v>
      </c>
      <c r="B877" t="s">
        <v>38</v>
      </c>
      <c r="C877" s="4">
        <v>44424</v>
      </c>
      <c r="D877" s="4">
        <v>45723</v>
      </c>
      <c r="F877" s="4">
        <v>45550</v>
      </c>
      <c r="G877" t="s">
        <v>65</v>
      </c>
      <c r="H877" t="s">
        <v>1285</v>
      </c>
      <c r="K877" t="s">
        <v>67</v>
      </c>
      <c r="L877" t="s">
        <v>2154</v>
      </c>
      <c r="M877" t="s">
        <v>68</v>
      </c>
      <c r="N877" t="s">
        <v>2155</v>
      </c>
      <c r="O877" t="s">
        <v>32</v>
      </c>
      <c r="P877" t="s">
        <v>2218</v>
      </c>
      <c r="Q877">
        <v>75</v>
      </c>
      <c r="R877">
        <v>75</v>
      </c>
      <c r="S877" t="s">
        <v>159</v>
      </c>
      <c r="T877" t="s">
        <v>159</v>
      </c>
      <c r="U877" t="s">
        <v>44</v>
      </c>
      <c r="W877">
        <v>75</v>
      </c>
      <c r="X877">
        <v>75</v>
      </c>
      <c r="Y877">
        <v>0</v>
      </c>
      <c r="Z877">
        <v>0</v>
      </c>
    </row>
    <row r="878" spans="1:26" hidden="1" x14ac:dyDescent="0.25">
      <c r="A878" t="s">
        <v>2222</v>
      </c>
      <c r="B878" t="s">
        <v>38</v>
      </c>
      <c r="C878" s="4">
        <v>44648</v>
      </c>
      <c r="D878" s="4">
        <v>46009</v>
      </c>
      <c r="F878" s="4">
        <v>45550</v>
      </c>
      <c r="G878" t="s">
        <v>101</v>
      </c>
      <c r="H878" t="s">
        <v>1795</v>
      </c>
      <c r="K878" t="s">
        <v>98</v>
      </c>
      <c r="L878" t="s">
        <v>2154</v>
      </c>
      <c r="M878" t="s">
        <v>84</v>
      </c>
      <c r="N878" t="s">
        <v>2160</v>
      </c>
      <c r="O878" t="s">
        <v>32</v>
      </c>
      <c r="P878" t="s">
        <v>2223</v>
      </c>
      <c r="Q878">
        <v>140</v>
      </c>
      <c r="R878">
        <v>140</v>
      </c>
      <c r="S878" t="s">
        <v>34</v>
      </c>
      <c r="T878" t="s">
        <v>35</v>
      </c>
      <c r="U878" t="s">
        <v>44</v>
      </c>
      <c r="W878">
        <v>140</v>
      </c>
      <c r="X878">
        <v>140</v>
      </c>
      <c r="Y878">
        <v>0</v>
      </c>
      <c r="Z878">
        <v>0</v>
      </c>
    </row>
    <row r="879" spans="1:26" hidden="1" x14ac:dyDescent="0.25">
      <c r="A879" t="s">
        <v>2224</v>
      </c>
      <c r="B879" t="s">
        <v>38</v>
      </c>
      <c r="C879" s="4">
        <v>44648</v>
      </c>
      <c r="D879" s="4">
        <v>45573</v>
      </c>
      <c r="F879" s="4">
        <v>45550</v>
      </c>
      <c r="G879" t="s">
        <v>101</v>
      </c>
      <c r="H879" t="s">
        <v>1795</v>
      </c>
      <c r="K879" t="s">
        <v>98</v>
      </c>
      <c r="L879" t="s">
        <v>2154</v>
      </c>
      <c r="M879" t="s">
        <v>84</v>
      </c>
      <c r="N879" t="s">
        <v>2160</v>
      </c>
      <c r="O879" t="s">
        <v>32</v>
      </c>
      <c r="P879" t="s">
        <v>1865</v>
      </c>
      <c r="Q879">
        <v>45</v>
      </c>
      <c r="R879">
        <v>45</v>
      </c>
      <c r="S879" t="s">
        <v>159</v>
      </c>
      <c r="T879" t="s">
        <v>159</v>
      </c>
      <c r="U879" t="s">
        <v>44</v>
      </c>
      <c r="W879">
        <v>0</v>
      </c>
      <c r="X879">
        <v>0</v>
      </c>
      <c r="Y879">
        <v>0</v>
      </c>
      <c r="Z879">
        <v>0</v>
      </c>
    </row>
    <row r="880" spans="1:26" hidden="1" x14ac:dyDescent="0.25">
      <c r="A880" t="s">
        <v>2225</v>
      </c>
      <c r="B880" t="s">
        <v>38</v>
      </c>
      <c r="C880" s="4">
        <v>44424</v>
      </c>
      <c r="D880" s="4">
        <v>44538</v>
      </c>
      <c r="F880" s="4">
        <v>45550</v>
      </c>
      <c r="G880" t="s">
        <v>101</v>
      </c>
      <c r="H880" t="s">
        <v>1795</v>
      </c>
      <c r="K880" t="s">
        <v>98</v>
      </c>
      <c r="L880" t="s">
        <v>2154</v>
      </c>
      <c r="M880" t="s">
        <v>84</v>
      </c>
      <c r="N880" t="s">
        <v>2160</v>
      </c>
      <c r="O880" t="s">
        <v>32</v>
      </c>
      <c r="P880" t="s">
        <v>1860</v>
      </c>
      <c r="Q880">
        <v>145</v>
      </c>
      <c r="R880">
        <v>145</v>
      </c>
      <c r="S880" t="s">
        <v>34</v>
      </c>
      <c r="T880" t="s">
        <v>35</v>
      </c>
      <c r="W880">
        <v>0</v>
      </c>
      <c r="X880">
        <v>0</v>
      </c>
      <c r="Y880">
        <v>0</v>
      </c>
      <c r="Z880">
        <v>0</v>
      </c>
    </row>
    <row r="881" spans="1:26" hidden="1" x14ac:dyDescent="0.25">
      <c r="A881" t="s">
        <v>2226</v>
      </c>
      <c r="B881" t="s">
        <v>38</v>
      </c>
      <c r="C881" s="4">
        <v>44424</v>
      </c>
      <c r="D881" s="4">
        <v>44538</v>
      </c>
      <c r="F881" s="4">
        <v>45550</v>
      </c>
      <c r="G881" t="s">
        <v>101</v>
      </c>
      <c r="H881" t="s">
        <v>1795</v>
      </c>
      <c r="K881" t="s">
        <v>98</v>
      </c>
      <c r="L881" t="s">
        <v>2154</v>
      </c>
      <c r="M881" t="s">
        <v>84</v>
      </c>
      <c r="N881" t="s">
        <v>2160</v>
      </c>
      <c r="O881" t="s">
        <v>32</v>
      </c>
      <c r="P881" t="s">
        <v>1860</v>
      </c>
      <c r="Q881">
        <v>43.5</v>
      </c>
      <c r="R881">
        <v>43.5</v>
      </c>
      <c r="S881" t="s">
        <v>159</v>
      </c>
      <c r="T881" t="s">
        <v>159</v>
      </c>
      <c r="W881">
        <v>0</v>
      </c>
      <c r="X881">
        <v>0</v>
      </c>
      <c r="Y881">
        <v>0</v>
      </c>
      <c r="Z881">
        <v>0</v>
      </c>
    </row>
    <row r="882" spans="1:26" hidden="1" x14ac:dyDescent="0.25">
      <c r="A882" t="s">
        <v>2227</v>
      </c>
      <c r="B882" t="s">
        <v>2153</v>
      </c>
      <c r="C882" s="4">
        <v>44424</v>
      </c>
      <c r="F882" s="4">
        <v>45550</v>
      </c>
      <c r="G882" t="s">
        <v>52</v>
      </c>
      <c r="H882" t="s">
        <v>1362</v>
      </c>
      <c r="K882" t="s">
        <v>53</v>
      </c>
      <c r="L882" t="s">
        <v>2154</v>
      </c>
      <c r="M882" t="s">
        <v>54</v>
      </c>
      <c r="N882" t="s">
        <v>2155</v>
      </c>
      <c r="O882" t="s">
        <v>32</v>
      </c>
      <c r="P882" t="s">
        <v>2228</v>
      </c>
      <c r="Q882">
        <v>60</v>
      </c>
      <c r="R882">
        <v>60</v>
      </c>
      <c r="S882" t="s">
        <v>159</v>
      </c>
      <c r="T882" t="s">
        <v>159</v>
      </c>
      <c r="U882" t="s">
        <v>44</v>
      </c>
      <c r="V882" s="4">
        <v>46645</v>
      </c>
      <c r="W882">
        <v>60</v>
      </c>
      <c r="X882">
        <v>60</v>
      </c>
      <c r="Y882">
        <v>60</v>
      </c>
      <c r="Z882">
        <v>60</v>
      </c>
    </row>
    <row r="883" spans="1:26" hidden="1" x14ac:dyDescent="0.25">
      <c r="A883" t="s">
        <v>2229</v>
      </c>
      <c r="B883" t="s">
        <v>38</v>
      </c>
      <c r="C883" s="4">
        <v>44424</v>
      </c>
      <c r="D883" s="4">
        <v>44538</v>
      </c>
      <c r="F883" s="4">
        <v>45550</v>
      </c>
      <c r="G883" t="s">
        <v>138</v>
      </c>
      <c r="H883" t="s">
        <v>1795</v>
      </c>
      <c r="K883" t="s">
        <v>98</v>
      </c>
      <c r="L883" t="s">
        <v>2154</v>
      </c>
      <c r="M883" t="s">
        <v>84</v>
      </c>
      <c r="N883" t="s">
        <v>2160</v>
      </c>
      <c r="O883" t="s">
        <v>32</v>
      </c>
      <c r="P883" t="s">
        <v>2230</v>
      </c>
      <c r="Q883">
        <v>48</v>
      </c>
      <c r="R883">
        <v>48</v>
      </c>
      <c r="S883" t="s">
        <v>159</v>
      </c>
      <c r="T883" t="s">
        <v>159</v>
      </c>
      <c r="W883">
        <v>0</v>
      </c>
      <c r="X883">
        <v>0</v>
      </c>
      <c r="Y883">
        <v>0</v>
      </c>
      <c r="Z883">
        <v>0</v>
      </c>
    </row>
    <row r="884" spans="1:26" hidden="1" x14ac:dyDescent="0.25">
      <c r="A884" t="s">
        <v>2231</v>
      </c>
      <c r="B884" t="s">
        <v>2232</v>
      </c>
      <c r="C884" s="4">
        <v>44648</v>
      </c>
      <c r="F884" s="4">
        <v>45550</v>
      </c>
      <c r="G884" t="s">
        <v>117</v>
      </c>
      <c r="H884" t="s">
        <v>1711</v>
      </c>
      <c r="K884" t="s">
        <v>83</v>
      </c>
      <c r="L884" t="s">
        <v>2154</v>
      </c>
      <c r="M884" t="s">
        <v>84</v>
      </c>
      <c r="N884" t="s">
        <v>2160</v>
      </c>
      <c r="O884" t="s">
        <v>32</v>
      </c>
      <c r="P884" t="s">
        <v>1712</v>
      </c>
      <c r="Q884">
        <v>45</v>
      </c>
      <c r="R884">
        <v>45</v>
      </c>
      <c r="S884" t="s">
        <v>159</v>
      </c>
      <c r="T884" t="s">
        <v>159</v>
      </c>
      <c r="U884" t="s">
        <v>44</v>
      </c>
      <c r="W884">
        <v>45</v>
      </c>
      <c r="X884">
        <v>45</v>
      </c>
      <c r="Y884">
        <v>45</v>
      </c>
      <c r="Z884">
        <v>45</v>
      </c>
    </row>
    <row r="885" spans="1:26" hidden="1" x14ac:dyDescent="0.25">
      <c r="A885" t="s">
        <v>2233</v>
      </c>
      <c r="B885" t="s">
        <v>38</v>
      </c>
      <c r="C885" s="4">
        <v>44398</v>
      </c>
      <c r="D885" s="4">
        <v>45723</v>
      </c>
      <c r="F885" s="4">
        <v>45087</v>
      </c>
      <c r="G885" t="s">
        <v>144</v>
      </c>
      <c r="H885" t="s">
        <v>1571</v>
      </c>
      <c r="K885" t="s">
        <v>146</v>
      </c>
      <c r="L885" t="s">
        <v>2154</v>
      </c>
      <c r="M885" t="s">
        <v>68</v>
      </c>
      <c r="N885" t="s">
        <v>2155</v>
      </c>
      <c r="O885" t="s">
        <v>1110</v>
      </c>
      <c r="P885" t="s">
        <v>2234</v>
      </c>
      <c r="Q885">
        <v>100</v>
      </c>
      <c r="R885">
        <v>100</v>
      </c>
      <c r="S885" t="s">
        <v>34</v>
      </c>
      <c r="T885" t="s">
        <v>35</v>
      </c>
      <c r="U885" t="s">
        <v>44</v>
      </c>
      <c r="W885">
        <v>0</v>
      </c>
      <c r="X885">
        <v>100</v>
      </c>
      <c r="Y885">
        <v>0</v>
      </c>
      <c r="Z885">
        <v>0</v>
      </c>
    </row>
    <row r="886" spans="1:26" hidden="1" x14ac:dyDescent="0.25">
      <c r="A886" t="s">
        <v>2235</v>
      </c>
      <c r="B886" t="s">
        <v>38</v>
      </c>
      <c r="C886" s="4">
        <v>44420</v>
      </c>
      <c r="D886" s="4">
        <v>45566</v>
      </c>
      <c r="F886" s="4">
        <v>45595</v>
      </c>
      <c r="G886" t="s">
        <v>1278</v>
      </c>
      <c r="H886" t="s">
        <v>1645</v>
      </c>
      <c r="K886" t="s">
        <v>28</v>
      </c>
      <c r="L886" t="s">
        <v>2154</v>
      </c>
      <c r="M886" t="s">
        <v>30</v>
      </c>
      <c r="N886" t="s">
        <v>2155</v>
      </c>
      <c r="O886" t="s">
        <v>32</v>
      </c>
      <c r="P886" t="s">
        <v>2236</v>
      </c>
      <c r="Q886">
        <v>200</v>
      </c>
      <c r="R886">
        <v>200</v>
      </c>
      <c r="S886" t="s">
        <v>159</v>
      </c>
      <c r="T886" t="s">
        <v>159</v>
      </c>
      <c r="U886" t="s">
        <v>44</v>
      </c>
      <c r="W886">
        <v>200</v>
      </c>
      <c r="X886">
        <v>200</v>
      </c>
      <c r="Y886">
        <v>0</v>
      </c>
      <c r="Z886">
        <v>0</v>
      </c>
    </row>
    <row r="887" spans="1:26" hidden="1" x14ac:dyDescent="0.25">
      <c r="A887" t="s">
        <v>2237</v>
      </c>
      <c r="B887" t="s">
        <v>38</v>
      </c>
      <c r="C887" s="4">
        <v>44425</v>
      </c>
      <c r="D887" s="4">
        <v>44538</v>
      </c>
      <c r="F887" s="4">
        <v>45748</v>
      </c>
      <c r="G887" t="s">
        <v>681</v>
      </c>
      <c r="H887" t="s">
        <v>1578</v>
      </c>
      <c r="K887" t="s">
        <v>683</v>
      </c>
      <c r="L887" t="s">
        <v>2154</v>
      </c>
      <c r="M887" t="s">
        <v>84</v>
      </c>
      <c r="N887" t="s">
        <v>2160</v>
      </c>
      <c r="O887" t="s">
        <v>32</v>
      </c>
      <c r="P887" t="s">
        <v>2238</v>
      </c>
      <c r="Q887">
        <v>300</v>
      </c>
      <c r="R887">
        <v>300</v>
      </c>
      <c r="S887" t="s">
        <v>34</v>
      </c>
      <c r="T887" t="s">
        <v>35</v>
      </c>
      <c r="U887" t="s">
        <v>44</v>
      </c>
      <c r="W887">
        <v>0</v>
      </c>
      <c r="X887">
        <v>0</v>
      </c>
      <c r="Y887">
        <v>0</v>
      </c>
      <c r="Z887">
        <v>0</v>
      </c>
    </row>
    <row r="888" spans="1:26" hidden="1" x14ac:dyDescent="0.25">
      <c r="A888" t="s">
        <v>2239</v>
      </c>
      <c r="B888" t="s">
        <v>38</v>
      </c>
      <c r="C888" s="4">
        <v>44425</v>
      </c>
      <c r="D888" s="4">
        <v>44887</v>
      </c>
      <c r="F888" s="4">
        <v>45748</v>
      </c>
      <c r="G888" t="s">
        <v>681</v>
      </c>
      <c r="H888" t="s">
        <v>1578</v>
      </c>
      <c r="K888" t="s">
        <v>683</v>
      </c>
      <c r="L888" t="s">
        <v>2154</v>
      </c>
      <c r="M888" t="s">
        <v>84</v>
      </c>
      <c r="N888" t="s">
        <v>2160</v>
      </c>
      <c r="O888" t="s">
        <v>32</v>
      </c>
      <c r="P888" t="s">
        <v>2238</v>
      </c>
      <c r="Q888">
        <v>300</v>
      </c>
      <c r="R888">
        <v>300</v>
      </c>
      <c r="S888" t="s">
        <v>34</v>
      </c>
      <c r="T888" t="s">
        <v>35</v>
      </c>
      <c r="U888" t="s">
        <v>44</v>
      </c>
      <c r="W888">
        <v>0</v>
      </c>
      <c r="X888">
        <v>0</v>
      </c>
      <c r="Y888">
        <v>0</v>
      </c>
      <c r="Z888">
        <v>0</v>
      </c>
    </row>
    <row r="889" spans="1:26" hidden="1" x14ac:dyDescent="0.25">
      <c r="A889" t="s">
        <v>2240</v>
      </c>
      <c r="B889" t="s">
        <v>38</v>
      </c>
      <c r="C889" s="4">
        <v>44421</v>
      </c>
      <c r="D889" s="4">
        <v>44539</v>
      </c>
      <c r="F889" s="4">
        <v>45626</v>
      </c>
      <c r="G889" t="s">
        <v>144</v>
      </c>
      <c r="H889" t="s">
        <v>1553</v>
      </c>
      <c r="K889" t="s">
        <v>146</v>
      </c>
      <c r="L889" t="s">
        <v>2154</v>
      </c>
      <c r="M889" t="s">
        <v>68</v>
      </c>
      <c r="N889" t="s">
        <v>2155</v>
      </c>
      <c r="O889" t="s">
        <v>32</v>
      </c>
      <c r="P889" t="s">
        <v>2241</v>
      </c>
      <c r="Q889">
        <v>90</v>
      </c>
      <c r="R889">
        <v>90</v>
      </c>
      <c r="S889" t="s">
        <v>34</v>
      </c>
      <c r="T889" t="s">
        <v>35</v>
      </c>
      <c r="W889">
        <v>0</v>
      </c>
      <c r="X889">
        <v>0</v>
      </c>
      <c r="Y889">
        <v>0</v>
      </c>
      <c r="Z889">
        <v>0</v>
      </c>
    </row>
    <row r="890" spans="1:26" hidden="1" x14ac:dyDescent="0.25">
      <c r="A890" t="s">
        <v>2242</v>
      </c>
      <c r="B890" t="s">
        <v>38</v>
      </c>
      <c r="C890" s="4">
        <v>44586</v>
      </c>
      <c r="D890" s="4">
        <v>45957</v>
      </c>
      <c r="F890" s="4">
        <v>45383</v>
      </c>
      <c r="G890" t="s">
        <v>1597</v>
      </c>
      <c r="H890" t="s">
        <v>2243</v>
      </c>
      <c r="K890" t="s">
        <v>185</v>
      </c>
      <c r="L890" t="s">
        <v>2154</v>
      </c>
      <c r="M890" t="s">
        <v>42</v>
      </c>
      <c r="N890" t="s">
        <v>2160</v>
      </c>
      <c r="O890" t="s">
        <v>32</v>
      </c>
      <c r="P890" t="s">
        <v>2244</v>
      </c>
      <c r="Q890">
        <v>175</v>
      </c>
      <c r="R890">
        <v>175</v>
      </c>
      <c r="S890" t="s">
        <v>56</v>
      </c>
      <c r="T890" t="s">
        <v>57</v>
      </c>
      <c r="U890" t="s">
        <v>44</v>
      </c>
      <c r="W890">
        <v>175</v>
      </c>
      <c r="X890">
        <v>175</v>
      </c>
      <c r="Y890">
        <v>0</v>
      </c>
      <c r="Z890">
        <v>0</v>
      </c>
    </row>
    <row r="891" spans="1:26" hidden="1" x14ac:dyDescent="0.25">
      <c r="A891" t="s">
        <v>2245</v>
      </c>
      <c r="B891" t="s">
        <v>2153</v>
      </c>
      <c r="C891" s="4">
        <v>44412</v>
      </c>
      <c r="F891" s="4">
        <v>45838</v>
      </c>
      <c r="G891" t="s">
        <v>72</v>
      </c>
      <c r="H891" t="s">
        <v>2246</v>
      </c>
      <c r="K891" t="s">
        <v>209</v>
      </c>
      <c r="L891" t="s">
        <v>2154</v>
      </c>
      <c r="M891" t="s">
        <v>42</v>
      </c>
      <c r="N891" t="s">
        <v>2160</v>
      </c>
      <c r="O891" t="s">
        <v>32</v>
      </c>
      <c r="P891" t="s">
        <v>2247</v>
      </c>
      <c r="Q891">
        <v>60</v>
      </c>
      <c r="R891">
        <v>60</v>
      </c>
      <c r="S891" t="s">
        <v>34</v>
      </c>
      <c r="T891" t="s">
        <v>35</v>
      </c>
      <c r="U891" t="s">
        <v>44</v>
      </c>
      <c r="W891">
        <v>60</v>
      </c>
      <c r="X891">
        <v>60</v>
      </c>
      <c r="Y891">
        <v>60</v>
      </c>
      <c r="Z891">
        <v>60</v>
      </c>
    </row>
    <row r="892" spans="1:26" hidden="1" x14ac:dyDescent="0.25">
      <c r="A892" t="s">
        <v>2248</v>
      </c>
      <c r="B892" t="s">
        <v>25</v>
      </c>
      <c r="C892" s="4">
        <v>45764</v>
      </c>
      <c r="F892" s="4">
        <v>45565</v>
      </c>
      <c r="H892" t="s">
        <v>1756</v>
      </c>
      <c r="K892" t="s">
        <v>146</v>
      </c>
      <c r="L892" t="s">
        <v>2154</v>
      </c>
      <c r="M892" t="s">
        <v>68</v>
      </c>
      <c r="N892" t="s">
        <v>2155</v>
      </c>
      <c r="O892" t="s">
        <v>32</v>
      </c>
      <c r="P892" t="s">
        <v>2249</v>
      </c>
      <c r="Q892">
        <v>270</v>
      </c>
      <c r="R892">
        <v>270</v>
      </c>
      <c r="S892" t="s">
        <v>34</v>
      </c>
      <c r="T892" t="s">
        <v>35</v>
      </c>
      <c r="U892" t="s">
        <v>44</v>
      </c>
      <c r="V892" s="4">
        <v>46660</v>
      </c>
      <c r="W892">
        <v>270</v>
      </c>
      <c r="X892">
        <v>270</v>
      </c>
      <c r="Y892">
        <v>270</v>
      </c>
      <c r="Z892">
        <v>270</v>
      </c>
    </row>
    <row r="893" spans="1:26" hidden="1" x14ac:dyDescent="0.25">
      <c r="A893" t="s">
        <v>2250</v>
      </c>
      <c r="B893" t="s">
        <v>25</v>
      </c>
      <c r="C893" s="4">
        <v>44427</v>
      </c>
      <c r="F893" s="4">
        <v>45596</v>
      </c>
      <c r="G893" t="s">
        <v>1753</v>
      </c>
      <c r="H893" t="s">
        <v>2251</v>
      </c>
      <c r="K893" t="s">
        <v>114</v>
      </c>
      <c r="L893" t="s">
        <v>2154</v>
      </c>
      <c r="M893" t="s">
        <v>68</v>
      </c>
      <c r="N893" t="s">
        <v>2155</v>
      </c>
      <c r="O893" t="s">
        <v>32</v>
      </c>
      <c r="P893" t="s">
        <v>2252</v>
      </c>
      <c r="Q893">
        <v>200</v>
      </c>
      <c r="R893">
        <v>200</v>
      </c>
      <c r="S893" t="s">
        <v>597</v>
      </c>
      <c r="T893" t="s">
        <v>598</v>
      </c>
      <c r="U893" t="s">
        <v>44</v>
      </c>
      <c r="V893" s="4">
        <v>46752</v>
      </c>
      <c r="W893">
        <v>200</v>
      </c>
      <c r="X893">
        <v>200</v>
      </c>
      <c r="Y893">
        <v>200</v>
      </c>
      <c r="Z893">
        <v>200</v>
      </c>
    </row>
    <row r="894" spans="1:26" hidden="1" x14ac:dyDescent="0.25">
      <c r="A894" t="s">
        <v>2253</v>
      </c>
      <c r="B894" t="s">
        <v>38</v>
      </c>
      <c r="C894" s="4">
        <v>44432</v>
      </c>
      <c r="D894" s="4">
        <v>44539</v>
      </c>
      <c r="F894" s="4">
        <v>45231</v>
      </c>
      <c r="G894" t="s">
        <v>52</v>
      </c>
      <c r="H894" t="s">
        <v>1574</v>
      </c>
      <c r="K894" t="s">
        <v>53</v>
      </c>
      <c r="L894" t="s">
        <v>2154</v>
      </c>
      <c r="M894" t="s">
        <v>54</v>
      </c>
      <c r="N894" t="s">
        <v>2155</v>
      </c>
      <c r="O894" t="s">
        <v>32</v>
      </c>
      <c r="P894" t="s">
        <v>2254</v>
      </c>
      <c r="Q894">
        <v>64.8</v>
      </c>
      <c r="R894">
        <v>64.8</v>
      </c>
      <c r="S894" t="s">
        <v>34</v>
      </c>
      <c r="T894" t="s">
        <v>35</v>
      </c>
      <c r="W894">
        <v>0</v>
      </c>
      <c r="X894">
        <v>0</v>
      </c>
      <c r="Y894">
        <v>0</v>
      </c>
      <c r="Z894">
        <v>0</v>
      </c>
    </row>
    <row r="895" spans="1:26" hidden="1" x14ac:dyDescent="0.25">
      <c r="A895" t="s">
        <v>2255</v>
      </c>
      <c r="B895" t="s">
        <v>38</v>
      </c>
      <c r="C895" s="4">
        <v>44501</v>
      </c>
      <c r="D895" s="4">
        <v>45957</v>
      </c>
      <c r="F895" s="4">
        <v>45383</v>
      </c>
      <c r="G895" t="s">
        <v>183</v>
      </c>
      <c r="H895" t="s">
        <v>1415</v>
      </c>
      <c r="K895" t="s">
        <v>185</v>
      </c>
      <c r="L895" t="s">
        <v>2154</v>
      </c>
      <c r="M895" t="s">
        <v>42</v>
      </c>
      <c r="N895" t="s">
        <v>2160</v>
      </c>
      <c r="O895" t="s">
        <v>32</v>
      </c>
      <c r="P895" t="s">
        <v>2256</v>
      </c>
      <c r="Q895">
        <v>500</v>
      </c>
      <c r="R895">
        <v>500</v>
      </c>
      <c r="S895" t="s">
        <v>56</v>
      </c>
      <c r="T895" t="s">
        <v>57</v>
      </c>
      <c r="U895" t="s">
        <v>44</v>
      </c>
      <c r="W895">
        <v>500</v>
      </c>
      <c r="X895">
        <v>500</v>
      </c>
      <c r="Y895">
        <v>0</v>
      </c>
      <c r="Z895">
        <v>0</v>
      </c>
    </row>
    <row r="896" spans="1:26" hidden="1" x14ac:dyDescent="0.25">
      <c r="A896" t="s">
        <v>2257</v>
      </c>
      <c r="B896" t="s">
        <v>2153</v>
      </c>
      <c r="C896" s="4">
        <v>44498</v>
      </c>
      <c r="F896" s="4">
        <v>45565</v>
      </c>
      <c r="G896" t="s">
        <v>52</v>
      </c>
      <c r="H896" t="s">
        <v>2258</v>
      </c>
      <c r="K896" t="s">
        <v>53</v>
      </c>
      <c r="L896" t="s">
        <v>2154</v>
      </c>
      <c r="M896" t="s">
        <v>54</v>
      </c>
      <c r="N896" t="s">
        <v>2155</v>
      </c>
      <c r="O896" t="s">
        <v>32</v>
      </c>
      <c r="P896" t="s">
        <v>2259</v>
      </c>
      <c r="Q896">
        <v>200</v>
      </c>
      <c r="R896">
        <v>200</v>
      </c>
      <c r="S896" t="s">
        <v>159</v>
      </c>
      <c r="T896" t="s">
        <v>159</v>
      </c>
      <c r="U896" t="s">
        <v>44</v>
      </c>
      <c r="V896" s="4">
        <v>47157</v>
      </c>
      <c r="W896">
        <v>200</v>
      </c>
      <c r="X896">
        <v>200</v>
      </c>
      <c r="Y896">
        <v>200</v>
      </c>
      <c r="Z896">
        <v>200</v>
      </c>
    </row>
    <row r="897" spans="1:26" hidden="1" x14ac:dyDescent="0.25">
      <c r="A897" t="s">
        <v>2260</v>
      </c>
      <c r="B897" t="s">
        <v>2153</v>
      </c>
      <c r="C897" s="4">
        <v>45202</v>
      </c>
      <c r="F897" s="4">
        <v>45565</v>
      </c>
      <c r="G897" t="s">
        <v>1278</v>
      </c>
      <c r="H897" t="s">
        <v>2007</v>
      </c>
      <c r="K897" t="s">
        <v>28</v>
      </c>
      <c r="L897" t="s">
        <v>2154</v>
      </c>
      <c r="M897" t="s">
        <v>30</v>
      </c>
      <c r="N897" t="s">
        <v>2155</v>
      </c>
      <c r="O897" t="s">
        <v>32</v>
      </c>
      <c r="P897" t="s">
        <v>2261</v>
      </c>
      <c r="Q897">
        <v>200</v>
      </c>
      <c r="R897">
        <v>200</v>
      </c>
      <c r="S897" t="s">
        <v>159</v>
      </c>
      <c r="T897" t="s">
        <v>159</v>
      </c>
      <c r="U897" t="s">
        <v>44</v>
      </c>
      <c r="W897">
        <v>200</v>
      </c>
      <c r="X897">
        <v>200</v>
      </c>
      <c r="Y897">
        <v>200</v>
      </c>
      <c r="Z897">
        <v>200</v>
      </c>
    </row>
    <row r="898" spans="1:26" hidden="1" x14ac:dyDescent="0.25">
      <c r="A898" t="s">
        <v>2262</v>
      </c>
      <c r="B898" t="s">
        <v>38</v>
      </c>
      <c r="C898" s="4">
        <v>44425</v>
      </c>
      <c r="D898" s="4">
        <v>44538</v>
      </c>
      <c r="F898" s="4">
        <v>45748</v>
      </c>
      <c r="G898" t="s">
        <v>681</v>
      </c>
      <c r="H898" t="s">
        <v>1578</v>
      </c>
      <c r="K898" t="s">
        <v>683</v>
      </c>
      <c r="L898" t="s">
        <v>2154</v>
      </c>
      <c r="M898" t="s">
        <v>84</v>
      </c>
      <c r="N898" t="s">
        <v>2160</v>
      </c>
      <c r="O898" t="s">
        <v>32</v>
      </c>
      <c r="P898" t="s">
        <v>2263</v>
      </c>
      <c r="Q898">
        <v>100</v>
      </c>
      <c r="R898">
        <v>100</v>
      </c>
      <c r="S898" t="s">
        <v>56</v>
      </c>
      <c r="T898" t="s">
        <v>57</v>
      </c>
      <c r="W898">
        <v>0</v>
      </c>
      <c r="X898">
        <v>0</v>
      </c>
      <c r="Y898">
        <v>0</v>
      </c>
      <c r="Z898">
        <v>0</v>
      </c>
    </row>
    <row r="899" spans="1:26" hidden="1" x14ac:dyDescent="0.25">
      <c r="A899" t="s">
        <v>2264</v>
      </c>
      <c r="B899" t="s">
        <v>25</v>
      </c>
      <c r="C899" s="4">
        <v>44544</v>
      </c>
      <c r="F899" s="4">
        <v>45519</v>
      </c>
      <c r="G899" t="s">
        <v>1326</v>
      </c>
      <c r="H899" t="s">
        <v>1327</v>
      </c>
      <c r="K899" t="s">
        <v>67</v>
      </c>
      <c r="L899" t="s">
        <v>2154</v>
      </c>
      <c r="M899" t="s">
        <v>68</v>
      </c>
      <c r="N899" t="s">
        <v>2155</v>
      </c>
      <c r="O899" t="s">
        <v>32</v>
      </c>
      <c r="P899" t="s">
        <v>2265</v>
      </c>
      <c r="Q899">
        <v>500</v>
      </c>
      <c r="R899">
        <v>500</v>
      </c>
      <c r="S899" t="s">
        <v>597</v>
      </c>
      <c r="T899" t="s">
        <v>598</v>
      </c>
      <c r="U899" t="s">
        <v>44</v>
      </c>
      <c r="V899" s="4">
        <v>46682</v>
      </c>
      <c r="W899">
        <v>500</v>
      </c>
      <c r="X899">
        <v>500</v>
      </c>
      <c r="Y899">
        <v>500</v>
      </c>
      <c r="Z899">
        <v>425</v>
      </c>
    </row>
    <row r="900" spans="1:26" hidden="1" x14ac:dyDescent="0.25">
      <c r="A900" t="s">
        <v>2266</v>
      </c>
      <c r="B900" t="s">
        <v>2153</v>
      </c>
      <c r="C900" s="4">
        <v>44421</v>
      </c>
      <c r="F900" s="4">
        <v>45565</v>
      </c>
      <c r="G900" t="s">
        <v>1274</v>
      </c>
      <c r="H900" t="s">
        <v>1275</v>
      </c>
      <c r="K900" t="s">
        <v>41</v>
      </c>
      <c r="L900" t="s">
        <v>2154</v>
      </c>
      <c r="M900" t="s">
        <v>42</v>
      </c>
      <c r="N900" t="s">
        <v>2160</v>
      </c>
      <c r="O900" t="s">
        <v>32</v>
      </c>
      <c r="P900" t="s">
        <v>2267</v>
      </c>
      <c r="Q900">
        <v>200</v>
      </c>
      <c r="R900">
        <v>200</v>
      </c>
      <c r="S900" t="s">
        <v>159</v>
      </c>
      <c r="T900" t="s">
        <v>159</v>
      </c>
      <c r="U900" t="s">
        <v>70</v>
      </c>
      <c r="V900" s="4">
        <v>46691</v>
      </c>
      <c r="W900">
        <v>200</v>
      </c>
      <c r="X900">
        <v>200</v>
      </c>
      <c r="Y900">
        <v>200</v>
      </c>
      <c r="Z900">
        <v>200</v>
      </c>
    </row>
    <row r="901" spans="1:26" hidden="1" x14ac:dyDescent="0.25">
      <c r="A901" t="s">
        <v>2268</v>
      </c>
      <c r="B901" t="s">
        <v>25</v>
      </c>
      <c r="C901" s="4">
        <v>44552</v>
      </c>
      <c r="F901" s="4">
        <v>45519</v>
      </c>
      <c r="G901" t="s">
        <v>1326</v>
      </c>
      <c r="H901" t="s">
        <v>1327</v>
      </c>
      <c r="K901" t="s">
        <v>67</v>
      </c>
      <c r="L901" t="s">
        <v>2154</v>
      </c>
      <c r="M901" t="s">
        <v>68</v>
      </c>
      <c r="N901" t="s">
        <v>2155</v>
      </c>
      <c r="O901" t="s">
        <v>32</v>
      </c>
      <c r="P901" t="s">
        <v>2265</v>
      </c>
      <c r="Q901">
        <v>500</v>
      </c>
      <c r="R901">
        <v>500</v>
      </c>
      <c r="S901" t="s">
        <v>597</v>
      </c>
      <c r="T901" t="s">
        <v>598</v>
      </c>
      <c r="U901" t="s">
        <v>44</v>
      </c>
      <c r="V901" s="4">
        <v>46682</v>
      </c>
      <c r="W901">
        <v>500</v>
      </c>
      <c r="X901">
        <v>500</v>
      </c>
      <c r="Y901">
        <v>500</v>
      </c>
      <c r="Z901">
        <v>425</v>
      </c>
    </row>
    <row r="902" spans="1:26" hidden="1" x14ac:dyDescent="0.25">
      <c r="A902" t="s">
        <v>2269</v>
      </c>
      <c r="B902" t="s">
        <v>2153</v>
      </c>
      <c r="C902" s="4">
        <v>44421</v>
      </c>
      <c r="F902" s="4">
        <v>45565</v>
      </c>
      <c r="G902" t="s">
        <v>907</v>
      </c>
      <c r="H902" t="s">
        <v>2052</v>
      </c>
      <c r="K902" t="s">
        <v>53</v>
      </c>
      <c r="L902" t="s">
        <v>2154</v>
      </c>
      <c r="M902" t="s">
        <v>54</v>
      </c>
      <c r="N902" t="s">
        <v>2155</v>
      </c>
      <c r="O902" t="s">
        <v>32</v>
      </c>
      <c r="P902" t="s">
        <v>2270</v>
      </c>
      <c r="Q902">
        <v>200</v>
      </c>
      <c r="R902">
        <v>200</v>
      </c>
      <c r="S902" t="s">
        <v>159</v>
      </c>
      <c r="T902" t="s">
        <v>159</v>
      </c>
      <c r="U902" t="s">
        <v>44</v>
      </c>
      <c r="V902" s="4">
        <v>47041</v>
      </c>
      <c r="W902">
        <v>200</v>
      </c>
      <c r="X902">
        <v>200</v>
      </c>
      <c r="Y902">
        <v>200</v>
      </c>
      <c r="Z902">
        <v>200</v>
      </c>
    </row>
    <row r="903" spans="1:26" hidden="1" x14ac:dyDescent="0.25">
      <c r="A903" t="s">
        <v>2271</v>
      </c>
      <c r="B903" t="s">
        <v>38</v>
      </c>
      <c r="C903" s="4">
        <v>44645</v>
      </c>
      <c r="D903" s="4">
        <v>46009</v>
      </c>
      <c r="F903" s="4">
        <v>45565</v>
      </c>
      <c r="G903" t="s">
        <v>681</v>
      </c>
      <c r="H903" t="s">
        <v>1618</v>
      </c>
      <c r="K903" t="s">
        <v>683</v>
      </c>
      <c r="L903" t="s">
        <v>2154</v>
      </c>
      <c r="M903" t="s">
        <v>84</v>
      </c>
      <c r="N903" t="s">
        <v>2160</v>
      </c>
      <c r="O903" t="s">
        <v>32</v>
      </c>
      <c r="P903" t="s">
        <v>2272</v>
      </c>
      <c r="Q903">
        <v>200</v>
      </c>
      <c r="R903">
        <v>200</v>
      </c>
      <c r="S903" t="s">
        <v>159</v>
      </c>
      <c r="T903" t="s">
        <v>159</v>
      </c>
      <c r="U903" t="s">
        <v>44</v>
      </c>
      <c r="W903">
        <v>200</v>
      </c>
      <c r="X903">
        <v>200</v>
      </c>
      <c r="Y903">
        <v>0</v>
      </c>
      <c r="Z903">
        <v>0</v>
      </c>
    </row>
    <row r="904" spans="1:26" hidden="1" x14ac:dyDescent="0.25">
      <c r="A904" t="s">
        <v>2273</v>
      </c>
      <c r="B904" t="s">
        <v>2153</v>
      </c>
      <c r="C904" s="4">
        <v>44421</v>
      </c>
      <c r="F904" s="4">
        <v>45565</v>
      </c>
      <c r="G904" t="s">
        <v>907</v>
      </c>
      <c r="H904" t="s">
        <v>2052</v>
      </c>
      <c r="K904" t="s">
        <v>53</v>
      </c>
      <c r="L904" t="s">
        <v>2154</v>
      </c>
      <c r="M904" t="s">
        <v>54</v>
      </c>
      <c r="N904" t="s">
        <v>2155</v>
      </c>
      <c r="O904" t="s">
        <v>32</v>
      </c>
      <c r="P904" t="s">
        <v>2274</v>
      </c>
      <c r="Q904">
        <v>200</v>
      </c>
      <c r="R904">
        <v>200</v>
      </c>
      <c r="S904" t="s">
        <v>159</v>
      </c>
      <c r="T904" t="s">
        <v>159</v>
      </c>
      <c r="U904" t="s">
        <v>44</v>
      </c>
      <c r="V904" s="4">
        <v>46539</v>
      </c>
      <c r="W904">
        <v>200</v>
      </c>
      <c r="X904">
        <v>200</v>
      </c>
      <c r="Y904">
        <v>200</v>
      </c>
      <c r="Z904">
        <v>200</v>
      </c>
    </row>
    <row r="905" spans="1:26" hidden="1" x14ac:dyDescent="0.25">
      <c r="A905" t="s">
        <v>2275</v>
      </c>
      <c r="B905" t="s">
        <v>38</v>
      </c>
      <c r="C905" s="4">
        <v>44411</v>
      </c>
      <c r="D905" s="4">
        <v>45957</v>
      </c>
      <c r="F905" s="4">
        <v>45596</v>
      </c>
      <c r="G905" t="s">
        <v>72</v>
      </c>
      <c r="H905" t="s">
        <v>2002</v>
      </c>
      <c r="K905" t="s">
        <v>209</v>
      </c>
      <c r="L905" t="s">
        <v>2154</v>
      </c>
      <c r="M905" t="s">
        <v>42</v>
      </c>
      <c r="N905" t="s">
        <v>2160</v>
      </c>
      <c r="O905" t="s">
        <v>1110</v>
      </c>
      <c r="P905" t="s">
        <v>2276</v>
      </c>
      <c r="Q905">
        <v>140</v>
      </c>
      <c r="R905">
        <v>140</v>
      </c>
      <c r="S905" t="s">
        <v>56</v>
      </c>
      <c r="T905" t="s">
        <v>57</v>
      </c>
      <c r="U905" t="s">
        <v>44</v>
      </c>
      <c r="W905">
        <v>0</v>
      </c>
      <c r="X905">
        <v>140</v>
      </c>
      <c r="Y905">
        <v>0</v>
      </c>
      <c r="Z905">
        <v>0</v>
      </c>
    </row>
    <row r="906" spans="1:26" hidden="1" x14ac:dyDescent="0.25">
      <c r="A906" t="s">
        <v>2277</v>
      </c>
      <c r="B906" t="s">
        <v>25</v>
      </c>
      <c r="C906" s="4">
        <v>44425</v>
      </c>
      <c r="F906" s="4">
        <v>45969</v>
      </c>
      <c r="G906" t="s">
        <v>1408</v>
      </c>
      <c r="H906" t="s">
        <v>1462</v>
      </c>
      <c r="K906" t="s">
        <v>146</v>
      </c>
      <c r="L906" t="s">
        <v>2154</v>
      </c>
      <c r="M906" t="s">
        <v>68</v>
      </c>
      <c r="N906" t="s">
        <v>2155</v>
      </c>
      <c r="O906" t="s">
        <v>32</v>
      </c>
      <c r="P906" t="s">
        <v>2278</v>
      </c>
      <c r="Q906">
        <v>100</v>
      </c>
      <c r="R906">
        <v>100</v>
      </c>
      <c r="S906" t="s">
        <v>34</v>
      </c>
      <c r="T906" t="s">
        <v>35</v>
      </c>
      <c r="U906" t="s">
        <v>44</v>
      </c>
      <c r="V906" s="4">
        <v>47065</v>
      </c>
      <c r="W906">
        <v>100</v>
      </c>
      <c r="X906">
        <v>0</v>
      </c>
      <c r="Y906">
        <v>100</v>
      </c>
      <c r="Z906">
        <v>0</v>
      </c>
    </row>
    <row r="907" spans="1:26" hidden="1" x14ac:dyDescent="0.25">
      <c r="A907" t="s">
        <v>2279</v>
      </c>
      <c r="B907" t="s">
        <v>38</v>
      </c>
      <c r="C907" s="4">
        <v>44431</v>
      </c>
      <c r="D907" s="4">
        <v>45175</v>
      </c>
      <c r="F907" s="4">
        <v>45231</v>
      </c>
      <c r="G907" t="s">
        <v>907</v>
      </c>
      <c r="H907" t="s">
        <v>1450</v>
      </c>
      <c r="K907" t="s">
        <v>53</v>
      </c>
      <c r="L907" t="s">
        <v>2154</v>
      </c>
      <c r="M907" t="s">
        <v>54</v>
      </c>
      <c r="N907" t="s">
        <v>2155</v>
      </c>
      <c r="O907" t="s">
        <v>32</v>
      </c>
      <c r="P907" t="s">
        <v>2280</v>
      </c>
      <c r="Q907">
        <v>200</v>
      </c>
      <c r="R907">
        <v>200</v>
      </c>
      <c r="S907" t="s">
        <v>34</v>
      </c>
      <c r="T907" t="s">
        <v>35</v>
      </c>
      <c r="U907" t="s">
        <v>44</v>
      </c>
      <c r="W907">
        <v>0</v>
      </c>
      <c r="X907">
        <v>0</v>
      </c>
      <c r="Y907">
        <v>0</v>
      </c>
      <c r="Z907">
        <v>0</v>
      </c>
    </row>
    <row r="908" spans="1:26" hidden="1" x14ac:dyDescent="0.25">
      <c r="A908" t="s">
        <v>2281</v>
      </c>
      <c r="B908" t="s">
        <v>38</v>
      </c>
      <c r="C908" s="4">
        <v>44420</v>
      </c>
      <c r="D908" s="4">
        <v>45723</v>
      </c>
      <c r="F908" s="4">
        <v>44897</v>
      </c>
      <c r="G908" t="s">
        <v>144</v>
      </c>
      <c r="H908" t="s">
        <v>1302</v>
      </c>
      <c r="K908" t="s">
        <v>146</v>
      </c>
      <c r="L908" t="s">
        <v>2154</v>
      </c>
      <c r="M908" t="s">
        <v>68</v>
      </c>
      <c r="N908" t="s">
        <v>2155</v>
      </c>
      <c r="O908" t="s">
        <v>32</v>
      </c>
      <c r="P908" t="s">
        <v>2282</v>
      </c>
      <c r="Q908">
        <v>100</v>
      </c>
      <c r="R908">
        <v>100</v>
      </c>
      <c r="S908" t="s">
        <v>159</v>
      </c>
      <c r="T908" t="s">
        <v>159</v>
      </c>
      <c r="U908" t="s">
        <v>44</v>
      </c>
      <c r="W908">
        <v>100</v>
      </c>
      <c r="X908">
        <v>100</v>
      </c>
      <c r="Y908">
        <v>0</v>
      </c>
      <c r="Z908">
        <v>0</v>
      </c>
    </row>
    <row r="909" spans="1:26" hidden="1" x14ac:dyDescent="0.25">
      <c r="A909" t="s">
        <v>2283</v>
      </c>
      <c r="B909" t="s">
        <v>38</v>
      </c>
      <c r="C909" s="4">
        <v>44420</v>
      </c>
      <c r="D909" s="4">
        <v>45723</v>
      </c>
      <c r="F909" s="4">
        <v>44897</v>
      </c>
      <c r="G909" t="s">
        <v>149</v>
      </c>
      <c r="H909" t="s">
        <v>1691</v>
      </c>
      <c r="K909" t="s">
        <v>151</v>
      </c>
      <c r="L909" t="s">
        <v>2154</v>
      </c>
      <c r="M909" t="s">
        <v>68</v>
      </c>
      <c r="N909" t="s">
        <v>2155</v>
      </c>
      <c r="O909" t="s">
        <v>32</v>
      </c>
      <c r="P909" t="s">
        <v>2284</v>
      </c>
      <c r="Q909">
        <v>100</v>
      </c>
      <c r="R909">
        <v>100</v>
      </c>
      <c r="S909" t="s">
        <v>159</v>
      </c>
      <c r="T909" t="s">
        <v>159</v>
      </c>
      <c r="U909" t="s">
        <v>44</v>
      </c>
      <c r="W909">
        <v>100</v>
      </c>
      <c r="X909">
        <v>100</v>
      </c>
      <c r="Y909">
        <v>0</v>
      </c>
      <c r="Z909">
        <v>0</v>
      </c>
    </row>
    <row r="910" spans="1:26" hidden="1" x14ac:dyDescent="0.25">
      <c r="A910" t="s">
        <v>2285</v>
      </c>
      <c r="B910" t="s">
        <v>38</v>
      </c>
      <c r="C910" s="4">
        <v>44420</v>
      </c>
      <c r="D910" s="4">
        <v>45723</v>
      </c>
      <c r="F910" s="4">
        <v>44897</v>
      </c>
      <c r="G910" t="s">
        <v>616</v>
      </c>
      <c r="H910" t="s">
        <v>1792</v>
      </c>
      <c r="K910" t="s">
        <v>146</v>
      </c>
      <c r="L910" t="s">
        <v>2154</v>
      </c>
      <c r="M910" t="s">
        <v>68</v>
      </c>
      <c r="N910" t="s">
        <v>2155</v>
      </c>
      <c r="O910" t="s">
        <v>32</v>
      </c>
      <c r="P910" t="s">
        <v>2286</v>
      </c>
      <c r="Q910">
        <v>100</v>
      </c>
      <c r="R910">
        <v>100</v>
      </c>
      <c r="S910" t="s">
        <v>159</v>
      </c>
      <c r="T910" t="s">
        <v>159</v>
      </c>
      <c r="U910" t="s">
        <v>44</v>
      </c>
      <c r="W910">
        <v>100</v>
      </c>
      <c r="X910">
        <v>100</v>
      </c>
      <c r="Y910">
        <v>0</v>
      </c>
      <c r="Z910">
        <v>0</v>
      </c>
    </row>
    <row r="911" spans="1:26" hidden="1" x14ac:dyDescent="0.25">
      <c r="A911" t="s">
        <v>2287</v>
      </c>
      <c r="B911" t="s">
        <v>38</v>
      </c>
      <c r="C911" s="4">
        <v>44432</v>
      </c>
      <c r="D911" s="4">
        <v>45175</v>
      </c>
      <c r="F911" s="4">
        <v>45231</v>
      </c>
      <c r="G911" t="s">
        <v>52</v>
      </c>
      <c r="H911" t="s">
        <v>2288</v>
      </c>
      <c r="K911" t="s">
        <v>53</v>
      </c>
      <c r="L911" t="s">
        <v>2154</v>
      </c>
      <c r="M911" t="s">
        <v>54</v>
      </c>
      <c r="N911" t="s">
        <v>2155</v>
      </c>
      <c r="O911" t="s">
        <v>32</v>
      </c>
      <c r="P911" t="s">
        <v>2289</v>
      </c>
      <c r="Q911">
        <v>200</v>
      </c>
      <c r="R911">
        <v>200</v>
      </c>
      <c r="S911" t="s">
        <v>34</v>
      </c>
      <c r="T911" t="s">
        <v>35</v>
      </c>
      <c r="U911" t="s">
        <v>44</v>
      </c>
      <c r="W911">
        <v>0</v>
      </c>
      <c r="X911">
        <v>0</v>
      </c>
      <c r="Y911">
        <v>0</v>
      </c>
      <c r="Z911">
        <v>0</v>
      </c>
    </row>
    <row r="912" spans="1:26" hidden="1" x14ac:dyDescent="0.25">
      <c r="A912" t="s">
        <v>2290</v>
      </c>
      <c r="B912" t="s">
        <v>38</v>
      </c>
      <c r="C912" s="4">
        <v>44432</v>
      </c>
      <c r="D912" s="4">
        <v>45175</v>
      </c>
      <c r="F912" s="4">
        <v>45231</v>
      </c>
      <c r="G912" t="s">
        <v>52</v>
      </c>
      <c r="H912" t="s">
        <v>2288</v>
      </c>
      <c r="K912" t="s">
        <v>53</v>
      </c>
      <c r="L912" t="s">
        <v>2154</v>
      </c>
      <c r="M912" t="s">
        <v>54</v>
      </c>
      <c r="N912" t="s">
        <v>2155</v>
      </c>
      <c r="O912" t="s">
        <v>32</v>
      </c>
      <c r="P912" t="s">
        <v>2289</v>
      </c>
      <c r="Q912">
        <v>200</v>
      </c>
      <c r="R912">
        <v>200</v>
      </c>
      <c r="S912" t="s">
        <v>34</v>
      </c>
      <c r="T912" t="s">
        <v>35</v>
      </c>
      <c r="U912" t="s">
        <v>44</v>
      </c>
      <c r="W912">
        <v>0</v>
      </c>
      <c r="X912">
        <v>0</v>
      </c>
      <c r="Y912">
        <v>0</v>
      </c>
      <c r="Z912">
        <v>0</v>
      </c>
    </row>
    <row r="913" spans="1:26" hidden="1" x14ac:dyDescent="0.25">
      <c r="A913" t="s">
        <v>2291</v>
      </c>
      <c r="B913" t="s">
        <v>38</v>
      </c>
      <c r="C913" s="4">
        <v>44430</v>
      </c>
      <c r="D913" s="4">
        <v>45175</v>
      </c>
      <c r="F913" s="4">
        <v>45231</v>
      </c>
      <c r="G913" t="s">
        <v>907</v>
      </c>
      <c r="H913" t="s">
        <v>1396</v>
      </c>
      <c r="K913" t="s">
        <v>53</v>
      </c>
      <c r="L913" t="s">
        <v>2154</v>
      </c>
      <c r="M913" t="s">
        <v>54</v>
      </c>
      <c r="N913" t="s">
        <v>2155</v>
      </c>
      <c r="O913" t="s">
        <v>32</v>
      </c>
      <c r="P913" t="s">
        <v>2292</v>
      </c>
      <c r="Q913">
        <v>200</v>
      </c>
      <c r="R913">
        <v>200</v>
      </c>
      <c r="S913" t="s">
        <v>34</v>
      </c>
      <c r="T913" t="s">
        <v>35</v>
      </c>
      <c r="U913" t="s">
        <v>44</v>
      </c>
      <c r="W913">
        <v>0</v>
      </c>
      <c r="X913">
        <v>0</v>
      </c>
      <c r="Y913">
        <v>0</v>
      </c>
      <c r="Z913">
        <v>0</v>
      </c>
    </row>
    <row r="914" spans="1:26" hidden="1" x14ac:dyDescent="0.25">
      <c r="A914" t="s">
        <v>2293</v>
      </c>
      <c r="B914" t="s">
        <v>38</v>
      </c>
      <c r="C914" s="4">
        <v>44430</v>
      </c>
      <c r="D914" s="4">
        <v>45175</v>
      </c>
      <c r="F914" s="4">
        <v>45231</v>
      </c>
      <c r="G914" t="s">
        <v>907</v>
      </c>
      <c r="H914" t="s">
        <v>1450</v>
      </c>
      <c r="K914" t="s">
        <v>53</v>
      </c>
      <c r="L914" t="s">
        <v>2154</v>
      </c>
      <c r="M914" t="s">
        <v>54</v>
      </c>
      <c r="N914" t="s">
        <v>2155</v>
      </c>
      <c r="O914" t="s">
        <v>32</v>
      </c>
      <c r="P914" t="s">
        <v>2294</v>
      </c>
      <c r="Q914">
        <v>200</v>
      </c>
      <c r="R914">
        <v>200</v>
      </c>
      <c r="S914" t="s">
        <v>34</v>
      </c>
      <c r="T914" t="s">
        <v>35</v>
      </c>
      <c r="U914" t="s">
        <v>44</v>
      </c>
      <c r="W914">
        <v>0</v>
      </c>
      <c r="X914">
        <v>0</v>
      </c>
      <c r="Y914">
        <v>0</v>
      </c>
      <c r="Z914">
        <v>0</v>
      </c>
    </row>
    <row r="915" spans="1:26" hidden="1" x14ac:dyDescent="0.25">
      <c r="A915" t="s">
        <v>2295</v>
      </c>
      <c r="B915" t="s">
        <v>38</v>
      </c>
      <c r="C915" s="4">
        <v>44427</v>
      </c>
      <c r="D915" s="4">
        <v>45175</v>
      </c>
      <c r="F915" s="4">
        <v>45231</v>
      </c>
      <c r="G915" t="s">
        <v>52</v>
      </c>
      <c r="H915" t="s">
        <v>1330</v>
      </c>
      <c r="K915" t="s">
        <v>53</v>
      </c>
      <c r="L915" t="s">
        <v>2154</v>
      </c>
      <c r="M915" t="s">
        <v>54</v>
      </c>
      <c r="N915" t="s">
        <v>2155</v>
      </c>
      <c r="O915" t="s">
        <v>32</v>
      </c>
      <c r="P915" t="s">
        <v>2296</v>
      </c>
      <c r="Q915">
        <v>200</v>
      </c>
      <c r="R915">
        <v>200</v>
      </c>
      <c r="S915" t="s">
        <v>34</v>
      </c>
      <c r="T915" t="s">
        <v>35</v>
      </c>
      <c r="U915" t="s">
        <v>44</v>
      </c>
      <c r="W915">
        <v>0</v>
      </c>
      <c r="X915">
        <v>0</v>
      </c>
      <c r="Y915">
        <v>0</v>
      </c>
      <c r="Z915">
        <v>0</v>
      </c>
    </row>
    <row r="916" spans="1:26" hidden="1" x14ac:dyDescent="0.25">
      <c r="A916" t="s">
        <v>2297</v>
      </c>
      <c r="B916" t="s">
        <v>2153</v>
      </c>
      <c r="C916" s="4">
        <v>45204</v>
      </c>
      <c r="F916" s="4">
        <v>45231</v>
      </c>
      <c r="G916" t="s">
        <v>52</v>
      </c>
      <c r="H916" t="s">
        <v>2298</v>
      </c>
      <c r="K916" t="s">
        <v>53</v>
      </c>
      <c r="L916" t="s">
        <v>2154</v>
      </c>
      <c r="M916" t="s">
        <v>54</v>
      </c>
      <c r="N916" t="s">
        <v>2155</v>
      </c>
      <c r="O916" t="s">
        <v>32</v>
      </c>
      <c r="P916" t="s">
        <v>2299</v>
      </c>
      <c r="Q916">
        <v>150</v>
      </c>
      <c r="R916">
        <v>150</v>
      </c>
      <c r="S916" t="s">
        <v>34</v>
      </c>
      <c r="T916" t="s">
        <v>35</v>
      </c>
      <c r="U916" t="s">
        <v>44</v>
      </c>
      <c r="V916" s="4">
        <v>46174</v>
      </c>
      <c r="W916">
        <v>150</v>
      </c>
      <c r="X916">
        <v>150</v>
      </c>
      <c r="Y916">
        <v>150</v>
      </c>
      <c r="Z916">
        <v>150</v>
      </c>
    </row>
    <row r="917" spans="1:26" hidden="1" x14ac:dyDescent="0.25">
      <c r="A917" t="s">
        <v>2300</v>
      </c>
      <c r="B917" t="s">
        <v>38</v>
      </c>
      <c r="C917" s="4">
        <v>44430</v>
      </c>
      <c r="D917" s="4">
        <v>45175</v>
      </c>
      <c r="F917" s="4">
        <v>45231</v>
      </c>
      <c r="G917" t="s">
        <v>52</v>
      </c>
      <c r="H917" t="s">
        <v>2288</v>
      </c>
      <c r="K917" t="s">
        <v>53</v>
      </c>
      <c r="L917" t="s">
        <v>2154</v>
      </c>
      <c r="M917" t="s">
        <v>54</v>
      </c>
      <c r="N917" t="s">
        <v>2155</v>
      </c>
      <c r="O917" t="s">
        <v>32</v>
      </c>
      <c r="P917" t="s">
        <v>2301</v>
      </c>
      <c r="Q917">
        <v>150</v>
      </c>
      <c r="R917">
        <v>150</v>
      </c>
      <c r="S917" t="s">
        <v>34</v>
      </c>
      <c r="T917" t="s">
        <v>35</v>
      </c>
      <c r="U917" t="s">
        <v>44</v>
      </c>
      <c r="W917">
        <v>0</v>
      </c>
      <c r="X917">
        <v>0</v>
      </c>
      <c r="Y917">
        <v>0</v>
      </c>
      <c r="Z917">
        <v>0</v>
      </c>
    </row>
    <row r="918" spans="1:26" hidden="1" x14ac:dyDescent="0.25">
      <c r="A918" t="s">
        <v>2302</v>
      </c>
      <c r="B918" t="s">
        <v>2153</v>
      </c>
      <c r="C918" s="4">
        <v>45218</v>
      </c>
      <c r="F918" s="4">
        <v>45231</v>
      </c>
      <c r="G918" t="s">
        <v>2303</v>
      </c>
      <c r="H918" t="s">
        <v>1433</v>
      </c>
      <c r="K918" t="s">
        <v>53</v>
      </c>
      <c r="L918" t="s">
        <v>2154</v>
      </c>
      <c r="M918" t="s">
        <v>54</v>
      </c>
      <c r="N918" t="s">
        <v>2155</v>
      </c>
      <c r="O918" t="s">
        <v>32</v>
      </c>
      <c r="P918" t="s">
        <v>2304</v>
      </c>
      <c r="Q918">
        <v>100</v>
      </c>
      <c r="R918">
        <v>100</v>
      </c>
      <c r="S918" t="s">
        <v>34</v>
      </c>
      <c r="T918" t="s">
        <v>35</v>
      </c>
      <c r="U918" t="s">
        <v>44</v>
      </c>
      <c r="V918" s="4">
        <v>46087</v>
      </c>
      <c r="W918">
        <v>100</v>
      </c>
      <c r="X918">
        <v>100</v>
      </c>
      <c r="Y918">
        <v>100</v>
      </c>
      <c r="Z918">
        <v>100</v>
      </c>
    </row>
    <row r="919" spans="1:26" hidden="1" x14ac:dyDescent="0.25">
      <c r="A919" t="s">
        <v>2305</v>
      </c>
      <c r="B919" t="s">
        <v>2153</v>
      </c>
      <c r="C919" s="4">
        <v>44427</v>
      </c>
      <c r="F919" s="4">
        <v>45231</v>
      </c>
      <c r="G919" t="s">
        <v>907</v>
      </c>
      <c r="H919" t="s">
        <v>1396</v>
      </c>
      <c r="K919" t="s">
        <v>53</v>
      </c>
      <c r="L919" t="s">
        <v>2154</v>
      </c>
      <c r="M919" t="s">
        <v>54</v>
      </c>
      <c r="N919" t="s">
        <v>2155</v>
      </c>
      <c r="O919" t="s">
        <v>32</v>
      </c>
      <c r="P919" t="s">
        <v>2306</v>
      </c>
      <c r="Q919">
        <v>165</v>
      </c>
      <c r="R919">
        <v>165</v>
      </c>
      <c r="S919" t="s">
        <v>34</v>
      </c>
      <c r="T919" t="s">
        <v>35</v>
      </c>
      <c r="U919" t="s">
        <v>44</v>
      </c>
      <c r="V919" s="4">
        <v>46766</v>
      </c>
      <c r="W919">
        <v>165</v>
      </c>
      <c r="X919">
        <v>165</v>
      </c>
      <c r="Y919">
        <v>148.5</v>
      </c>
      <c r="Z919">
        <v>148.5</v>
      </c>
    </row>
    <row r="920" spans="1:26" hidden="1" x14ac:dyDescent="0.25">
      <c r="A920" t="s">
        <v>2307</v>
      </c>
      <c r="B920" t="s">
        <v>25</v>
      </c>
      <c r="C920" s="4">
        <v>44432</v>
      </c>
      <c r="F920" s="4">
        <v>45231</v>
      </c>
      <c r="G920" t="s">
        <v>52</v>
      </c>
      <c r="H920" t="s">
        <v>2308</v>
      </c>
      <c r="K920" t="s">
        <v>53</v>
      </c>
      <c r="L920" t="s">
        <v>2154</v>
      </c>
      <c r="M920" t="s">
        <v>54</v>
      </c>
      <c r="N920" t="s">
        <v>2155</v>
      </c>
      <c r="O920" t="s">
        <v>32</v>
      </c>
      <c r="P920" t="s">
        <v>2309</v>
      </c>
      <c r="Q920">
        <v>132</v>
      </c>
      <c r="R920">
        <v>132</v>
      </c>
      <c r="S920" t="s">
        <v>34</v>
      </c>
      <c r="T920" t="s">
        <v>35</v>
      </c>
      <c r="U920" t="s">
        <v>36</v>
      </c>
      <c r="V920" s="4">
        <v>46031</v>
      </c>
      <c r="W920">
        <v>132</v>
      </c>
      <c r="X920">
        <v>132</v>
      </c>
      <c r="Y920">
        <v>132</v>
      </c>
      <c r="Z920">
        <v>132</v>
      </c>
    </row>
    <row r="921" spans="1:26" hidden="1" x14ac:dyDescent="0.25">
      <c r="A921" t="s">
        <v>2310</v>
      </c>
      <c r="B921" t="s">
        <v>38</v>
      </c>
      <c r="C921" s="4">
        <v>44432</v>
      </c>
      <c r="D921" s="4">
        <v>44539</v>
      </c>
      <c r="F921" s="4">
        <v>45231</v>
      </c>
      <c r="G921" t="s">
        <v>52</v>
      </c>
      <c r="H921" t="s">
        <v>1588</v>
      </c>
      <c r="K921" t="s">
        <v>53</v>
      </c>
      <c r="L921" t="s">
        <v>2154</v>
      </c>
      <c r="M921" t="s">
        <v>54</v>
      </c>
      <c r="N921" t="s">
        <v>2155</v>
      </c>
      <c r="O921" t="s">
        <v>32</v>
      </c>
      <c r="P921" t="s">
        <v>2311</v>
      </c>
      <c r="Q921">
        <v>132</v>
      </c>
      <c r="R921">
        <v>132</v>
      </c>
      <c r="S921" t="s">
        <v>34</v>
      </c>
      <c r="T921" t="s">
        <v>35</v>
      </c>
      <c r="W921">
        <v>0</v>
      </c>
      <c r="X921">
        <v>0</v>
      </c>
      <c r="Y921">
        <v>0</v>
      </c>
      <c r="Z921">
        <v>0</v>
      </c>
    </row>
    <row r="922" spans="1:26" hidden="1" x14ac:dyDescent="0.25">
      <c r="A922" t="s">
        <v>2312</v>
      </c>
      <c r="B922" t="s">
        <v>38</v>
      </c>
      <c r="C922" s="4">
        <v>44430</v>
      </c>
      <c r="D922" s="4">
        <v>45175</v>
      </c>
      <c r="F922" s="4">
        <v>45231</v>
      </c>
      <c r="G922" t="s">
        <v>907</v>
      </c>
      <c r="H922" t="s">
        <v>2313</v>
      </c>
      <c r="K922" t="s">
        <v>53</v>
      </c>
      <c r="L922" t="s">
        <v>2154</v>
      </c>
      <c r="M922" t="s">
        <v>54</v>
      </c>
      <c r="N922" t="s">
        <v>2155</v>
      </c>
      <c r="O922" t="s">
        <v>32</v>
      </c>
      <c r="P922" t="s">
        <v>2314</v>
      </c>
      <c r="Q922">
        <v>125</v>
      </c>
      <c r="R922">
        <v>125</v>
      </c>
      <c r="S922" t="s">
        <v>34</v>
      </c>
      <c r="T922" t="s">
        <v>35</v>
      </c>
      <c r="U922" t="s">
        <v>44</v>
      </c>
      <c r="W922">
        <v>0</v>
      </c>
      <c r="X922">
        <v>0</v>
      </c>
      <c r="Y922">
        <v>0</v>
      </c>
      <c r="Z922">
        <v>0</v>
      </c>
    </row>
    <row r="923" spans="1:26" hidden="1" x14ac:dyDescent="0.25">
      <c r="A923" t="s">
        <v>2315</v>
      </c>
      <c r="B923" t="s">
        <v>38</v>
      </c>
      <c r="C923" s="4">
        <v>44430</v>
      </c>
      <c r="D923" s="4">
        <v>45175</v>
      </c>
      <c r="F923" s="4">
        <v>45231</v>
      </c>
      <c r="G923" t="s">
        <v>52</v>
      </c>
      <c r="H923" t="s">
        <v>2308</v>
      </c>
      <c r="K923" t="s">
        <v>53</v>
      </c>
      <c r="L923" t="s">
        <v>2154</v>
      </c>
      <c r="M923" t="s">
        <v>54</v>
      </c>
      <c r="N923" t="s">
        <v>2155</v>
      </c>
      <c r="O923" t="s">
        <v>32</v>
      </c>
      <c r="P923" t="s">
        <v>2316</v>
      </c>
      <c r="Q923">
        <v>125</v>
      </c>
      <c r="R923">
        <v>125</v>
      </c>
      <c r="S923" t="s">
        <v>34</v>
      </c>
      <c r="T923" t="s">
        <v>35</v>
      </c>
      <c r="U923" t="s">
        <v>44</v>
      </c>
      <c r="W923">
        <v>0</v>
      </c>
      <c r="X923">
        <v>0</v>
      </c>
      <c r="Y923">
        <v>0</v>
      </c>
      <c r="Z923">
        <v>0</v>
      </c>
    </row>
    <row r="924" spans="1:26" hidden="1" x14ac:dyDescent="0.25">
      <c r="A924" t="s">
        <v>2317</v>
      </c>
      <c r="B924" t="s">
        <v>38</v>
      </c>
      <c r="C924" s="4">
        <v>44427</v>
      </c>
      <c r="D924" s="4">
        <v>45175</v>
      </c>
      <c r="F924" s="4">
        <v>45231</v>
      </c>
      <c r="G924" t="s">
        <v>52</v>
      </c>
      <c r="H924" t="s">
        <v>2288</v>
      </c>
      <c r="K924" t="s">
        <v>53</v>
      </c>
      <c r="L924" t="s">
        <v>2154</v>
      </c>
      <c r="M924" t="s">
        <v>54</v>
      </c>
      <c r="N924" t="s">
        <v>2155</v>
      </c>
      <c r="O924" t="s">
        <v>32</v>
      </c>
      <c r="P924" t="s">
        <v>2318</v>
      </c>
      <c r="Q924">
        <v>150</v>
      </c>
      <c r="R924">
        <v>150</v>
      </c>
      <c r="S924" t="s">
        <v>34</v>
      </c>
      <c r="T924" t="s">
        <v>35</v>
      </c>
      <c r="U924" t="s">
        <v>44</v>
      </c>
      <c r="W924">
        <v>0</v>
      </c>
      <c r="X924">
        <v>0</v>
      </c>
      <c r="Y924">
        <v>0</v>
      </c>
      <c r="Z924">
        <v>0</v>
      </c>
    </row>
    <row r="925" spans="1:26" hidden="1" x14ac:dyDescent="0.25">
      <c r="A925" t="s">
        <v>2319</v>
      </c>
      <c r="B925" t="s">
        <v>38</v>
      </c>
      <c r="C925" s="4">
        <v>44427</v>
      </c>
      <c r="D925" s="4">
        <v>44552</v>
      </c>
      <c r="F925" s="4">
        <v>45231</v>
      </c>
      <c r="G925" t="s">
        <v>907</v>
      </c>
      <c r="H925" t="s">
        <v>1357</v>
      </c>
      <c r="K925" t="s">
        <v>53</v>
      </c>
      <c r="L925" t="s">
        <v>2154</v>
      </c>
      <c r="M925" t="s">
        <v>54</v>
      </c>
      <c r="N925" t="s">
        <v>2155</v>
      </c>
      <c r="O925" t="s">
        <v>32</v>
      </c>
      <c r="P925" t="s">
        <v>2320</v>
      </c>
      <c r="Q925">
        <v>200</v>
      </c>
      <c r="R925">
        <v>200</v>
      </c>
      <c r="S925" t="s">
        <v>34</v>
      </c>
      <c r="T925" t="s">
        <v>35</v>
      </c>
      <c r="U925" t="s">
        <v>44</v>
      </c>
      <c r="W925">
        <v>0</v>
      </c>
      <c r="X925">
        <v>0</v>
      </c>
      <c r="Y925">
        <v>0</v>
      </c>
      <c r="Z925">
        <v>0</v>
      </c>
    </row>
    <row r="926" spans="1:26" hidden="1" x14ac:dyDescent="0.25">
      <c r="A926" t="s">
        <v>2321</v>
      </c>
      <c r="B926" t="s">
        <v>38</v>
      </c>
      <c r="C926" s="4">
        <v>44430</v>
      </c>
      <c r="D926" s="4">
        <v>45175</v>
      </c>
      <c r="F926" s="4">
        <v>45231</v>
      </c>
      <c r="G926" t="s">
        <v>52</v>
      </c>
      <c r="H926" t="s">
        <v>2288</v>
      </c>
      <c r="K926" t="s">
        <v>53</v>
      </c>
      <c r="L926" t="s">
        <v>2154</v>
      </c>
      <c r="M926" t="s">
        <v>54</v>
      </c>
      <c r="N926" t="s">
        <v>2155</v>
      </c>
      <c r="O926" t="s">
        <v>32</v>
      </c>
      <c r="P926" t="s">
        <v>2322</v>
      </c>
      <c r="Q926">
        <v>150</v>
      </c>
      <c r="R926">
        <v>150</v>
      </c>
      <c r="S926" t="s">
        <v>34</v>
      </c>
      <c r="T926" t="s">
        <v>35</v>
      </c>
      <c r="U926" t="s">
        <v>44</v>
      </c>
      <c r="W926">
        <v>0</v>
      </c>
      <c r="X926">
        <v>0</v>
      </c>
      <c r="Y926">
        <v>0</v>
      </c>
      <c r="Z926">
        <v>0</v>
      </c>
    </row>
    <row r="927" spans="1:26" hidden="1" x14ac:dyDescent="0.25">
      <c r="A927" t="s">
        <v>2323</v>
      </c>
      <c r="B927" t="s">
        <v>38</v>
      </c>
      <c r="C927" s="4">
        <v>44425</v>
      </c>
      <c r="D927" s="4">
        <v>45175</v>
      </c>
      <c r="F927" s="4">
        <v>45231</v>
      </c>
      <c r="G927" t="s">
        <v>52</v>
      </c>
      <c r="H927" t="s">
        <v>1396</v>
      </c>
      <c r="K927" t="s">
        <v>53</v>
      </c>
      <c r="L927" t="s">
        <v>2154</v>
      </c>
      <c r="M927" t="s">
        <v>54</v>
      </c>
      <c r="N927" t="s">
        <v>2155</v>
      </c>
      <c r="O927" t="s">
        <v>32</v>
      </c>
      <c r="P927" t="s">
        <v>2324</v>
      </c>
      <c r="Q927">
        <v>100</v>
      </c>
      <c r="R927">
        <v>100</v>
      </c>
      <c r="S927" t="s">
        <v>34</v>
      </c>
      <c r="T927" t="s">
        <v>35</v>
      </c>
      <c r="U927" t="s">
        <v>44</v>
      </c>
      <c r="W927">
        <v>0</v>
      </c>
      <c r="X927">
        <v>0</v>
      </c>
      <c r="Y927">
        <v>0</v>
      </c>
      <c r="Z927">
        <v>0</v>
      </c>
    </row>
    <row r="928" spans="1:26" hidden="1" x14ac:dyDescent="0.25">
      <c r="A928" t="s">
        <v>2325</v>
      </c>
      <c r="B928" t="s">
        <v>2153</v>
      </c>
      <c r="C928" s="4">
        <v>44643</v>
      </c>
      <c r="F928" s="4">
        <v>45931</v>
      </c>
      <c r="G928" t="s">
        <v>117</v>
      </c>
      <c r="H928" t="s">
        <v>1711</v>
      </c>
      <c r="K928" t="s">
        <v>83</v>
      </c>
      <c r="L928" t="s">
        <v>2154</v>
      </c>
      <c r="M928" t="s">
        <v>84</v>
      </c>
      <c r="N928" t="s">
        <v>2160</v>
      </c>
      <c r="O928" t="s">
        <v>32</v>
      </c>
      <c r="P928" t="s">
        <v>2326</v>
      </c>
      <c r="Q928">
        <v>200</v>
      </c>
      <c r="R928">
        <v>200</v>
      </c>
      <c r="S928" t="s">
        <v>56</v>
      </c>
      <c r="T928" t="s">
        <v>57</v>
      </c>
      <c r="U928" t="s">
        <v>44</v>
      </c>
      <c r="W928">
        <v>200</v>
      </c>
      <c r="X928">
        <v>200</v>
      </c>
      <c r="Y928">
        <v>200</v>
      </c>
      <c r="Z928">
        <v>60</v>
      </c>
    </row>
    <row r="929" spans="1:26" hidden="1" x14ac:dyDescent="0.25">
      <c r="A929" t="s">
        <v>2327</v>
      </c>
      <c r="B929" t="s">
        <v>2153</v>
      </c>
      <c r="C929" s="4">
        <v>44533</v>
      </c>
      <c r="F929" s="4">
        <v>46600</v>
      </c>
      <c r="G929" t="s">
        <v>2328</v>
      </c>
      <c r="H929" t="s">
        <v>2329</v>
      </c>
      <c r="K929" t="s">
        <v>209</v>
      </c>
      <c r="L929" t="s">
        <v>2154</v>
      </c>
      <c r="M929" t="s">
        <v>42</v>
      </c>
      <c r="N929" t="s">
        <v>2160</v>
      </c>
      <c r="O929" t="s">
        <v>32</v>
      </c>
      <c r="P929" t="s">
        <v>2330</v>
      </c>
      <c r="Q929">
        <v>23.4</v>
      </c>
      <c r="R929">
        <v>23.4</v>
      </c>
      <c r="S929" t="s">
        <v>34</v>
      </c>
      <c r="T929" t="s">
        <v>35</v>
      </c>
      <c r="U929" t="s">
        <v>44</v>
      </c>
      <c r="W929">
        <v>24</v>
      </c>
      <c r="X929">
        <v>24</v>
      </c>
      <c r="Y929">
        <v>24</v>
      </c>
      <c r="Z929">
        <v>24</v>
      </c>
    </row>
    <row r="930" spans="1:26" hidden="1" x14ac:dyDescent="0.25">
      <c r="A930" t="s">
        <v>2331</v>
      </c>
      <c r="B930" t="s">
        <v>38</v>
      </c>
      <c r="C930" s="4">
        <v>44432</v>
      </c>
      <c r="D930" s="4">
        <v>44539</v>
      </c>
      <c r="F930" s="4">
        <v>45931</v>
      </c>
      <c r="G930" t="s">
        <v>1278</v>
      </c>
      <c r="H930" t="s">
        <v>1505</v>
      </c>
      <c r="K930" t="s">
        <v>28</v>
      </c>
      <c r="L930" t="s">
        <v>2154</v>
      </c>
      <c r="M930" t="s">
        <v>30</v>
      </c>
      <c r="N930" t="s">
        <v>2155</v>
      </c>
      <c r="O930" t="s">
        <v>32</v>
      </c>
      <c r="P930" t="s">
        <v>2016</v>
      </c>
      <c r="Q930">
        <v>100</v>
      </c>
      <c r="R930">
        <v>100</v>
      </c>
      <c r="S930" t="s">
        <v>159</v>
      </c>
      <c r="T930" t="s">
        <v>159</v>
      </c>
      <c r="W930">
        <v>0</v>
      </c>
      <c r="X930">
        <v>0</v>
      </c>
      <c r="Y930">
        <v>0</v>
      </c>
      <c r="Z930">
        <v>0</v>
      </c>
    </row>
    <row r="931" spans="1:26" hidden="1" x14ac:dyDescent="0.25">
      <c r="A931" t="s">
        <v>2332</v>
      </c>
      <c r="B931" t="s">
        <v>2153</v>
      </c>
      <c r="C931" s="4">
        <v>44432</v>
      </c>
      <c r="F931" s="4">
        <v>45931</v>
      </c>
      <c r="G931" t="s">
        <v>52</v>
      </c>
      <c r="H931" t="s">
        <v>2333</v>
      </c>
      <c r="K931" t="s">
        <v>53</v>
      </c>
      <c r="L931" t="s">
        <v>2154</v>
      </c>
      <c r="M931" t="s">
        <v>54</v>
      </c>
      <c r="N931" t="s">
        <v>2155</v>
      </c>
      <c r="O931" t="s">
        <v>32</v>
      </c>
      <c r="P931" t="s">
        <v>1345</v>
      </c>
      <c r="Q931">
        <v>110</v>
      </c>
      <c r="R931">
        <v>110</v>
      </c>
      <c r="S931" t="s">
        <v>34</v>
      </c>
      <c r="T931" t="s">
        <v>35</v>
      </c>
      <c r="U931" t="s">
        <v>44</v>
      </c>
      <c r="V931" s="4">
        <v>47021</v>
      </c>
      <c r="W931">
        <v>110</v>
      </c>
      <c r="X931">
        <v>110</v>
      </c>
      <c r="Y931">
        <v>110</v>
      </c>
      <c r="Z931">
        <v>110</v>
      </c>
    </row>
    <row r="932" spans="1:26" hidden="1" x14ac:dyDescent="0.25">
      <c r="A932" t="s">
        <v>2334</v>
      </c>
      <c r="B932" t="s">
        <v>38</v>
      </c>
      <c r="C932" s="4">
        <v>44432</v>
      </c>
      <c r="D932" s="4">
        <v>45082</v>
      </c>
      <c r="F932" s="4">
        <v>45566</v>
      </c>
      <c r="G932" t="s">
        <v>1278</v>
      </c>
      <c r="H932" t="s">
        <v>1645</v>
      </c>
      <c r="K932" t="s">
        <v>28</v>
      </c>
      <c r="L932" t="s">
        <v>2154</v>
      </c>
      <c r="M932" t="s">
        <v>30</v>
      </c>
      <c r="N932" t="s">
        <v>2155</v>
      </c>
      <c r="O932" t="s">
        <v>32</v>
      </c>
      <c r="P932" t="s">
        <v>2335</v>
      </c>
      <c r="Q932">
        <v>100</v>
      </c>
      <c r="R932">
        <v>100</v>
      </c>
      <c r="S932" t="s">
        <v>159</v>
      </c>
      <c r="T932" t="s">
        <v>159</v>
      </c>
      <c r="U932" t="s">
        <v>44</v>
      </c>
      <c r="W932">
        <v>0</v>
      </c>
      <c r="X932">
        <v>0</v>
      </c>
      <c r="Y932">
        <v>0</v>
      </c>
      <c r="Z932">
        <v>0</v>
      </c>
    </row>
    <row r="933" spans="1:26" hidden="1" x14ac:dyDescent="0.25">
      <c r="A933" t="s">
        <v>2336</v>
      </c>
      <c r="B933" t="s">
        <v>2153</v>
      </c>
      <c r="C933" s="4">
        <v>44530</v>
      </c>
      <c r="F933" s="4">
        <v>45931</v>
      </c>
      <c r="G933" t="s">
        <v>1278</v>
      </c>
      <c r="H933" t="s">
        <v>2015</v>
      </c>
      <c r="K933" t="s">
        <v>28</v>
      </c>
      <c r="L933" t="s">
        <v>2154</v>
      </c>
      <c r="M933" t="s">
        <v>30</v>
      </c>
      <c r="N933" t="s">
        <v>2155</v>
      </c>
      <c r="O933" t="s">
        <v>32</v>
      </c>
      <c r="P933" t="s">
        <v>2016</v>
      </c>
      <c r="Q933">
        <v>40</v>
      </c>
      <c r="R933">
        <v>40</v>
      </c>
      <c r="S933" t="s">
        <v>56</v>
      </c>
      <c r="T933" t="s">
        <v>57</v>
      </c>
      <c r="U933" t="s">
        <v>44</v>
      </c>
      <c r="V933" s="4">
        <v>46569</v>
      </c>
      <c r="W933">
        <v>40</v>
      </c>
      <c r="X933">
        <v>12</v>
      </c>
      <c r="Y933">
        <v>40</v>
      </c>
      <c r="Z933">
        <v>12</v>
      </c>
    </row>
    <row r="934" spans="1:26" hidden="1" x14ac:dyDescent="0.25">
      <c r="A934" t="s">
        <v>2337</v>
      </c>
      <c r="B934" t="s">
        <v>2338</v>
      </c>
      <c r="C934" s="4">
        <v>44432</v>
      </c>
      <c r="F934" s="4">
        <v>45566</v>
      </c>
      <c r="H934" t="s">
        <v>2339</v>
      </c>
      <c r="K934" t="s">
        <v>53</v>
      </c>
      <c r="L934" t="s">
        <v>2154</v>
      </c>
      <c r="M934" t="s">
        <v>54</v>
      </c>
      <c r="N934" t="s">
        <v>2155</v>
      </c>
      <c r="O934" t="s">
        <v>32</v>
      </c>
      <c r="P934" t="s">
        <v>1345</v>
      </c>
      <c r="Q934">
        <v>100</v>
      </c>
      <c r="R934">
        <v>100</v>
      </c>
      <c r="S934" t="s">
        <v>34</v>
      </c>
      <c r="T934" t="s">
        <v>35</v>
      </c>
      <c r="U934" t="s">
        <v>44</v>
      </c>
      <c r="W934">
        <v>100</v>
      </c>
      <c r="X934">
        <v>100</v>
      </c>
      <c r="Y934">
        <v>100</v>
      </c>
      <c r="Z934">
        <v>100</v>
      </c>
    </row>
    <row r="935" spans="1:26" hidden="1" x14ac:dyDescent="0.25">
      <c r="A935" t="s">
        <v>2340</v>
      </c>
      <c r="B935" t="s">
        <v>38</v>
      </c>
      <c r="C935" s="4">
        <v>44432</v>
      </c>
      <c r="D935" s="4">
        <v>45224</v>
      </c>
      <c r="F935" s="4">
        <v>45931</v>
      </c>
      <c r="G935" t="s">
        <v>144</v>
      </c>
      <c r="H935" t="s">
        <v>1418</v>
      </c>
      <c r="K935" t="s">
        <v>146</v>
      </c>
      <c r="L935" t="s">
        <v>2154</v>
      </c>
      <c r="M935" t="s">
        <v>68</v>
      </c>
      <c r="N935" t="s">
        <v>2155</v>
      </c>
      <c r="O935" t="s">
        <v>32</v>
      </c>
      <c r="P935" t="s">
        <v>2341</v>
      </c>
      <c r="Q935">
        <v>100</v>
      </c>
      <c r="R935">
        <v>100</v>
      </c>
      <c r="S935" t="s">
        <v>34</v>
      </c>
      <c r="T935" t="s">
        <v>35</v>
      </c>
      <c r="U935" t="s">
        <v>44</v>
      </c>
      <c r="W935">
        <v>0</v>
      </c>
      <c r="X935">
        <v>0</v>
      </c>
      <c r="Y935">
        <v>0</v>
      </c>
      <c r="Z935">
        <v>0</v>
      </c>
    </row>
    <row r="936" spans="1:26" hidden="1" x14ac:dyDescent="0.25">
      <c r="A936" t="s">
        <v>2342</v>
      </c>
      <c r="B936" t="s">
        <v>2153</v>
      </c>
      <c r="C936" s="4">
        <v>44432</v>
      </c>
      <c r="F936" s="4">
        <v>45931</v>
      </c>
      <c r="G936" t="s">
        <v>1278</v>
      </c>
      <c r="H936" t="s">
        <v>2007</v>
      </c>
      <c r="K936" t="s">
        <v>28</v>
      </c>
      <c r="L936" t="s">
        <v>2154</v>
      </c>
      <c r="M936" t="s">
        <v>30</v>
      </c>
      <c r="N936" t="s">
        <v>2155</v>
      </c>
      <c r="O936" t="s">
        <v>32</v>
      </c>
      <c r="P936" t="s">
        <v>2343</v>
      </c>
      <c r="Q936">
        <v>150</v>
      </c>
      <c r="R936">
        <v>150</v>
      </c>
      <c r="S936" t="s">
        <v>159</v>
      </c>
      <c r="T936" t="s">
        <v>159</v>
      </c>
      <c r="U936" t="s">
        <v>44</v>
      </c>
      <c r="V936" s="4">
        <v>47027</v>
      </c>
      <c r="W936">
        <v>150</v>
      </c>
      <c r="X936">
        <v>150</v>
      </c>
      <c r="Y936">
        <v>150</v>
      </c>
      <c r="Z936">
        <v>150</v>
      </c>
    </row>
    <row r="937" spans="1:26" hidden="1" x14ac:dyDescent="0.25">
      <c r="A937" t="s">
        <v>2344</v>
      </c>
      <c r="B937" t="s">
        <v>2153</v>
      </c>
      <c r="C937" s="4">
        <v>44529</v>
      </c>
      <c r="F937" s="4">
        <v>45931</v>
      </c>
      <c r="G937" t="s">
        <v>1278</v>
      </c>
      <c r="H937" t="s">
        <v>2010</v>
      </c>
      <c r="K937" t="s">
        <v>28</v>
      </c>
      <c r="L937" t="s">
        <v>2154</v>
      </c>
      <c r="M937" t="s">
        <v>30</v>
      </c>
      <c r="N937" t="s">
        <v>2155</v>
      </c>
      <c r="O937" t="s">
        <v>32</v>
      </c>
      <c r="P937" t="s">
        <v>2345</v>
      </c>
      <c r="Q937">
        <v>50</v>
      </c>
      <c r="R937">
        <v>50</v>
      </c>
      <c r="S937" t="s">
        <v>34</v>
      </c>
      <c r="T937" t="s">
        <v>35</v>
      </c>
      <c r="U937" t="s">
        <v>44</v>
      </c>
      <c r="W937">
        <v>50</v>
      </c>
      <c r="X937">
        <v>50</v>
      </c>
      <c r="Y937">
        <v>50</v>
      </c>
      <c r="Z937">
        <v>50</v>
      </c>
    </row>
    <row r="938" spans="1:26" hidden="1" x14ac:dyDescent="0.25">
      <c r="A938" t="s">
        <v>2346</v>
      </c>
      <c r="B938" t="s">
        <v>38</v>
      </c>
      <c r="C938" s="4">
        <v>44529</v>
      </c>
      <c r="D938" s="4">
        <v>45082</v>
      </c>
      <c r="F938" s="4">
        <v>46296</v>
      </c>
      <c r="G938" t="s">
        <v>1278</v>
      </c>
      <c r="H938" t="s">
        <v>1493</v>
      </c>
      <c r="K938" t="s">
        <v>28</v>
      </c>
      <c r="L938" t="s">
        <v>2154</v>
      </c>
      <c r="M938" t="s">
        <v>30</v>
      </c>
      <c r="N938" t="s">
        <v>2155</v>
      </c>
      <c r="O938" t="s">
        <v>32</v>
      </c>
      <c r="P938" t="s">
        <v>2347</v>
      </c>
      <c r="Q938">
        <v>75</v>
      </c>
      <c r="R938">
        <v>75</v>
      </c>
      <c r="S938" t="s">
        <v>159</v>
      </c>
      <c r="T938" t="s">
        <v>159</v>
      </c>
      <c r="U938" t="s">
        <v>44</v>
      </c>
      <c r="W938">
        <v>0</v>
      </c>
      <c r="X938">
        <v>0</v>
      </c>
      <c r="Y938">
        <v>0</v>
      </c>
      <c r="Z938">
        <v>0</v>
      </c>
    </row>
    <row r="939" spans="1:26" hidden="1" x14ac:dyDescent="0.25">
      <c r="A939" t="s">
        <v>2348</v>
      </c>
      <c r="B939" t="s">
        <v>38</v>
      </c>
      <c r="C939" s="4">
        <v>44529</v>
      </c>
      <c r="D939" s="4">
        <v>45082</v>
      </c>
      <c r="F939" s="4">
        <v>46296</v>
      </c>
      <c r="G939" t="s">
        <v>1278</v>
      </c>
      <c r="H939" t="s">
        <v>1493</v>
      </c>
      <c r="K939" t="s">
        <v>28</v>
      </c>
      <c r="L939" t="s">
        <v>2154</v>
      </c>
      <c r="M939" t="s">
        <v>30</v>
      </c>
      <c r="N939" t="s">
        <v>2155</v>
      </c>
      <c r="O939" t="s">
        <v>32</v>
      </c>
      <c r="P939" t="s">
        <v>2347</v>
      </c>
      <c r="Q939">
        <v>75</v>
      </c>
      <c r="R939">
        <v>75</v>
      </c>
      <c r="S939" t="s">
        <v>159</v>
      </c>
      <c r="T939" t="s">
        <v>159</v>
      </c>
      <c r="U939" t="s">
        <v>44</v>
      </c>
      <c r="W939">
        <v>0</v>
      </c>
      <c r="X939">
        <v>0</v>
      </c>
      <c r="Y939">
        <v>0</v>
      </c>
      <c r="Z939">
        <v>0</v>
      </c>
    </row>
    <row r="940" spans="1:26" hidden="1" x14ac:dyDescent="0.25">
      <c r="A940" t="s">
        <v>2349</v>
      </c>
      <c r="B940" t="s">
        <v>38</v>
      </c>
      <c r="C940" s="4">
        <v>44529</v>
      </c>
      <c r="D940" s="4">
        <v>45566</v>
      </c>
      <c r="F940" s="4">
        <v>46296</v>
      </c>
      <c r="G940" t="s">
        <v>1278</v>
      </c>
      <c r="H940" t="s">
        <v>1493</v>
      </c>
      <c r="K940" t="s">
        <v>28</v>
      </c>
      <c r="L940" t="s">
        <v>2154</v>
      </c>
      <c r="M940" t="s">
        <v>30</v>
      </c>
      <c r="N940" t="s">
        <v>2155</v>
      </c>
      <c r="O940" t="s">
        <v>32</v>
      </c>
      <c r="P940" t="s">
        <v>2347</v>
      </c>
      <c r="Q940">
        <v>150</v>
      </c>
      <c r="R940">
        <v>150</v>
      </c>
      <c r="S940" t="s">
        <v>34</v>
      </c>
      <c r="T940" t="s">
        <v>35</v>
      </c>
      <c r="U940" t="s">
        <v>44</v>
      </c>
      <c r="W940">
        <v>150</v>
      </c>
      <c r="X940">
        <v>150</v>
      </c>
      <c r="Y940">
        <v>0</v>
      </c>
      <c r="Z940">
        <v>0</v>
      </c>
    </row>
    <row r="941" spans="1:26" hidden="1" x14ac:dyDescent="0.25">
      <c r="A941" t="s">
        <v>2350</v>
      </c>
      <c r="B941" t="s">
        <v>2153</v>
      </c>
      <c r="C941" s="4">
        <v>45217</v>
      </c>
      <c r="F941" s="4">
        <v>45231</v>
      </c>
      <c r="G941" t="s">
        <v>52</v>
      </c>
      <c r="H941" t="s">
        <v>2351</v>
      </c>
      <c r="K941" t="s">
        <v>53</v>
      </c>
      <c r="L941" t="s">
        <v>2154</v>
      </c>
      <c r="M941" t="s">
        <v>54</v>
      </c>
      <c r="N941" t="s">
        <v>2155</v>
      </c>
      <c r="O941" t="s">
        <v>32</v>
      </c>
      <c r="P941" t="s">
        <v>2352</v>
      </c>
      <c r="Q941">
        <v>125</v>
      </c>
      <c r="R941">
        <v>125</v>
      </c>
      <c r="S941" t="s">
        <v>34</v>
      </c>
      <c r="T941" t="s">
        <v>35</v>
      </c>
      <c r="U941" t="s">
        <v>44</v>
      </c>
      <c r="V941" s="4">
        <v>46732</v>
      </c>
      <c r="W941">
        <v>125</v>
      </c>
      <c r="X941">
        <v>125</v>
      </c>
      <c r="Y941">
        <v>125</v>
      </c>
      <c r="Z941">
        <v>125</v>
      </c>
    </row>
    <row r="942" spans="1:26" hidden="1" x14ac:dyDescent="0.25">
      <c r="A942" t="s">
        <v>2353</v>
      </c>
      <c r="B942" t="s">
        <v>38</v>
      </c>
      <c r="C942" s="4">
        <v>44431</v>
      </c>
      <c r="D942" s="4">
        <v>45175</v>
      </c>
      <c r="F942" s="4">
        <v>45231</v>
      </c>
      <c r="G942" t="s">
        <v>907</v>
      </c>
      <c r="H942" t="s">
        <v>1421</v>
      </c>
      <c r="K942" t="s">
        <v>53</v>
      </c>
      <c r="L942" t="s">
        <v>2154</v>
      </c>
      <c r="M942" t="s">
        <v>54</v>
      </c>
      <c r="N942" t="s">
        <v>2155</v>
      </c>
      <c r="O942" t="s">
        <v>32</v>
      </c>
      <c r="P942" t="s">
        <v>2354</v>
      </c>
      <c r="Q942">
        <v>200</v>
      </c>
      <c r="R942">
        <v>200</v>
      </c>
      <c r="S942" t="s">
        <v>34</v>
      </c>
      <c r="T942" t="s">
        <v>35</v>
      </c>
      <c r="U942" t="s">
        <v>44</v>
      </c>
      <c r="W942">
        <v>0</v>
      </c>
      <c r="X942">
        <v>0</v>
      </c>
      <c r="Y942">
        <v>0</v>
      </c>
      <c r="Z942">
        <v>0</v>
      </c>
    </row>
    <row r="943" spans="1:26" hidden="1" x14ac:dyDescent="0.25">
      <c r="A943" t="s">
        <v>2355</v>
      </c>
      <c r="B943" t="s">
        <v>38</v>
      </c>
      <c r="C943" s="4">
        <v>44433</v>
      </c>
      <c r="D943" s="4">
        <v>44491</v>
      </c>
      <c r="F943" s="4">
        <v>46296</v>
      </c>
      <c r="G943" t="s">
        <v>177</v>
      </c>
      <c r="H943" t="s">
        <v>2356</v>
      </c>
      <c r="K943" t="s">
        <v>41</v>
      </c>
      <c r="L943" t="s">
        <v>2154</v>
      </c>
      <c r="M943" t="s">
        <v>42</v>
      </c>
      <c r="N943" t="s">
        <v>2160</v>
      </c>
      <c r="O943" t="s">
        <v>32</v>
      </c>
      <c r="P943" t="s">
        <v>2357</v>
      </c>
      <c r="Q943">
        <v>60</v>
      </c>
      <c r="R943">
        <v>60</v>
      </c>
      <c r="S943" t="s">
        <v>34</v>
      </c>
      <c r="T943" t="s">
        <v>35</v>
      </c>
      <c r="W943">
        <v>0</v>
      </c>
      <c r="X943">
        <v>0</v>
      </c>
      <c r="Y943">
        <v>0</v>
      </c>
      <c r="Z943">
        <v>0</v>
      </c>
    </row>
    <row r="944" spans="1:26" hidden="1" x14ac:dyDescent="0.25">
      <c r="A944" t="s">
        <v>2358</v>
      </c>
      <c r="B944" t="s">
        <v>38</v>
      </c>
      <c r="C944" s="4">
        <v>44431</v>
      </c>
      <c r="D944" s="4">
        <v>45175</v>
      </c>
      <c r="F944" s="4">
        <v>45231</v>
      </c>
      <c r="G944" t="s">
        <v>907</v>
      </c>
      <c r="H944" t="s">
        <v>1421</v>
      </c>
      <c r="K944" t="s">
        <v>53</v>
      </c>
      <c r="L944" t="s">
        <v>2154</v>
      </c>
      <c r="M944" t="s">
        <v>54</v>
      </c>
      <c r="N944" t="s">
        <v>2155</v>
      </c>
      <c r="O944" t="s">
        <v>32</v>
      </c>
      <c r="P944" t="s">
        <v>2359</v>
      </c>
      <c r="Q944">
        <v>100</v>
      </c>
      <c r="R944">
        <v>100</v>
      </c>
      <c r="S944" t="s">
        <v>34</v>
      </c>
      <c r="T944" t="s">
        <v>35</v>
      </c>
      <c r="U944" t="s">
        <v>44</v>
      </c>
      <c r="W944">
        <v>0</v>
      </c>
      <c r="X944">
        <v>0</v>
      </c>
      <c r="Y944">
        <v>0</v>
      </c>
      <c r="Z944">
        <v>0</v>
      </c>
    </row>
    <row r="945" spans="1:26" hidden="1" x14ac:dyDescent="0.25">
      <c r="A945" t="s">
        <v>2360</v>
      </c>
      <c r="B945" t="s">
        <v>2153</v>
      </c>
      <c r="C945" s="4">
        <v>44431</v>
      </c>
      <c r="F945" s="4">
        <v>45566</v>
      </c>
      <c r="G945" t="s">
        <v>1278</v>
      </c>
      <c r="H945" t="s">
        <v>1645</v>
      </c>
      <c r="K945" t="s">
        <v>28</v>
      </c>
      <c r="L945" t="s">
        <v>2154</v>
      </c>
      <c r="M945" t="s">
        <v>30</v>
      </c>
      <c r="N945" t="s">
        <v>2155</v>
      </c>
      <c r="O945" t="s">
        <v>32</v>
      </c>
      <c r="P945" t="s">
        <v>2361</v>
      </c>
      <c r="Q945">
        <v>200</v>
      </c>
      <c r="R945">
        <v>200</v>
      </c>
      <c r="S945" t="s">
        <v>34</v>
      </c>
      <c r="T945" t="s">
        <v>35</v>
      </c>
      <c r="U945" t="s">
        <v>44</v>
      </c>
      <c r="W945">
        <v>200</v>
      </c>
      <c r="X945">
        <v>200</v>
      </c>
      <c r="Y945">
        <v>200</v>
      </c>
      <c r="Z945">
        <v>200</v>
      </c>
    </row>
    <row r="946" spans="1:26" hidden="1" x14ac:dyDescent="0.25">
      <c r="A946" t="s">
        <v>2362</v>
      </c>
      <c r="B946" t="s">
        <v>2153</v>
      </c>
      <c r="C946" s="4">
        <v>44431</v>
      </c>
      <c r="F946" s="4">
        <v>45231</v>
      </c>
      <c r="G946" t="s">
        <v>907</v>
      </c>
      <c r="H946" t="s">
        <v>1450</v>
      </c>
      <c r="K946" t="s">
        <v>53</v>
      </c>
      <c r="L946" t="s">
        <v>2154</v>
      </c>
      <c r="M946" t="s">
        <v>54</v>
      </c>
      <c r="N946" t="s">
        <v>2155</v>
      </c>
      <c r="O946" t="s">
        <v>32</v>
      </c>
      <c r="P946" t="s">
        <v>1451</v>
      </c>
      <c r="Q946">
        <v>185</v>
      </c>
      <c r="R946">
        <v>185</v>
      </c>
      <c r="S946" t="s">
        <v>34</v>
      </c>
      <c r="T946" t="s">
        <v>35</v>
      </c>
      <c r="U946" t="s">
        <v>44</v>
      </c>
      <c r="V946" s="4">
        <v>46699</v>
      </c>
      <c r="W946">
        <v>185</v>
      </c>
      <c r="X946">
        <v>185</v>
      </c>
      <c r="Y946">
        <v>185</v>
      </c>
      <c r="Z946">
        <v>185</v>
      </c>
    </row>
    <row r="947" spans="1:26" hidden="1" x14ac:dyDescent="0.25">
      <c r="A947" t="s">
        <v>2363</v>
      </c>
      <c r="B947" t="s">
        <v>38</v>
      </c>
      <c r="C947" s="4">
        <v>44529</v>
      </c>
      <c r="D947" s="4">
        <v>45566</v>
      </c>
      <c r="F947" s="4">
        <v>46296</v>
      </c>
      <c r="G947" t="s">
        <v>1278</v>
      </c>
      <c r="H947" t="s">
        <v>1493</v>
      </c>
      <c r="K947" t="s">
        <v>28</v>
      </c>
      <c r="L947" t="s">
        <v>2154</v>
      </c>
      <c r="M947" t="s">
        <v>30</v>
      </c>
      <c r="N947" t="s">
        <v>2155</v>
      </c>
      <c r="O947" t="s">
        <v>32</v>
      </c>
      <c r="P947" t="s">
        <v>2347</v>
      </c>
      <c r="Q947">
        <v>150</v>
      </c>
      <c r="R947">
        <v>150</v>
      </c>
      <c r="S947" t="s">
        <v>34</v>
      </c>
      <c r="T947" t="s">
        <v>35</v>
      </c>
      <c r="U947" t="s">
        <v>44</v>
      </c>
      <c r="W947">
        <v>150</v>
      </c>
      <c r="X947">
        <v>150</v>
      </c>
      <c r="Y947">
        <v>0</v>
      </c>
      <c r="Z947">
        <v>0</v>
      </c>
    </row>
    <row r="948" spans="1:26" hidden="1" x14ac:dyDescent="0.25">
      <c r="A948" t="s">
        <v>2364</v>
      </c>
      <c r="B948" t="s">
        <v>25</v>
      </c>
      <c r="C948" s="4">
        <v>44427</v>
      </c>
      <c r="F948" s="4">
        <v>45595</v>
      </c>
      <c r="G948" t="s">
        <v>2365</v>
      </c>
      <c r="H948" t="s">
        <v>2366</v>
      </c>
      <c r="K948" t="s">
        <v>114</v>
      </c>
      <c r="L948" t="s">
        <v>2154</v>
      </c>
      <c r="M948" t="s">
        <v>68</v>
      </c>
      <c r="N948" t="s">
        <v>2155</v>
      </c>
      <c r="O948" t="s">
        <v>32</v>
      </c>
      <c r="P948" t="s">
        <v>2367</v>
      </c>
      <c r="Q948">
        <v>350</v>
      </c>
      <c r="R948">
        <v>350</v>
      </c>
      <c r="S948" t="s">
        <v>597</v>
      </c>
      <c r="T948" t="s">
        <v>598</v>
      </c>
      <c r="U948" t="s">
        <v>44</v>
      </c>
      <c r="W948">
        <v>350</v>
      </c>
      <c r="X948">
        <v>350</v>
      </c>
      <c r="Y948">
        <v>350</v>
      </c>
      <c r="Z948">
        <v>350</v>
      </c>
    </row>
    <row r="949" spans="1:26" hidden="1" x14ac:dyDescent="0.25">
      <c r="A949" t="s">
        <v>2368</v>
      </c>
      <c r="B949" t="s">
        <v>38</v>
      </c>
      <c r="C949" s="4">
        <v>44643</v>
      </c>
      <c r="D949" s="4">
        <v>46009</v>
      </c>
      <c r="F949" s="4">
        <v>45931</v>
      </c>
      <c r="G949" t="s">
        <v>101</v>
      </c>
      <c r="H949" t="s">
        <v>1583</v>
      </c>
      <c r="K949" t="s">
        <v>98</v>
      </c>
      <c r="L949" t="s">
        <v>2154</v>
      </c>
      <c r="M949" t="s">
        <v>84</v>
      </c>
      <c r="N949" t="s">
        <v>2160</v>
      </c>
      <c r="O949" t="s">
        <v>32</v>
      </c>
      <c r="P949" t="s">
        <v>1345</v>
      </c>
      <c r="Q949">
        <v>110</v>
      </c>
      <c r="R949">
        <v>110</v>
      </c>
      <c r="S949" t="s">
        <v>34</v>
      </c>
      <c r="T949" t="s">
        <v>35</v>
      </c>
      <c r="U949" t="s">
        <v>44</v>
      </c>
      <c r="W949">
        <v>110</v>
      </c>
      <c r="X949">
        <v>110</v>
      </c>
      <c r="Y949">
        <v>0</v>
      </c>
      <c r="Z949">
        <v>0</v>
      </c>
    </row>
    <row r="950" spans="1:26" hidden="1" x14ac:dyDescent="0.25">
      <c r="A950" t="s">
        <v>2369</v>
      </c>
      <c r="B950" t="s">
        <v>2153</v>
      </c>
      <c r="C950" s="4">
        <v>44643</v>
      </c>
      <c r="F950" s="4">
        <v>45536</v>
      </c>
      <c r="G950" t="s">
        <v>1251</v>
      </c>
      <c r="H950" t="s">
        <v>1258</v>
      </c>
      <c r="K950" t="s">
        <v>109</v>
      </c>
      <c r="L950" t="s">
        <v>2154</v>
      </c>
      <c r="M950" t="s">
        <v>84</v>
      </c>
      <c r="N950" t="s">
        <v>2160</v>
      </c>
      <c r="O950" t="s">
        <v>32</v>
      </c>
      <c r="P950" t="s">
        <v>2370</v>
      </c>
      <c r="Q950">
        <v>195</v>
      </c>
      <c r="R950">
        <v>195</v>
      </c>
      <c r="S950" t="s">
        <v>34</v>
      </c>
      <c r="T950" t="s">
        <v>35</v>
      </c>
      <c r="U950" t="s">
        <v>44</v>
      </c>
      <c r="W950">
        <v>195</v>
      </c>
      <c r="X950">
        <v>195</v>
      </c>
      <c r="Y950">
        <v>195</v>
      </c>
      <c r="Z950">
        <v>195</v>
      </c>
    </row>
    <row r="951" spans="1:26" hidden="1" x14ac:dyDescent="0.25">
      <c r="A951" t="s">
        <v>2371</v>
      </c>
      <c r="B951" t="s">
        <v>38</v>
      </c>
      <c r="C951" s="4">
        <v>44430</v>
      </c>
      <c r="D951" s="4">
        <v>45175</v>
      </c>
      <c r="F951" s="4">
        <v>45231</v>
      </c>
      <c r="G951" t="s">
        <v>52</v>
      </c>
      <c r="H951" t="s">
        <v>2372</v>
      </c>
      <c r="K951" t="s">
        <v>53</v>
      </c>
      <c r="L951" t="s">
        <v>2154</v>
      </c>
      <c r="M951" t="s">
        <v>54</v>
      </c>
      <c r="N951" t="s">
        <v>2155</v>
      </c>
      <c r="O951" t="s">
        <v>32</v>
      </c>
      <c r="P951" t="s">
        <v>2373</v>
      </c>
      <c r="Q951">
        <v>99.6</v>
      </c>
      <c r="R951">
        <v>99.6</v>
      </c>
      <c r="S951" t="s">
        <v>34</v>
      </c>
      <c r="T951" t="s">
        <v>35</v>
      </c>
      <c r="U951" t="s">
        <v>44</v>
      </c>
      <c r="W951">
        <v>0</v>
      </c>
      <c r="X951">
        <v>0</v>
      </c>
      <c r="Y951">
        <v>0</v>
      </c>
      <c r="Z951">
        <v>0</v>
      </c>
    </row>
    <row r="952" spans="1:26" hidden="1" x14ac:dyDescent="0.25">
      <c r="A952" t="s">
        <v>2374</v>
      </c>
      <c r="B952" t="s">
        <v>38</v>
      </c>
      <c r="C952" s="4">
        <v>44432</v>
      </c>
      <c r="D952" s="4">
        <v>44538</v>
      </c>
      <c r="F952" s="4">
        <v>45931</v>
      </c>
      <c r="G952" t="s">
        <v>1679</v>
      </c>
      <c r="H952" t="s">
        <v>2375</v>
      </c>
      <c r="K952" t="s">
        <v>98</v>
      </c>
      <c r="L952" t="s">
        <v>2154</v>
      </c>
      <c r="M952" t="s">
        <v>84</v>
      </c>
      <c r="N952" t="s">
        <v>2160</v>
      </c>
      <c r="O952" t="s">
        <v>32</v>
      </c>
      <c r="P952" t="s">
        <v>2376</v>
      </c>
      <c r="Q952">
        <v>83.16</v>
      </c>
      <c r="R952">
        <v>83.16</v>
      </c>
      <c r="S952" t="s">
        <v>34</v>
      </c>
      <c r="T952" t="s">
        <v>35</v>
      </c>
      <c r="W952">
        <v>0</v>
      </c>
      <c r="X952">
        <v>0</v>
      </c>
      <c r="Y952">
        <v>0</v>
      </c>
      <c r="Z952">
        <v>0</v>
      </c>
    </row>
    <row r="953" spans="1:26" hidden="1" x14ac:dyDescent="0.25">
      <c r="A953" t="s">
        <v>2377</v>
      </c>
      <c r="B953" t="s">
        <v>38</v>
      </c>
      <c r="C953" s="4">
        <v>44432</v>
      </c>
      <c r="D953" s="4">
        <v>45175</v>
      </c>
      <c r="F953" s="4">
        <v>45566</v>
      </c>
      <c r="G953" t="s">
        <v>907</v>
      </c>
      <c r="H953" t="s">
        <v>1421</v>
      </c>
      <c r="K953" t="s">
        <v>53</v>
      </c>
      <c r="L953" t="s">
        <v>2154</v>
      </c>
      <c r="M953" t="s">
        <v>54</v>
      </c>
      <c r="N953" t="s">
        <v>2155</v>
      </c>
      <c r="O953" t="s">
        <v>32</v>
      </c>
      <c r="P953" t="s">
        <v>2378</v>
      </c>
      <c r="Q953">
        <v>50</v>
      </c>
      <c r="R953">
        <v>50</v>
      </c>
      <c r="S953" t="s">
        <v>159</v>
      </c>
      <c r="T953" t="s">
        <v>159</v>
      </c>
      <c r="U953" t="s">
        <v>44</v>
      </c>
      <c r="W953">
        <v>0</v>
      </c>
      <c r="X953">
        <v>0</v>
      </c>
      <c r="Y953">
        <v>0</v>
      </c>
      <c r="Z953">
        <v>0</v>
      </c>
    </row>
    <row r="954" spans="1:26" hidden="1" x14ac:dyDescent="0.25">
      <c r="A954" t="s">
        <v>2379</v>
      </c>
      <c r="B954" t="s">
        <v>38</v>
      </c>
      <c r="C954" s="4">
        <v>44433</v>
      </c>
      <c r="D954" s="4">
        <v>45957</v>
      </c>
      <c r="F954" s="4">
        <v>45566</v>
      </c>
      <c r="G954" t="s">
        <v>1381</v>
      </c>
      <c r="H954" t="s">
        <v>2201</v>
      </c>
      <c r="K954" t="s">
        <v>209</v>
      </c>
      <c r="L954" t="s">
        <v>2154</v>
      </c>
      <c r="M954" t="s">
        <v>42</v>
      </c>
      <c r="N954" t="s">
        <v>2160</v>
      </c>
      <c r="O954" t="s">
        <v>32</v>
      </c>
      <c r="P954" t="s">
        <v>2380</v>
      </c>
      <c r="Q954">
        <v>180</v>
      </c>
      <c r="R954">
        <v>180</v>
      </c>
      <c r="S954" t="s">
        <v>56</v>
      </c>
      <c r="T954" t="s">
        <v>57</v>
      </c>
      <c r="U954" t="s">
        <v>44</v>
      </c>
      <c r="W954">
        <v>180</v>
      </c>
      <c r="X954">
        <v>54</v>
      </c>
      <c r="Y954">
        <v>0</v>
      </c>
      <c r="Z954">
        <v>0</v>
      </c>
    </row>
    <row r="955" spans="1:26" hidden="1" x14ac:dyDescent="0.25">
      <c r="A955" t="s">
        <v>2381</v>
      </c>
      <c r="B955" t="s">
        <v>38</v>
      </c>
      <c r="C955" s="4">
        <v>44762</v>
      </c>
      <c r="D955" s="4">
        <v>45224</v>
      </c>
      <c r="F955" s="4">
        <v>45931</v>
      </c>
      <c r="G955" t="s">
        <v>144</v>
      </c>
      <c r="H955" t="s">
        <v>2382</v>
      </c>
      <c r="K955" t="s">
        <v>146</v>
      </c>
      <c r="L955" t="s">
        <v>2154</v>
      </c>
      <c r="M955" t="s">
        <v>68</v>
      </c>
      <c r="N955" t="s">
        <v>2155</v>
      </c>
      <c r="O955" t="s">
        <v>32</v>
      </c>
      <c r="P955" t="s">
        <v>2383</v>
      </c>
      <c r="Q955">
        <v>264.60000000000002</v>
      </c>
      <c r="R955">
        <v>264.60000000000002</v>
      </c>
      <c r="S955" t="s">
        <v>34</v>
      </c>
      <c r="T955" t="s">
        <v>35</v>
      </c>
      <c r="U955" t="s">
        <v>44</v>
      </c>
      <c r="W955">
        <v>0</v>
      </c>
      <c r="X955">
        <v>0</v>
      </c>
      <c r="Y955">
        <v>0</v>
      </c>
      <c r="Z955">
        <v>0</v>
      </c>
    </row>
    <row r="956" spans="1:26" hidden="1" x14ac:dyDescent="0.25">
      <c r="A956" t="s">
        <v>2384</v>
      </c>
      <c r="B956" t="s">
        <v>38</v>
      </c>
      <c r="C956" s="4">
        <v>44432</v>
      </c>
      <c r="D956" s="4">
        <v>45082</v>
      </c>
      <c r="F956" s="4">
        <v>45931</v>
      </c>
      <c r="G956" t="s">
        <v>1278</v>
      </c>
      <c r="H956" t="s">
        <v>1916</v>
      </c>
      <c r="K956" t="s">
        <v>28</v>
      </c>
      <c r="L956" t="s">
        <v>2154</v>
      </c>
      <c r="M956" t="s">
        <v>30</v>
      </c>
      <c r="N956" t="s">
        <v>2155</v>
      </c>
      <c r="O956" t="s">
        <v>32</v>
      </c>
      <c r="P956" t="s">
        <v>2385</v>
      </c>
      <c r="Q956">
        <v>35</v>
      </c>
      <c r="R956">
        <v>35</v>
      </c>
      <c r="S956" t="s">
        <v>159</v>
      </c>
      <c r="T956" t="s">
        <v>159</v>
      </c>
      <c r="U956" t="s">
        <v>44</v>
      </c>
      <c r="W956">
        <v>0</v>
      </c>
      <c r="X956">
        <v>0</v>
      </c>
      <c r="Y956">
        <v>0</v>
      </c>
      <c r="Z956">
        <v>0</v>
      </c>
    </row>
    <row r="957" spans="1:26" hidden="1" x14ac:dyDescent="0.25">
      <c r="A957" t="s">
        <v>2386</v>
      </c>
      <c r="B957" t="s">
        <v>38</v>
      </c>
      <c r="C957" s="4">
        <v>44432</v>
      </c>
      <c r="D957" s="4">
        <v>45082</v>
      </c>
      <c r="F957" s="4">
        <v>45931</v>
      </c>
      <c r="G957" t="s">
        <v>1278</v>
      </c>
      <c r="H957" t="s">
        <v>1916</v>
      </c>
      <c r="K957" t="s">
        <v>28</v>
      </c>
      <c r="L957" t="s">
        <v>2154</v>
      </c>
      <c r="M957" t="s">
        <v>30</v>
      </c>
      <c r="N957" t="s">
        <v>2155</v>
      </c>
      <c r="O957" t="s">
        <v>32</v>
      </c>
      <c r="P957" t="s">
        <v>2385</v>
      </c>
      <c r="Q957">
        <v>100</v>
      </c>
      <c r="R957">
        <v>100</v>
      </c>
      <c r="S957" t="s">
        <v>34</v>
      </c>
      <c r="T957" t="s">
        <v>35</v>
      </c>
      <c r="U957" t="s">
        <v>44</v>
      </c>
      <c r="W957">
        <v>0</v>
      </c>
      <c r="X957">
        <v>0</v>
      </c>
      <c r="Y957">
        <v>0</v>
      </c>
      <c r="Z957">
        <v>0</v>
      </c>
    </row>
    <row r="958" spans="1:26" hidden="1" x14ac:dyDescent="0.25">
      <c r="A958" t="s">
        <v>2387</v>
      </c>
      <c r="B958" t="s">
        <v>38</v>
      </c>
      <c r="C958" s="4">
        <v>44530</v>
      </c>
      <c r="D958" s="4">
        <v>45224</v>
      </c>
      <c r="F958" s="4">
        <v>45931</v>
      </c>
      <c r="G958" t="s">
        <v>144</v>
      </c>
      <c r="H958" t="s">
        <v>2049</v>
      </c>
      <c r="K958" t="s">
        <v>146</v>
      </c>
      <c r="L958" t="s">
        <v>2154</v>
      </c>
      <c r="M958" t="s">
        <v>68</v>
      </c>
      <c r="N958" t="s">
        <v>2155</v>
      </c>
      <c r="O958" t="s">
        <v>32</v>
      </c>
      <c r="P958" t="s">
        <v>2050</v>
      </c>
      <c r="Q958">
        <v>60</v>
      </c>
      <c r="R958">
        <v>60</v>
      </c>
      <c r="S958" t="s">
        <v>159</v>
      </c>
      <c r="T958" t="s">
        <v>159</v>
      </c>
      <c r="U958" t="s">
        <v>44</v>
      </c>
      <c r="W958">
        <v>0</v>
      </c>
      <c r="X958">
        <v>0</v>
      </c>
      <c r="Y958">
        <v>0</v>
      </c>
      <c r="Z958">
        <v>0</v>
      </c>
    </row>
    <row r="959" spans="1:26" hidden="1" x14ac:dyDescent="0.25">
      <c r="A959" t="s">
        <v>2388</v>
      </c>
      <c r="B959" t="s">
        <v>38</v>
      </c>
      <c r="C959" s="4">
        <v>44529</v>
      </c>
      <c r="D959" s="4">
        <v>45224</v>
      </c>
      <c r="F959" s="4">
        <v>45931</v>
      </c>
      <c r="G959" t="s">
        <v>1311</v>
      </c>
      <c r="H959" t="s">
        <v>2389</v>
      </c>
      <c r="K959" t="s">
        <v>114</v>
      </c>
      <c r="L959" t="s">
        <v>2154</v>
      </c>
      <c r="M959" t="s">
        <v>68</v>
      </c>
      <c r="N959" t="s">
        <v>2155</v>
      </c>
      <c r="O959" t="s">
        <v>32</v>
      </c>
      <c r="P959" t="s">
        <v>2390</v>
      </c>
      <c r="Q959">
        <v>90</v>
      </c>
      <c r="R959">
        <v>90</v>
      </c>
      <c r="S959" t="s">
        <v>34</v>
      </c>
      <c r="T959" t="s">
        <v>35</v>
      </c>
      <c r="U959" t="s">
        <v>44</v>
      </c>
      <c r="W959">
        <v>0</v>
      </c>
      <c r="X959">
        <v>0</v>
      </c>
      <c r="Y959">
        <v>0</v>
      </c>
      <c r="Z959">
        <v>0</v>
      </c>
    </row>
    <row r="960" spans="1:26" hidden="1" x14ac:dyDescent="0.25">
      <c r="A960" t="s">
        <v>2391</v>
      </c>
      <c r="B960" t="s">
        <v>38</v>
      </c>
      <c r="C960" s="4">
        <v>44530</v>
      </c>
      <c r="D960" s="4">
        <v>45224</v>
      </c>
      <c r="F960" s="4">
        <v>45931</v>
      </c>
      <c r="G960" t="s">
        <v>144</v>
      </c>
      <c r="H960" t="s">
        <v>2049</v>
      </c>
      <c r="K960" t="s">
        <v>146</v>
      </c>
      <c r="L960" t="s">
        <v>2154</v>
      </c>
      <c r="M960" t="s">
        <v>68</v>
      </c>
      <c r="N960" t="s">
        <v>2155</v>
      </c>
      <c r="O960" t="s">
        <v>32</v>
      </c>
      <c r="P960" t="s">
        <v>2050</v>
      </c>
      <c r="Q960">
        <v>60</v>
      </c>
      <c r="R960">
        <v>60</v>
      </c>
      <c r="S960" t="s">
        <v>159</v>
      </c>
      <c r="T960" t="s">
        <v>159</v>
      </c>
      <c r="U960" t="s">
        <v>44</v>
      </c>
      <c r="W960">
        <v>0</v>
      </c>
      <c r="X960">
        <v>0</v>
      </c>
      <c r="Y960">
        <v>0</v>
      </c>
      <c r="Z960">
        <v>0</v>
      </c>
    </row>
    <row r="961" spans="1:26" hidden="1" x14ac:dyDescent="0.25">
      <c r="A961" t="s">
        <v>2392</v>
      </c>
      <c r="B961" t="s">
        <v>38</v>
      </c>
      <c r="C961" s="4">
        <v>44530</v>
      </c>
      <c r="D961" s="4">
        <v>45224</v>
      </c>
      <c r="F961" s="4">
        <v>45931</v>
      </c>
      <c r="G961" t="s">
        <v>144</v>
      </c>
      <c r="H961" t="s">
        <v>2049</v>
      </c>
      <c r="K961" t="s">
        <v>146</v>
      </c>
      <c r="L961" t="s">
        <v>2154</v>
      </c>
      <c r="M961" t="s">
        <v>68</v>
      </c>
      <c r="N961" t="s">
        <v>2155</v>
      </c>
      <c r="O961" t="s">
        <v>32</v>
      </c>
      <c r="P961" t="s">
        <v>2393</v>
      </c>
      <c r="Q961">
        <v>100</v>
      </c>
      <c r="R961">
        <v>100</v>
      </c>
      <c r="S961" t="s">
        <v>34</v>
      </c>
      <c r="T961" t="s">
        <v>35</v>
      </c>
      <c r="U961" t="s">
        <v>44</v>
      </c>
      <c r="W961">
        <v>0</v>
      </c>
      <c r="X961">
        <v>0</v>
      </c>
      <c r="Y961">
        <v>0</v>
      </c>
      <c r="Z961">
        <v>0</v>
      </c>
    </row>
    <row r="962" spans="1:26" hidden="1" x14ac:dyDescent="0.25">
      <c r="A962" t="s">
        <v>2394</v>
      </c>
      <c r="B962" t="s">
        <v>38</v>
      </c>
      <c r="C962" s="4">
        <v>44643</v>
      </c>
      <c r="D962" s="4">
        <v>45573</v>
      </c>
      <c r="F962" s="4">
        <v>45931</v>
      </c>
      <c r="G962" t="s">
        <v>254</v>
      </c>
      <c r="H962" t="s">
        <v>1784</v>
      </c>
      <c r="K962" t="s">
        <v>98</v>
      </c>
      <c r="L962" t="s">
        <v>2154</v>
      </c>
      <c r="M962" t="s">
        <v>84</v>
      </c>
      <c r="N962" t="s">
        <v>2160</v>
      </c>
      <c r="O962" t="s">
        <v>32</v>
      </c>
      <c r="P962" t="s">
        <v>2395</v>
      </c>
      <c r="Q962">
        <v>100</v>
      </c>
      <c r="R962">
        <v>100</v>
      </c>
      <c r="S962" t="s">
        <v>34</v>
      </c>
      <c r="T962" t="s">
        <v>35</v>
      </c>
      <c r="U962" t="s">
        <v>44</v>
      </c>
      <c r="W962">
        <v>0</v>
      </c>
      <c r="X962">
        <v>0</v>
      </c>
      <c r="Y962">
        <v>0</v>
      </c>
      <c r="Z962">
        <v>0</v>
      </c>
    </row>
    <row r="963" spans="1:26" hidden="1" x14ac:dyDescent="0.25">
      <c r="A963" t="s">
        <v>2396</v>
      </c>
      <c r="B963" t="s">
        <v>38</v>
      </c>
      <c r="C963" s="4">
        <v>44433</v>
      </c>
      <c r="D963" s="4">
        <v>45957</v>
      </c>
      <c r="F963" s="4">
        <v>46296</v>
      </c>
      <c r="G963" t="s">
        <v>177</v>
      </c>
      <c r="H963" t="s">
        <v>1402</v>
      </c>
      <c r="K963" t="s">
        <v>185</v>
      </c>
      <c r="L963" t="s">
        <v>2154</v>
      </c>
      <c r="M963" t="s">
        <v>42</v>
      </c>
      <c r="N963" t="s">
        <v>2160</v>
      </c>
      <c r="O963" t="s">
        <v>32</v>
      </c>
      <c r="P963" t="s">
        <v>2397</v>
      </c>
      <c r="Q963">
        <v>190</v>
      </c>
      <c r="R963">
        <v>190</v>
      </c>
      <c r="S963" t="s">
        <v>56</v>
      </c>
      <c r="T963" t="s">
        <v>57</v>
      </c>
      <c r="U963" t="s">
        <v>44</v>
      </c>
      <c r="W963">
        <v>190</v>
      </c>
      <c r="X963">
        <v>57</v>
      </c>
      <c r="Y963">
        <v>0</v>
      </c>
      <c r="Z963">
        <v>0</v>
      </c>
    </row>
    <row r="964" spans="1:26" hidden="1" x14ac:dyDescent="0.25">
      <c r="A964" t="s">
        <v>2398</v>
      </c>
      <c r="B964" t="s">
        <v>38</v>
      </c>
      <c r="C964" s="4">
        <v>44431</v>
      </c>
      <c r="D964" s="4">
        <v>45224</v>
      </c>
      <c r="F964" s="4">
        <v>45931</v>
      </c>
      <c r="G964" t="s">
        <v>149</v>
      </c>
      <c r="H964" t="s">
        <v>2356</v>
      </c>
      <c r="K964" t="s">
        <v>151</v>
      </c>
      <c r="L964" t="s">
        <v>2154</v>
      </c>
      <c r="M964" t="s">
        <v>68</v>
      </c>
      <c r="N964" t="s">
        <v>2155</v>
      </c>
      <c r="O964" t="s">
        <v>32</v>
      </c>
      <c r="P964" t="s">
        <v>2399</v>
      </c>
      <c r="Q964">
        <v>75</v>
      </c>
      <c r="R964">
        <v>75</v>
      </c>
      <c r="S964" t="s">
        <v>34</v>
      </c>
      <c r="T964" t="s">
        <v>35</v>
      </c>
      <c r="U964" t="s">
        <v>44</v>
      </c>
      <c r="W964">
        <v>0</v>
      </c>
      <c r="X964">
        <v>0</v>
      </c>
      <c r="Y964">
        <v>0</v>
      </c>
      <c r="Z964">
        <v>0</v>
      </c>
    </row>
    <row r="965" spans="1:26" hidden="1" x14ac:dyDescent="0.25">
      <c r="A965" t="s">
        <v>2400</v>
      </c>
      <c r="B965" t="s">
        <v>38</v>
      </c>
      <c r="C965" s="4">
        <v>44529</v>
      </c>
      <c r="D965" s="4">
        <v>45224</v>
      </c>
      <c r="F965" s="4">
        <v>45931</v>
      </c>
      <c r="G965" t="s">
        <v>149</v>
      </c>
      <c r="H965" t="s">
        <v>2356</v>
      </c>
      <c r="K965" t="s">
        <v>151</v>
      </c>
      <c r="L965" t="s">
        <v>2154</v>
      </c>
      <c r="M965" t="s">
        <v>68</v>
      </c>
      <c r="N965" t="s">
        <v>2155</v>
      </c>
      <c r="O965" t="s">
        <v>32</v>
      </c>
      <c r="P965" t="s">
        <v>2399</v>
      </c>
      <c r="Q965">
        <v>25</v>
      </c>
      <c r="R965">
        <v>25</v>
      </c>
      <c r="S965" t="s">
        <v>159</v>
      </c>
      <c r="T965" t="s">
        <v>159</v>
      </c>
      <c r="U965" t="s">
        <v>44</v>
      </c>
      <c r="W965">
        <v>0</v>
      </c>
      <c r="X965">
        <v>0</v>
      </c>
      <c r="Y965">
        <v>0</v>
      </c>
      <c r="Z965">
        <v>0</v>
      </c>
    </row>
    <row r="966" spans="1:26" hidden="1" x14ac:dyDescent="0.25">
      <c r="A966" t="s">
        <v>2401</v>
      </c>
      <c r="B966" t="s">
        <v>38</v>
      </c>
      <c r="C966" s="4">
        <v>44431</v>
      </c>
      <c r="D966" s="4">
        <v>45566</v>
      </c>
      <c r="F966" s="4">
        <v>45566</v>
      </c>
      <c r="G966" t="s">
        <v>1278</v>
      </c>
      <c r="H966" t="s">
        <v>1645</v>
      </c>
      <c r="K966" t="s">
        <v>28</v>
      </c>
      <c r="L966" t="s">
        <v>2154</v>
      </c>
      <c r="M966" t="s">
        <v>30</v>
      </c>
      <c r="N966" t="s">
        <v>2155</v>
      </c>
      <c r="O966" t="s">
        <v>32</v>
      </c>
      <c r="P966" t="s">
        <v>2335</v>
      </c>
      <c r="Q966">
        <v>90</v>
      </c>
      <c r="R966">
        <v>90</v>
      </c>
      <c r="S966" t="s">
        <v>159</v>
      </c>
      <c r="T966" t="s">
        <v>159</v>
      </c>
      <c r="U966" t="s">
        <v>44</v>
      </c>
      <c r="W966">
        <v>90</v>
      </c>
      <c r="X966">
        <v>90</v>
      </c>
      <c r="Y966">
        <v>0</v>
      </c>
      <c r="Z966">
        <v>0</v>
      </c>
    </row>
    <row r="967" spans="1:26" hidden="1" x14ac:dyDescent="0.25">
      <c r="A967" t="s">
        <v>2402</v>
      </c>
      <c r="B967" t="s">
        <v>38</v>
      </c>
      <c r="C967" s="4">
        <v>44643</v>
      </c>
      <c r="D967" s="4">
        <v>46009</v>
      </c>
      <c r="F967" s="4">
        <v>45931</v>
      </c>
      <c r="G967" t="s">
        <v>1251</v>
      </c>
      <c r="H967" t="s">
        <v>2135</v>
      </c>
      <c r="K967" t="s">
        <v>109</v>
      </c>
      <c r="L967" t="s">
        <v>2154</v>
      </c>
      <c r="M967" t="s">
        <v>84</v>
      </c>
      <c r="N967" t="s">
        <v>2160</v>
      </c>
      <c r="O967" t="s">
        <v>32</v>
      </c>
      <c r="P967" t="s">
        <v>2403</v>
      </c>
      <c r="Q967">
        <v>150</v>
      </c>
      <c r="R967">
        <v>150</v>
      </c>
      <c r="S967" t="s">
        <v>34</v>
      </c>
      <c r="T967" t="s">
        <v>35</v>
      </c>
      <c r="U967" t="s">
        <v>44</v>
      </c>
      <c r="W967">
        <v>150</v>
      </c>
      <c r="X967">
        <v>150</v>
      </c>
      <c r="Y967">
        <v>0</v>
      </c>
      <c r="Z967">
        <v>0</v>
      </c>
    </row>
    <row r="968" spans="1:26" hidden="1" x14ac:dyDescent="0.25">
      <c r="A968" t="s">
        <v>2404</v>
      </c>
      <c r="B968" t="s">
        <v>38</v>
      </c>
      <c r="C968" s="4">
        <v>44643</v>
      </c>
      <c r="D968" s="4">
        <v>46009</v>
      </c>
      <c r="F968" s="4">
        <v>45931</v>
      </c>
      <c r="G968" t="s">
        <v>1973</v>
      </c>
      <c r="H968" t="s">
        <v>1430</v>
      </c>
      <c r="K968" t="s">
        <v>98</v>
      </c>
      <c r="L968" t="s">
        <v>2154</v>
      </c>
      <c r="M968" t="s">
        <v>84</v>
      </c>
      <c r="N968" t="s">
        <v>2160</v>
      </c>
      <c r="O968" t="s">
        <v>32</v>
      </c>
      <c r="P968" t="s">
        <v>2405</v>
      </c>
      <c r="Q968">
        <v>200</v>
      </c>
      <c r="R968">
        <v>200</v>
      </c>
      <c r="S968" t="s">
        <v>56</v>
      </c>
      <c r="T968" t="s">
        <v>57</v>
      </c>
      <c r="U968" t="s">
        <v>44</v>
      </c>
      <c r="W968">
        <v>200</v>
      </c>
      <c r="X968">
        <v>200</v>
      </c>
      <c r="Y968">
        <v>0</v>
      </c>
      <c r="Z968">
        <v>0</v>
      </c>
    </row>
    <row r="969" spans="1:26" hidden="1" x14ac:dyDescent="0.25">
      <c r="A969" t="s">
        <v>2406</v>
      </c>
      <c r="B969" t="s">
        <v>2153</v>
      </c>
      <c r="C969" s="4">
        <v>44644</v>
      </c>
      <c r="F969" s="4">
        <v>45931</v>
      </c>
      <c r="G969" t="s">
        <v>117</v>
      </c>
      <c r="H969" t="s">
        <v>1708</v>
      </c>
      <c r="K969" t="s">
        <v>83</v>
      </c>
      <c r="L969" t="s">
        <v>2154</v>
      </c>
      <c r="M969" t="s">
        <v>84</v>
      </c>
      <c r="N969" t="s">
        <v>2160</v>
      </c>
      <c r="O969" t="s">
        <v>32</v>
      </c>
      <c r="P969" t="s">
        <v>2407</v>
      </c>
      <c r="Q969">
        <v>150</v>
      </c>
      <c r="R969">
        <v>150</v>
      </c>
      <c r="S969" t="s">
        <v>56</v>
      </c>
      <c r="T969" t="s">
        <v>57</v>
      </c>
      <c r="U969" t="s">
        <v>44</v>
      </c>
      <c r="W969">
        <v>150</v>
      </c>
      <c r="X969">
        <v>150</v>
      </c>
      <c r="Y969">
        <v>150</v>
      </c>
      <c r="Z969">
        <v>45</v>
      </c>
    </row>
    <row r="970" spans="1:26" hidden="1" x14ac:dyDescent="0.25">
      <c r="A970" t="s">
        <v>2408</v>
      </c>
      <c r="B970" t="s">
        <v>38</v>
      </c>
      <c r="C970" s="4">
        <v>44426</v>
      </c>
      <c r="D970" s="4">
        <v>44491</v>
      </c>
      <c r="F970" s="4">
        <v>46296</v>
      </c>
      <c r="G970" t="s">
        <v>177</v>
      </c>
      <c r="H970" t="s">
        <v>2356</v>
      </c>
      <c r="K970" t="s">
        <v>41</v>
      </c>
      <c r="L970" t="s">
        <v>2154</v>
      </c>
      <c r="M970" t="s">
        <v>42</v>
      </c>
      <c r="N970" t="s">
        <v>2160</v>
      </c>
      <c r="O970" t="s">
        <v>32</v>
      </c>
      <c r="P970" t="s">
        <v>2357</v>
      </c>
      <c r="Q970">
        <v>30</v>
      </c>
      <c r="R970">
        <v>30</v>
      </c>
      <c r="S970" t="s">
        <v>159</v>
      </c>
      <c r="T970" t="s">
        <v>159</v>
      </c>
      <c r="W970">
        <v>0</v>
      </c>
      <c r="X970">
        <v>0</v>
      </c>
      <c r="Y970">
        <v>0</v>
      </c>
      <c r="Z970">
        <v>0</v>
      </c>
    </row>
    <row r="971" spans="1:26" hidden="1" x14ac:dyDescent="0.25">
      <c r="A971" t="s">
        <v>2409</v>
      </c>
      <c r="B971" t="s">
        <v>38</v>
      </c>
      <c r="C971" s="4">
        <v>44431</v>
      </c>
      <c r="D971" s="4">
        <v>45175</v>
      </c>
      <c r="F971" s="4">
        <v>45566</v>
      </c>
      <c r="G971" t="s">
        <v>907</v>
      </c>
      <c r="H971" t="s">
        <v>1421</v>
      </c>
      <c r="K971" t="s">
        <v>53</v>
      </c>
      <c r="L971" t="s">
        <v>2154</v>
      </c>
      <c r="M971" t="s">
        <v>54</v>
      </c>
      <c r="N971" t="s">
        <v>2155</v>
      </c>
      <c r="O971" t="s">
        <v>32</v>
      </c>
      <c r="P971" t="s">
        <v>2378</v>
      </c>
      <c r="Q971">
        <v>150</v>
      </c>
      <c r="R971">
        <v>150</v>
      </c>
      <c r="S971" t="s">
        <v>34</v>
      </c>
      <c r="T971" t="s">
        <v>35</v>
      </c>
      <c r="U971" t="s">
        <v>44</v>
      </c>
      <c r="W971">
        <v>0</v>
      </c>
      <c r="X971">
        <v>0</v>
      </c>
      <c r="Y971">
        <v>0</v>
      </c>
      <c r="Z971">
        <v>0</v>
      </c>
    </row>
    <row r="972" spans="1:26" hidden="1" x14ac:dyDescent="0.25">
      <c r="A972" t="s">
        <v>2410</v>
      </c>
      <c r="B972" t="s">
        <v>38</v>
      </c>
      <c r="C972" s="4">
        <v>44643</v>
      </c>
      <c r="D972" s="4">
        <v>46009</v>
      </c>
      <c r="F972" s="4">
        <v>45931</v>
      </c>
      <c r="G972" t="s">
        <v>117</v>
      </c>
      <c r="H972" t="s">
        <v>1708</v>
      </c>
      <c r="K972" t="s">
        <v>83</v>
      </c>
      <c r="L972" t="s">
        <v>2154</v>
      </c>
      <c r="M972" t="s">
        <v>84</v>
      </c>
      <c r="N972" t="s">
        <v>2160</v>
      </c>
      <c r="O972" t="s">
        <v>32</v>
      </c>
      <c r="P972" t="s">
        <v>2411</v>
      </c>
      <c r="Q972">
        <v>160</v>
      </c>
      <c r="R972">
        <v>160</v>
      </c>
      <c r="S972" t="s">
        <v>34</v>
      </c>
      <c r="T972" t="s">
        <v>35</v>
      </c>
      <c r="U972" t="s">
        <v>44</v>
      </c>
      <c r="W972">
        <v>160</v>
      </c>
      <c r="X972">
        <v>160</v>
      </c>
      <c r="Y972">
        <v>0</v>
      </c>
      <c r="Z972">
        <v>0</v>
      </c>
    </row>
    <row r="973" spans="1:26" hidden="1" x14ac:dyDescent="0.25">
      <c r="A973" t="s">
        <v>2412</v>
      </c>
      <c r="B973" t="s">
        <v>38</v>
      </c>
      <c r="C973" s="4">
        <v>44530</v>
      </c>
      <c r="D973" s="4">
        <v>45082</v>
      </c>
      <c r="F973" s="4">
        <v>45931</v>
      </c>
      <c r="G973" t="s">
        <v>1278</v>
      </c>
      <c r="H973" t="s">
        <v>2010</v>
      </c>
      <c r="K973" t="s">
        <v>28</v>
      </c>
      <c r="L973" t="s">
        <v>2154</v>
      </c>
      <c r="M973" t="s">
        <v>30</v>
      </c>
      <c r="N973" t="s">
        <v>2155</v>
      </c>
      <c r="O973" t="s">
        <v>32</v>
      </c>
      <c r="P973" t="s">
        <v>2413</v>
      </c>
      <c r="Q973">
        <v>45</v>
      </c>
      <c r="R973">
        <v>45</v>
      </c>
      <c r="S973" t="s">
        <v>159</v>
      </c>
      <c r="T973" t="s">
        <v>159</v>
      </c>
      <c r="U973" t="s">
        <v>44</v>
      </c>
      <c r="W973">
        <v>0</v>
      </c>
      <c r="X973">
        <v>0</v>
      </c>
      <c r="Y973">
        <v>0</v>
      </c>
      <c r="Z973">
        <v>0</v>
      </c>
    </row>
    <row r="974" spans="1:26" hidden="1" x14ac:dyDescent="0.25">
      <c r="A974" t="s">
        <v>2414</v>
      </c>
      <c r="B974" t="s">
        <v>38</v>
      </c>
      <c r="C974" s="4">
        <v>44425</v>
      </c>
      <c r="D974" s="4">
        <v>45209</v>
      </c>
      <c r="F974" s="4">
        <v>45931</v>
      </c>
      <c r="G974" t="s">
        <v>1381</v>
      </c>
      <c r="H974" t="s">
        <v>2177</v>
      </c>
      <c r="K974" t="s">
        <v>209</v>
      </c>
      <c r="L974" t="s">
        <v>2154</v>
      </c>
      <c r="M974" t="s">
        <v>42</v>
      </c>
      <c r="N974" t="s">
        <v>2160</v>
      </c>
      <c r="O974" t="s">
        <v>32</v>
      </c>
      <c r="P974" t="s">
        <v>2178</v>
      </c>
      <c r="Q974">
        <v>115</v>
      </c>
      <c r="R974">
        <v>115</v>
      </c>
      <c r="S974" t="s">
        <v>34</v>
      </c>
      <c r="T974" t="s">
        <v>35</v>
      </c>
      <c r="U974" t="s">
        <v>44</v>
      </c>
      <c r="W974">
        <v>115</v>
      </c>
      <c r="X974">
        <v>115</v>
      </c>
      <c r="Y974">
        <v>0</v>
      </c>
      <c r="Z974">
        <v>0</v>
      </c>
    </row>
    <row r="975" spans="1:26" hidden="1" x14ac:dyDescent="0.25">
      <c r="A975" t="s">
        <v>2415</v>
      </c>
      <c r="B975" t="s">
        <v>38</v>
      </c>
      <c r="C975" s="4">
        <v>44643</v>
      </c>
      <c r="D975" s="4">
        <v>46009</v>
      </c>
      <c r="F975" s="4">
        <v>45931</v>
      </c>
      <c r="G975" t="s">
        <v>117</v>
      </c>
      <c r="H975" t="s">
        <v>1708</v>
      </c>
      <c r="K975" t="s">
        <v>83</v>
      </c>
      <c r="L975" t="s">
        <v>2154</v>
      </c>
      <c r="M975" t="s">
        <v>84</v>
      </c>
      <c r="N975" t="s">
        <v>2160</v>
      </c>
      <c r="O975" t="s">
        <v>32</v>
      </c>
      <c r="P975" t="s">
        <v>2411</v>
      </c>
      <c r="Q975">
        <v>40</v>
      </c>
      <c r="R975">
        <v>40</v>
      </c>
      <c r="S975" t="s">
        <v>159</v>
      </c>
      <c r="T975" t="s">
        <v>159</v>
      </c>
      <c r="U975" t="s">
        <v>44</v>
      </c>
      <c r="W975">
        <v>40</v>
      </c>
      <c r="X975">
        <v>40</v>
      </c>
      <c r="Y975">
        <v>0</v>
      </c>
      <c r="Z975">
        <v>0</v>
      </c>
    </row>
    <row r="976" spans="1:26" hidden="1" x14ac:dyDescent="0.25">
      <c r="A976" t="s">
        <v>2416</v>
      </c>
      <c r="B976" t="s">
        <v>38</v>
      </c>
      <c r="C976" s="4">
        <v>44643</v>
      </c>
      <c r="D976" s="4">
        <v>46009</v>
      </c>
      <c r="F976" s="4">
        <v>45931</v>
      </c>
      <c r="G976" t="s">
        <v>117</v>
      </c>
      <c r="H976" t="s">
        <v>1954</v>
      </c>
      <c r="K976" t="s">
        <v>83</v>
      </c>
      <c r="L976" t="s">
        <v>2154</v>
      </c>
      <c r="M976" t="s">
        <v>84</v>
      </c>
      <c r="N976" t="s">
        <v>2160</v>
      </c>
      <c r="O976" t="s">
        <v>32</v>
      </c>
      <c r="P976" t="s">
        <v>2417</v>
      </c>
      <c r="Q976">
        <v>160</v>
      </c>
      <c r="R976">
        <v>160</v>
      </c>
      <c r="S976" t="s">
        <v>34</v>
      </c>
      <c r="T976" t="s">
        <v>35</v>
      </c>
      <c r="U976" t="s">
        <v>44</v>
      </c>
      <c r="W976">
        <v>160</v>
      </c>
      <c r="X976">
        <v>160</v>
      </c>
      <c r="Y976">
        <v>0</v>
      </c>
      <c r="Z976">
        <v>0</v>
      </c>
    </row>
    <row r="977" spans="1:26" hidden="1" x14ac:dyDescent="0.25">
      <c r="A977" t="s">
        <v>2418</v>
      </c>
      <c r="B977" t="s">
        <v>38</v>
      </c>
      <c r="C977" s="4">
        <v>44643</v>
      </c>
      <c r="D977" s="4">
        <v>46009</v>
      </c>
      <c r="F977" s="4">
        <v>45931</v>
      </c>
      <c r="G977" t="s">
        <v>117</v>
      </c>
      <c r="H977" t="s">
        <v>1954</v>
      </c>
      <c r="K977" t="s">
        <v>83</v>
      </c>
      <c r="L977" t="s">
        <v>2154</v>
      </c>
      <c r="M977" t="s">
        <v>84</v>
      </c>
      <c r="N977" t="s">
        <v>2160</v>
      </c>
      <c r="O977" t="s">
        <v>32</v>
      </c>
      <c r="P977" t="s">
        <v>2417</v>
      </c>
      <c r="Q977">
        <v>40</v>
      </c>
      <c r="R977">
        <v>40</v>
      </c>
      <c r="S977" t="s">
        <v>159</v>
      </c>
      <c r="T977" t="s">
        <v>159</v>
      </c>
      <c r="U977" t="s">
        <v>44</v>
      </c>
      <c r="W977">
        <v>40</v>
      </c>
      <c r="X977">
        <v>40</v>
      </c>
      <c r="Y977">
        <v>0</v>
      </c>
      <c r="Z977">
        <v>0</v>
      </c>
    </row>
    <row r="978" spans="1:26" hidden="1" x14ac:dyDescent="0.25">
      <c r="A978" t="s">
        <v>2419</v>
      </c>
      <c r="B978" t="s">
        <v>38</v>
      </c>
      <c r="C978" s="4">
        <v>44643</v>
      </c>
      <c r="D978" s="4">
        <v>45573</v>
      </c>
      <c r="F978" s="4">
        <v>45931</v>
      </c>
      <c r="G978" t="s">
        <v>254</v>
      </c>
      <c r="H978" t="s">
        <v>1784</v>
      </c>
      <c r="K978" t="s">
        <v>98</v>
      </c>
      <c r="L978" t="s">
        <v>2154</v>
      </c>
      <c r="M978" t="s">
        <v>84</v>
      </c>
      <c r="N978" t="s">
        <v>2160</v>
      </c>
      <c r="O978" t="s">
        <v>32</v>
      </c>
      <c r="P978" t="s">
        <v>2395</v>
      </c>
      <c r="Q978">
        <v>25</v>
      </c>
      <c r="R978">
        <v>25</v>
      </c>
      <c r="S978" t="s">
        <v>159</v>
      </c>
      <c r="T978" t="s">
        <v>159</v>
      </c>
      <c r="U978" t="s">
        <v>44</v>
      </c>
      <c r="W978">
        <v>0</v>
      </c>
      <c r="X978">
        <v>0</v>
      </c>
      <c r="Y978">
        <v>0</v>
      </c>
      <c r="Z978">
        <v>0</v>
      </c>
    </row>
    <row r="979" spans="1:26" hidden="1" x14ac:dyDescent="0.25">
      <c r="A979" t="s">
        <v>2420</v>
      </c>
      <c r="B979" t="s">
        <v>38</v>
      </c>
      <c r="C979" s="4">
        <v>44425</v>
      </c>
      <c r="D979" s="4">
        <v>44539</v>
      </c>
      <c r="F979" s="4">
        <v>45566</v>
      </c>
      <c r="G979" t="s">
        <v>52</v>
      </c>
      <c r="H979" t="s">
        <v>1724</v>
      </c>
      <c r="K979" t="s">
        <v>53</v>
      </c>
      <c r="L979" t="s">
        <v>2154</v>
      </c>
      <c r="M979" t="s">
        <v>54</v>
      </c>
      <c r="N979" t="s">
        <v>2155</v>
      </c>
      <c r="O979" t="s">
        <v>32</v>
      </c>
      <c r="P979" t="s">
        <v>2421</v>
      </c>
      <c r="Q979">
        <v>50</v>
      </c>
      <c r="R979">
        <v>50</v>
      </c>
      <c r="S979" t="s">
        <v>159</v>
      </c>
      <c r="T979" t="s">
        <v>159</v>
      </c>
      <c r="W979">
        <v>0</v>
      </c>
      <c r="X979">
        <v>0</v>
      </c>
      <c r="Y979">
        <v>0</v>
      </c>
      <c r="Z979">
        <v>0</v>
      </c>
    </row>
    <row r="980" spans="1:26" hidden="1" x14ac:dyDescent="0.25">
      <c r="A980" t="s">
        <v>2422</v>
      </c>
      <c r="B980" t="s">
        <v>38</v>
      </c>
      <c r="C980" s="4">
        <v>44431</v>
      </c>
      <c r="D980" s="4">
        <v>45957</v>
      </c>
      <c r="F980" s="4">
        <v>45931</v>
      </c>
      <c r="G980" t="s">
        <v>1381</v>
      </c>
      <c r="H980" t="s">
        <v>2423</v>
      </c>
      <c r="K980" t="s">
        <v>209</v>
      </c>
      <c r="L980" t="s">
        <v>2154</v>
      </c>
      <c r="M980" t="s">
        <v>42</v>
      </c>
      <c r="N980" t="s">
        <v>2160</v>
      </c>
      <c r="O980" t="s">
        <v>32</v>
      </c>
      <c r="P980" t="s">
        <v>2424</v>
      </c>
      <c r="Q980">
        <v>175</v>
      </c>
      <c r="R980">
        <v>175</v>
      </c>
      <c r="S980" t="s">
        <v>56</v>
      </c>
      <c r="T980" t="s">
        <v>57</v>
      </c>
      <c r="U980" t="s">
        <v>44</v>
      </c>
      <c r="W980">
        <v>170</v>
      </c>
      <c r="X980">
        <v>52.5</v>
      </c>
      <c r="Y980">
        <v>0</v>
      </c>
      <c r="Z980">
        <v>0</v>
      </c>
    </row>
    <row r="981" spans="1:26" hidden="1" x14ac:dyDescent="0.25">
      <c r="A981" t="s">
        <v>2425</v>
      </c>
      <c r="B981" t="s">
        <v>38</v>
      </c>
      <c r="C981" s="4">
        <v>44421</v>
      </c>
      <c r="D981" s="4">
        <v>45957</v>
      </c>
      <c r="F981" s="4">
        <v>45931</v>
      </c>
      <c r="G981" t="s">
        <v>72</v>
      </c>
      <c r="H981" t="s">
        <v>1986</v>
      </c>
      <c r="K981" t="s">
        <v>209</v>
      </c>
      <c r="L981" t="s">
        <v>2154</v>
      </c>
      <c r="M981" t="s">
        <v>42</v>
      </c>
      <c r="N981" t="s">
        <v>2160</v>
      </c>
      <c r="O981" t="s">
        <v>32</v>
      </c>
      <c r="P981" t="s">
        <v>2426</v>
      </c>
      <c r="Q981">
        <v>200</v>
      </c>
      <c r="R981">
        <v>200</v>
      </c>
      <c r="S981" t="s">
        <v>56</v>
      </c>
      <c r="T981" t="s">
        <v>57</v>
      </c>
      <c r="U981" t="s">
        <v>44</v>
      </c>
      <c r="W981">
        <v>200</v>
      </c>
      <c r="X981">
        <v>60</v>
      </c>
      <c r="Y981">
        <v>0</v>
      </c>
      <c r="Z981">
        <v>0</v>
      </c>
    </row>
    <row r="982" spans="1:26" hidden="1" x14ac:dyDescent="0.25">
      <c r="A982" t="s">
        <v>2427</v>
      </c>
      <c r="B982" t="s">
        <v>38</v>
      </c>
      <c r="C982" s="4">
        <v>44431</v>
      </c>
      <c r="D982" s="4">
        <v>45957</v>
      </c>
      <c r="F982" s="4">
        <v>45566</v>
      </c>
      <c r="G982" t="s">
        <v>52</v>
      </c>
      <c r="H982" t="s">
        <v>1262</v>
      </c>
      <c r="K982" t="s">
        <v>53</v>
      </c>
      <c r="L982" t="s">
        <v>2154</v>
      </c>
      <c r="M982" t="s">
        <v>54</v>
      </c>
      <c r="N982" t="s">
        <v>2155</v>
      </c>
      <c r="O982" t="s">
        <v>32</v>
      </c>
      <c r="P982" t="s">
        <v>2428</v>
      </c>
      <c r="Q982">
        <v>50</v>
      </c>
      <c r="R982">
        <v>50</v>
      </c>
      <c r="S982" t="s">
        <v>159</v>
      </c>
      <c r="T982" t="s">
        <v>159</v>
      </c>
      <c r="U982" t="s">
        <v>44</v>
      </c>
      <c r="W982">
        <v>50</v>
      </c>
      <c r="X982">
        <v>50</v>
      </c>
      <c r="Y982">
        <v>0</v>
      </c>
      <c r="Z982">
        <v>0</v>
      </c>
    </row>
    <row r="983" spans="1:26" hidden="1" x14ac:dyDescent="0.25">
      <c r="A983" t="s">
        <v>2429</v>
      </c>
      <c r="B983" t="s">
        <v>38</v>
      </c>
      <c r="C983" s="4">
        <v>44433</v>
      </c>
      <c r="D983" s="4">
        <v>44538</v>
      </c>
      <c r="F983" s="4">
        <v>45931</v>
      </c>
      <c r="G983" t="s">
        <v>1679</v>
      </c>
      <c r="H983" t="s">
        <v>2375</v>
      </c>
      <c r="K983" t="s">
        <v>98</v>
      </c>
      <c r="L983" t="s">
        <v>2154</v>
      </c>
      <c r="M983" t="s">
        <v>84</v>
      </c>
      <c r="N983" t="s">
        <v>2160</v>
      </c>
      <c r="O983" t="s">
        <v>32</v>
      </c>
      <c r="P983" t="s">
        <v>2376</v>
      </c>
      <c r="Q983">
        <v>15</v>
      </c>
      <c r="R983">
        <v>15</v>
      </c>
      <c r="S983" t="s">
        <v>159</v>
      </c>
      <c r="T983" t="s">
        <v>159</v>
      </c>
      <c r="W983">
        <v>0</v>
      </c>
      <c r="X983">
        <v>0</v>
      </c>
      <c r="Y983">
        <v>0</v>
      </c>
      <c r="Z983">
        <v>0</v>
      </c>
    </row>
    <row r="984" spans="1:26" hidden="1" x14ac:dyDescent="0.25">
      <c r="A984" t="s">
        <v>2430</v>
      </c>
      <c r="B984" t="s">
        <v>2338</v>
      </c>
      <c r="C984" s="4">
        <v>44530</v>
      </c>
      <c r="F984" s="4">
        <v>45566</v>
      </c>
      <c r="H984" t="s">
        <v>2339</v>
      </c>
      <c r="K984" t="s">
        <v>53</v>
      </c>
      <c r="L984" t="s">
        <v>2154</v>
      </c>
      <c r="M984" t="s">
        <v>54</v>
      </c>
      <c r="N984" t="s">
        <v>2155</v>
      </c>
      <c r="O984" t="s">
        <v>32</v>
      </c>
      <c r="P984" t="s">
        <v>1345</v>
      </c>
      <c r="Q984">
        <v>25</v>
      </c>
      <c r="R984">
        <v>25</v>
      </c>
      <c r="S984" t="s">
        <v>159</v>
      </c>
      <c r="T984" t="s">
        <v>159</v>
      </c>
      <c r="U984" t="s">
        <v>44</v>
      </c>
      <c r="W984">
        <v>25</v>
      </c>
      <c r="X984">
        <v>25</v>
      </c>
      <c r="Y984">
        <v>25</v>
      </c>
      <c r="Z984">
        <v>25</v>
      </c>
    </row>
    <row r="985" spans="1:26" hidden="1" x14ac:dyDescent="0.25">
      <c r="A985" t="s">
        <v>2431</v>
      </c>
      <c r="B985" t="s">
        <v>38</v>
      </c>
      <c r="C985" s="4">
        <v>44529</v>
      </c>
      <c r="D985" s="4">
        <v>45566</v>
      </c>
      <c r="F985" s="4">
        <v>45931</v>
      </c>
      <c r="G985" t="s">
        <v>1278</v>
      </c>
      <c r="H985" t="s">
        <v>2010</v>
      </c>
      <c r="K985" t="s">
        <v>28</v>
      </c>
      <c r="L985" t="s">
        <v>2154</v>
      </c>
      <c r="M985" t="s">
        <v>30</v>
      </c>
      <c r="N985" t="s">
        <v>2155</v>
      </c>
      <c r="O985" t="s">
        <v>32</v>
      </c>
      <c r="P985" t="s">
        <v>2345</v>
      </c>
      <c r="Q985">
        <v>25</v>
      </c>
      <c r="R985">
        <v>25</v>
      </c>
      <c r="S985" t="s">
        <v>159</v>
      </c>
      <c r="T985" t="s">
        <v>159</v>
      </c>
      <c r="U985" t="s">
        <v>44</v>
      </c>
      <c r="W985">
        <v>25</v>
      </c>
      <c r="X985">
        <v>25</v>
      </c>
      <c r="Y985">
        <v>0</v>
      </c>
      <c r="Z985">
        <v>0</v>
      </c>
    </row>
    <row r="986" spans="1:26" hidden="1" x14ac:dyDescent="0.25">
      <c r="A986" t="s">
        <v>2432</v>
      </c>
      <c r="B986" t="s">
        <v>38</v>
      </c>
      <c r="C986" s="4">
        <v>44431</v>
      </c>
      <c r="D986" s="4">
        <v>46049</v>
      </c>
      <c r="F986" s="4">
        <v>45566</v>
      </c>
      <c r="G986" t="s">
        <v>52</v>
      </c>
      <c r="H986" t="s">
        <v>1362</v>
      </c>
      <c r="K986" t="s">
        <v>53</v>
      </c>
      <c r="L986" t="s">
        <v>2154</v>
      </c>
      <c r="M986" t="s">
        <v>54</v>
      </c>
      <c r="N986" t="s">
        <v>2155</v>
      </c>
      <c r="O986" t="s">
        <v>32</v>
      </c>
      <c r="P986" t="s">
        <v>2433</v>
      </c>
      <c r="Q986">
        <v>50</v>
      </c>
      <c r="R986">
        <v>50</v>
      </c>
      <c r="S986" t="s">
        <v>159</v>
      </c>
      <c r="T986" t="s">
        <v>159</v>
      </c>
      <c r="U986" t="s">
        <v>44</v>
      </c>
      <c r="W986">
        <v>50</v>
      </c>
      <c r="X986">
        <v>50</v>
      </c>
      <c r="Y986">
        <v>50</v>
      </c>
      <c r="Z986">
        <v>50</v>
      </c>
    </row>
    <row r="987" spans="1:26" hidden="1" x14ac:dyDescent="0.25">
      <c r="A987" t="s">
        <v>2434</v>
      </c>
      <c r="B987" t="s">
        <v>38</v>
      </c>
      <c r="C987" s="4">
        <v>44530</v>
      </c>
      <c r="D987" s="4">
        <v>45224</v>
      </c>
      <c r="F987" s="4">
        <v>45931</v>
      </c>
      <c r="G987" t="s">
        <v>144</v>
      </c>
      <c r="H987" t="s">
        <v>2214</v>
      </c>
      <c r="K987" t="s">
        <v>146</v>
      </c>
      <c r="L987" t="s">
        <v>2154</v>
      </c>
      <c r="M987" t="s">
        <v>68</v>
      </c>
      <c r="N987" t="s">
        <v>2155</v>
      </c>
      <c r="O987" t="s">
        <v>32</v>
      </c>
      <c r="P987" t="s">
        <v>2435</v>
      </c>
      <c r="Q987">
        <v>50</v>
      </c>
      <c r="R987">
        <v>50</v>
      </c>
      <c r="S987" t="s">
        <v>34</v>
      </c>
      <c r="T987" t="s">
        <v>35</v>
      </c>
      <c r="U987" t="s">
        <v>44</v>
      </c>
      <c r="W987">
        <v>0</v>
      </c>
      <c r="X987">
        <v>0</v>
      </c>
      <c r="Y987">
        <v>0</v>
      </c>
      <c r="Z987">
        <v>0</v>
      </c>
    </row>
    <row r="988" spans="1:26" hidden="1" x14ac:dyDescent="0.25">
      <c r="A988" t="s">
        <v>2436</v>
      </c>
      <c r="B988" t="s">
        <v>38</v>
      </c>
      <c r="C988" s="4">
        <v>44643</v>
      </c>
      <c r="D988" s="4">
        <v>46009</v>
      </c>
      <c r="F988" s="4">
        <v>45931</v>
      </c>
      <c r="G988" t="s">
        <v>1251</v>
      </c>
      <c r="H988" t="s">
        <v>2437</v>
      </c>
      <c r="K988" t="s">
        <v>109</v>
      </c>
      <c r="L988" t="s">
        <v>2154</v>
      </c>
      <c r="M988" t="s">
        <v>84</v>
      </c>
      <c r="N988" t="s">
        <v>2160</v>
      </c>
      <c r="O988" t="s">
        <v>32</v>
      </c>
      <c r="P988" t="s">
        <v>2438</v>
      </c>
      <c r="Q988">
        <v>100</v>
      </c>
      <c r="R988">
        <v>100</v>
      </c>
      <c r="S988" t="s">
        <v>159</v>
      </c>
      <c r="T988" t="s">
        <v>159</v>
      </c>
      <c r="U988" t="s">
        <v>44</v>
      </c>
      <c r="W988">
        <v>100</v>
      </c>
      <c r="X988">
        <v>100</v>
      </c>
      <c r="Y988">
        <v>0</v>
      </c>
      <c r="Z988">
        <v>0</v>
      </c>
    </row>
    <row r="989" spans="1:26" hidden="1" x14ac:dyDescent="0.25">
      <c r="A989" t="s">
        <v>2439</v>
      </c>
      <c r="B989" t="s">
        <v>38</v>
      </c>
      <c r="C989" s="4">
        <v>44431</v>
      </c>
      <c r="D989" s="4">
        <v>44539</v>
      </c>
      <c r="F989" s="4">
        <v>45566</v>
      </c>
      <c r="G989" t="s">
        <v>907</v>
      </c>
      <c r="H989" t="s">
        <v>1724</v>
      </c>
      <c r="K989" t="s">
        <v>53</v>
      </c>
      <c r="L989" t="s">
        <v>2154</v>
      </c>
      <c r="M989" t="s">
        <v>54</v>
      </c>
      <c r="N989" t="s">
        <v>2155</v>
      </c>
      <c r="O989" t="s">
        <v>32</v>
      </c>
      <c r="P989" t="s">
        <v>2440</v>
      </c>
      <c r="Q989">
        <v>50</v>
      </c>
      <c r="R989">
        <v>50</v>
      </c>
      <c r="S989" t="s">
        <v>159</v>
      </c>
      <c r="T989" t="s">
        <v>159</v>
      </c>
      <c r="W989">
        <v>0</v>
      </c>
      <c r="X989">
        <v>0</v>
      </c>
      <c r="Y989">
        <v>0</v>
      </c>
      <c r="Z989">
        <v>0</v>
      </c>
    </row>
    <row r="990" spans="1:26" hidden="1" x14ac:dyDescent="0.25">
      <c r="A990" t="s">
        <v>2441</v>
      </c>
      <c r="B990" t="s">
        <v>38</v>
      </c>
      <c r="C990" s="4">
        <v>44529</v>
      </c>
      <c r="D990" s="4">
        <v>45224</v>
      </c>
      <c r="F990" s="4">
        <v>45931</v>
      </c>
      <c r="G990" t="s">
        <v>1311</v>
      </c>
      <c r="H990" t="s">
        <v>2389</v>
      </c>
      <c r="K990" t="s">
        <v>114</v>
      </c>
      <c r="L990" t="s">
        <v>2154</v>
      </c>
      <c r="M990" t="s">
        <v>68</v>
      </c>
      <c r="N990" t="s">
        <v>2155</v>
      </c>
      <c r="O990" t="s">
        <v>32</v>
      </c>
      <c r="P990" t="s">
        <v>2442</v>
      </c>
      <c r="Q990">
        <v>120.96</v>
      </c>
      <c r="R990">
        <v>120.96</v>
      </c>
      <c r="S990" t="s">
        <v>34</v>
      </c>
      <c r="T990" t="s">
        <v>35</v>
      </c>
      <c r="U990" t="s">
        <v>44</v>
      </c>
      <c r="W990">
        <v>0</v>
      </c>
      <c r="X990">
        <v>0</v>
      </c>
      <c r="Y990">
        <v>0</v>
      </c>
      <c r="Z990">
        <v>0</v>
      </c>
    </row>
    <row r="991" spans="1:26" hidden="1" x14ac:dyDescent="0.25">
      <c r="A991" t="s">
        <v>2443</v>
      </c>
      <c r="B991" t="s">
        <v>38</v>
      </c>
      <c r="C991" s="4">
        <v>44433</v>
      </c>
      <c r="D991" s="4">
        <v>45957</v>
      </c>
      <c r="F991" s="4">
        <v>45931</v>
      </c>
      <c r="G991" t="s">
        <v>177</v>
      </c>
      <c r="H991" t="s">
        <v>2444</v>
      </c>
      <c r="K991" t="s">
        <v>62</v>
      </c>
      <c r="L991" t="s">
        <v>2154</v>
      </c>
      <c r="M991" t="s">
        <v>42</v>
      </c>
      <c r="N991" t="s">
        <v>2160</v>
      </c>
      <c r="O991" t="s">
        <v>32</v>
      </c>
      <c r="P991" t="s">
        <v>2445</v>
      </c>
      <c r="Q991">
        <v>250</v>
      </c>
      <c r="R991">
        <v>250</v>
      </c>
      <c r="S991" t="s">
        <v>56</v>
      </c>
      <c r="T991" t="s">
        <v>57</v>
      </c>
      <c r="U991" t="s">
        <v>44</v>
      </c>
      <c r="W991">
        <v>250</v>
      </c>
      <c r="X991">
        <v>75</v>
      </c>
      <c r="Y991">
        <v>0</v>
      </c>
      <c r="Z991">
        <v>0</v>
      </c>
    </row>
    <row r="992" spans="1:26" hidden="1" x14ac:dyDescent="0.25">
      <c r="A992" t="s">
        <v>2446</v>
      </c>
      <c r="B992" t="s">
        <v>38</v>
      </c>
      <c r="C992" s="4">
        <v>44530</v>
      </c>
      <c r="D992" s="4">
        <v>45957</v>
      </c>
      <c r="F992" s="4">
        <v>45931</v>
      </c>
      <c r="G992" t="s">
        <v>183</v>
      </c>
      <c r="H992" t="s">
        <v>2447</v>
      </c>
      <c r="K992" t="s">
        <v>185</v>
      </c>
      <c r="L992" t="s">
        <v>2154</v>
      </c>
      <c r="M992" t="s">
        <v>42</v>
      </c>
      <c r="N992" t="s">
        <v>2160</v>
      </c>
      <c r="O992" t="s">
        <v>32</v>
      </c>
      <c r="P992" t="s">
        <v>2448</v>
      </c>
      <c r="Q992">
        <v>250</v>
      </c>
      <c r="R992">
        <v>250</v>
      </c>
      <c r="S992" t="s">
        <v>56</v>
      </c>
      <c r="T992" t="s">
        <v>57</v>
      </c>
      <c r="U992" t="s">
        <v>44</v>
      </c>
      <c r="W992">
        <v>215</v>
      </c>
      <c r="X992">
        <v>75</v>
      </c>
      <c r="Y992">
        <v>0</v>
      </c>
      <c r="Z992">
        <v>0</v>
      </c>
    </row>
    <row r="993" spans="1:26" hidden="1" x14ac:dyDescent="0.25">
      <c r="A993" t="s">
        <v>2449</v>
      </c>
      <c r="B993" t="s">
        <v>38</v>
      </c>
      <c r="C993" s="4">
        <v>44433</v>
      </c>
      <c r="D993" s="4">
        <v>45723</v>
      </c>
      <c r="F993" s="4">
        <v>45931</v>
      </c>
      <c r="G993" t="s">
        <v>65</v>
      </c>
      <c r="H993" t="s">
        <v>1876</v>
      </c>
      <c r="K993" t="s">
        <v>67</v>
      </c>
      <c r="L993" t="s">
        <v>2154</v>
      </c>
      <c r="M993" t="s">
        <v>68</v>
      </c>
      <c r="N993" t="s">
        <v>2155</v>
      </c>
      <c r="O993" t="s">
        <v>32</v>
      </c>
      <c r="P993" t="s">
        <v>2450</v>
      </c>
      <c r="Q993">
        <v>200</v>
      </c>
      <c r="R993">
        <v>200</v>
      </c>
      <c r="S993" t="s">
        <v>34</v>
      </c>
      <c r="T993" t="s">
        <v>35</v>
      </c>
      <c r="U993" t="s">
        <v>44</v>
      </c>
      <c r="W993">
        <v>200</v>
      </c>
      <c r="X993">
        <v>200</v>
      </c>
      <c r="Y993">
        <v>0</v>
      </c>
      <c r="Z993">
        <v>0</v>
      </c>
    </row>
    <row r="994" spans="1:26" hidden="1" x14ac:dyDescent="0.25">
      <c r="A994" t="s">
        <v>2451</v>
      </c>
      <c r="B994" t="s">
        <v>38</v>
      </c>
      <c r="C994" s="4">
        <v>44433</v>
      </c>
      <c r="D994" s="4">
        <v>45224</v>
      </c>
      <c r="F994" s="4">
        <v>45931</v>
      </c>
      <c r="G994" t="s">
        <v>65</v>
      </c>
      <c r="H994" t="s">
        <v>1876</v>
      </c>
      <c r="K994" t="s">
        <v>67</v>
      </c>
      <c r="L994" t="s">
        <v>2154</v>
      </c>
      <c r="M994" t="s">
        <v>68</v>
      </c>
      <c r="N994" t="s">
        <v>2155</v>
      </c>
      <c r="O994" t="s">
        <v>32</v>
      </c>
      <c r="P994" t="s">
        <v>2450</v>
      </c>
      <c r="Q994">
        <v>110</v>
      </c>
      <c r="R994">
        <v>110</v>
      </c>
      <c r="S994" t="s">
        <v>159</v>
      </c>
      <c r="T994" t="s">
        <v>159</v>
      </c>
      <c r="U994" t="s">
        <v>44</v>
      </c>
      <c r="W994">
        <v>0</v>
      </c>
      <c r="X994">
        <v>0</v>
      </c>
      <c r="Y994">
        <v>0</v>
      </c>
      <c r="Z994">
        <v>0</v>
      </c>
    </row>
    <row r="995" spans="1:26" hidden="1" x14ac:dyDescent="0.25">
      <c r="A995" t="s">
        <v>2452</v>
      </c>
      <c r="B995" t="s">
        <v>2153</v>
      </c>
      <c r="C995" s="4">
        <v>44531</v>
      </c>
      <c r="F995" s="4">
        <v>45861</v>
      </c>
      <c r="G995" t="s">
        <v>1278</v>
      </c>
      <c r="H995" t="s">
        <v>1645</v>
      </c>
      <c r="K995" t="s">
        <v>28</v>
      </c>
      <c r="L995" t="s">
        <v>2154</v>
      </c>
      <c r="M995" t="s">
        <v>30</v>
      </c>
      <c r="N995" t="s">
        <v>2155</v>
      </c>
      <c r="O995" t="s">
        <v>1110</v>
      </c>
      <c r="P995" t="s">
        <v>2453</v>
      </c>
      <c r="Q995">
        <v>99</v>
      </c>
      <c r="R995">
        <v>99</v>
      </c>
      <c r="S995" t="s">
        <v>34</v>
      </c>
      <c r="T995" t="s">
        <v>35</v>
      </c>
      <c r="U995" t="s">
        <v>44</v>
      </c>
      <c r="W995">
        <v>99</v>
      </c>
      <c r="X995">
        <v>99</v>
      </c>
      <c r="Y995">
        <v>99</v>
      </c>
      <c r="Z995">
        <v>99</v>
      </c>
    </row>
    <row r="996" spans="1:26" hidden="1" x14ac:dyDescent="0.25">
      <c r="A996" t="s">
        <v>2454</v>
      </c>
      <c r="B996" t="s">
        <v>38</v>
      </c>
      <c r="C996" s="4">
        <v>44407</v>
      </c>
      <c r="D996" s="4">
        <v>45566</v>
      </c>
      <c r="F996" s="4">
        <v>46022</v>
      </c>
      <c r="G996" t="s">
        <v>1278</v>
      </c>
      <c r="H996" t="s">
        <v>1862</v>
      </c>
      <c r="K996" t="s">
        <v>28</v>
      </c>
      <c r="L996" t="s">
        <v>2154</v>
      </c>
      <c r="M996" t="s">
        <v>30</v>
      </c>
      <c r="N996" t="s">
        <v>2155</v>
      </c>
      <c r="O996" t="s">
        <v>32</v>
      </c>
      <c r="P996" t="s">
        <v>2455</v>
      </c>
      <c r="Q996">
        <v>97.09</v>
      </c>
      <c r="R996">
        <v>97.09</v>
      </c>
      <c r="S996" t="s">
        <v>34</v>
      </c>
      <c r="T996" t="s">
        <v>35</v>
      </c>
      <c r="U996" t="s">
        <v>44</v>
      </c>
      <c r="W996">
        <v>97.08</v>
      </c>
      <c r="X996">
        <v>97.08</v>
      </c>
      <c r="Y996">
        <v>0</v>
      </c>
      <c r="Z996">
        <v>0</v>
      </c>
    </row>
    <row r="997" spans="1:26" hidden="1" x14ac:dyDescent="0.25">
      <c r="A997" t="s">
        <v>2456</v>
      </c>
      <c r="B997" t="s">
        <v>38</v>
      </c>
      <c r="C997" s="4">
        <v>44412</v>
      </c>
      <c r="D997" s="4">
        <v>45723</v>
      </c>
      <c r="F997" s="4">
        <v>45861</v>
      </c>
      <c r="G997" t="s">
        <v>144</v>
      </c>
      <c r="H997" t="s">
        <v>2457</v>
      </c>
      <c r="K997" t="s">
        <v>146</v>
      </c>
      <c r="L997" t="s">
        <v>2154</v>
      </c>
      <c r="M997" t="s">
        <v>68</v>
      </c>
      <c r="N997" t="s">
        <v>2155</v>
      </c>
      <c r="O997" t="s">
        <v>32</v>
      </c>
      <c r="P997" t="s">
        <v>2458</v>
      </c>
      <c r="Q997">
        <v>180</v>
      </c>
      <c r="R997">
        <v>180</v>
      </c>
      <c r="S997" t="s">
        <v>34</v>
      </c>
      <c r="T997" t="s">
        <v>35</v>
      </c>
      <c r="U997" t="s">
        <v>44</v>
      </c>
      <c r="W997">
        <v>180</v>
      </c>
      <c r="X997">
        <v>0</v>
      </c>
      <c r="Y997">
        <v>0</v>
      </c>
      <c r="Z997">
        <v>0</v>
      </c>
    </row>
    <row r="998" spans="1:26" hidden="1" x14ac:dyDescent="0.25">
      <c r="A998" t="s">
        <v>2459</v>
      </c>
      <c r="B998" t="s">
        <v>38</v>
      </c>
      <c r="C998" s="4">
        <v>44419</v>
      </c>
      <c r="D998" s="4">
        <v>45566</v>
      </c>
      <c r="F998" s="4">
        <v>45901</v>
      </c>
      <c r="G998" t="s">
        <v>1278</v>
      </c>
      <c r="H998" t="s">
        <v>2460</v>
      </c>
      <c r="K998" t="s">
        <v>28</v>
      </c>
      <c r="L998" t="s">
        <v>2154</v>
      </c>
      <c r="M998" t="s">
        <v>30</v>
      </c>
      <c r="N998" t="s">
        <v>2155</v>
      </c>
      <c r="O998" t="s">
        <v>32</v>
      </c>
      <c r="P998" t="s">
        <v>2461</v>
      </c>
      <c r="Q998">
        <v>99</v>
      </c>
      <c r="R998">
        <v>99</v>
      </c>
      <c r="S998" t="s">
        <v>597</v>
      </c>
      <c r="T998" t="s">
        <v>598</v>
      </c>
      <c r="U998" t="s">
        <v>44</v>
      </c>
      <c r="W998">
        <v>99</v>
      </c>
      <c r="X998">
        <v>99</v>
      </c>
      <c r="Y998">
        <v>0</v>
      </c>
      <c r="Z998">
        <v>0</v>
      </c>
    </row>
    <row r="999" spans="1:26" hidden="1" x14ac:dyDescent="0.25">
      <c r="A999" t="s">
        <v>2462</v>
      </c>
      <c r="B999" t="s">
        <v>38</v>
      </c>
      <c r="C999" s="4">
        <v>44419</v>
      </c>
      <c r="D999" s="4">
        <v>45723</v>
      </c>
      <c r="F999" s="4">
        <v>45352</v>
      </c>
      <c r="G999" t="s">
        <v>616</v>
      </c>
      <c r="H999" t="s">
        <v>1656</v>
      </c>
      <c r="K999" t="s">
        <v>146</v>
      </c>
      <c r="L999" t="s">
        <v>2154</v>
      </c>
      <c r="M999" t="s">
        <v>68</v>
      </c>
      <c r="N999" t="s">
        <v>2155</v>
      </c>
      <c r="O999" t="s">
        <v>32</v>
      </c>
      <c r="P999" t="s">
        <v>2463</v>
      </c>
      <c r="Q999">
        <v>80</v>
      </c>
      <c r="R999">
        <v>80</v>
      </c>
      <c r="S999" t="s">
        <v>34</v>
      </c>
      <c r="T999" t="s">
        <v>35</v>
      </c>
      <c r="U999" t="s">
        <v>44</v>
      </c>
      <c r="W999">
        <v>80</v>
      </c>
      <c r="X999">
        <v>0</v>
      </c>
      <c r="Y999">
        <v>0</v>
      </c>
      <c r="Z999">
        <v>0</v>
      </c>
    </row>
    <row r="1000" spans="1:26" hidden="1" x14ac:dyDescent="0.25">
      <c r="A1000" t="s">
        <v>2464</v>
      </c>
      <c r="B1000" t="s">
        <v>38</v>
      </c>
      <c r="C1000" s="4">
        <v>44412</v>
      </c>
      <c r="D1000" s="4">
        <v>46195</v>
      </c>
      <c r="F1000" s="4">
        <v>45473</v>
      </c>
      <c r="G1000" t="s">
        <v>72</v>
      </c>
      <c r="H1000" t="s">
        <v>1424</v>
      </c>
      <c r="K1000" t="s">
        <v>209</v>
      </c>
      <c r="L1000" t="s">
        <v>2154</v>
      </c>
      <c r="M1000" t="s">
        <v>42</v>
      </c>
      <c r="N1000" t="s">
        <v>2160</v>
      </c>
      <c r="O1000" t="s">
        <v>32</v>
      </c>
      <c r="P1000" t="s">
        <v>2465</v>
      </c>
      <c r="Q1000">
        <v>66</v>
      </c>
      <c r="R1000">
        <v>66</v>
      </c>
      <c r="S1000" t="s">
        <v>56</v>
      </c>
      <c r="T1000" t="s">
        <v>57</v>
      </c>
      <c r="U1000" t="s">
        <v>44</v>
      </c>
      <c r="W1000">
        <v>66</v>
      </c>
      <c r="X1000">
        <v>66</v>
      </c>
      <c r="Y1000">
        <v>66</v>
      </c>
      <c r="Z1000">
        <v>66</v>
      </c>
    </row>
    <row r="1001" spans="1:26" hidden="1" x14ac:dyDescent="0.25">
      <c r="A1001" t="s">
        <v>2466</v>
      </c>
      <c r="B1001" t="s">
        <v>38</v>
      </c>
      <c r="C1001" s="4">
        <v>44551</v>
      </c>
      <c r="D1001" s="4">
        <v>45723</v>
      </c>
      <c r="F1001" s="4">
        <v>45596</v>
      </c>
      <c r="G1001" t="s">
        <v>616</v>
      </c>
      <c r="H1001" t="s">
        <v>2467</v>
      </c>
      <c r="K1001" t="s">
        <v>146</v>
      </c>
      <c r="L1001" t="s">
        <v>2154</v>
      </c>
      <c r="M1001" t="s">
        <v>68</v>
      </c>
      <c r="N1001" t="s">
        <v>2155</v>
      </c>
      <c r="O1001" t="s">
        <v>32</v>
      </c>
      <c r="P1001" t="s">
        <v>2468</v>
      </c>
      <c r="Q1001">
        <v>100</v>
      </c>
      <c r="R1001">
        <v>100</v>
      </c>
      <c r="S1001" t="s">
        <v>34</v>
      </c>
      <c r="T1001" t="s">
        <v>35</v>
      </c>
      <c r="U1001" t="s">
        <v>44</v>
      </c>
      <c r="W1001">
        <v>100</v>
      </c>
      <c r="X1001">
        <v>100</v>
      </c>
      <c r="Y1001">
        <v>0</v>
      </c>
      <c r="Z1001">
        <v>0</v>
      </c>
    </row>
    <row r="1002" spans="1:26" hidden="1" x14ac:dyDescent="0.25">
      <c r="A1002" t="s">
        <v>2469</v>
      </c>
      <c r="B1002" t="s">
        <v>38</v>
      </c>
      <c r="C1002" s="4">
        <v>44418</v>
      </c>
      <c r="D1002" s="4">
        <v>45573</v>
      </c>
      <c r="F1002" s="4">
        <v>45778</v>
      </c>
      <c r="G1002" t="s">
        <v>101</v>
      </c>
      <c r="H1002" t="s">
        <v>2013</v>
      </c>
      <c r="K1002" t="s">
        <v>98</v>
      </c>
      <c r="L1002" t="s">
        <v>2154</v>
      </c>
      <c r="M1002" t="s">
        <v>84</v>
      </c>
      <c r="N1002" t="s">
        <v>2160</v>
      </c>
      <c r="O1002" t="s">
        <v>32</v>
      </c>
      <c r="P1002" t="s">
        <v>2470</v>
      </c>
      <c r="Q1002">
        <v>150</v>
      </c>
      <c r="R1002">
        <v>150</v>
      </c>
      <c r="S1002" t="s">
        <v>34</v>
      </c>
      <c r="T1002" t="s">
        <v>35</v>
      </c>
      <c r="U1002" t="s">
        <v>44</v>
      </c>
      <c r="W1002">
        <v>0</v>
      </c>
      <c r="X1002">
        <v>0</v>
      </c>
      <c r="Y1002">
        <v>0</v>
      </c>
      <c r="Z1002">
        <v>0</v>
      </c>
    </row>
    <row r="1003" spans="1:26" hidden="1" x14ac:dyDescent="0.25">
      <c r="A1003" t="s">
        <v>2471</v>
      </c>
      <c r="B1003" t="s">
        <v>2153</v>
      </c>
      <c r="C1003" s="4">
        <v>44424</v>
      </c>
      <c r="F1003" s="4">
        <v>45778</v>
      </c>
      <c r="G1003" t="s">
        <v>52</v>
      </c>
      <c r="H1003" t="s">
        <v>2472</v>
      </c>
      <c r="K1003" t="s">
        <v>53</v>
      </c>
      <c r="L1003" t="s">
        <v>2154</v>
      </c>
      <c r="M1003" t="s">
        <v>54</v>
      </c>
      <c r="N1003" t="s">
        <v>2155</v>
      </c>
      <c r="O1003" t="s">
        <v>32</v>
      </c>
      <c r="P1003" t="s">
        <v>2473</v>
      </c>
      <c r="Q1003">
        <v>220</v>
      </c>
      <c r="R1003">
        <v>220</v>
      </c>
      <c r="S1003" t="s">
        <v>34</v>
      </c>
      <c r="T1003" t="s">
        <v>35</v>
      </c>
      <c r="U1003" t="s">
        <v>44</v>
      </c>
      <c r="V1003" s="4">
        <v>47311</v>
      </c>
      <c r="W1003">
        <v>220</v>
      </c>
      <c r="X1003">
        <v>220</v>
      </c>
      <c r="Y1003">
        <v>220</v>
      </c>
      <c r="Z1003">
        <v>220</v>
      </c>
    </row>
    <row r="1004" spans="1:26" hidden="1" x14ac:dyDescent="0.25">
      <c r="A1004" t="s">
        <v>2474</v>
      </c>
      <c r="B1004" t="s">
        <v>2153</v>
      </c>
      <c r="C1004" s="4">
        <v>44421</v>
      </c>
      <c r="F1004" s="4">
        <v>45364</v>
      </c>
      <c r="G1004" t="s">
        <v>1368</v>
      </c>
      <c r="H1004" t="s">
        <v>1302</v>
      </c>
      <c r="K1004" t="s">
        <v>209</v>
      </c>
      <c r="L1004" t="s">
        <v>2154</v>
      </c>
      <c r="M1004" t="s">
        <v>42</v>
      </c>
      <c r="N1004" t="s">
        <v>2160</v>
      </c>
      <c r="O1004" t="s">
        <v>32</v>
      </c>
      <c r="P1004" t="s">
        <v>2475</v>
      </c>
      <c r="Q1004">
        <v>200</v>
      </c>
      <c r="R1004">
        <v>200</v>
      </c>
      <c r="S1004" t="s">
        <v>34</v>
      </c>
      <c r="T1004" t="s">
        <v>35</v>
      </c>
      <c r="U1004" t="s">
        <v>44</v>
      </c>
      <c r="V1004" s="4">
        <v>46520</v>
      </c>
      <c r="W1004">
        <v>200</v>
      </c>
      <c r="X1004">
        <v>200</v>
      </c>
      <c r="Y1004">
        <v>200</v>
      </c>
      <c r="Z1004">
        <v>200</v>
      </c>
    </row>
    <row r="1005" spans="1:26" hidden="1" x14ac:dyDescent="0.25">
      <c r="A1005" t="s">
        <v>2476</v>
      </c>
      <c r="B1005" t="s">
        <v>38</v>
      </c>
      <c r="C1005" s="4">
        <v>44434</v>
      </c>
      <c r="D1005" s="4">
        <v>45209</v>
      </c>
      <c r="F1005" s="4">
        <v>46296</v>
      </c>
      <c r="G1005" t="s">
        <v>177</v>
      </c>
      <c r="H1005" t="s">
        <v>2477</v>
      </c>
      <c r="K1005" t="s">
        <v>62</v>
      </c>
      <c r="L1005" t="s">
        <v>2154</v>
      </c>
      <c r="M1005" t="s">
        <v>42</v>
      </c>
      <c r="N1005" t="s">
        <v>2160</v>
      </c>
      <c r="O1005" t="s">
        <v>32</v>
      </c>
      <c r="P1005" t="s">
        <v>2478</v>
      </c>
      <c r="Q1005">
        <v>150</v>
      </c>
      <c r="R1005">
        <v>150</v>
      </c>
      <c r="S1005" t="s">
        <v>34</v>
      </c>
      <c r="T1005" t="s">
        <v>35</v>
      </c>
      <c r="U1005" t="s">
        <v>44</v>
      </c>
      <c r="W1005">
        <v>0</v>
      </c>
      <c r="X1005">
        <v>0</v>
      </c>
      <c r="Y1005">
        <v>0</v>
      </c>
      <c r="Z1005">
        <v>0</v>
      </c>
    </row>
    <row r="1006" spans="1:26" hidden="1" x14ac:dyDescent="0.25">
      <c r="A1006" t="s">
        <v>2479</v>
      </c>
      <c r="B1006" t="s">
        <v>38</v>
      </c>
      <c r="C1006" s="4">
        <v>44643</v>
      </c>
      <c r="D1006" s="4">
        <v>46009</v>
      </c>
      <c r="F1006" s="4">
        <v>45931</v>
      </c>
      <c r="G1006" t="s">
        <v>101</v>
      </c>
      <c r="H1006" t="s">
        <v>1583</v>
      </c>
      <c r="K1006" t="s">
        <v>98</v>
      </c>
      <c r="L1006" t="s">
        <v>2154</v>
      </c>
      <c r="M1006" t="s">
        <v>84</v>
      </c>
      <c r="N1006" t="s">
        <v>2160</v>
      </c>
      <c r="O1006" t="s">
        <v>32</v>
      </c>
      <c r="P1006" t="s">
        <v>1345</v>
      </c>
      <c r="Q1006">
        <v>40</v>
      </c>
      <c r="R1006">
        <v>40</v>
      </c>
      <c r="S1006" t="s">
        <v>159</v>
      </c>
      <c r="T1006" t="s">
        <v>159</v>
      </c>
      <c r="U1006" t="s">
        <v>44</v>
      </c>
      <c r="W1006">
        <v>40</v>
      </c>
      <c r="X1006">
        <v>40</v>
      </c>
      <c r="Y1006">
        <v>0</v>
      </c>
      <c r="Z1006">
        <v>0</v>
      </c>
    </row>
    <row r="1007" spans="1:26" hidden="1" x14ac:dyDescent="0.25">
      <c r="A1007" t="s">
        <v>2480</v>
      </c>
      <c r="B1007" t="s">
        <v>38</v>
      </c>
      <c r="C1007" s="4">
        <v>44434</v>
      </c>
      <c r="D1007" s="4">
        <v>45209</v>
      </c>
      <c r="F1007" s="4">
        <v>46296</v>
      </c>
      <c r="G1007" t="s">
        <v>177</v>
      </c>
      <c r="H1007" t="s">
        <v>2477</v>
      </c>
      <c r="K1007" t="s">
        <v>62</v>
      </c>
      <c r="L1007" t="s">
        <v>2154</v>
      </c>
      <c r="M1007" t="s">
        <v>42</v>
      </c>
      <c r="N1007" t="s">
        <v>2160</v>
      </c>
      <c r="O1007" t="s">
        <v>32</v>
      </c>
      <c r="P1007" t="s">
        <v>2478</v>
      </c>
      <c r="Q1007">
        <v>75</v>
      </c>
      <c r="R1007">
        <v>75</v>
      </c>
      <c r="S1007" t="s">
        <v>159</v>
      </c>
      <c r="T1007" t="s">
        <v>159</v>
      </c>
      <c r="U1007" t="s">
        <v>44</v>
      </c>
      <c r="W1007">
        <v>0</v>
      </c>
      <c r="X1007">
        <v>0</v>
      </c>
      <c r="Y1007">
        <v>0</v>
      </c>
      <c r="Z1007">
        <v>0</v>
      </c>
    </row>
    <row r="1008" spans="1:26" hidden="1" x14ac:dyDescent="0.25">
      <c r="A1008" t="s">
        <v>2481</v>
      </c>
      <c r="B1008" t="s">
        <v>38</v>
      </c>
      <c r="C1008" s="4">
        <v>44434</v>
      </c>
      <c r="D1008" s="4">
        <v>45224</v>
      </c>
      <c r="F1008" s="4">
        <v>45931</v>
      </c>
      <c r="G1008" t="s">
        <v>65</v>
      </c>
      <c r="H1008" t="s">
        <v>2482</v>
      </c>
      <c r="K1008" t="s">
        <v>67</v>
      </c>
      <c r="L1008" t="s">
        <v>2154</v>
      </c>
      <c r="M1008" t="s">
        <v>68</v>
      </c>
      <c r="N1008" t="s">
        <v>2155</v>
      </c>
      <c r="O1008" t="s">
        <v>32</v>
      </c>
      <c r="P1008" t="s">
        <v>2483</v>
      </c>
      <c r="Q1008">
        <v>40</v>
      </c>
      <c r="R1008">
        <v>40</v>
      </c>
      <c r="S1008" t="s">
        <v>159</v>
      </c>
      <c r="T1008" t="s">
        <v>159</v>
      </c>
      <c r="U1008" t="s">
        <v>44</v>
      </c>
      <c r="W1008">
        <v>0</v>
      </c>
      <c r="X1008">
        <v>0</v>
      </c>
      <c r="Y1008">
        <v>0</v>
      </c>
      <c r="Z1008">
        <v>0</v>
      </c>
    </row>
    <row r="1009" spans="1:26" hidden="1" x14ac:dyDescent="0.25">
      <c r="A1009" t="s">
        <v>2484</v>
      </c>
      <c r="B1009" t="s">
        <v>38</v>
      </c>
      <c r="C1009" s="4">
        <v>44434</v>
      </c>
      <c r="D1009" s="4">
        <v>45224</v>
      </c>
      <c r="F1009" s="4">
        <v>45931</v>
      </c>
      <c r="G1009" t="s">
        <v>65</v>
      </c>
      <c r="H1009" t="s">
        <v>1876</v>
      </c>
      <c r="K1009" t="s">
        <v>67</v>
      </c>
      <c r="L1009" t="s">
        <v>2154</v>
      </c>
      <c r="M1009" t="s">
        <v>68</v>
      </c>
      <c r="N1009" t="s">
        <v>2155</v>
      </c>
      <c r="O1009" t="s">
        <v>32</v>
      </c>
      <c r="P1009" t="s">
        <v>2450</v>
      </c>
      <c r="Q1009">
        <v>150</v>
      </c>
      <c r="R1009">
        <v>150</v>
      </c>
      <c r="S1009" t="s">
        <v>159</v>
      </c>
      <c r="T1009" t="s">
        <v>159</v>
      </c>
      <c r="U1009" t="s">
        <v>44</v>
      </c>
      <c r="W1009">
        <v>0</v>
      </c>
      <c r="X1009">
        <v>0</v>
      </c>
      <c r="Y1009">
        <v>0</v>
      </c>
      <c r="Z1009">
        <v>0</v>
      </c>
    </row>
    <row r="1010" spans="1:26" hidden="1" x14ac:dyDescent="0.25">
      <c r="A1010" t="s">
        <v>2485</v>
      </c>
      <c r="B1010" t="s">
        <v>38</v>
      </c>
      <c r="C1010" s="4">
        <v>44643</v>
      </c>
      <c r="D1010" s="4">
        <v>46009</v>
      </c>
      <c r="F1010" s="4">
        <v>45931</v>
      </c>
      <c r="G1010" t="s">
        <v>1251</v>
      </c>
      <c r="H1010" t="s">
        <v>2135</v>
      </c>
      <c r="K1010" t="s">
        <v>109</v>
      </c>
      <c r="L1010" t="s">
        <v>2154</v>
      </c>
      <c r="M1010" t="s">
        <v>84</v>
      </c>
      <c r="N1010" t="s">
        <v>2160</v>
      </c>
      <c r="O1010" t="s">
        <v>32</v>
      </c>
      <c r="P1010" t="s">
        <v>2403</v>
      </c>
      <c r="Q1010">
        <v>65</v>
      </c>
      <c r="R1010">
        <v>65</v>
      </c>
      <c r="S1010" t="s">
        <v>159</v>
      </c>
      <c r="T1010" t="s">
        <v>159</v>
      </c>
      <c r="U1010" t="s">
        <v>44</v>
      </c>
      <c r="W1010">
        <v>65</v>
      </c>
      <c r="X1010">
        <v>65</v>
      </c>
      <c r="Y1010">
        <v>0</v>
      </c>
      <c r="Z1010">
        <v>0</v>
      </c>
    </row>
    <row r="1011" spans="1:26" hidden="1" x14ac:dyDescent="0.25">
      <c r="A1011" t="s">
        <v>2486</v>
      </c>
      <c r="B1011" t="s">
        <v>38</v>
      </c>
      <c r="C1011" s="4">
        <v>44434</v>
      </c>
      <c r="D1011" s="4">
        <v>45224</v>
      </c>
      <c r="F1011" s="4">
        <v>45931</v>
      </c>
      <c r="G1011" t="s">
        <v>65</v>
      </c>
      <c r="H1011" t="s">
        <v>2482</v>
      </c>
      <c r="K1011" t="s">
        <v>67</v>
      </c>
      <c r="L1011" t="s">
        <v>2154</v>
      </c>
      <c r="M1011" t="s">
        <v>68</v>
      </c>
      <c r="N1011" t="s">
        <v>2155</v>
      </c>
      <c r="O1011" t="s">
        <v>32</v>
      </c>
      <c r="P1011" t="s">
        <v>2483</v>
      </c>
      <c r="Q1011">
        <v>80</v>
      </c>
      <c r="R1011">
        <v>80</v>
      </c>
      <c r="S1011" t="s">
        <v>159</v>
      </c>
      <c r="T1011" t="s">
        <v>159</v>
      </c>
      <c r="U1011" t="s">
        <v>44</v>
      </c>
      <c r="W1011">
        <v>0</v>
      </c>
      <c r="X1011">
        <v>0</v>
      </c>
      <c r="Y1011">
        <v>0</v>
      </c>
      <c r="Z1011">
        <v>0</v>
      </c>
    </row>
    <row r="1012" spans="1:26" hidden="1" x14ac:dyDescent="0.25">
      <c r="A1012" t="s">
        <v>2487</v>
      </c>
      <c r="B1012" t="s">
        <v>25</v>
      </c>
      <c r="C1012" s="4">
        <v>44434</v>
      </c>
      <c r="F1012" s="4">
        <v>45931</v>
      </c>
      <c r="G1012" t="s">
        <v>1326</v>
      </c>
      <c r="H1012" t="s">
        <v>2482</v>
      </c>
      <c r="K1012" t="s">
        <v>67</v>
      </c>
      <c r="L1012" t="s">
        <v>2154</v>
      </c>
      <c r="M1012" t="s">
        <v>68</v>
      </c>
      <c r="N1012" t="s">
        <v>2155</v>
      </c>
      <c r="O1012" t="s">
        <v>32</v>
      </c>
      <c r="P1012" t="s">
        <v>2488</v>
      </c>
      <c r="Q1012">
        <v>75</v>
      </c>
      <c r="R1012">
        <v>75</v>
      </c>
      <c r="S1012" t="s">
        <v>34</v>
      </c>
      <c r="T1012" t="s">
        <v>35</v>
      </c>
      <c r="U1012" t="s">
        <v>44</v>
      </c>
      <c r="V1012" s="4">
        <v>46813</v>
      </c>
      <c r="W1012">
        <v>75</v>
      </c>
      <c r="X1012">
        <v>75</v>
      </c>
      <c r="Y1012">
        <v>75</v>
      </c>
      <c r="Z1012">
        <v>0</v>
      </c>
    </row>
    <row r="1013" spans="1:26" hidden="1" x14ac:dyDescent="0.25">
      <c r="A1013" t="s">
        <v>2489</v>
      </c>
      <c r="B1013" t="s">
        <v>38</v>
      </c>
      <c r="C1013" s="4">
        <v>44434</v>
      </c>
      <c r="D1013" s="4">
        <v>45224</v>
      </c>
      <c r="F1013" s="4">
        <v>45931</v>
      </c>
      <c r="G1013" t="s">
        <v>144</v>
      </c>
      <c r="H1013" t="s">
        <v>1418</v>
      </c>
      <c r="K1013" t="s">
        <v>146</v>
      </c>
      <c r="L1013" t="s">
        <v>2154</v>
      </c>
      <c r="M1013" t="s">
        <v>68</v>
      </c>
      <c r="N1013" t="s">
        <v>2155</v>
      </c>
      <c r="O1013" t="s">
        <v>32</v>
      </c>
      <c r="P1013" t="s">
        <v>2341</v>
      </c>
      <c r="Q1013">
        <v>50</v>
      </c>
      <c r="R1013">
        <v>50</v>
      </c>
      <c r="S1013" t="s">
        <v>159</v>
      </c>
      <c r="T1013" t="s">
        <v>159</v>
      </c>
      <c r="U1013" t="s">
        <v>44</v>
      </c>
      <c r="W1013">
        <v>0</v>
      </c>
      <c r="X1013">
        <v>0</v>
      </c>
      <c r="Y1013">
        <v>0</v>
      </c>
      <c r="Z1013">
        <v>0</v>
      </c>
    </row>
    <row r="1014" spans="1:26" hidden="1" x14ac:dyDescent="0.25">
      <c r="A1014" t="s">
        <v>2490</v>
      </c>
      <c r="B1014" t="s">
        <v>38</v>
      </c>
      <c r="C1014" s="4">
        <v>44530</v>
      </c>
      <c r="D1014" s="4">
        <v>45224</v>
      </c>
      <c r="F1014" s="4">
        <v>45931</v>
      </c>
      <c r="G1014" t="s">
        <v>144</v>
      </c>
      <c r="H1014" t="s">
        <v>2214</v>
      </c>
      <c r="K1014" t="s">
        <v>146</v>
      </c>
      <c r="L1014" t="s">
        <v>2154</v>
      </c>
      <c r="M1014" t="s">
        <v>68</v>
      </c>
      <c r="N1014" t="s">
        <v>2155</v>
      </c>
      <c r="O1014" t="s">
        <v>32</v>
      </c>
      <c r="P1014" t="s">
        <v>2491</v>
      </c>
      <c r="Q1014">
        <v>20</v>
      </c>
      <c r="R1014">
        <v>20</v>
      </c>
      <c r="S1014" t="s">
        <v>159</v>
      </c>
      <c r="T1014" t="s">
        <v>159</v>
      </c>
      <c r="U1014" t="s">
        <v>44</v>
      </c>
      <c r="W1014">
        <v>0</v>
      </c>
      <c r="X1014">
        <v>0</v>
      </c>
      <c r="Y1014">
        <v>0</v>
      </c>
      <c r="Z1014">
        <v>0</v>
      </c>
    </row>
    <row r="1015" spans="1:26" hidden="1" x14ac:dyDescent="0.25">
      <c r="A1015" t="s">
        <v>2492</v>
      </c>
      <c r="B1015" t="s">
        <v>38</v>
      </c>
      <c r="C1015" s="4">
        <v>44530</v>
      </c>
      <c r="D1015" s="4">
        <v>45224</v>
      </c>
      <c r="F1015" s="4">
        <v>45931</v>
      </c>
      <c r="G1015" t="s">
        <v>144</v>
      </c>
      <c r="H1015" t="s">
        <v>2214</v>
      </c>
      <c r="K1015" t="s">
        <v>146</v>
      </c>
      <c r="L1015" t="s">
        <v>2154</v>
      </c>
      <c r="M1015" t="s">
        <v>68</v>
      </c>
      <c r="N1015" t="s">
        <v>2155</v>
      </c>
      <c r="O1015" t="s">
        <v>32</v>
      </c>
      <c r="P1015" t="s">
        <v>2491</v>
      </c>
      <c r="Q1015">
        <v>52.92</v>
      </c>
      <c r="R1015">
        <v>52.92</v>
      </c>
      <c r="S1015" t="s">
        <v>159</v>
      </c>
      <c r="T1015" t="s">
        <v>159</v>
      </c>
      <c r="U1015" t="s">
        <v>44</v>
      </c>
      <c r="W1015">
        <v>0</v>
      </c>
      <c r="X1015">
        <v>0</v>
      </c>
      <c r="Y1015">
        <v>0</v>
      </c>
      <c r="Z1015">
        <v>0</v>
      </c>
    </row>
    <row r="1016" spans="1:26" hidden="1" x14ac:dyDescent="0.25">
      <c r="A1016" t="s">
        <v>2493</v>
      </c>
      <c r="B1016" t="s">
        <v>38</v>
      </c>
      <c r="C1016" s="4">
        <v>44523</v>
      </c>
      <c r="D1016" s="4">
        <v>45209</v>
      </c>
      <c r="F1016" s="4">
        <v>46296</v>
      </c>
      <c r="G1016" t="s">
        <v>39</v>
      </c>
      <c r="H1016" t="s">
        <v>1550</v>
      </c>
      <c r="K1016" t="s">
        <v>28</v>
      </c>
      <c r="L1016" t="s">
        <v>2154</v>
      </c>
      <c r="M1016" t="s">
        <v>42</v>
      </c>
      <c r="N1016" t="s">
        <v>2160</v>
      </c>
      <c r="O1016" t="s">
        <v>32</v>
      </c>
      <c r="P1016" t="s">
        <v>2494</v>
      </c>
      <c r="Q1016">
        <v>100</v>
      </c>
      <c r="R1016">
        <v>100</v>
      </c>
      <c r="S1016" t="s">
        <v>159</v>
      </c>
      <c r="T1016" t="s">
        <v>159</v>
      </c>
      <c r="U1016" t="s">
        <v>44</v>
      </c>
      <c r="W1016">
        <v>0</v>
      </c>
      <c r="X1016">
        <v>0</v>
      </c>
      <c r="Y1016">
        <v>0</v>
      </c>
      <c r="Z1016">
        <v>0</v>
      </c>
    </row>
    <row r="1017" spans="1:26" hidden="1" x14ac:dyDescent="0.25">
      <c r="A1017" t="s">
        <v>2495</v>
      </c>
      <c r="B1017" t="s">
        <v>38</v>
      </c>
      <c r="C1017" s="4">
        <v>44434</v>
      </c>
      <c r="D1017" s="4">
        <v>45224</v>
      </c>
      <c r="F1017" s="4">
        <v>45931</v>
      </c>
      <c r="G1017" t="s">
        <v>1311</v>
      </c>
      <c r="H1017" t="s">
        <v>2496</v>
      </c>
      <c r="K1017" t="s">
        <v>114</v>
      </c>
      <c r="L1017" t="s">
        <v>2154</v>
      </c>
      <c r="M1017" t="s">
        <v>68</v>
      </c>
      <c r="N1017" t="s">
        <v>2155</v>
      </c>
      <c r="O1017" t="s">
        <v>32</v>
      </c>
      <c r="P1017" t="s">
        <v>2497</v>
      </c>
      <c r="Q1017">
        <v>90</v>
      </c>
      <c r="R1017">
        <v>90</v>
      </c>
      <c r="S1017" t="s">
        <v>159</v>
      </c>
      <c r="T1017" t="s">
        <v>159</v>
      </c>
      <c r="U1017" t="s">
        <v>44</v>
      </c>
      <c r="W1017">
        <v>0</v>
      </c>
      <c r="X1017">
        <v>0</v>
      </c>
      <c r="Y1017">
        <v>0</v>
      </c>
      <c r="Z1017">
        <v>0</v>
      </c>
    </row>
    <row r="1018" spans="1:26" hidden="1" x14ac:dyDescent="0.25">
      <c r="A1018" t="s">
        <v>2498</v>
      </c>
      <c r="B1018" t="s">
        <v>38</v>
      </c>
      <c r="C1018" s="4">
        <v>44643</v>
      </c>
      <c r="D1018" s="4">
        <v>45573</v>
      </c>
      <c r="F1018" s="4">
        <v>45931</v>
      </c>
      <c r="G1018" t="s">
        <v>1679</v>
      </c>
      <c r="H1018" t="s">
        <v>2499</v>
      </c>
      <c r="K1018" t="s">
        <v>683</v>
      </c>
      <c r="L1018" t="s">
        <v>2154</v>
      </c>
      <c r="M1018" t="s">
        <v>84</v>
      </c>
      <c r="N1018" t="s">
        <v>2160</v>
      </c>
      <c r="O1018" t="s">
        <v>32</v>
      </c>
      <c r="P1018" t="s">
        <v>2500</v>
      </c>
      <c r="Q1018">
        <v>100</v>
      </c>
      <c r="R1018">
        <v>100</v>
      </c>
      <c r="S1018" t="s">
        <v>159</v>
      </c>
      <c r="T1018" t="s">
        <v>159</v>
      </c>
      <c r="U1018" t="s">
        <v>44</v>
      </c>
      <c r="W1018">
        <v>0</v>
      </c>
      <c r="X1018">
        <v>0</v>
      </c>
      <c r="Y1018">
        <v>0</v>
      </c>
      <c r="Z1018">
        <v>0</v>
      </c>
    </row>
    <row r="1019" spans="1:26" hidden="1" x14ac:dyDescent="0.25">
      <c r="A1019" t="s">
        <v>2501</v>
      </c>
      <c r="B1019" t="s">
        <v>38</v>
      </c>
      <c r="C1019" s="4">
        <v>44434</v>
      </c>
      <c r="D1019" s="4">
        <v>44538</v>
      </c>
      <c r="F1019" s="4">
        <v>45931</v>
      </c>
      <c r="G1019" t="s">
        <v>1679</v>
      </c>
      <c r="H1019" t="s">
        <v>2499</v>
      </c>
      <c r="K1019" t="s">
        <v>683</v>
      </c>
      <c r="L1019" t="s">
        <v>2154</v>
      </c>
      <c r="M1019" t="s">
        <v>84</v>
      </c>
      <c r="N1019" t="s">
        <v>2160</v>
      </c>
      <c r="O1019" t="s">
        <v>32</v>
      </c>
      <c r="P1019" t="s">
        <v>2502</v>
      </c>
      <c r="Q1019">
        <v>100</v>
      </c>
      <c r="R1019">
        <v>100</v>
      </c>
      <c r="S1019" t="s">
        <v>34</v>
      </c>
      <c r="T1019" t="s">
        <v>35</v>
      </c>
      <c r="W1019">
        <v>0</v>
      </c>
      <c r="X1019">
        <v>0</v>
      </c>
      <c r="Y1019">
        <v>0</v>
      </c>
      <c r="Z1019">
        <v>0</v>
      </c>
    </row>
    <row r="1020" spans="1:26" hidden="1" x14ac:dyDescent="0.25">
      <c r="A1020" t="s">
        <v>2503</v>
      </c>
      <c r="B1020" t="s">
        <v>38</v>
      </c>
      <c r="C1020" s="4">
        <v>44523</v>
      </c>
      <c r="D1020" s="4">
        <v>45209</v>
      </c>
      <c r="F1020" s="4">
        <v>46296</v>
      </c>
      <c r="G1020" t="s">
        <v>39</v>
      </c>
      <c r="H1020" t="s">
        <v>1550</v>
      </c>
      <c r="K1020" t="s">
        <v>28</v>
      </c>
      <c r="L1020" t="s">
        <v>2154</v>
      </c>
      <c r="M1020" t="s">
        <v>42</v>
      </c>
      <c r="N1020" t="s">
        <v>2160</v>
      </c>
      <c r="O1020" t="s">
        <v>32</v>
      </c>
      <c r="P1020" t="s">
        <v>2494</v>
      </c>
      <c r="Q1020">
        <v>190</v>
      </c>
      <c r="R1020">
        <v>190</v>
      </c>
      <c r="S1020" t="s">
        <v>34</v>
      </c>
      <c r="T1020" t="s">
        <v>35</v>
      </c>
      <c r="U1020" t="s">
        <v>44</v>
      </c>
      <c r="W1020">
        <v>0</v>
      </c>
      <c r="X1020">
        <v>0</v>
      </c>
      <c r="Y1020">
        <v>0</v>
      </c>
      <c r="Z1020">
        <v>0</v>
      </c>
    </row>
    <row r="1021" spans="1:26" hidden="1" x14ac:dyDescent="0.25">
      <c r="A1021" t="s">
        <v>2504</v>
      </c>
      <c r="B1021" t="s">
        <v>38</v>
      </c>
      <c r="C1021" s="4">
        <v>44435</v>
      </c>
      <c r="D1021" s="4">
        <v>44530</v>
      </c>
      <c r="F1021" s="4">
        <v>45705</v>
      </c>
      <c r="G1021" t="s">
        <v>39</v>
      </c>
      <c r="H1021" t="s">
        <v>2505</v>
      </c>
      <c r="K1021" t="s">
        <v>185</v>
      </c>
      <c r="L1021" t="s">
        <v>2154</v>
      </c>
      <c r="M1021" t="s">
        <v>42</v>
      </c>
      <c r="N1021" t="s">
        <v>2160</v>
      </c>
      <c r="O1021" t="s">
        <v>32</v>
      </c>
      <c r="P1021" t="s">
        <v>2506</v>
      </c>
      <c r="Q1021">
        <v>150</v>
      </c>
      <c r="R1021">
        <v>150</v>
      </c>
      <c r="S1021" t="s">
        <v>56</v>
      </c>
      <c r="T1021" t="s">
        <v>57</v>
      </c>
      <c r="W1021">
        <v>0</v>
      </c>
      <c r="X1021">
        <v>0</v>
      </c>
      <c r="Y1021">
        <v>0</v>
      </c>
      <c r="Z1021">
        <v>0</v>
      </c>
    </row>
    <row r="1022" spans="1:26" hidden="1" x14ac:dyDescent="0.25">
      <c r="A1022" t="s">
        <v>2507</v>
      </c>
      <c r="B1022" t="s">
        <v>38</v>
      </c>
      <c r="C1022" s="4">
        <v>44418</v>
      </c>
      <c r="D1022" s="4">
        <v>45224</v>
      </c>
      <c r="F1022" s="4">
        <v>45536</v>
      </c>
      <c r="G1022" t="s">
        <v>616</v>
      </c>
      <c r="H1022" t="s">
        <v>1656</v>
      </c>
      <c r="K1022" t="s">
        <v>146</v>
      </c>
      <c r="L1022" t="s">
        <v>2154</v>
      </c>
      <c r="M1022" t="s">
        <v>68</v>
      </c>
      <c r="N1022" t="s">
        <v>2155</v>
      </c>
      <c r="O1022" t="s">
        <v>32</v>
      </c>
      <c r="P1022" t="s">
        <v>2508</v>
      </c>
      <c r="Q1022">
        <v>260</v>
      </c>
      <c r="R1022">
        <v>260</v>
      </c>
      <c r="S1022" t="s">
        <v>597</v>
      </c>
      <c r="T1022" t="s">
        <v>598</v>
      </c>
      <c r="U1022" t="s">
        <v>44</v>
      </c>
      <c r="W1022">
        <v>0</v>
      </c>
      <c r="X1022">
        <v>0</v>
      </c>
      <c r="Y1022">
        <v>0</v>
      </c>
      <c r="Z1022">
        <v>0</v>
      </c>
    </row>
    <row r="1023" spans="1:26" hidden="1" x14ac:dyDescent="0.25">
      <c r="A1023" t="s">
        <v>2509</v>
      </c>
      <c r="B1023" t="s">
        <v>38</v>
      </c>
      <c r="C1023" s="4">
        <v>44407</v>
      </c>
      <c r="D1023" s="4">
        <v>45957</v>
      </c>
      <c r="F1023" s="4">
        <v>46022</v>
      </c>
      <c r="G1023" t="s">
        <v>39</v>
      </c>
      <c r="H1023" t="s">
        <v>2510</v>
      </c>
      <c r="K1023" t="s">
        <v>28</v>
      </c>
      <c r="L1023" t="s">
        <v>2154</v>
      </c>
      <c r="M1023" t="s">
        <v>42</v>
      </c>
      <c r="N1023" t="s">
        <v>2160</v>
      </c>
      <c r="O1023" t="s">
        <v>32</v>
      </c>
      <c r="P1023" t="s">
        <v>2511</v>
      </c>
      <c r="Q1023">
        <v>48.43</v>
      </c>
      <c r="R1023">
        <v>48.43</v>
      </c>
      <c r="S1023" t="s">
        <v>34</v>
      </c>
      <c r="T1023" t="s">
        <v>35</v>
      </c>
      <c r="U1023" t="s">
        <v>44</v>
      </c>
      <c r="W1023">
        <v>48.43</v>
      </c>
      <c r="X1023">
        <v>48.43</v>
      </c>
      <c r="Y1023">
        <v>0</v>
      </c>
      <c r="Z1023">
        <v>0</v>
      </c>
    </row>
    <row r="1024" spans="1:26" hidden="1" x14ac:dyDescent="0.25">
      <c r="A1024" t="s">
        <v>2512</v>
      </c>
      <c r="B1024" t="s">
        <v>38</v>
      </c>
      <c r="C1024" s="4">
        <v>44487</v>
      </c>
      <c r="D1024" s="4">
        <v>45957</v>
      </c>
      <c r="F1024" s="4">
        <v>45565</v>
      </c>
      <c r="G1024" t="s">
        <v>173</v>
      </c>
      <c r="H1024" t="s">
        <v>2057</v>
      </c>
      <c r="K1024" t="s">
        <v>41</v>
      </c>
      <c r="L1024" t="s">
        <v>2154</v>
      </c>
      <c r="M1024" t="s">
        <v>42</v>
      </c>
      <c r="N1024" t="s">
        <v>2160</v>
      </c>
      <c r="O1024" t="s">
        <v>32</v>
      </c>
      <c r="P1024" t="s">
        <v>2513</v>
      </c>
      <c r="Q1024">
        <v>200</v>
      </c>
      <c r="R1024">
        <v>200</v>
      </c>
      <c r="S1024" t="s">
        <v>34</v>
      </c>
      <c r="T1024" t="s">
        <v>35</v>
      </c>
      <c r="U1024" t="s">
        <v>44</v>
      </c>
      <c r="W1024">
        <v>200</v>
      </c>
      <c r="X1024">
        <v>200</v>
      </c>
      <c r="Y1024">
        <v>0</v>
      </c>
      <c r="Z1024">
        <v>0</v>
      </c>
    </row>
    <row r="1025" spans="1:26" hidden="1" x14ac:dyDescent="0.25">
      <c r="A1025" t="s">
        <v>2514</v>
      </c>
      <c r="B1025" t="s">
        <v>38</v>
      </c>
      <c r="C1025" s="4">
        <v>44434</v>
      </c>
      <c r="D1025" s="4">
        <v>45224</v>
      </c>
      <c r="F1025" s="4">
        <v>45397</v>
      </c>
      <c r="G1025" t="s">
        <v>1311</v>
      </c>
      <c r="H1025" t="s">
        <v>2515</v>
      </c>
      <c r="K1025" t="s">
        <v>114</v>
      </c>
      <c r="L1025" t="s">
        <v>2154</v>
      </c>
      <c r="M1025" t="s">
        <v>68</v>
      </c>
      <c r="N1025" t="s">
        <v>2155</v>
      </c>
      <c r="O1025" t="s">
        <v>32</v>
      </c>
      <c r="P1025" t="s">
        <v>2516</v>
      </c>
      <c r="Q1025">
        <v>94.1</v>
      </c>
      <c r="R1025">
        <v>94.1</v>
      </c>
      <c r="S1025" t="s">
        <v>34</v>
      </c>
      <c r="T1025" t="s">
        <v>35</v>
      </c>
      <c r="U1025" t="s">
        <v>44</v>
      </c>
      <c r="W1025">
        <v>0</v>
      </c>
      <c r="X1025">
        <v>0</v>
      </c>
      <c r="Y1025">
        <v>0</v>
      </c>
      <c r="Z1025">
        <v>0</v>
      </c>
    </row>
    <row r="1026" spans="1:26" hidden="1" x14ac:dyDescent="0.25">
      <c r="A1026" t="s">
        <v>2517</v>
      </c>
      <c r="B1026" t="s">
        <v>38</v>
      </c>
      <c r="C1026" s="4">
        <v>44421</v>
      </c>
      <c r="D1026" s="4">
        <v>45224</v>
      </c>
      <c r="F1026" s="4">
        <v>45658</v>
      </c>
      <c r="G1026" t="s">
        <v>149</v>
      </c>
      <c r="H1026" t="s">
        <v>2168</v>
      </c>
      <c r="K1026" t="s">
        <v>151</v>
      </c>
      <c r="L1026" t="s">
        <v>2154</v>
      </c>
      <c r="M1026" t="s">
        <v>68</v>
      </c>
      <c r="N1026" t="s">
        <v>2155</v>
      </c>
      <c r="O1026" t="s">
        <v>32</v>
      </c>
      <c r="P1026" t="s">
        <v>2169</v>
      </c>
      <c r="Q1026">
        <v>0</v>
      </c>
      <c r="R1026">
        <v>0</v>
      </c>
      <c r="S1026" t="s">
        <v>159</v>
      </c>
      <c r="T1026" t="s">
        <v>159</v>
      </c>
      <c r="U1026" t="s">
        <v>44</v>
      </c>
      <c r="W1026">
        <v>0</v>
      </c>
      <c r="X1026">
        <v>0</v>
      </c>
      <c r="Y1026">
        <v>0</v>
      </c>
      <c r="Z1026">
        <v>0</v>
      </c>
    </row>
    <row r="1027" spans="1:26" hidden="1" x14ac:dyDescent="0.25">
      <c r="A1027" t="s">
        <v>2518</v>
      </c>
      <c r="B1027" t="s">
        <v>38</v>
      </c>
      <c r="C1027" s="4">
        <v>44424</v>
      </c>
      <c r="D1027" s="4">
        <v>45224</v>
      </c>
      <c r="F1027" s="4">
        <v>45931</v>
      </c>
      <c r="G1027" t="s">
        <v>144</v>
      </c>
      <c r="H1027" t="s">
        <v>1409</v>
      </c>
      <c r="K1027" t="s">
        <v>146</v>
      </c>
      <c r="L1027" t="s">
        <v>2154</v>
      </c>
      <c r="M1027" t="s">
        <v>68</v>
      </c>
      <c r="N1027" t="s">
        <v>2155</v>
      </c>
      <c r="O1027" t="s">
        <v>32</v>
      </c>
      <c r="P1027" t="s">
        <v>2519</v>
      </c>
      <c r="Q1027">
        <v>95</v>
      </c>
      <c r="R1027">
        <v>95</v>
      </c>
      <c r="S1027" t="s">
        <v>34</v>
      </c>
      <c r="T1027" t="s">
        <v>35</v>
      </c>
      <c r="U1027" t="s">
        <v>44</v>
      </c>
      <c r="W1027">
        <v>0</v>
      </c>
      <c r="X1027">
        <v>0</v>
      </c>
      <c r="Y1027">
        <v>0</v>
      </c>
      <c r="Z1027">
        <v>0</v>
      </c>
    </row>
    <row r="1028" spans="1:26" hidden="1" x14ac:dyDescent="0.25">
      <c r="A1028" t="s">
        <v>2520</v>
      </c>
      <c r="B1028" t="s">
        <v>2153</v>
      </c>
      <c r="C1028" s="4">
        <v>44515</v>
      </c>
      <c r="F1028" s="4">
        <v>44897</v>
      </c>
      <c r="G1028" t="s">
        <v>907</v>
      </c>
      <c r="H1028" t="s">
        <v>2521</v>
      </c>
      <c r="K1028" t="s">
        <v>53</v>
      </c>
      <c r="L1028" t="s">
        <v>2154</v>
      </c>
      <c r="M1028" t="s">
        <v>54</v>
      </c>
      <c r="N1028" t="s">
        <v>2155</v>
      </c>
      <c r="O1028" t="s">
        <v>32</v>
      </c>
      <c r="P1028" t="s">
        <v>2522</v>
      </c>
      <c r="Q1028">
        <v>100</v>
      </c>
      <c r="R1028">
        <v>100</v>
      </c>
      <c r="S1028" t="s">
        <v>159</v>
      </c>
      <c r="T1028" t="s">
        <v>159</v>
      </c>
      <c r="U1028" t="s">
        <v>44</v>
      </c>
      <c r="V1028" s="4">
        <v>46723</v>
      </c>
      <c r="W1028">
        <v>100</v>
      </c>
      <c r="X1028">
        <v>100</v>
      </c>
      <c r="Y1028">
        <v>100</v>
      </c>
      <c r="Z1028">
        <v>100</v>
      </c>
    </row>
    <row r="1029" spans="1:26" hidden="1" x14ac:dyDescent="0.25">
      <c r="A1029" t="s">
        <v>2523</v>
      </c>
      <c r="B1029" t="s">
        <v>2153</v>
      </c>
      <c r="C1029" s="4">
        <v>45852</v>
      </c>
      <c r="F1029" s="4">
        <v>45596</v>
      </c>
      <c r="G1029" t="s">
        <v>173</v>
      </c>
      <c r="H1029" t="s">
        <v>2111</v>
      </c>
      <c r="K1029" t="s">
        <v>41</v>
      </c>
      <c r="L1029" t="s">
        <v>2154</v>
      </c>
      <c r="M1029" t="s">
        <v>42</v>
      </c>
      <c r="N1029" t="s">
        <v>2160</v>
      </c>
      <c r="O1029" t="s">
        <v>32</v>
      </c>
      <c r="P1029" t="s">
        <v>2524</v>
      </c>
      <c r="Q1029">
        <v>150</v>
      </c>
      <c r="R1029">
        <v>150</v>
      </c>
      <c r="S1029" t="s">
        <v>34</v>
      </c>
      <c r="T1029" t="s">
        <v>35</v>
      </c>
      <c r="U1029" t="s">
        <v>44</v>
      </c>
      <c r="W1029">
        <v>150</v>
      </c>
      <c r="X1029">
        <v>150</v>
      </c>
      <c r="Y1029">
        <v>150</v>
      </c>
      <c r="Z1029">
        <v>150</v>
      </c>
    </row>
    <row r="1030" spans="1:26" hidden="1" x14ac:dyDescent="0.25">
      <c r="A1030" t="s">
        <v>2525</v>
      </c>
      <c r="B1030" t="s">
        <v>38</v>
      </c>
      <c r="C1030" s="4">
        <v>44418</v>
      </c>
      <c r="D1030" s="4">
        <v>45723</v>
      </c>
      <c r="F1030" s="4">
        <v>45413</v>
      </c>
      <c r="G1030" t="s">
        <v>65</v>
      </c>
      <c r="H1030" t="s">
        <v>2526</v>
      </c>
      <c r="K1030" t="s">
        <v>67</v>
      </c>
      <c r="L1030" t="s">
        <v>2154</v>
      </c>
      <c r="M1030" t="s">
        <v>68</v>
      </c>
      <c r="N1030" t="s">
        <v>2155</v>
      </c>
      <c r="O1030" t="s">
        <v>32</v>
      </c>
      <c r="P1030" t="s">
        <v>2527</v>
      </c>
      <c r="Q1030">
        <v>250</v>
      </c>
      <c r="R1030">
        <v>250</v>
      </c>
      <c r="S1030" t="s">
        <v>34</v>
      </c>
      <c r="T1030" t="s">
        <v>35</v>
      </c>
      <c r="U1030" t="s">
        <v>44</v>
      </c>
      <c r="W1030">
        <v>250</v>
      </c>
      <c r="X1030">
        <v>0</v>
      </c>
      <c r="Y1030">
        <v>0</v>
      </c>
      <c r="Z1030">
        <v>0</v>
      </c>
    </row>
    <row r="1031" spans="1:26" hidden="1" x14ac:dyDescent="0.25">
      <c r="A1031" t="s">
        <v>2528</v>
      </c>
      <c r="B1031" t="s">
        <v>2153</v>
      </c>
      <c r="C1031" s="4">
        <v>44530</v>
      </c>
      <c r="F1031" s="4">
        <v>45536</v>
      </c>
      <c r="G1031" t="s">
        <v>1278</v>
      </c>
      <c r="H1031" t="s">
        <v>1938</v>
      </c>
      <c r="K1031" t="s">
        <v>53</v>
      </c>
      <c r="L1031" t="s">
        <v>2154</v>
      </c>
      <c r="M1031" t="s">
        <v>30</v>
      </c>
      <c r="N1031" t="s">
        <v>2155</v>
      </c>
      <c r="O1031" t="s">
        <v>32</v>
      </c>
      <c r="P1031" t="s">
        <v>2529</v>
      </c>
      <c r="Q1031">
        <v>62.5</v>
      </c>
      <c r="R1031">
        <v>62.5</v>
      </c>
      <c r="S1031" t="s">
        <v>34</v>
      </c>
      <c r="T1031" t="s">
        <v>35</v>
      </c>
      <c r="U1031" t="s">
        <v>44</v>
      </c>
      <c r="V1031" s="4">
        <v>46631</v>
      </c>
      <c r="W1031">
        <v>62.5</v>
      </c>
      <c r="X1031">
        <v>62.5</v>
      </c>
      <c r="Y1031">
        <v>62.5</v>
      </c>
      <c r="Z1031">
        <v>62.5</v>
      </c>
    </row>
    <row r="1032" spans="1:26" hidden="1" x14ac:dyDescent="0.25">
      <c r="A1032" t="s">
        <v>2530</v>
      </c>
      <c r="B1032" t="s">
        <v>38</v>
      </c>
      <c r="C1032" s="4">
        <v>42902</v>
      </c>
      <c r="D1032" s="4">
        <v>43474</v>
      </c>
      <c r="F1032" s="4">
        <v>41153</v>
      </c>
      <c r="G1032" t="s">
        <v>72</v>
      </c>
      <c r="H1032" t="s">
        <v>590</v>
      </c>
      <c r="K1032" t="s">
        <v>53</v>
      </c>
      <c r="L1032" t="s">
        <v>2531</v>
      </c>
      <c r="M1032" t="s">
        <v>54</v>
      </c>
      <c r="N1032" t="s">
        <v>31</v>
      </c>
      <c r="O1032" t="s">
        <v>32</v>
      </c>
      <c r="P1032" t="s">
        <v>2532</v>
      </c>
      <c r="Q1032">
        <v>200</v>
      </c>
      <c r="R1032">
        <v>200</v>
      </c>
      <c r="S1032" t="s">
        <v>56</v>
      </c>
      <c r="T1032" t="s">
        <v>57</v>
      </c>
      <c r="U1032" t="s">
        <v>44</v>
      </c>
      <c r="W1032">
        <v>0</v>
      </c>
      <c r="X1032">
        <v>0</v>
      </c>
      <c r="Y1032">
        <v>0</v>
      </c>
      <c r="Z1032">
        <v>0</v>
      </c>
    </row>
    <row r="1033" spans="1:26" hidden="1" x14ac:dyDescent="0.25">
      <c r="A1033" t="s">
        <v>2533</v>
      </c>
      <c r="B1033" t="s">
        <v>38</v>
      </c>
      <c r="C1033" s="4">
        <v>44398</v>
      </c>
      <c r="D1033" s="4">
        <v>45957</v>
      </c>
      <c r="F1033" s="4">
        <v>45596</v>
      </c>
      <c r="G1033" t="s">
        <v>173</v>
      </c>
      <c r="H1033" t="s">
        <v>2534</v>
      </c>
      <c r="K1033" t="s">
        <v>41</v>
      </c>
      <c r="L1033" t="s">
        <v>2154</v>
      </c>
      <c r="M1033" t="s">
        <v>42</v>
      </c>
      <c r="N1033" t="s">
        <v>2160</v>
      </c>
      <c r="O1033" t="s">
        <v>32</v>
      </c>
      <c r="P1033" t="s">
        <v>2535</v>
      </c>
      <c r="Q1033">
        <v>120</v>
      </c>
      <c r="R1033">
        <v>120</v>
      </c>
      <c r="S1033" t="s">
        <v>34</v>
      </c>
      <c r="T1033" t="s">
        <v>35</v>
      </c>
      <c r="U1033" t="s">
        <v>44</v>
      </c>
      <c r="W1033">
        <v>56</v>
      </c>
      <c r="X1033">
        <v>56</v>
      </c>
      <c r="Y1033">
        <v>0</v>
      </c>
      <c r="Z1033">
        <v>0</v>
      </c>
    </row>
    <row r="1034" spans="1:26" hidden="1" x14ac:dyDescent="0.25">
      <c r="A1034" t="s">
        <v>2536</v>
      </c>
      <c r="B1034" t="s">
        <v>2153</v>
      </c>
      <c r="C1034" s="4">
        <v>44421</v>
      </c>
      <c r="F1034" s="4">
        <v>46371</v>
      </c>
      <c r="G1034" t="s">
        <v>72</v>
      </c>
      <c r="H1034" t="s">
        <v>2537</v>
      </c>
      <c r="K1034" t="s">
        <v>209</v>
      </c>
      <c r="L1034" t="s">
        <v>2154</v>
      </c>
      <c r="M1034" t="s">
        <v>42</v>
      </c>
      <c r="N1034" t="s">
        <v>2160</v>
      </c>
      <c r="O1034" t="s">
        <v>32</v>
      </c>
      <c r="P1034" t="s">
        <v>2538</v>
      </c>
      <c r="Q1034">
        <v>100</v>
      </c>
      <c r="R1034">
        <v>100</v>
      </c>
      <c r="S1034" t="s">
        <v>56</v>
      </c>
      <c r="T1034" t="s">
        <v>57</v>
      </c>
      <c r="U1034" t="s">
        <v>44</v>
      </c>
      <c r="W1034">
        <v>100</v>
      </c>
      <c r="X1034">
        <v>100</v>
      </c>
      <c r="Y1034">
        <v>100</v>
      </c>
      <c r="Z1034">
        <v>100</v>
      </c>
    </row>
    <row r="1035" spans="1:26" hidden="1" x14ac:dyDescent="0.25">
      <c r="A1035" t="s">
        <v>2539</v>
      </c>
      <c r="B1035" t="s">
        <v>38</v>
      </c>
      <c r="C1035" s="4">
        <v>44643</v>
      </c>
      <c r="D1035" s="4">
        <v>46009</v>
      </c>
      <c r="F1035" s="4">
        <v>45931</v>
      </c>
      <c r="G1035" t="s">
        <v>1257</v>
      </c>
      <c r="H1035" t="s">
        <v>1258</v>
      </c>
      <c r="K1035" t="s">
        <v>98</v>
      </c>
      <c r="L1035" t="s">
        <v>2154</v>
      </c>
      <c r="M1035" t="s">
        <v>84</v>
      </c>
      <c r="N1035" t="s">
        <v>2160</v>
      </c>
      <c r="O1035" t="s">
        <v>32</v>
      </c>
      <c r="P1035" t="s">
        <v>2540</v>
      </c>
      <c r="Q1035">
        <v>70</v>
      </c>
      <c r="R1035">
        <v>70</v>
      </c>
      <c r="S1035" t="s">
        <v>159</v>
      </c>
      <c r="T1035" t="s">
        <v>159</v>
      </c>
      <c r="U1035" t="s">
        <v>44</v>
      </c>
      <c r="W1035">
        <v>70</v>
      </c>
      <c r="X1035">
        <v>70</v>
      </c>
      <c r="Y1035">
        <v>0</v>
      </c>
      <c r="Z1035">
        <v>0</v>
      </c>
    </row>
    <row r="1036" spans="1:26" hidden="1" x14ac:dyDescent="0.25">
      <c r="A1036" t="s">
        <v>2541</v>
      </c>
      <c r="B1036" t="s">
        <v>2153</v>
      </c>
      <c r="C1036" s="4">
        <v>44434</v>
      </c>
      <c r="F1036" s="4">
        <v>45397</v>
      </c>
      <c r="G1036" t="s">
        <v>117</v>
      </c>
      <c r="H1036" t="s">
        <v>1542</v>
      </c>
      <c r="K1036" t="s">
        <v>83</v>
      </c>
      <c r="L1036" t="s">
        <v>2154</v>
      </c>
      <c r="M1036" t="s">
        <v>84</v>
      </c>
      <c r="N1036" t="s">
        <v>2160</v>
      </c>
      <c r="O1036" t="s">
        <v>32</v>
      </c>
      <c r="P1036" t="s">
        <v>1774</v>
      </c>
      <c r="Q1036">
        <v>200</v>
      </c>
      <c r="R1036">
        <v>200</v>
      </c>
      <c r="S1036" t="s">
        <v>34</v>
      </c>
      <c r="T1036" t="s">
        <v>35</v>
      </c>
      <c r="U1036" t="s">
        <v>44</v>
      </c>
      <c r="W1036">
        <v>200</v>
      </c>
      <c r="X1036">
        <v>200</v>
      </c>
      <c r="Y1036">
        <v>200</v>
      </c>
      <c r="Z1036">
        <v>200</v>
      </c>
    </row>
    <row r="1037" spans="1:26" hidden="1" x14ac:dyDescent="0.25">
      <c r="A1037" t="s">
        <v>2542</v>
      </c>
      <c r="B1037" t="s">
        <v>38</v>
      </c>
      <c r="C1037" s="4">
        <v>44656</v>
      </c>
      <c r="D1037" s="4">
        <v>45224</v>
      </c>
      <c r="F1037" s="4">
        <v>45778</v>
      </c>
      <c r="G1037" t="s">
        <v>144</v>
      </c>
      <c r="H1037" t="s">
        <v>2127</v>
      </c>
      <c r="K1037" t="s">
        <v>146</v>
      </c>
      <c r="L1037" t="s">
        <v>2154</v>
      </c>
      <c r="M1037" t="s">
        <v>68</v>
      </c>
      <c r="N1037" t="s">
        <v>2155</v>
      </c>
      <c r="O1037" t="s">
        <v>32</v>
      </c>
      <c r="P1037" t="s">
        <v>2543</v>
      </c>
      <c r="Q1037">
        <v>0</v>
      </c>
      <c r="R1037">
        <v>0</v>
      </c>
      <c r="S1037" t="s">
        <v>159</v>
      </c>
      <c r="T1037" t="s">
        <v>159</v>
      </c>
      <c r="U1037" t="s">
        <v>44</v>
      </c>
      <c r="W1037">
        <v>0</v>
      </c>
      <c r="X1037">
        <v>0</v>
      </c>
      <c r="Y1037">
        <v>0</v>
      </c>
      <c r="Z1037">
        <v>0</v>
      </c>
    </row>
    <row r="1038" spans="1:26" hidden="1" x14ac:dyDescent="0.25">
      <c r="A1038" t="s">
        <v>2544</v>
      </c>
      <c r="B1038" t="s">
        <v>38</v>
      </c>
      <c r="C1038" s="4">
        <v>44656</v>
      </c>
      <c r="D1038" s="4">
        <v>45224</v>
      </c>
      <c r="F1038" s="4">
        <v>45778</v>
      </c>
      <c r="G1038" t="s">
        <v>144</v>
      </c>
      <c r="H1038" t="s">
        <v>2127</v>
      </c>
      <c r="K1038" t="s">
        <v>146</v>
      </c>
      <c r="L1038" t="s">
        <v>2154</v>
      </c>
      <c r="M1038" t="s">
        <v>68</v>
      </c>
      <c r="N1038" t="s">
        <v>2155</v>
      </c>
      <c r="O1038" t="s">
        <v>32</v>
      </c>
      <c r="P1038" t="s">
        <v>2543</v>
      </c>
      <c r="Q1038">
        <v>200</v>
      </c>
      <c r="R1038">
        <v>200</v>
      </c>
      <c r="S1038" t="s">
        <v>34</v>
      </c>
      <c r="T1038" t="s">
        <v>35</v>
      </c>
      <c r="U1038" t="s">
        <v>44</v>
      </c>
      <c r="W1038">
        <v>0</v>
      </c>
      <c r="X1038">
        <v>0</v>
      </c>
      <c r="Y1038">
        <v>0</v>
      </c>
      <c r="Z1038">
        <v>0</v>
      </c>
    </row>
    <row r="1039" spans="1:26" hidden="1" x14ac:dyDescent="0.25">
      <c r="A1039" t="s">
        <v>2545</v>
      </c>
      <c r="B1039" t="s">
        <v>2153</v>
      </c>
      <c r="C1039" s="4">
        <v>44656</v>
      </c>
      <c r="F1039" s="4">
        <v>45139</v>
      </c>
      <c r="G1039" t="s">
        <v>117</v>
      </c>
      <c r="H1039" t="s">
        <v>1923</v>
      </c>
      <c r="K1039" t="s">
        <v>83</v>
      </c>
      <c r="L1039" t="s">
        <v>2154</v>
      </c>
      <c r="M1039" t="s">
        <v>84</v>
      </c>
      <c r="N1039" t="s">
        <v>2160</v>
      </c>
      <c r="O1039" t="s">
        <v>32</v>
      </c>
      <c r="P1039" t="s">
        <v>1924</v>
      </c>
      <c r="Q1039">
        <v>0</v>
      </c>
      <c r="R1039">
        <v>0</v>
      </c>
      <c r="S1039" t="s">
        <v>159</v>
      </c>
      <c r="T1039" t="s">
        <v>159</v>
      </c>
      <c r="U1039" t="s">
        <v>44</v>
      </c>
      <c r="W1039">
        <v>0</v>
      </c>
      <c r="X1039">
        <v>0</v>
      </c>
      <c r="Y1039">
        <v>0</v>
      </c>
      <c r="Z1039">
        <v>0</v>
      </c>
    </row>
    <row r="1040" spans="1:26" hidden="1" x14ac:dyDescent="0.25">
      <c r="A1040" t="s">
        <v>2546</v>
      </c>
      <c r="B1040" t="s">
        <v>38</v>
      </c>
      <c r="C1040" s="4">
        <v>44397</v>
      </c>
      <c r="D1040" s="4">
        <v>44523</v>
      </c>
      <c r="F1040" s="4">
        <v>45596</v>
      </c>
      <c r="G1040" t="s">
        <v>1274</v>
      </c>
      <c r="H1040" t="s">
        <v>1275</v>
      </c>
      <c r="K1040" t="s">
        <v>41</v>
      </c>
      <c r="L1040" t="s">
        <v>2154</v>
      </c>
      <c r="M1040" t="s">
        <v>42</v>
      </c>
      <c r="N1040" t="s">
        <v>2160</v>
      </c>
      <c r="O1040" t="s">
        <v>32</v>
      </c>
      <c r="P1040" t="s">
        <v>2547</v>
      </c>
      <c r="Q1040">
        <v>200</v>
      </c>
      <c r="R1040">
        <v>200</v>
      </c>
      <c r="S1040" t="s">
        <v>34</v>
      </c>
      <c r="T1040" t="s">
        <v>35</v>
      </c>
      <c r="W1040">
        <v>0</v>
      </c>
      <c r="X1040">
        <v>0</v>
      </c>
      <c r="Y1040">
        <v>0</v>
      </c>
      <c r="Z1040">
        <v>0</v>
      </c>
    </row>
    <row r="1041" spans="1:26" hidden="1" x14ac:dyDescent="0.25">
      <c r="A1041" t="s">
        <v>2548</v>
      </c>
      <c r="B1041" t="s">
        <v>38</v>
      </c>
      <c r="C1041" s="4">
        <v>44434</v>
      </c>
      <c r="D1041" s="4">
        <v>46009</v>
      </c>
      <c r="F1041" s="4">
        <v>45397</v>
      </c>
      <c r="G1041" t="s">
        <v>101</v>
      </c>
      <c r="H1041" t="s">
        <v>2013</v>
      </c>
      <c r="K1041" t="s">
        <v>98</v>
      </c>
      <c r="L1041" t="s">
        <v>2154</v>
      </c>
      <c r="M1041" t="s">
        <v>84</v>
      </c>
      <c r="N1041" t="s">
        <v>2160</v>
      </c>
      <c r="O1041" t="s">
        <v>32</v>
      </c>
      <c r="P1041" t="s">
        <v>2549</v>
      </c>
      <c r="Q1041">
        <v>300</v>
      </c>
      <c r="R1041">
        <v>300</v>
      </c>
      <c r="S1041" t="s">
        <v>56</v>
      </c>
      <c r="T1041" t="s">
        <v>57</v>
      </c>
      <c r="U1041" t="s">
        <v>44</v>
      </c>
      <c r="W1041">
        <v>250</v>
      </c>
      <c r="X1041">
        <v>250</v>
      </c>
      <c r="Y1041">
        <v>0</v>
      </c>
      <c r="Z1041">
        <v>0</v>
      </c>
    </row>
    <row r="1042" spans="1:26" hidden="1" x14ac:dyDescent="0.25">
      <c r="A1042" t="s">
        <v>2550</v>
      </c>
      <c r="B1042" t="s">
        <v>38</v>
      </c>
      <c r="C1042" s="4">
        <v>44434</v>
      </c>
      <c r="D1042" s="4">
        <v>45573</v>
      </c>
      <c r="F1042" s="4">
        <v>45397</v>
      </c>
      <c r="G1042" t="s">
        <v>132</v>
      </c>
      <c r="H1042" t="s">
        <v>1291</v>
      </c>
      <c r="K1042" t="s">
        <v>83</v>
      </c>
      <c r="L1042" t="s">
        <v>2154</v>
      </c>
      <c r="M1042" t="s">
        <v>84</v>
      </c>
      <c r="N1042" t="s">
        <v>2160</v>
      </c>
      <c r="O1042" t="s">
        <v>32</v>
      </c>
      <c r="P1042" t="s">
        <v>2551</v>
      </c>
      <c r="Q1042">
        <v>400</v>
      </c>
      <c r="R1042">
        <v>400</v>
      </c>
      <c r="S1042" t="s">
        <v>597</v>
      </c>
      <c r="T1042" t="s">
        <v>2552</v>
      </c>
      <c r="U1042" t="s">
        <v>44</v>
      </c>
      <c r="W1042">
        <v>0</v>
      </c>
      <c r="X1042">
        <v>0</v>
      </c>
      <c r="Y1042">
        <v>0</v>
      </c>
      <c r="Z1042">
        <v>0</v>
      </c>
    </row>
    <row r="1043" spans="1:26" hidden="1" x14ac:dyDescent="0.25">
      <c r="A1043" t="s">
        <v>2553</v>
      </c>
      <c r="B1043" t="s">
        <v>38</v>
      </c>
      <c r="C1043" s="4">
        <v>44411</v>
      </c>
      <c r="D1043" s="4">
        <v>45945</v>
      </c>
      <c r="F1043" s="4">
        <v>45597</v>
      </c>
      <c r="G1043" t="s">
        <v>1381</v>
      </c>
      <c r="H1043" t="s">
        <v>2087</v>
      </c>
      <c r="K1043" t="s">
        <v>209</v>
      </c>
      <c r="L1043" t="s">
        <v>2154</v>
      </c>
      <c r="M1043" t="s">
        <v>42</v>
      </c>
      <c r="N1043" t="s">
        <v>2160</v>
      </c>
      <c r="O1043" t="s">
        <v>32</v>
      </c>
      <c r="P1043" t="s">
        <v>2554</v>
      </c>
      <c r="Q1043">
        <v>150</v>
      </c>
      <c r="R1043">
        <v>150</v>
      </c>
      <c r="S1043" t="s">
        <v>56</v>
      </c>
      <c r="T1043" t="s">
        <v>57</v>
      </c>
      <c r="U1043" t="s">
        <v>44</v>
      </c>
      <c r="W1043">
        <v>150</v>
      </c>
      <c r="X1043">
        <v>150</v>
      </c>
      <c r="Y1043">
        <v>0</v>
      </c>
      <c r="Z1043">
        <v>0</v>
      </c>
    </row>
    <row r="1044" spans="1:26" hidden="1" x14ac:dyDescent="0.25">
      <c r="A1044" t="s">
        <v>2555</v>
      </c>
      <c r="B1044" t="s">
        <v>38</v>
      </c>
      <c r="C1044" s="4">
        <v>44420</v>
      </c>
      <c r="D1044" s="4">
        <v>45723</v>
      </c>
      <c r="F1044" s="4">
        <v>45901</v>
      </c>
      <c r="G1044" t="s">
        <v>149</v>
      </c>
      <c r="H1044" t="s">
        <v>1279</v>
      </c>
      <c r="K1044" t="s">
        <v>151</v>
      </c>
      <c r="L1044" t="s">
        <v>2154</v>
      </c>
      <c r="M1044" t="s">
        <v>68</v>
      </c>
      <c r="N1044" t="s">
        <v>2155</v>
      </c>
      <c r="O1044" t="s">
        <v>32</v>
      </c>
      <c r="P1044" t="s">
        <v>2556</v>
      </c>
      <c r="Q1044">
        <v>200</v>
      </c>
      <c r="R1044">
        <v>200</v>
      </c>
      <c r="S1044" t="s">
        <v>597</v>
      </c>
      <c r="T1044" t="s">
        <v>598</v>
      </c>
      <c r="U1044" t="s">
        <v>44</v>
      </c>
      <c r="W1044">
        <v>150</v>
      </c>
      <c r="X1044">
        <v>150</v>
      </c>
      <c r="Y1044">
        <v>0</v>
      </c>
      <c r="Z1044">
        <v>0</v>
      </c>
    </row>
    <row r="1045" spans="1:26" hidden="1" x14ac:dyDescent="0.25">
      <c r="A1045" t="s">
        <v>2557</v>
      </c>
      <c r="B1045" t="s">
        <v>38</v>
      </c>
      <c r="C1045" s="4">
        <v>44530</v>
      </c>
      <c r="D1045" s="4">
        <v>45723</v>
      </c>
      <c r="F1045" s="4">
        <v>45658</v>
      </c>
      <c r="G1045" t="s">
        <v>144</v>
      </c>
      <c r="H1045" t="s">
        <v>1418</v>
      </c>
      <c r="K1045" t="s">
        <v>146</v>
      </c>
      <c r="L1045" t="s">
        <v>2154</v>
      </c>
      <c r="M1045" t="s">
        <v>68</v>
      </c>
      <c r="N1045" t="s">
        <v>2155</v>
      </c>
      <c r="O1045" t="s">
        <v>32</v>
      </c>
      <c r="P1045" t="s">
        <v>2173</v>
      </c>
      <c r="Q1045">
        <v>0</v>
      </c>
      <c r="R1045">
        <v>0</v>
      </c>
      <c r="S1045" t="s">
        <v>159</v>
      </c>
      <c r="T1045" t="s">
        <v>159</v>
      </c>
      <c r="U1045" t="s">
        <v>44</v>
      </c>
      <c r="W1045">
        <v>0</v>
      </c>
      <c r="X1045">
        <v>0</v>
      </c>
      <c r="Y1045">
        <v>0</v>
      </c>
      <c r="Z1045">
        <v>0</v>
      </c>
    </row>
    <row r="1046" spans="1:26" hidden="1" x14ac:dyDescent="0.25">
      <c r="A1046" t="s">
        <v>2558</v>
      </c>
      <c r="B1046" t="s">
        <v>38</v>
      </c>
      <c r="C1046" s="4">
        <v>44656</v>
      </c>
      <c r="D1046" s="4">
        <v>46009</v>
      </c>
      <c r="F1046" s="4">
        <v>45778</v>
      </c>
      <c r="G1046" t="s">
        <v>117</v>
      </c>
      <c r="H1046" t="s">
        <v>2135</v>
      </c>
      <c r="K1046" t="s">
        <v>109</v>
      </c>
      <c r="L1046" t="s">
        <v>2154</v>
      </c>
      <c r="M1046" t="s">
        <v>84</v>
      </c>
      <c r="N1046" t="s">
        <v>2160</v>
      </c>
      <c r="O1046" t="s">
        <v>32</v>
      </c>
      <c r="P1046" t="s">
        <v>2559</v>
      </c>
      <c r="Q1046">
        <v>300</v>
      </c>
      <c r="R1046">
        <v>300</v>
      </c>
      <c r="S1046" t="s">
        <v>34</v>
      </c>
      <c r="T1046" t="s">
        <v>35</v>
      </c>
      <c r="U1046" t="s">
        <v>44</v>
      </c>
      <c r="W1046">
        <v>300</v>
      </c>
      <c r="X1046">
        <v>300</v>
      </c>
      <c r="Y1046">
        <v>0</v>
      </c>
      <c r="Z1046">
        <v>0</v>
      </c>
    </row>
    <row r="1047" spans="1:26" hidden="1" x14ac:dyDescent="0.25">
      <c r="A1047" t="s">
        <v>2560</v>
      </c>
      <c r="B1047" t="s">
        <v>2153</v>
      </c>
      <c r="C1047" s="4">
        <v>44649</v>
      </c>
      <c r="F1047" s="4">
        <v>45565</v>
      </c>
      <c r="G1047" t="s">
        <v>1690</v>
      </c>
      <c r="H1047" t="s">
        <v>1691</v>
      </c>
      <c r="K1047" t="s">
        <v>98</v>
      </c>
      <c r="L1047" t="s">
        <v>2154</v>
      </c>
      <c r="M1047" t="s">
        <v>84</v>
      </c>
      <c r="N1047" t="s">
        <v>2160</v>
      </c>
      <c r="O1047" t="s">
        <v>32</v>
      </c>
      <c r="P1047" t="s">
        <v>2561</v>
      </c>
      <c r="Q1047">
        <v>100</v>
      </c>
      <c r="R1047">
        <v>100</v>
      </c>
      <c r="S1047" t="s">
        <v>34</v>
      </c>
      <c r="T1047" t="s">
        <v>35</v>
      </c>
      <c r="U1047" t="s">
        <v>44</v>
      </c>
      <c r="W1047">
        <v>100</v>
      </c>
      <c r="X1047">
        <v>100</v>
      </c>
      <c r="Y1047">
        <v>100</v>
      </c>
      <c r="Z1047">
        <v>100</v>
      </c>
    </row>
    <row r="1048" spans="1:26" hidden="1" x14ac:dyDescent="0.25">
      <c r="A1048" t="s">
        <v>2562</v>
      </c>
      <c r="B1048" t="s">
        <v>2153</v>
      </c>
      <c r="C1048" s="4">
        <v>44648</v>
      </c>
      <c r="F1048" s="4">
        <v>45565</v>
      </c>
      <c r="G1048" t="s">
        <v>1690</v>
      </c>
      <c r="H1048" t="s">
        <v>1691</v>
      </c>
      <c r="K1048" t="s">
        <v>98</v>
      </c>
      <c r="L1048" t="s">
        <v>2154</v>
      </c>
      <c r="M1048" t="s">
        <v>84</v>
      </c>
      <c r="N1048" t="s">
        <v>2160</v>
      </c>
      <c r="O1048" t="s">
        <v>32</v>
      </c>
      <c r="P1048" t="s">
        <v>2563</v>
      </c>
      <c r="Q1048">
        <v>50</v>
      </c>
      <c r="R1048">
        <v>50</v>
      </c>
      <c r="S1048" t="s">
        <v>159</v>
      </c>
      <c r="T1048" t="s">
        <v>159</v>
      </c>
      <c r="U1048" t="s">
        <v>44</v>
      </c>
      <c r="W1048">
        <v>50</v>
      </c>
      <c r="X1048">
        <v>50</v>
      </c>
      <c r="Y1048">
        <v>50</v>
      </c>
      <c r="Z1048">
        <v>50</v>
      </c>
    </row>
    <row r="1049" spans="1:26" hidden="1" x14ac:dyDescent="0.25">
      <c r="A1049" t="s">
        <v>2564</v>
      </c>
      <c r="B1049" t="s">
        <v>38</v>
      </c>
      <c r="C1049" s="4">
        <v>44424</v>
      </c>
      <c r="D1049" s="4">
        <v>45573</v>
      </c>
      <c r="F1049" s="4">
        <v>45595</v>
      </c>
      <c r="G1049" t="s">
        <v>101</v>
      </c>
      <c r="H1049" t="s">
        <v>2180</v>
      </c>
      <c r="K1049" t="s">
        <v>98</v>
      </c>
      <c r="L1049" t="s">
        <v>2154</v>
      </c>
      <c r="M1049" t="s">
        <v>84</v>
      </c>
      <c r="N1049" t="s">
        <v>2160</v>
      </c>
      <c r="O1049" t="s">
        <v>32</v>
      </c>
      <c r="P1049" t="s">
        <v>2565</v>
      </c>
      <c r="Q1049">
        <v>200</v>
      </c>
      <c r="R1049">
        <v>200</v>
      </c>
      <c r="S1049" t="s">
        <v>34</v>
      </c>
      <c r="T1049" t="s">
        <v>35</v>
      </c>
      <c r="U1049" t="s">
        <v>44</v>
      </c>
      <c r="W1049">
        <v>0</v>
      </c>
      <c r="X1049">
        <v>0</v>
      </c>
      <c r="Y1049">
        <v>0</v>
      </c>
      <c r="Z1049">
        <v>0</v>
      </c>
    </row>
    <row r="1050" spans="1:26" hidden="1" x14ac:dyDescent="0.25">
      <c r="A1050" t="s">
        <v>2566</v>
      </c>
      <c r="B1050" t="s">
        <v>25</v>
      </c>
      <c r="C1050" s="4">
        <v>44420</v>
      </c>
      <c r="F1050" s="4">
        <v>45627</v>
      </c>
      <c r="G1050" t="s">
        <v>1753</v>
      </c>
      <c r="H1050" t="s">
        <v>1933</v>
      </c>
      <c r="K1050" t="s">
        <v>114</v>
      </c>
      <c r="L1050" t="s">
        <v>2154</v>
      </c>
      <c r="M1050" t="s">
        <v>68</v>
      </c>
      <c r="N1050" t="s">
        <v>2155</v>
      </c>
      <c r="O1050" t="s">
        <v>122</v>
      </c>
      <c r="P1050" t="s">
        <v>2567</v>
      </c>
      <c r="Q1050">
        <v>199</v>
      </c>
      <c r="R1050">
        <v>199</v>
      </c>
      <c r="S1050" t="s">
        <v>34</v>
      </c>
      <c r="T1050" t="s">
        <v>35</v>
      </c>
      <c r="U1050" t="s">
        <v>44</v>
      </c>
      <c r="W1050">
        <v>199</v>
      </c>
      <c r="X1050">
        <v>0</v>
      </c>
      <c r="Y1050">
        <v>199</v>
      </c>
      <c r="Z1050">
        <v>0</v>
      </c>
    </row>
    <row r="1051" spans="1:26" hidden="1" x14ac:dyDescent="0.25">
      <c r="A1051" t="s">
        <v>2568</v>
      </c>
      <c r="B1051" t="s">
        <v>2153</v>
      </c>
      <c r="C1051" s="4">
        <v>44645</v>
      </c>
      <c r="F1051" s="4">
        <v>45901</v>
      </c>
      <c r="G1051" t="s">
        <v>1690</v>
      </c>
      <c r="H1051" t="s">
        <v>2569</v>
      </c>
      <c r="K1051" t="s">
        <v>98</v>
      </c>
      <c r="L1051" t="s">
        <v>2154</v>
      </c>
      <c r="M1051" t="s">
        <v>84</v>
      </c>
      <c r="N1051" t="s">
        <v>2160</v>
      </c>
      <c r="O1051" t="s">
        <v>32</v>
      </c>
      <c r="P1051" t="s">
        <v>2570</v>
      </c>
      <c r="Q1051">
        <v>100</v>
      </c>
      <c r="R1051">
        <v>100</v>
      </c>
      <c r="S1051" t="s">
        <v>56</v>
      </c>
      <c r="T1051" t="s">
        <v>57</v>
      </c>
      <c r="U1051" t="s">
        <v>44</v>
      </c>
      <c r="W1051">
        <v>100</v>
      </c>
      <c r="X1051">
        <v>100</v>
      </c>
      <c r="Y1051">
        <v>100</v>
      </c>
      <c r="Z1051">
        <v>0</v>
      </c>
    </row>
    <row r="1052" spans="1:26" hidden="1" x14ac:dyDescent="0.25">
      <c r="A1052" t="s">
        <v>2571</v>
      </c>
      <c r="B1052" t="s">
        <v>2153</v>
      </c>
      <c r="C1052" s="4">
        <v>44645</v>
      </c>
      <c r="F1052" s="4">
        <v>45901</v>
      </c>
      <c r="G1052" t="s">
        <v>117</v>
      </c>
      <c r="H1052" t="s">
        <v>1821</v>
      </c>
      <c r="K1052" t="s">
        <v>83</v>
      </c>
      <c r="L1052" t="s">
        <v>2154</v>
      </c>
      <c r="M1052" t="s">
        <v>84</v>
      </c>
      <c r="N1052" t="s">
        <v>2160</v>
      </c>
      <c r="O1052" t="s">
        <v>32</v>
      </c>
      <c r="P1052" t="s">
        <v>1345</v>
      </c>
      <c r="Q1052">
        <v>200</v>
      </c>
      <c r="R1052">
        <v>200</v>
      </c>
      <c r="S1052" t="s">
        <v>56</v>
      </c>
      <c r="T1052" t="s">
        <v>57</v>
      </c>
      <c r="U1052" t="s">
        <v>44</v>
      </c>
      <c r="W1052">
        <v>200</v>
      </c>
      <c r="X1052">
        <v>200</v>
      </c>
      <c r="Y1052">
        <v>200</v>
      </c>
      <c r="Z1052">
        <v>0</v>
      </c>
    </row>
    <row r="1053" spans="1:26" hidden="1" x14ac:dyDescent="0.25">
      <c r="A1053" t="s">
        <v>2572</v>
      </c>
      <c r="B1053" t="s">
        <v>2153</v>
      </c>
      <c r="C1053" s="4">
        <v>44648</v>
      </c>
      <c r="F1053" s="4">
        <v>45566</v>
      </c>
      <c r="G1053" t="s">
        <v>1251</v>
      </c>
      <c r="H1053" t="s">
        <v>1768</v>
      </c>
      <c r="K1053" t="s">
        <v>109</v>
      </c>
      <c r="L1053" t="s">
        <v>2154</v>
      </c>
      <c r="M1053" t="s">
        <v>84</v>
      </c>
      <c r="N1053" t="s">
        <v>2160</v>
      </c>
      <c r="O1053" t="s">
        <v>32</v>
      </c>
      <c r="P1053" t="s">
        <v>2573</v>
      </c>
      <c r="Q1053">
        <v>208.43</v>
      </c>
      <c r="R1053">
        <v>208.43</v>
      </c>
      <c r="S1053" t="s">
        <v>34</v>
      </c>
      <c r="T1053" t="s">
        <v>35</v>
      </c>
      <c r="U1053" t="s">
        <v>44</v>
      </c>
      <c r="W1053">
        <v>208.43</v>
      </c>
      <c r="X1053">
        <v>208.43</v>
      </c>
      <c r="Y1053">
        <v>208.43</v>
      </c>
      <c r="Z1053">
        <v>208.43</v>
      </c>
    </row>
    <row r="1054" spans="1:26" hidden="1" x14ac:dyDescent="0.25">
      <c r="A1054" t="s">
        <v>2574</v>
      </c>
      <c r="B1054" t="s">
        <v>38</v>
      </c>
      <c r="C1054" s="4">
        <v>44523</v>
      </c>
      <c r="D1054" s="4">
        <v>45240</v>
      </c>
      <c r="F1054" s="4">
        <v>45595</v>
      </c>
      <c r="G1054" t="s">
        <v>65</v>
      </c>
      <c r="H1054" t="s">
        <v>1327</v>
      </c>
      <c r="K1054" t="s">
        <v>67</v>
      </c>
      <c r="L1054" t="s">
        <v>2154</v>
      </c>
      <c r="M1054" t="s">
        <v>68</v>
      </c>
      <c r="N1054" t="s">
        <v>2155</v>
      </c>
      <c r="O1054" t="s">
        <v>32</v>
      </c>
      <c r="P1054" t="s">
        <v>2575</v>
      </c>
      <c r="Q1054">
        <v>50</v>
      </c>
      <c r="R1054">
        <v>50</v>
      </c>
      <c r="S1054" t="s">
        <v>159</v>
      </c>
      <c r="T1054" t="s">
        <v>159</v>
      </c>
      <c r="U1054" t="s">
        <v>44</v>
      </c>
      <c r="W1054">
        <v>0</v>
      </c>
      <c r="X1054">
        <v>0</v>
      </c>
      <c r="Y1054">
        <v>0</v>
      </c>
      <c r="Z1054">
        <v>0</v>
      </c>
    </row>
    <row r="1055" spans="1:26" hidden="1" x14ac:dyDescent="0.25">
      <c r="A1055" t="s">
        <v>2576</v>
      </c>
      <c r="B1055" t="s">
        <v>38</v>
      </c>
      <c r="C1055" s="4">
        <v>44656</v>
      </c>
      <c r="D1055" s="4">
        <v>46009</v>
      </c>
      <c r="F1055" s="4">
        <v>45778</v>
      </c>
      <c r="G1055" t="s">
        <v>1251</v>
      </c>
      <c r="H1055" t="s">
        <v>2135</v>
      </c>
      <c r="K1055" t="s">
        <v>109</v>
      </c>
      <c r="L1055" t="s">
        <v>2154</v>
      </c>
      <c r="M1055" t="s">
        <v>84</v>
      </c>
      <c r="N1055" t="s">
        <v>2160</v>
      </c>
      <c r="O1055" t="s">
        <v>32</v>
      </c>
      <c r="P1055" t="s">
        <v>2559</v>
      </c>
      <c r="Q1055">
        <v>0</v>
      </c>
      <c r="R1055">
        <v>0</v>
      </c>
      <c r="S1055" t="s">
        <v>159</v>
      </c>
      <c r="T1055" t="s">
        <v>159</v>
      </c>
      <c r="U1055" t="s">
        <v>44</v>
      </c>
      <c r="W1055">
        <v>0</v>
      </c>
      <c r="X1055">
        <v>0</v>
      </c>
      <c r="Y1055">
        <v>0</v>
      </c>
      <c r="Z1055">
        <v>0</v>
      </c>
    </row>
    <row r="1056" spans="1:26" hidden="1" x14ac:dyDescent="0.25">
      <c r="A1056" t="s">
        <v>2577</v>
      </c>
      <c r="B1056" t="s">
        <v>2153</v>
      </c>
      <c r="C1056" s="4">
        <v>44425</v>
      </c>
      <c r="F1056" s="4">
        <v>45870</v>
      </c>
      <c r="G1056" t="s">
        <v>173</v>
      </c>
      <c r="H1056" t="s">
        <v>2578</v>
      </c>
      <c r="K1056" t="s">
        <v>41</v>
      </c>
      <c r="L1056" t="s">
        <v>2154</v>
      </c>
      <c r="M1056" t="s">
        <v>42</v>
      </c>
      <c r="N1056" t="s">
        <v>2160</v>
      </c>
      <c r="O1056" t="s">
        <v>32</v>
      </c>
      <c r="P1056" t="s">
        <v>2579</v>
      </c>
      <c r="Q1056">
        <v>151.47</v>
      </c>
      <c r="R1056">
        <v>151.47</v>
      </c>
      <c r="S1056" t="s">
        <v>56</v>
      </c>
      <c r="T1056" t="s">
        <v>57</v>
      </c>
      <c r="U1056" t="s">
        <v>44</v>
      </c>
      <c r="W1056">
        <v>151.47</v>
      </c>
      <c r="X1056">
        <v>122</v>
      </c>
      <c r="Y1056">
        <v>151.47</v>
      </c>
      <c r="Z1056">
        <v>122</v>
      </c>
    </row>
    <row r="1057" spans="1:26" hidden="1" x14ac:dyDescent="0.25">
      <c r="A1057" t="s">
        <v>2580</v>
      </c>
      <c r="B1057" t="s">
        <v>38</v>
      </c>
      <c r="C1057" s="4">
        <v>44421</v>
      </c>
      <c r="D1057" s="4">
        <v>45957</v>
      </c>
      <c r="F1057" s="4">
        <v>45473</v>
      </c>
      <c r="G1057" t="s">
        <v>72</v>
      </c>
      <c r="H1057" t="s">
        <v>2581</v>
      </c>
      <c r="K1057" t="s">
        <v>41</v>
      </c>
      <c r="L1057" t="s">
        <v>2154</v>
      </c>
      <c r="M1057" t="s">
        <v>42</v>
      </c>
      <c r="N1057" t="s">
        <v>2160</v>
      </c>
      <c r="O1057" t="s">
        <v>32</v>
      </c>
      <c r="P1057" t="s">
        <v>2581</v>
      </c>
      <c r="Q1057">
        <v>67</v>
      </c>
      <c r="R1057">
        <v>67</v>
      </c>
      <c r="S1057" t="s">
        <v>56</v>
      </c>
      <c r="T1057" t="s">
        <v>57</v>
      </c>
      <c r="U1057" t="s">
        <v>44</v>
      </c>
      <c r="W1057">
        <v>67</v>
      </c>
      <c r="X1057">
        <v>67</v>
      </c>
      <c r="Y1057">
        <v>0</v>
      </c>
      <c r="Z1057">
        <v>0</v>
      </c>
    </row>
    <row r="1058" spans="1:26" hidden="1" x14ac:dyDescent="0.25">
      <c r="A1058" t="s">
        <v>2582</v>
      </c>
      <c r="B1058" t="s">
        <v>2153</v>
      </c>
      <c r="C1058" s="4">
        <v>44421</v>
      </c>
      <c r="F1058" s="4">
        <v>45838</v>
      </c>
      <c r="G1058" t="s">
        <v>1278</v>
      </c>
      <c r="H1058" t="s">
        <v>2040</v>
      </c>
      <c r="K1058" t="s">
        <v>28</v>
      </c>
      <c r="L1058" t="s">
        <v>2154</v>
      </c>
      <c r="M1058" t="s">
        <v>30</v>
      </c>
      <c r="N1058" t="s">
        <v>2155</v>
      </c>
      <c r="O1058" t="s">
        <v>32</v>
      </c>
      <c r="P1058" t="s">
        <v>2583</v>
      </c>
      <c r="Q1058">
        <v>100</v>
      </c>
      <c r="R1058">
        <v>100</v>
      </c>
      <c r="S1058" t="s">
        <v>34</v>
      </c>
      <c r="T1058" t="s">
        <v>35</v>
      </c>
      <c r="U1058" t="s">
        <v>44</v>
      </c>
      <c r="V1058" s="4">
        <v>46199</v>
      </c>
      <c r="W1058">
        <v>100</v>
      </c>
      <c r="X1058">
        <v>100</v>
      </c>
      <c r="Y1058">
        <v>100</v>
      </c>
      <c r="Z1058">
        <v>100</v>
      </c>
    </row>
    <row r="1059" spans="1:26" hidden="1" x14ac:dyDescent="0.25">
      <c r="A1059" t="s">
        <v>2584</v>
      </c>
      <c r="B1059" t="s">
        <v>38</v>
      </c>
      <c r="C1059" s="4">
        <v>44420</v>
      </c>
      <c r="D1059" s="4">
        <v>45719</v>
      </c>
      <c r="F1059" s="4">
        <v>46022</v>
      </c>
      <c r="G1059" t="s">
        <v>52</v>
      </c>
      <c r="H1059" t="s">
        <v>1488</v>
      </c>
      <c r="K1059" t="s">
        <v>53</v>
      </c>
      <c r="L1059" t="s">
        <v>2154</v>
      </c>
      <c r="M1059" t="s">
        <v>54</v>
      </c>
      <c r="N1059" t="s">
        <v>2155</v>
      </c>
      <c r="O1059" t="s">
        <v>32</v>
      </c>
      <c r="P1059" t="s">
        <v>2585</v>
      </c>
      <c r="Q1059">
        <v>200</v>
      </c>
      <c r="R1059">
        <v>200</v>
      </c>
      <c r="S1059" t="s">
        <v>597</v>
      </c>
      <c r="T1059" t="s">
        <v>598</v>
      </c>
      <c r="U1059" t="s">
        <v>44</v>
      </c>
      <c r="W1059">
        <v>110</v>
      </c>
      <c r="X1059">
        <v>110</v>
      </c>
      <c r="Y1059">
        <v>0</v>
      </c>
      <c r="Z1059">
        <v>0</v>
      </c>
    </row>
    <row r="1060" spans="1:26" hidden="1" x14ac:dyDescent="0.25">
      <c r="A1060" t="s">
        <v>2586</v>
      </c>
      <c r="B1060" t="s">
        <v>38</v>
      </c>
      <c r="C1060" s="4">
        <v>44433</v>
      </c>
      <c r="D1060" s="4">
        <v>46104</v>
      </c>
      <c r="F1060" s="4">
        <v>45397</v>
      </c>
      <c r="G1060" t="s">
        <v>52</v>
      </c>
      <c r="H1060" t="s">
        <v>2308</v>
      </c>
      <c r="K1060" t="s">
        <v>53</v>
      </c>
      <c r="L1060" t="s">
        <v>2154</v>
      </c>
      <c r="M1060" t="s">
        <v>54</v>
      </c>
      <c r="N1060" t="s">
        <v>2155</v>
      </c>
      <c r="O1060" t="s">
        <v>32</v>
      </c>
      <c r="P1060" t="s">
        <v>2587</v>
      </c>
      <c r="Q1060">
        <v>100</v>
      </c>
      <c r="R1060">
        <v>100</v>
      </c>
      <c r="S1060" t="s">
        <v>597</v>
      </c>
      <c r="T1060" t="s">
        <v>598</v>
      </c>
      <c r="U1060" t="s">
        <v>70</v>
      </c>
      <c r="V1060" s="4">
        <v>47223</v>
      </c>
      <c r="W1060">
        <v>100</v>
      </c>
      <c r="X1060">
        <v>100</v>
      </c>
      <c r="Y1060">
        <v>100</v>
      </c>
      <c r="Z1060">
        <v>100</v>
      </c>
    </row>
    <row r="1061" spans="1:26" hidden="1" x14ac:dyDescent="0.25">
      <c r="A1061" t="s">
        <v>2588</v>
      </c>
      <c r="B1061" t="s">
        <v>38</v>
      </c>
      <c r="C1061" s="4">
        <v>44432</v>
      </c>
      <c r="D1061" s="4">
        <v>44446</v>
      </c>
      <c r="F1061" s="4">
        <v>45566</v>
      </c>
      <c r="G1061" t="s">
        <v>907</v>
      </c>
      <c r="H1061" t="s">
        <v>1421</v>
      </c>
      <c r="K1061" t="s">
        <v>53</v>
      </c>
      <c r="L1061" t="s">
        <v>2154</v>
      </c>
      <c r="M1061" t="s">
        <v>54</v>
      </c>
      <c r="N1061" t="s">
        <v>2155</v>
      </c>
      <c r="O1061" t="s">
        <v>32</v>
      </c>
      <c r="P1061" t="s">
        <v>2589</v>
      </c>
      <c r="Q1061">
        <v>100</v>
      </c>
      <c r="R1061">
        <v>100</v>
      </c>
      <c r="S1061" t="s">
        <v>56</v>
      </c>
      <c r="T1061" t="s">
        <v>57</v>
      </c>
      <c r="W1061">
        <v>0</v>
      </c>
      <c r="X1061">
        <v>0</v>
      </c>
      <c r="Y1061">
        <v>0</v>
      </c>
      <c r="Z1061">
        <v>0</v>
      </c>
    </row>
    <row r="1062" spans="1:26" hidden="1" x14ac:dyDescent="0.25">
      <c r="A1062" t="s">
        <v>2590</v>
      </c>
      <c r="B1062" t="s">
        <v>38</v>
      </c>
      <c r="C1062" s="4">
        <v>44638</v>
      </c>
      <c r="D1062" s="4">
        <v>46009</v>
      </c>
      <c r="F1062" s="4">
        <v>45778</v>
      </c>
      <c r="G1062" t="s">
        <v>101</v>
      </c>
      <c r="H1062" t="s">
        <v>2591</v>
      </c>
      <c r="K1062" t="s">
        <v>98</v>
      </c>
      <c r="L1062" t="s">
        <v>2154</v>
      </c>
      <c r="M1062" t="s">
        <v>84</v>
      </c>
      <c r="N1062" t="s">
        <v>2160</v>
      </c>
      <c r="O1062" t="s">
        <v>32</v>
      </c>
      <c r="P1062" t="s">
        <v>2592</v>
      </c>
      <c r="Q1062">
        <v>0</v>
      </c>
      <c r="R1062">
        <v>0</v>
      </c>
      <c r="S1062" t="s">
        <v>159</v>
      </c>
      <c r="T1062" t="s">
        <v>159</v>
      </c>
      <c r="U1062" t="s">
        <v>44</v>
      </c>
      <c r="W1062">
        <v>0</v>
      </c>
      <c r="X1062">
        <v>0</v>
      </c>
      <c r="Y1062">
        <v>0</v>
      </c>
      <c r="Z1062">
        <v>0</v>
      </c>
    </row>
    <row r="1063" spans="1:26" hidden="1" x14ac:dyDescent="0.25">
      <c r="A1063" t="s">
        <v>2593</v>
      </c>
      <c r="B1063" t="s">
        <v>38</v>
      </c>
      <c r="C1063" s="4">
        <v>44424</v>
      </c>
      <c r="D1063" s="4">
        <v>46009</v>
      </c>
      <c r="F1063" s="4">
        <v>45778</v>
      </c>
      <c r="G1063" t="s">
        <v>101</v>
      </c>
      <c r="H1063" t="s">
        <v>2591</v>
      </c>
      <c r="K1063" t="s">
        <v>98</v>
      </c>
      <c r="L1063" t="s">
        <v>2154</v>
      </c>
      <c r="M1063" t="s">
        <v>84</v>
      </c>
      <c r="N1063" t="s">
        <v>2160</v>
      </c>
      <c r="O1063" t="s">
        <v>32</v>
      </c>
      <c r="P1063" t="s">
        <v>2592</v>
      </c>
      <c r="Q1063">
        <v>170</v>
      </c>
      <c r="R1063">
        <v>170</v>
      </c>
      <c r="S1063" t="s">
        <v>34</v>
      </c>
      <c r="T1063" t="s">
        <v>35</v>
      </c>
      <c r="U1063" t="s">
        <v>44</v>
      </c>
      <c r="W1063">
        <v>120</v>
      </c>
      <c r="X1063">
        <v>120</v>
      </c>
      <c r="Y1063">
        <v>0</v>
      </c>
      <c r="Z1063">
        <v>0</v>
      </c>
    </row>
    <row r="1064" spans="1:26" hidden="1" x14ac:dyDescent="0.25">
      <c r="A1064" t="s">
        <v>2594</v>
      </c>
      <c r="B1064" t="s">
        <v>2153</v>
      </c>
      <c r="C1064" s="4">
        <v>44420</v>
      </c>
      <c r="F1064" s="4">
        <v>45595</v>
      </c>
      <c r="G1064" t="s">
        <v>52</v>
      </c>
      <c r="H1064" t="s">
        <v>2351</v>
      </c>
      <c r="K1064" t="s">
        <v>53</v>
      </c>
      <c r="L1064" t="s">
        <v>2154</v>
      </c>
      <c r="M1064" t="s">
        <v>54</v>
      </c>
      <c r="N1064" t="s">
        <v>2155</v>
      </c>
      <c r="O1064" t="s">
        <v>32</v>
      </c>
      <c r="P1064" t="s">
        <v>2595</v>
      </c>
      <c r="Q1064">
        <v>200</v>
      </c>
      <c r="R1064">
        <v>200</v>
      </c>
      <c r="S1064" t="s">
        <v>34</v>
      </c>
      <c r="T1064" t="s">
        <v>35</v>
      </c>
      <c r="U1064" t="s">
        <v>44</v>
      </c>
      <c r="V1064" s="4">
        <v>47081</v>
      </c>
      <c r="W1064">
        <v>200</v>
      </c>
      <c r="X1064">
        <v>200</v>
      </c>
      <c r="Y1064">
        <v>200</v>
      </c>
      <c r="Z1064">
        <v>200</v>
      </c>
    </row>
    <row r="1065" spans="1:26" hidden="1" x14ac:dyDescent="0.25">
      <c r="A1065" t="s">
        <v>2596</v>
      </c>
      <c r="B1065" t="s">
        <v>38</v>
      </c>
      <c r="C1065" s="4">
        <v>44424</v>
      </c>
      <c r="D1065" s="4">
        <v>45082</v>
      </c>
      <c r="F1065" s="4">
        <v>45383</v>
      </c>
      <c r="G1065" t="s">
        <v>1278</v>
      </c>
      <c r="H1065" t="s">
        <v>1645</v>
      </c>
      <c r="K1065" t="s">
        <v>28</v>
      </c>
      <c r="L1065" t="s">
        <v>2154</v>
      </c>
      <c r="M1065" t="s">
        <v>30</v>
      </c>
      <c r="N1065" t="s">
        <v>2155</v>
      </c>
      <c r="O1065" t="s">
        <v>32</v>
      </c>
      <c r="P1065" t="s">
        <v>2236</v>
      </c>
      <c r="Q1065">
        <v>100</v>
      </c>
      <c r="R1065">
        <v>100</v>
      </c>
      <c r="S1065" t="s">
        <v>34</v>
      </c>
      <c r="T1065" t="s">
        <v>35</v>
      </c>
      <c r="U1065" t="s">
        <v>44</v>
      </c>
      <c r="W1065">
        <v>0</v>
      </c>
      <c r="X1065">
        <v>0</v>
      </c>
      <c r="Y1065">
        <v>0</v>
      </c>
      <c r="Z1065">
        <v>0</v>
      </c>
    </row>
    <row r="1066" spans="1:26" hidden="1" x14ac:dyDescent="0.25">
      <c r="A1066" t="s">
        <v>2597</v>
      </c>
      <c r="B1066" t="s">
        <v>38</v>
      </c>
      <c r="C1066" s="4">
        <v>44420</v>
      </c>
      <c r="D1066" s="4">
        <v>46009</v>
      </c>
      <c r="F1066" s="4">
        <v>45503</v>
      </c>
      <c r="G1066" t="s">
        <v>101</v>
      </c>
      <c r="H1066" t="s">
        <v>1387</v>
      </c>
      <c r="K1066" t="s">
        <v>98</v>
      </c>
      <c r="L1066" t="s">
        <v>2154</v>
      </c>
      <c r="M1066" t="s">
        <v>84</v>
      </c>
      <c r="N1066" t="s">
        <v>2160</v>
      </c>
      <c r="O1066" t="s">
        <v>32</v>
      </c>
      <c r="P1066" t="s">
        <v>2598</v>
      </c>
      <c r="Q1066">
        <v>100</v>
      </c>
      <c r="R1066">
        <v>100</v>
      </c>
      <c r="S1066" t="s">
        <v>34</v>
      </c>
      <c r="T1066" t="s">
        <v>35</v>
      </c>
      <c r="U1066" t="s">
        <v>44</v>
      </c>
      <c r="W1066">
        <v>100</v>
      </c>
      <c r="X1066">
        <v>100</v>
      </c>
      <c r="Y1066">
        <v>0</v>
      </c>
      <c r="Z1066">
        <v>0</v>
      </c>
    </row>
    <row r="1067" spans="1:26" hidden="1" x14ac:dyDescent="0.25">
      <c r="A1067" t="s">
        <v>2599</v>
      </c>
      <c r="B1067" t="s">
        <v>2153</v>
      </c>
      <c r="C1067" s="4">
        <v>44508</v>
      </c>
      <c r="F1067" s="4">
        <v>45572</v>
      </c>
      <c r="G1067" t="s">
        <v>52</v>
      </c>
      <c r="H1067" t="s">
        <v>1437</v>
      </c>
      <c r="K1067" t="s">
        <v>53</v>
      </c>
      <c r="L1067" t="s">
        <v>2154</v>
      </c>
      <c r="M1067" t="s">
        <v>54</v>
      </c>
      <c r="N1067" t="s">
        <v>2155</v>
      </c>
      <c r="O1067" t="s">
        <v>32</v>
      </c>
      <c r="P1067" t="s">
        <v>2600</v>
      </c>
      <c r="Q1067">
        <v>100</v>
      </c>
      <c r="R1067">
        <v>100</v>
      </c>
      <c r="S1067" t="s">
        <v>159</v>
      </c>
      <c r="T1067" t="s">
        <v>159</v>
      </c>
      <c r="U1067" t="s">
        <v>44</v>
      </c>
      <c r="V1067" s="4">
        <v>46330</v>
      </c>
      <c r="W1067">
        <v>100</v>
      </c>
      <c r="X1067">
        <v>100</v>
      </c>
      <c r="Y1067">
        <v>100</v>
      </c>
      <c r="Z1067">
        <v>100</v>
      </c>
    </row>
    <row r="1068" spans="1:26" hidden="1" x14ac:dyDescent="0.25">
      <c r="A1068" t="s">
        <v>2601</v>
      </c>
      <c r="B1068" t="s">
        <v>38</v>
      </c>
      <c r="C1068" s="4">
        <v>44391</v>
      </c>
      <c r="D1068" s="4">
        <v>45957</v>
      </c>
      <c r="F1068" s="4">
        <v>45626</v>
      </c>
      <c r="G1068" t="s">
        <v>39</v>
      </c>
      <c r="H1068" t="s">
        <v>1354</v>
      </c>
      <c r="K1068" t="s">
        <v>41</v>
      </c>
      <c r="L1068" t="s">
        <v>2154</v>
      </c>
      <c r="M1068" t="s">
        <v>42</v>
      </c>
      <c r="N1068" t="s">
        <v>2160</v>
      </c>
      <c r="O1068" t="s">
        <v>32</v>
      </c>
      <c r="P1068" t="s">
        <v>1355</v>
      </c>
      <c r="Q1068">
        <v>200</v>
      </c>
      <c r="R1068">
        <v>200</v>
      </c>
      <c r="S1068" t="s">
        <v>34</v>
      </c>
      <c r="T1068" t="s">
        <v>35</v>
      </c>
      <c r="U1068" t="s">
        <v>44</v>
      </c>
      <c r="W1068">
        <v>200</v>
      </c>
      <c r="X1068">
        <v>200</v>
      </c>
      <c r="Y1068">
        <v>0</v>
      </c>
      <c r="Z1068">
        <v>0</v>
      </c>
    </row>
    <row r="1069" spans="1:26" hidden="1" x14ac:dyDescent="0.25">
      <c r="A1069" t="s">
        <v>2602</v>
      </c>
      <c r="B1069" t="s">
        <v>2153</v>
      </c>
      <c r="C1069" s="4">
        <v>44425</v>
      </c>
      <c r="F1069" s="4">
        <v>44897</v>
      </c>
      <c r="G1069" t="s">
        <v>72</v>
      </c>
      <c r="H1069" t="s">
        <v>1800</v>
      </c>
      <c r="K1069" t="s">
        <v>209</v>
      </c>
      <c r="L1069" t="s">
        <v>2154</v>
      </c>
      <c r="M1069" t="s">
        <v>42</v>
      </c>
      <c r="N1069" t="s">
        <v>2160</v>
      </c>
      <c r="O1069" t="s">
        <v>32</v>
      </c>
      <c r="P1069" t="s">
        <v>2603</v>
      </c>
      <c r="Q1069">
        <v>100</v>
      </c>
      <c r="R1069">
        <v>100</v>
      </c>
      <c r="S1069" t="s">
        <v>159</v>
      </c>
      <c r="T1069" t="s">
        <v>159</v>
      </c>
      <c r="U1069" t="s">
        <v>44</v>
      </c>
      <c r="W1069">
        <v>100</v>
      </c>
      <c r="X1069">
        <v>100</v>
      </c>
      <c r="Y1069">
        <v>100</v>
      </c>
      <c r="Z1069">
        <v>100</v>
      </c>
    </row>
    <row r="1070" spans="1:26" hidden="1" x14ac:dyDescent="0.25">
      <c r="A1070" t="s">
        <v>2604</v>
      </c>
      <c r="B1070" t="s">
        <v>38</v>
      </c>
      <c r="C1070" s="4">
        <v>44453</v>
      </c>
      <c r="D1070" s="4">
        <v>44481</v>
      </c>
      <c r="F1070" s="4">
        <v>45536</v>
      </c>
      <c r="G1070" t="s">
        <v>173</v>
      </c>
      <c r="H1070" t="s">
        <v>1542</v>
      </c>
      <c r="K1070" t="s">
        <v>41</v>
      </c>
      <c r="L1070" t="s">
        <v>2154</v>
      </c>
      <c r="M1070" t="s">
        <v>42</v>
      </c>
      <c r="N1070" t="s">
        <v>2160</v>
      </c>
      <c r="O1070" t="s">
        <v>32</v>
      </c>
      <c r="P1070" t="s">
        <v>2605</v>
      </c>
      <c r="Q1070">
        <v>39.4</v>
      </c>
      <c r="R1070">
        <v>39.4</v>
      </c>
      <c r="S1070" t="s">
        <v>56</v>
      </c>
      <c r="T1070" t="s">
        <v>57</v>
      </c>
      <c r="W1070">
        <v>0</v>
      </c>
      <c r="X1070">
        <v>0</v>
      </c>
      <c r="Y1070">
        <v>0</v>
      </c>
      <c r="Z1070">
        <v>0</v>
      </c>
    </row>
    <row r="1071" spans="1:26" hidden="1" x14ac:dyDescent="0.25">
      <c r="A1071" t="s">
        <v>2606</v>
      </c>
      <c r="B1071" t="s">
        <v>38</v>
      </c>
      <c r="C1071" s="4">
        <v>44396</v>
      </c>
      <c r="D1071" s="4">
        <v>46162</v>
      </c>
      <c r="F1071" s="4">
        <v>45626</v>
      </c>
      <c r="G1071" t="s">
        <v>39</v>
      </c>
      <c r="H1071" t="s">
        <v>1482</v>
      </c>
      <c r="K1071" t="s">
        <v>28</v>
      </c>
      <c r="L1071" t="s">
        <v>2154</v>
      </c>
      <c r="M1071" t="s">
        <v>42</v>
      </c>
      <c r="N1071" t="s">
        <v>2160</v>
      </c>
      <c r="O1071" t="s">
        <v>32</v>
      </c>
      <c r="P1071" t="s">
        <v>2607</v>
      </c>
      <c r="Q1071">
        <v>75</v>
      </c>
      <c r="R1071">
        <v>75</v>
      </c>
      <c r="S1071" t="s">
        <v>34</v>
      </c>
      <c r="T1071" t="s">
        <v>35</v>
      </c>
      <c r="U1071" t="s">
        <v>44</v>
      </c>
      <c r="W1071">
        <v>75</v>
      </c>
      <c r="X1071">
        <v>75</v>
      </c>
      <c r="Y1071">
        <v>75</v>
      </c>
      <c r="Z1071">
        <v>75</v>
      </c>
    </row>
    <row r="1072" spans="1:26" hidden="1" x14ac:dyDescent="0.25">
      <c r="A1072" t="s">
        <v>2608</v>
      </c>
      <c r="B1072" t="s">
        <v>2153</v>
      </c>
      <c r="C1072" s="4">
        <v>44530</v>
      </c>
      <c r="F1072" s="4">
        <v>45536</v>
      </c>
      <c r="G1072" t="s">
        <v>907</v>
      </c>
      <c r="H1072" t="s">
        <v>2308</v>
      </c>
      <c r="K1072" t="s">
        <v>53</v>
      </c>
      <c r="L1072" t="s">
        <v>2154</v>
      </c>
      <c r="M1072" t="s">
        <v>54</v>
      </c>
      <c r="N1072" t="s">
        <v>2155</v>
      </c>
      <c r="O1072" t="s">
        <v>32</v>
      </c>
      <c r="P1072" t="s">
        <v>2609</v>
      </c>
      <c r="Q1072">
        <v>100</v>
      </c>
      <c r="R1072">
        <v>100</v>
      </c>
      <c r="S1072" t="s">
        <v>597</v>
      </c>
      <c r="T1072" t="s">
        <v>598</v>
      </c>
      <c r="U1072" t="s">
        <v>44</v>
      </c>
      <c r="V1072" s="4">
        <v>46545</v>
      </c>
      <c r="W1072">
        <v>100</v>
      </c>
      <c r="X1072">
        <v>100</v>
      </c>
      <c r="Y1072">
        <v>100</v>
      </c>
      <c r="Z1072">
        <v>100</v>
      </c>
    </row>
    <row r="1073" spans="1:26" hidden="1" x14ac:dyDescent="0.25">
      <c r="A1073" t="s">
        <v>2610</v>
      </c>
      <c r="B1073" t="s">
        <v>38</v>
      </c>
      <c r="C1073" s="4">
        <v>44487</v>
      </c>
      <c r="D1073" s="4">
        <v>45957</v>
      </c>
      <c r="F1073" s="4">
        <v>45565</v>
      </c>
      <c r="G1073" t="s">
        <v>39</v>
      </c>
      <c r="H1073" t="s">
        <v>1519</v>
      </c>
      <c r="K1073" t="s">
        <v>28</v>
      </c>
      <c r="L1073" t="s">
        <v>2154</v>
      </c>
      <c r="M1073" t="s">
        <v>42</v>
      </c>
      <c r="N1073" t="s">
        <v>2160</v>
      </c>
      <c r="O1073" t="s">
        <v>32</v>
      </c>
      <c r="P1073" t="s">
        <v>2611</v>
      </c>
      <c r="Q1073">
        <v>100</v>
      </c>
      <c r="R1073">
        <v>100</v>
      </c>
      <c r="S1073" t="s">
        <v>34</v>
      </c>
      <c r="T1073" t="s">
        <v>35</v>
      </c>
      <c r="U1073" t="s">
        <v>44</v>
      </c>
      <c r="W1073">
        <v>100</v>
      </c>
      <c r="X1073">
        <v>100</v>
      </c>
      <c r="Y1073">
        <v>0</v>
      </c>
      <c r="Z1073">
        <v>0</v>
      </c>
    </row>
    <row r="1074" spans="1:26" hidden="1" x14ac:dyDescent="0.25">
      <c r="A1074" t="s">
        <v>2612</v>
      </c>
      <c r="B1074" t="s">
        <v>25</v>
      </c>
      <c r="C1074" s="4">
        <v>44453</v>
      </c>
      <c r="F1074" s="4">
        <v>45596</v>
      </c>
      <c r="G1074" t="s">
        <v>1749</v>
      </c>
      <c r="H1074" t="s">
        <v>2168</v>
      </c>
      <c r="K1074" t="s">
        <v>151</v>
      </c>
      <c r="L1074" t="s">
        <v>2154</v>
      </c>
      <c r="M1074" t="s">
        <v>68</v>
      </c>
      <c r="N1074" t="s">
        <v>2155</v>
      </c>
      <c r="O1074" t="s">
        <v>32</v>
      </c>
      <c r="P1074" t="s">
        <v>2613</v>
      </c>
      <c r="Q1074">
        <v>198</v>
      </c>
      <c r="R1074">
        <v>198</v>
      </c>
      <c r="S1074" t="s">
        <v>34</v>
      </c>
      <c r="T1074" t="s">
        <v>35</v>
      </c>
      <c r="U1074" t="s">
        <v>44</v>
      </c>
      <c r="V1074" s="4">
        <v>47088</v>
      </c>
      <c r="W1074">
        <v>198</v>
      </c>
      <c r="X1074">
        <v>0</v>
      </c>
      <c r="Y1074">
        <v>198</v>
      </c>
      <c r="Z1074">
        <v>0</v>
      </c>
    </row>
    <row r="1075" spans="1:26" hidden="1" x14ac:dyDescent="0.25">
      <c r="A1075" t="s">
        <v>2614</v>
      </c>
      <c r="B1075" t="s">
        <v>38</v>
      </c>
      <c r="C1075" s="4">
        <v>44431</v>
      </c>
      <c r="D1075" s="4">
        <v>45723</v>
      </c>
      <c r="F1075" s="4">
        <v>45595</v>
      </c>
      <c r="G1075" t="s">
        <v>65</v>
      </c>
      <c r="H1075" t="s">
        <v>1505</v>
      </c>
      <c r="K1075" t="s">
        <v>67</v>
      </c>
      <c r="L1075" t="s">
        <v>2154</v>
      </c>
      <c r="M1075" t="s">
        <v>68</v>
      </c>
      <c r="N1075" t="s">
        <v>2155</v>
      </c>
      <c r="O1075" t="s">
        <v>32</v>
      </c>
      <c r="P1075" t="s">
        <v>2615</v>
      </c>
      <c r="Q1075">
        <v>100</v>
      </c>
      <c r="R1075">
        <v>100</v>
      </c>
      <c r="S1075" t="s">
        <v>597</v>
      </c>
      <c r="T1075" t="s">
        <v>598</v>
      </c>
      <c r="U1075" t="s">
        <v>44</v>
      </c>
      <c r="W1075">
        <v>100</v>
      </c>
      <c r="X1075">
        <v>100</v>
      </c>
      <c r="Y1075">
        <v>0</v>
      </c>
      <c r="Z1075">
        <v>0</v>
      </c>
    </row>
    <row r="1076" spans="1:26" hidden="1" x14ac:dyDescent="0.25">
      <c r="A1076" t="s">
        <v>2616</v>
      </c>
      <c r="B1076" t="s">
        <v>38</v>
      </c>
      <c r="C1076" s="4">
        <v>44529</v>
      </c>
      <c r="D1076" s="4">
        <v>46009</v>
      </c>
      <c r="F1076" s="4">
        <v>45580</v>
      </c>
      <c r="G1076" t="s">
        <v>681</v>
      </c>
      <c r="H1076" t="s">
        <v>2617</v>
      </c>
      <c r="K1076" t="s">
        <v>683</v>
      </c>
      <c r="L1076" t="s">
        <v>2154</v>
      </c>
      <c r="M1076" t="s">
        <v>84</v>
      </c>
      <c r="N1076" t="s">
        <v>2160</v>
      </c>
      <c r="O1076" t="s">
        <v>32</v>
      </c>
      <c r="P1076" t="s">
        <v>2618</v>
      </c>
      <c r="Q1076">
        <v>91.53</v>
      </c>
      <c r="R1076">
        <v>91.53</v>
      </c>
      <c r="S1076" t="s">
        <v>597</v>
      </c>
      <c r="T1076" t="s">
        <v>598</v>
      </c>
      <c r="U1076" t="s">
        <v>44</v>
      </c>
      <c r="W1076">
        <v>91.53</v>
      </c>
      <c r="X1076">
        <v>91.53</v>
      </c>
      <c r="Y1076">
        <v>0</v>
      </c>
      <c r="Z1076">
        <v>0</v>
      </c>
    </row>
    <row r="1077" spans="1:26" hidden="1" x14ac:dyDescent="0.25">
      <c r="A1077" t="s">
        <v>2619</v>
      </c>
      <c r="B1077" t="s">
        <v>38</v>
      </c>
      <c r="C1077" s="4">
        <v>44487</v>
      </c>
      <c r="D1077" s="4">
        <v>45566</v>
      </c>
      <c r="F1077" s="4">
        <v>45565</v>
      </c>
      <c r="G1077" t="s">
        <v>1278</v>
      </c>
      <c r="H1077" t="s">
        <v>1476</v>
      </c>
      <c r="K1077" t="s">
        <v>28</v>
      </c>
      <c r="L1077" t="s">
        <v>2154</v>
      </c>
      <c r="M1077" t="s">
        <v>30</v>
      </c>
      <c r="N1077" t="s">
        <v>2155</v>
      </c>
      <c r="O1077" t="s">
        <v>32</v>
      </c>
      <c r="P1077" t="s">
        <v>2620</v>
      </c>
      <c r="Q1077">
        <v>100</v>
      </c>
      <c r="R1077">
        <v>100</v>
      </c>
      <c r="S1077" t="s">
        <v>159</v>
      </c>
      <c r="T1077" t="s">
        <v>159</v>
      </c>
      <c r="U1077" t="s">
        <v>44</v>
      </c>
      <c r="W1077">
        <v>75</v>
      </c>
      <c r="X1077">
        <v>75</v>
      </c>
      <c r="Y1077">
        <v>0</v>
      </c>
      <c r="Z1077">
        <v>0</v>
      </c>
    </row>
    <row r="1078" spans="1:26" hidden="1" x14ac:dyDescent="0.25">
      <c r="A1078" t="s">
        <v>2621</v>
      </c>
      <c r="B1078" t="s">
        <v>25</v>
      </c>
      <c r="C1078" s="4">
        <v>44435</v>
      </c>
      <c r="F1078" s="4">
        <v>45569</v>
      </c>
      <c r="G1078" t="s">
        <v>1749</v>
      </c>
      <c r="H1078" t="s">
        <v>1962</v>
      </c>
      <c r="K1078" t="s">
        <v>151</v>
      </c>
      <c r="L1078" t="s">
        <v>2154</v>
      </c>
      <c r="M1078" t="s">
        <v>68</v>
      </c>
      <c r="N1078" t="s">
        <v>2155</v>
      </c>
      <c r="O1078" t="s">
        <v>32</v>
      </c>
      <c r="P1078" t="s">
        <v>2622</v>
      </c>
      <c r="Q1078">
        <v>200</v>
      </c>
      <c r="R1078">
        <v>200</v>
      </c>
      <c r="S1078" t="s">
        <v>34</v>
      </c>
      <c r="T1078" t="s">
        <v>35</v>
      </c>
      <c r="U1078" t="s">
        <v>44</v>
      </c>
      <c r="V1078" s="4">
        <v>46903</v>
      </c>
      <c r="W1078">
        <v>200</v>
      </c>
      <c r="X1078">
        <v>200</v>
      </c>
      <c r="Y1078">
        <v>200</v>
      </c>
      <c r="Z1078">
        <v>0</v>
      </c>
    </row>
    <row r="1079" spans="1:26" hidden="1" x14ac:dyDescent="0.25">
      <c r="A1079" t="s">
        <v>2623</v>
      </c>
      <c r="B1079" t="s">
        <v>38</v>
      </c>
      <c r="C1079" s="4">
        <v>44417</v>
      </c>
      <c r="D1079" s="4">
        <v>44539</v>
      </c>
      <c r="F1079" s="4">
        <v>45505</v>
      </c>
      <c r="G1079" t="s">
        <v>149</v>
      </c>
      <c r="H1079" t="s">
        <v>2624</v>
      </c>
      <c r="K1079" t="s">
        <v>151</v>
      </c>
      <c r="L1079" t="s">
        <v>2154</v>
      </c>
      <c r="M1079" t="s">
        <v>68</v>
      </c>
      <c r="N1079" t="s">
        <v>2155</v>
      </c>
      <c r="O1079" t="s">
        <v>32</v>
      </c>
      <c r="P1079" t="s">
        <v>2625</v>
      </c>
      <c r="Q1079">
        <v>225</v>
      </c>
      <c r="R1079">
        <v>225</v>
      </c>
      <c r="S1079" t="s">
        <v>597</v>
      </c>
      <c r="T1079" t="s">
        <v>598</v>
      </c>
      <c r="W1079">
        <v>0</v>
      </c>
      <c r="X1079">
        <v>0</v>
      </c>
      <c r="Y1079">
        <v>0</v>
      </c>
      <c r="Z1079">
        <v>0</v>
      </c>
    </row>
    <row r="1080" spans="1:26" hidden="1" x14ac:dyDescent="0.25">
      <c r="A1080" t="s">
        <v>2626</v>
      </c>
      <c r="B1080" t="s">
        <v>38</v>
      </c>
      <c r="C1080" s="4">
        <v>44540</v>
      </c>
      <c r="D1080" s="4">
        <v>45224</v>
      </c>
      <c r="F1080" s="4">
        <v>45412</v>
      </c>
      <c r="G1080" t="s">
        <v>144</v>
      </c>
      <c r="H1080" t="s">
        <v>1396</v>
      </c>
      <c r="K1080" t="s">
        <v>146</v>
      </c>
      <c r="L1080" t="s">
        <v>2154</v>
      </c>
      <c r="M1080" t="s">
        <v>68</v>
      </c>
      <c r="N1080" t="s">
        <v>2155</v>
      </c>
      <c r="O1080" t="s">
        <v>32</v>
      </c>
      <c r="P1080" t="s">
        <v>2627</v>
      </c>
      <c r="Q1080">
        <v>150</v>
      </c>
      <c r="R1080">
        <v>150</v>
      </c>
      <c r="S1080" t="s">
        <v>34</v>
      </c>
      <c r="T1080" t="s">
        <v>35</v>
      </c>
      <c r="U1080" t="s">
        <v>44</v>
      </c>
      <c r="W1080">
        <v>0</v>
      </c>
      <c r="X1080">
        <v>0</v>
      </c>
      <c r="Y1080">
        <v>0</v>
      </c>
      <c r="Z1080">
        <v>0</v>
      </c>
    </row>
    <row r="1081" spans="1:26" hidden="1" x14ac:dyDescent="0.25">
      <c r="A1081" t="s">
        <v>2628</v>
      </c>
      <c r="B1081" t="s">
        <v>2153</v>
      </c>
      <c r="C1081" s="4">
        <v>44421</v>
      </c>
      <c r="F1081" s="4">
        <v>45838</v>
      </c>
      <c r="G1081" t="s">
        <v>72</v>
      </c>
      <c r="H1081" t="s">
        <v>1892</v>
      </c>
      <c r="K1081" t="s">
        <v>209</v>
      </c>
      <c r="L1081" t="s">
        <v>2154</v>
      </c>
      <c r="M1081" t="s">
        <v>42</v>
      </c>
      <c r="N1081" t="s">
        <v>2160</v>
      </c>
      <c r="O1081" t="s">
        <v>32</v>
      </c>
      <c r="P1081" t="s">
        <v>2629</v>
      </c>
      <c r="Q1081">
        <v>200</v>
      </c>
      <c r="R1081">
        <v>200</v>
      </c>
      <c r="S1081" t="s">
        <v>34</v>
      </c>
      <c r="T1081" t="s">
        <v>35</v>
      </c>
      <c r="U1081" t="s">
        <v>44</v>
      </c>
      <c r="W1081">
        <v>200</v>
      </c>
      <c r="X1081">
        <v>200</v>
      </c>
      <c r="Y1081">
        <v>200</v>
      </c>
      <c r="Z1081">
        <v>200</v>
      </c>
    </row>
    <row r="1082" spans="1:26" hidden="1" x14ac:dyDescent="0.25">
      <c r="A1082" t="s">
        <v>2630</v>
      </c>
      <c r="B1082" t="s">
        <v>38</v>
      </c>
      <c r="C1082" s="4">
        <v>44414</v>
      </c>
      <c r="D1082" s="4">
        <v>45957</v>
      </c>
      <c r="F1082" s="4">
        <v>45596</v>
      </c>
      <c r="G1082" t="s">
        <v>72</v>
      </c>
      <c r="H1082" t="s">
        <v>1668</v>
      </c>
      <c r="K1082" t="s">
        <v>209</v>
      </c>
      <c r="L1082" t="s">
        <v>2154</v>
      </c>
      <c r="M1082" t="s">
        <v>42</v>
      </c>
      <c r="N1082" t="s">
        <v>2160</v>
      </c>
      <c r="O1082" t="s">
        <v>1110</v>
      </c>
      <c r="P1082" t="s">
        <v>2631</v>
      </c>
      <c r="Q1082">
        <v>150</v>
      </c>
      <c r="R1082">
        <v>150</v>
      </c>
      <c r="S1082" t="s">
        <v>56</v>
      </c>
      <c r="T1082" t="s">
        <v>57</v>
      </c>
      <c r="U1082" t="s">
        <v>44</v>
      </c>
      <c r="W1082">
        <v>0</v>
      </c>
      <c r="X1082">
        <v>150</v>
      </c>
      <c r="Y1082">
        <v>0</v>
      </c>
      <c r="Z1082">
        <v>0</v>
      </c>
    </row>
    <row r="1083" spans="1:26" hidden="1" x14ac:dyDescent="0.25">
      <c r="A1083" t="s">
        <v>2632</v>
      </c>
      <c r="B1083" t="s">
        <v>38</v>
      </c>
      <c r="C1083" s="4">
        <v>44420</v>
      </c>
      <c r="D1083" s="4">
        <v>46177</v>
      </c>
      <c r="F1083" s="4">
        <v>45413</v>
      </c>
      <c r="G1083" t="s">
        <v>1597</v>
      </c>
      <c r="H1083" t="s">
        <v>2243</v>
      </c>
      <c r="K1083" t="s">
        <v>185</v>
      </c>
      <c r="L1083" t="s">
        <v>2154</v>
      </c>
      <c r="M1083" t="s">
        <v>42</v>
      </c>
      <c r="N1083" t="s">
        <v>2160</v>
      </c>
      <c r="O1083" t="s">
        <v>122</v>
      </c>
      <c r="P1083" t="s">
        <v>2244</v>
      </c>
      <c r="Q1083">
        <v>200</v>
      </c>
      <c r="R1083">
        <v>200</v>
      </c>
      <c r="S1083" t="s">
        <v>56</v>
      </c>
      <c r="T1083" t="s">
        <v>57</v>
      </c>
      <c r="U1083" t="s">
        <v>44</v>
      </c>
      <c r="W1083">
        <v>200</v>
      </c>
      <c r="X1083">
        <v>200</v>
      </c>
      <c r="Y1083">
        <v>200</v>
      </c>
      <c r="Z1083">
        <v>0</v>
      </c>
    </row>
    <row r="1084" spans="1:26" hidden="1" x14ac:dyDescent="0.25">
      <c r="A1084" t="s">
        <v>2633</v>
      </c>
      <c r="B1084" t="s">
        <v>38</v>
      </c>
      <c r="C1084" s="4">
        <v>44433</v>
      </c>
      <c r="D1084" s="4">
        <v>46000</v>
      </c>
      <c r="F1084" s="4">
        <v>45566</v>
      </c>
      <c r="G1084" t="s">
        <v>65</v>
      </c>
      <c r="H1084" t="s">
        <v>1327</v>
      </c>
      <c r="K1084" t="s">
        <v>67</v>
      </c>
      <c r="L1084" t="s">
        <v>2154</v>
      </c>
      <c r="M1084" t="s">
        <v>68</v>
      </c>
      <c r="N1084" t="s">
        <v>2155</v>
      </c>
      <c r="O1084" t="s">
        <v>32</v>
      </c>
      <c r="P1084" t="s">
        <v>2634</v>
      </c>
      <c r="Q1084">
        <v>20</v>
      </c>
      <c r="R1084">
        <v>20</v>
      </c>
      <c r="S1084" t="s">
        <v>464</v>
      </c>
      <c r="T1084" t="s">
        <v>2635</v>
      </c>
      <c r="U1084" t="s">
        <v>44</v>
      </c>
      <c r="V1084" s="4">
        <v>46661</v>
      </c>
      <c r="W1084">
        <v>15</v>
      </c>
      <c r="X1084">
        <v>15</v>
      </c>
      <c r="Y1084">
        <v>15</v>
      </c>
      <c r="Z1084">
        <v>15</v>
      </c>
    </row>
    <row r="1085" spans="1:26" hidden="1" x14ac:dyDescent="0.25">
      <c r="A1085" t="s">
        <v>2636</v>
      </c>
      <c r="B1085" t="s">
        <v>38</v>
      </c>
      <c r="C1085" s="4">
        <v>44441</v>
      </c>
      <c r="D1085" s="4">
        <v>45723</v>
      </c>
      <c r="F1085" s="4">
        <v>45569</v>
      </c>
      <c r="G1085" t="s">
        <v>616</v>
      </c>
      <c r="H1085" t="s">
        <v>2467</v>
      </c>
      <c r="K1085" t="s">
        <v>146</v>
      </c>
      <c r="L1085" t="s">
        <v>2154</v>
      </c>
      <c r="M1085" t="s">
        <v>68</v>
      </c>
      <c r="N1085" t="s">
        <v>2155</v>
      </c>
      <c r="O1085" t="s">
        <v>32</v>
      </c>
      <c r="P1085" t="s">
        <v>2637</v>
      </c>
      <c r="Q1085">
        <v>50</v>
      </c>
      <c r="R1085">
        <v>50</v>
      </c>
      <c r="S1085" t="s">
        <v>34</v>
      </c>
      <c r="T1085" t="s">
        <v>35</v>
      </c>
      <c r="U1085" t="s">
        <v>44</v>
      </c>
      <c r="W1085">
        <v>50</v>
      </c>
      <c r="X1085">
        <v>50</v>
      </c>
      <c r="Y1085">
        <v>0</v>
      </c>
      <c r="Z1085">
        <v>0</v>
      </c>
    </row>
    <row r="1086" spans="1:26" hidden="1" x14ac:dyDescent="0.25">
      <c r="A1086" t="s">
        <v>2638</v>
      </c>
      <c r="B1086" t="s">
        <v>38</v>
      </c>
      <c r="C1086" s="4">
        <v>44551</v>
      </c>
      <c r="D1086" s="4">
        <v>45240</v>
      </c>
      <c r="F1086" s="4">
        <v>45596</v>
      </c>
      <c r="G1086" t="s">
        <v>616</v>
      </c>
      <c r="H1086" t="s">
        <v>2639</v>
      </c>
      <c r="K1086" t="s">
        <v>146</v>
      </c>
      <c r="L1086" t="s">
        <v>2154</v>
      </c>
      <c r="M1086" t="s">
        <v>68</v>
      </c>
      <c r="N1086" t="s">
        <v>2155</v>
      </c>
      <c r="O1086" t="s">
        <v>32</v>
      </c>
      <c r="P1086" t="s">
        <v>2640</v>
      </c>
      <c r="Q1086">
        <v>200</v>
      </c>
      <c r="R1086">
        <v>200</v>
      </c>
      <c r="S1086" t="s">
        <v>34</v>
      </c>
      <c r="T1086" t="s">
        <v>35</v>
      </c>
      <c r="U1086" t="s">
        <v>44</v>
      </c>
      <c r="W1086">
        <v>0</v>
      </c>
      <c r="X1086">
        <v>0</v>
      </c>
      <c r="Y1086">
        <v>0</v>
      </c>
      <c r="Z1086">
        <v>0</v>
      </c>
    </row>
    <row r="1087" spans="1:26" hidden="1" x14ac:dyDescent="0.25">
      <c r="A1087" t="s">
        <v>2641</v>
      </c>
      <c r="B1087" t="s">
        <v>38</v>
      </c>
      <c r="C1087" s="4">
        <v>44501</v>
      </c>
      <c r="D1087" s="4">
        <v>45957</v>
      </c>
      <c r="F1087" s="4">
        <v>45597</v>
      </c>
      <c r="G1087" t="s">
        <v>183</v>
      </c>
      <c r="H1087" t="s">
        <v>2642</v>
      </c>
      <c r="K1087" t="s">
        <v>185</v>
      </c>
      <c r="L1087" t="s">
        <v>2154</v>
      </c>
      <c r="M1087" t="s">
        <v>42</v>
      </c>
      <c r="N1087" t="s">
        <v>2160</v>
      </c>
      <c r="O1087" t="s">
        <v>32</v>
      </c>
      <c r="P1087" t="s">
        <v>2643</v>
      </c>
      <c r="Q1087">
        <v>45</v>
      </c>
      <c r="R1087">
        <v>45</v>
      </c>
      <c r="S1087" t="s">
        <v>34</v>
      </c>
      <c r="T1087" t="s">
        <v>35</v>
      </c>
      <c r="U1087" t="s">
        <v>44</v>
      </c>
      <c r="W1087">
        <v>45</v>
      </c>
      <c r="X1087">
        <v>45</v>
      </c>
      <c r="Y1087">
        <v>0</v>
      </c>
      <c r="Z1087">
        <v>0</v>
      </c>
    </row>
    <row r="1088" spans="1:26" hidden="1" x14ac:dyDescent="0.25">
      <c r="A1088" t="s">
        <v>2644</v>
      </c>
      <c r="B1088" t="s">
        <v>38</v>
      </c>
      <c r="C1088" s="4">
        <v>44501</v>
      </c>
      <c r="D1088" s="4">
        <v>45957</v>
      </c>
      <c r="F1088" s="4">
        <v>45597</v>
      </c>
      <c r="G1088" t="s">
        <v>183</v>
      </c>
      <c r="H1088" t="s">
        <v>2642</v>
      </c>
      <c r="K1088" t="s">
        <v>185</v>
      </c>
      <c r="L1088" t="s">
        <v>2154</v>
      </c>
      <c r="M1088" t="s">
        <v>42</v>
      </c>
      <c r="N1088" t="s">
        <v>2160</v>
      </c>
      <c r="O1088" t="s">
        <v>32</v>
      </c>
      <c r="P1088" t="s">
        <v>2645</v>
      </c>
      <c r="Q1088">
        <v>40</v>
      </c>
      <c r="R1088">
        <v>40</v>
      </c>
      <c r="S1088" t="s">
        <v>34</v>
      </c>
      <c r="T1088" t="s">
        <v>35</v>
      </c>
      <c r="U1088" t="s">
        <v>44</v>
      </c>
      <c r="W1088">
        <v>40</v>
      </c>
      <c r="X1088">
        <v>40</v>
      </c>
      <c r="Y1088">
        <v>0</v>
      </c>
      <c r="Z1088">
        <v>0</v>
      </c>
    </row>
    <row r="1089" spans="1:26" hidden="1" x14ac:dyDescent="0.25">
      <c r="A1089" t="s">
        <v>2646</v>
      </c>
      <c r="B1089" t="s">
        <v>38</v>
      </c>
      <c r="C1089" s="4">
        <v>44417</v>
      </c>
      <c r="D1089" s="4">
        <v>45957</v>
      </c>
      <c r="F1089" s="4">
        <v>45747</v>
      </c>
      <c r="G1089" t="s">
        <v>177</v>
      </c>
      <c r="H1089" t="s">
        <v>1957</v>
      </c>
      <c r="K1089" t="s">
        <v>185</v>
      </c>
      <c r="L1089" t="s">
        <v>2154</v>
      </c>
      <c r="M1089" t="s">
        <v>42</v>
      </c>
      <c r="N1089" t="s">
        <v>2160</v>
      </c>
      <c r="O1089" t="s">
        <v>32</v>
      </c>
      <c r="P1089" t="s">
        <v>2647</v>
      </c>
      <c r="Q1089">
        <v>500</v>
      </c>
      <c r="R1089">
        <v>500</v>
      </c>
      <c r="S1089" t="s">
        <v>34</v>
      </c>
      <c r="T1089" t="s">
        <v>35</v>
      </c>
      <c r="U1089" t="s">
        <v>44</v>
      </c>
      <c r="W1089">
        <v>500</v>
      </c>
      <c r="X1089">
        <v>500</v>
      </c>
      <c r="Y1089">
        <v>0</v>
      </c>
      <c r="Z1089">
        <v>0</v>
      </c>
    </row>
    <row r="1090" spans="1:26" hidden="1" x14ac:dyDescent="0.25">
      <c r="A1090" t="s">
        <v>2648</v>
      </c>
      <c r="B1090" t="s">
        <v>2153</v>
      </c>
      <c r="C1090" s="4">
        <v>45888</v>
      </c>
      <c r="F1090" s="4">
        <v>45626</v>
      </c>
      <c r="G1090" t="s">
        <v>39</v>
      </c>
      <c r="H1090" t="s">
        <v>1479</v>
      </c>
      <c r="K1090" t="s">
        <v>41</v>
      </c>
      <c r="L1090" t="s">
        <v>2154</v>
      </c>
      <c r="M1090" t="s">
        <v>42</v>
      </c>
      <c r="N1090" t="s">
        <v>2160</v>
      </c>
      <c r="O1090" t="s">
        <v>32</v>
      </c>
      <c r="P1090" t="s">
        <v>2649</v>
      </c>
      <c r="Q1090">
        <v>125</v>
      </c>
      <c r="R1090">
        <v>125</v>
      </c>
      <c r="S1090" t="s">
        <v>34</v>
      </c>
      <c r="T1090" t="s">
        <v>35</v>
      </c>
      <c r="U1090" t="s">
        <v>44</v>
      </c>
      <c r="W1090">
        <v>125</v>
      </c>
      <c r="X1090">
        <v>125</v>
      </c>
      <c r="Y1090">
        <v>125</v>
      </c>
      <c r="Z1090">
        <v>125</v>
      </c>
    </row>
    <row r="1091" spans="1:26" hidden="1" x14ac:dyDescent="0.25">
      <c r="A1091" t="s">
        <v>2650</v>
      </c>
      <c r="B1091" t="s">
        <v>25</v>
      </c>
      <c r="C1091" s="4">
        <v>44755</v>
      </c>
      <c r="F1091" s="4">
        <v>45596</v>
      </c>
      <c r="G1091" t="s">
        <v>1326</v>
      </c>
      <c r="H1091" t="s">
        <v>1849</v>
      </c>
      <c r="K1091" t="s">
        <v>67</v>
      </c>
      <c r="L1091" t="s">
        <v>2154</v>
      </c>
      <c r="M1091" t="s">
        <v>68</v>
      </c>
      <c r="N1091" t="s">
        <v>2155</v>
      </c>
      <c r="O1091" t="s">
        <v>32</v>
      </c>
      <c r="P1091" t="s">
        <v>2651</v>
      </c>
      <c r="Q1091">
        <v>400</v>
      </c>
      <c r="R1091">
        <v>400</v>
      </c>
      <c r="S1091" t="s">
        <v>34</v>
      </c>
      <c r="T1091" t="s">
        <v>35</v>
      </c>
      <c r="U1091" t="s">
        <v>44</v>
      </c>
      <c r="V1091" s="4">
        <v>46691</v>
      </c>
      <c r="W1091">
        <v>400</v>
      </c>
      <c r="X1091">
        <v>400</v>
      </c>
      <c r="Y1091">
        <v>400</v>
      </c>
      <c r="Z1091">
        <v>0</v>
      </c>
    </row>
    <row r="1092" spans="1:26" hidden="1" x14ac:dyDescent="0.25">
      <c r="A1092" t="s">
        <v>2652</v>
      </c>
      <c r="B1092" t="s">
        <v>25</v>
      </c>
      <c r="C1092" s="4">
        <v>44523</v>
      </c>
      <c r="F1092" s="4">
        <v>45596</v>
      </c>
      <c r="G1092" t="s">
        <v>1326</v>
      </c>
      <c r="H1092" t="s">
        <v>1327</v>
      </c>
      <c r="K1092" t="s">
        <v>67</v>
      </c>
      <c r="L1092" t="s">
        <v>2154</v>
      </c>
      <c r="M1092" t="s">
        <v>68</v>
      </c>
      <c r="N1092" t="s">
        <v>2155</v>
      </c>
      <c r="O1092" t="s">
        <v>32</v>
      </c>
      <c r="P1092" t="s">
        <v>2653</v>
      </c>
      <c r="Q1092">
        <v>200</v>
      </c>
      <c r="R1092">
        <v>200</v>
      </c>
      <c r="S1092" t="s">
        <v>34</v>
      </c>
      <c r="T1092" t="s">
        <v>35</v>
      </c>
      <c r="U1092" t="s">
        <v>44</v>
      </c>
      <c r="V1092" s="4">
        <v>46752</v>
      </c>
      <c r="W1092">
        <v>200</v>
      </c>
      <c r="X1092">
        <v>200</v>
      </c>
      <c r="Y1092">
        <v>200</v>
      </c>
      <c r="Z1092">
        <v>0</v>
      </c>
    </row>
    <row r="1093" spans="1:26" hidden="1" x14ac:dyDescent="0.25">
      <c r="A1093" t="s">
        <v>2654</v>
      </c>
      <c r="B1093" t="s">
        <v>38</v>
      </c>
      <c r="C1093" s="4">
        <v>44755</v>
      </c>
      <c r="D1093" s="4">
        <v>45237</v>
      </c>
      <c r="F1093" s="4">
        <v>46326</v>
      </c>
      <c r="G1093" t="s">
        <v>65</v>
      </c>
      <c r="H1093" t="s">
        <v>2526</v>
      </c>
      <c r="K1093" t="s">
        <v>67</v>
      </c>
      <c r="L1093" t="s">
        <v>2154</v>
      </c>
      <c r="M1093" t="s">
        <v>68</v>
      </c>
      <c r="N1093" t="s">
        <v>2155</v>
      </c>
      <c r="O1093" t="s">
        <v>32</v>
      </c>
      <c r="P1093" t="s">
        <v>2655</v>
      </c>
      <c r="Q1093">
        <v>300</v>
      </c>
      <c r="R1093">
        <v>300</v>
      </c>
      <c r="S1093" t="s">
        <v>34</v>
      </c>
      <c r="T1093" t="s">
        <v>35</v>
      </c>
      <c r="U1093" t="s">
        <v>44</v>
      </c>
      <c r="W1093">
        <v>0</v>
      </c>
      <c r="X1093">
        <v>0</v>
      </c>
      <c r="Y1093">
        <v>0</v>
      </c>
      <c r="Z1093">
        <v>0</v>
      </c>
    </row>
    <row r="1094" spans="1:26" hidden="1" x14ac:dyDescent="0.25">
      <c r="A1094" t="s">
        <v>2656</v>
      </c>
      <c r="B1094" t="s">
        <v>25</v>
      </c>
      <c r="C1094" s="4">
        <v>44572</v>
      </c>
      <c r="F1094" s="4">
        <v>45710</v>
      </c>
      <c r="G1094" t="s">
        <v>1753</v>
      </c>
      <c r="H1094" t="s">
        <v>1933</v>
      </c>
      <c r="K1094" t="s">
        <v>114</v>
      </c>
      <c r="L1094" t="s">
        <v>2154</v>
      </c>
      <c r="M1094" t="s">
        <v>68</v>
      </c>
      <c r="N1094" t="s">
        <v>2155</v>
      </c>
      <c r="O1094" t="s">
        <v>32</v>
      </c>
      <c r="P1094" t="s">
        <v>2657</v>
      </c>
      <c r="Q1094">
        <v>250</v>
      </c>
      <c r="R1094">
        <v>250</v>
      </c>
      <c r="S1094" t="s">
        <v>159</v>
      </c>
      <c r="T1094" t="s">
        <v>159</v>
      </c>
      <c r="U1094" t="s">
        <v>44</v>
      </c>
      <c r="W1094">
        <v>250</v>
      </c>
      <c r="X1094">
        <v>250</v>
      </c>
      <c r="Y1094">
        <v>250</v>
      </c>
      <c r="Z1094">
        <v>130</v>
      </c>
    </row>
    <row r="1095" spans="1:26" hidden="1" x14ac:dyDescent="0.25">
      <c r="A1095" t="s">
        <v>2658</v>
      </c>
      <c r="B1095" t="s">
        <v>38</v>
      </c>
      <c r="C1095" s="4">
        <v>44420</v>
      </c>
      <c r="D1095" s="4">
        <v>45209</v>
      </c>
      <c r="F1095" s="4">
        <v>45961</v>
      </c>
      <c r="G1095" t="s">
        <v>173</v>
      </c>
      <c r="H1095" t="s">
        <v>2659</v>
      </c>
      <c r="K1095" t="s">
        <v>41</v>
      </c>
      <c r="L1095" t="s">
        <v>2154</v>
      </c>
      <c r="M1095" t="s">
        <v>42</v>
      </c>
      <c r="N1095" t="s">
        <v>2160</v>
      </c>
      <c r="O1095" t="s">
        <v>32</v>
      </c>
      <c r="P1095" t="s">
        <v>2660</v>
      </c>
      <c r="Q1095">
        <v>100</v>
      </c>
      <c r="R1095">
        <v>100</v>
      </c>
      <c r="S1095" t="s">
        <v>56</v>
      </c>
      <c r="T1095" t="s">
        <v>57</v>
      </c>
      <c r="U1095" t="s">
        <v>44</v>
      </c>
      <c r="W1095">
        <v>0</v>
      </c>
      <c r="X1095">
        <v>0</v>
      </c>
      <c r="Y1095">
        <v>0</v>
      </c>
      <c r="Z1095">
        <v>0</v>
      </c>
    </row>
    <row r="1096" spans="1:26" hidden="1" x14ac:dyDescent="0.25">
      <c r="A1096" t="s">
        <v>2661</v>
      </c>
      <c r="B1096" t="s">
        <v>38</v>
      </c>
      <c r="C1096" s="4">
        <v>44551</v>
      </c>
      <c r="D1096" s="4">
        <v>45723</v>
      </c>
      <c r="F1096" s="4">
        <v>45596</v>
      </c>
      <c r="G1096" t="s">
        <v>65</v>
      </c>
      <c r="H1096" t="s">
        <v>2526</v>
      </c>
      <c r="K1096" t="s">
        <v>67</v>
      </c>
      <c r="L1096" t="s">
        <v>2154</v>
      </c>
      <c r="M1096" t="s">
        <v>68</v>
      </c>
      <c r="N1096" t="s">
        <v>2155</v>
      </c>
      <c r="O1096" t="s">
        <v>32</v>
      </c>
      <c r="P1096" t="s">
        <v>2662</v>
      </c>
      <c r="Q1096">
        <v>144</v>
      </c>
      <c r="R1096">
        <v>144</v>
      </c>
      <c r="S1096" t="s">
        <v>34</v>
      </c>
      <c r="T1096" t="s">
        <v>35</v>
      </c>
      <c r="U1096" t="s">
        <v>44</v>
      </c>
      <c r="W1096">
        <v>144</v>
      </c>
      <c r="X1096">
        <v>0</v>
      </c>
      <c r="Y1096">
        <v>0</v>
      </c>
      <c r="Z1096">
        <v>0</v>
      </c>
    </row>
    <row r="1097" spans="1:26" hidden="1" x14ac:dyDescent="0.25">
      <c r="A1097" t="s">
        <v>2663</v>
      </c>
      <c r="B1097" t="s">
        <v>38</v>
      </c>
      <c r="C1097" s="4">
        <v>44411</v>
      </c>
      <c r="D1097" s="4">
        <v>45209</v>
      </c>
      <c r="F1097" s="4">
        <v>44895</v>
      </c>
      <c r="G1097" t="s">
        <v>177</v>
      </c>
      <c r="H1097" t="s">
        <v>2664</v>
      </c>
      <c r="K1097" t="s">
        <v>185</v>
      </c>
      <c r="L1097" t="s">
        <v>2154</v>
      </c>
      <c r="M1097" t="s">
        <v>42</v>
      </c>
      <c r="N1097" t="s">
        <v>2160</v>
      </c>
      <c r="O1097" t="s">
        <v>32</v>
      </c>
      <c r="P1097" t="s">
        <v>2665</v>
      </c>
      <c r="Q1097">
        <v>100</v>
      </c>
      <c r="R1097">
        <v>100</v>
      </c>
      <c r="S1097" t="s">
        <v>159</v>
      </c>
      <c r="T1097" t="s">
        <v>159</v>
      </c>
      <c r="U1097" t="s">
        <v>44</v>
      </c>
      <c r="W1097">
        <v>0</v>
      </c>
      <c r="X1097">
        <v>0</v>
      </c>
      <c r="Y1097">
        <v>0</v>
      </c>
      <c r="Z1097">
        <v>0</v>
      </c>
    </row>
    <row r="1098" spans="1:26" hidden="1" x14ac:dyDescent="0.25">
      <c r="A1098" t="s">
        <v>2666</v>
      </c>
      <c r="B1098" t="s">
        <v>38</v>
      </c>
      <c r="C1098" s="4">
        <v>44434</v>
      </c>
      <c r="D1098" s="4">
        <v>45209</v>
      </c>
      <c r="F1098" s="4">
        <v>45397</v>
      </c>
      <c r="G1098" t="s">
        <v>72</v>
      </c>
      <c r="H1098" t="s">
        <v>2537</v>
      </c>
      <c r="K1098" t="s">
        <v>209</v>
      </c>
      <c r="L1098" t="s">
        <v>2154</v>
      </c>
      <c r="M1098" t="s">
        <v>42</v>
      </c>
      <c r="N1098" t="s">
        <v>2160</v>
      </c>
      <c r="O1098" t="s">
        <v>32</v>
      </c>
      <c r="P1098" t="s">
        <v>2667</v>
      </c>
      <c r="Q1098">
        <v>212</v>
      </c>
      <c r="R1098">
        <v>212</v>
      </c>
      <c r="S1098" t="s">
        <v>159</v>
      </c>
      <c r="T1098" t="s">
        <v>159</v>
      </c>
      <c r="U1098" t="s">
        <v>44</v>
      </c>
      <c r="W1098">
        <v>0</v>
      </c>
      <c r="X1098">
        <v>0</v>
      </c>
      <c r="Y1098">
        <v>0</v>
      </c>
      <c r="Z1098">
        <v>0</v>
      </c>
    </row>
    <row r="1099" spans="1:26" hidden="1" x14ac:dyDescent="0.25">
      <c r="A1099" t="s">
        <v>2668</v>
      </c>
      <c r="B1099" t="s">
        <v>38</v>
      </c>
      <c r="C1099" s="4">
        <v>44424</v>
      </c>
      <c r="D1099" s="4">
        <v>44539</v>
      </c>
      <c r="F1099" s="4">
        <v>45596</v>
      </c>
      <c r="G1099" t="s">
        <v>144</v>
      </c>
      <c r="H1099" t="s">
        <v>2669</v>
      </c>
      <c r="K1099" t="s">
        <v>146</v>
      </c>
      <c r="L1099" t="s">
        <v>2154</v>
      </c>
      <c r="M1099" t="s">
        <v>68</v>
      </c>
      <c r="N1099" t="s">
        <v>2155</v>
      </c>
      <c r="O1099" t="s">
        <v>122</v>
      </c>
      <c r="P1099" t="s">
        <v>1148</v>
      </c>
      <c r="Q1099">
        <v>180</v>
      </c>
      <c r="R1099">
        <v>180</v>
      </c>
      <c r="S1099" t="s">
        <v>34</v>
      </c>
      <c r="T1099" t="s">
        <v>35</v>
      </c>
      <c r="W1099">
        <v>0</v>
      </c>
      <c r="X1099">
        <v>0</v>
      </c>
      <c r="Y1099">
        <v>0</v>
      </c>
      <c r="Z1099">
        <v>0</v>
      </c>
    </row>
    <row r="1100" spans="1:26" hidden="1" x14ac:dyDescent="0.25">
      <c r="A1100" t="s">
        <v>2670</v>
      </c>
      <c r="B1100" t="s">
        <v>2153</v>
      </c>
      <c r="C1100" s="4">
        <v>44433</v>
      </c>
      <c r="F1100" s="4">
        <v>45778</v>
      </c>
      <c r="G1100" t="s">
        <v>1597</v>
      </c>
      <c r="H1100" t="s">
        <v>1415</v>
      </c>
      <c r="K1100" t="s">
        <v>185</v>
      </c>
      <c r="L1100" t="s">
        <v>2154</v>
      </c>
      <c r="M1100" t="s">
        <v>42</v>
      </c>
      <c r="N1100" t="s">
        <v>2160</v>
      </c>
      <c r="O1100" t="s">
        <v>32</v>
      </c>
      <c r="P1100" t="s">
        <v>2671</v>
      </c>
      <c r="Q1100">
        <v>100</v>
      </c>
      <c r="R1100">
        <v>100</v>
      </c>
      <c r="S1100" t="s">
        <v>56</v>
      </c>
      <c r="T1100" t="s">
        <v>57</v>
      </c>
      <c r="U1100" t="s">
        <v>44</v>
      </c>
      <c r="W1100">
        <v>100</v>
      </c>
      <c r="X1100">
        <v>100</v>
      </c>
      <c r="Y1100">
        <v>100</v>
      </c>
      <c r="Z1100">
        <v>100</v>
      </c>
    </row>
    <row r="1101" spans="1:26" hidden="1" x14ac:dyDescent="0.25">
      <c r="A1101" t="s">
        <v>2672</v>
      </c>
      <c r="B1101" t="s">
        <v>2153</v>
      </c>
      <c r="C1101" s="4">
        <v>44430</v>
      </c>
      <c r="F1101" s="4">
        <v>45747</v>
      </c>
      <c r="G1101" t="s">
        <v>52</v>
      </c>
      <c r="H1101" t="s">
        <v>1530</v>
      </c>
      <c r="K1101" t="s">
        <v>53</v>
      </c>
      <c r="L1101" t="s">
        <v>2154</v>
      </c>
      <c r="M1101" t="s">
        <v>54</v>
      </c>
      <c r="N1101" t="s">
        <v>2155</v>
      </c>
      <c r="O1101" t="s">
        <v>32</v>
      </c>
      <c r="P1101" t="s">
        <v>2673</v>
      </c>
      <c r="Q1101">
        <v>309</v>
      </c>
      <c r="R1101">
        <v>309</v>
      </c>
      <c r="S1101" t="s">
        <v>34</v>
      </c>
      <c r="T1101" t="s">
        <v>35</v>
      </c>
      <c r="U1101" t="s">
        <v>44</v>
      </c>
      <c r="V1101" s="4">
        <v>46053</v>
      </c>
      <c r="W1101">
        <v>309</v>
      </c>
      <c r="X1101">
        <v>309</v>
      </c>
      <c r="Y1101">
        <v>309</v>
      </c>
      <c r="Z1101">
        <v>309</v>
      </c>
    </row>
    <row r="1102" spans="1:26" hidden="1" x14ac:dyDescent="0.25">
      <c r="A1102" t="s">
        <v>2674</v>
      </c>
      <c r="B1102" t="s">
        <v>2153</v>
      </c>
      <c r="C1102" s="4">
        <v>44734</v>
      </c>
      <c r="F1102" s="4">
        <v>45566</v>
      </c>
      <c r="G1102" t="s">
        <v>1278</v>
      </c>
      <c r="H1102" t="s">
        <v>1493</v>
      </c>
      <c r="K1102" t="s">
        <v>28</v>
      </c>
      <c r="L1102" t="s">
        <v>2154</v>
      </c>
      <c r="M1102" t="s">
        <v>30</v>
      </c>
      <c r="N1102" t="s">
        <v>2155</v>
      </c>
      <c r="O1102" t="s">
        <v>32</v>
      </c>
      <c r="P1102" t="s">
        <v>2675</v>
      </c>
      <c r="Q1102">
        <v>399.04</v>
      </c>
      <c r="R1102">
        <v>399.04</v>
      </c>
      <c r="S1102" t="s">
        <v>34</v>
      </c>
      <c r="T1102" t="s">
        <v>35</v>
      </c>
      <c r="U1102" t="s">
        <v>44</v>
      </c>
      <c r="V1102" s="4">
        <v>46798</v>
      </c>
      <c r="W1102">
        <v>399.03</v>
      </c>
      <c r="X1102">
        <v>399.03</v>
      </c>
      <c r="Y1102">
        <v>399.03</v>
      </c>
      <c r="Z1102">
        <v>195.79</v>
      </c>
    </row>
    <row r="1103" spans="1:26" hidden="1" x14ac:dyDescent="0.25">
      <c r="A1103" t="s">
        <v>2676</v>
      </c>
      <c r="B1103" t="s">
        <v>2153</v>
      </c>
      <c r="C1103" s="4">
        <v>44421</v>
      </c>
      <c r="F1103" s="4">
        <v>45565</v>
      </c>
      <c r="G1103" t="s">
        <v>52</v>
      </c>
      <c r="H1103" t="s">
        <v>2165</v>
      </c>
      <c r="K1103" t="s">
        <v>53</v>
      </c>
      <c r="L1103" t="s">
        <v>2154</v>
      </c>
      <c r="M1103" t="s">
        <v>54</v>
      </c>
      <c r="N1103" t="s">
        <v>2155</v>
      </c>
      <c r="O1103" t="s">
        <v>32</v>
      </c>
      <c r="P1103" t="s">
        <v>2677</v>
      </c>
      <c r="Q1103">
        <v>250</v>
      </c>
      <c r="R1103">
        <v>250</v>
      </c>
      <c r="S1103" t="s">
        <v>159</v>
      </c>
      <c r="T1103" t="s">
        <v>159</v>
      </c>
      <c r="U1103" t="s">
        <v>44</v>
      </c>
      <c r="V1103" s="4">
        <v>47311</v>
      </c>
      <c r="W1103">
        <v>250</v>
      </c>
      <c r="X1103">
        <v>250</v>
      </c>
      <c r="Y1103">
        <v>250</v>
      </c>
      <c r="Z1103">
        <v>250</v>
      </c>
    </row>
    <row r="1104" spans="1:26" hidden="1" x14ac:dyDescent="0.25">
      <c r="A1104" t="s">
        <v>2678</v>
      </c>
      <c r="B1104" t="s">
        <v>38</v>
      </c>
      <c r="C1104" s="4">
        <v>44414</v>
      </c>
      <c r="D1104" s="4">
        <v>45957</v>
      </c>
      <c r="F1104" s="4">
        <v>45595</v>
      </c>
      <c r="G1104" t="s">
        <v>183</v>
      </c>
      <c r="H1104" t="s">
        <v>1415</v>
      </c>
      <c r="K1104" t="s">
        <v>185</v>
      </c>
      <c r="L1104" t="s">
        <v>2154</v>
      </c>
      <c r="M1104" t="s">
        <v>42</v>
      </c>
      <c r="N1104" t="s">
        <v>2160</v>
      </c>
      <c r="O1104" t="s">
        <v>32</v>
      </c>
      <c r="P1104" t="s">
        <v>2256</v>
      </c>
      <c r="Q1104">
        <v>100</v>
      </c>
      <c r="R1104">
        <v>100</v>
      </c>
      <c r="S1104" t="s">
        <v>159</v>
      </c>
      <c r="T1104" t="s">
        <v>159</v>
      </c>
      <c r="U1104" t="s">
        <v>44</v>
      </c>
      <c r="W1104">
        <v>100</v>
      </c>
      <c r="X1104">
        <v>100</v>
      </c>
      <c r="Y1104">
        <v>0</v>
      </c>
      <c r="Z1104">
        <v>0</v>
      </c>
    </row>
    <row r="1105" spans="1:26" hidden="1" x14ac:dyDescent="0.25">
      <c r="A1105" t="s">
        <v>2679</v>
      </c>
      <c r="B1105" t="s">
        <v>38</v>
      </c>
      <c r="C1105" s="4">
        <v>44425</v>
      </c>
      <c r="D1105" s="4">
        <v>45957</v>
      </c>
      <c r="F1105" s="4">
        <v>45595</v>
      </c>
      <c r="G1105" t="s">
        <v>871</v>
      </c>
      <c r="H1105" t="s">
        <v>2680</v>
      </c>
      <c r="K1105" t="s">
        <v>28</v>
      </c>
      <c r="L1105" t="s">
        <v>2154</v>
      </c>
      <c r="M1105" t="s">
        <v>42</v>
      </c>
      <c r="N1105" t="s">
        <v>2160</v>
      </c>
      <c r="O1105" t="s">
        <v>32</v>
      </c>
      <c r="P1105" t="s">
        <v>2681</v>
      </c>
      <c r="Q1105">
        <v>150</v>
      </c>
      <c r="R1105">
        <v>150</v>
      </c>
      <c r="S1105" t="s">
        <v>159</v>
      </c>
      <c r="T1105" t="s">
        <v>159</v>
      </c>
      <c r="U1105" t="s">
        <v>44</v>
      </c>
      <c r="W1105">
        <v>150</v>
      </c>
      <c r="X1105">
        <v>150</v>
      </c>
      <c r="Y1105">
        <v>0</v>
      </c>
      <c r="Z1105">
        <v>0</v>
      </c>
    </row>
    <row r="1106" spans="1:26" hidden="1" x14ac:dyDescent="0.25">
      <c r="A1106" t="s">
        <v>2682</v>
      </c>
      <c r="B1106" t="s">
        <v>38</v>
      </c>
      <c r="C1106" s="4">
        <v>44440</v>
      </c>
      <c r="D1106" s="4">
        <v>44533</v>
      </c>
      <c r="F1106" s="4">
        <v>45569</v>
      </c>
      <c r="G1106" t="s">
        <v>149</v>
      </c>
      <c r="H1106" t="s">
        <v>2366</v>
      </c>
      <c r="K1106" t="s">
        <v>151</v>
      </c>
      <c r="L1106" t="s">
        <v>2154</v>
      </c>
      <c r="M1106" t="s">
        <v>68</v>
      </c>
      <c r="N1106" t="s">
        <v>2155</v>
      </c>
      <c r="O1106" t="s">
        <v>32</v>
      </c>
      <c r="P1106" t="s">
        <v>2683</v>
      </c>
      <c r="Q1106">
        <v>100</v>
      </c>
      <c r="R1106">
        <v>100</v>
      </c>
      <c r="S1106" t="s">
        <v>34</v>
      </c>
      <c r="T1106" t="s">
        <v>35</v>
      </c>
      <c r="W1106">
        <v>0</v>
      </c>
      <c r="X1106">
        <v>0</v>
      </c>
      <c r="Y1106">
        <v>0</v>
      </c>
      <c r="Z1106">
        <v>0</v>
      </c>
    </row>
    <row r="1107" spans="1:26" hidden="1" x14ac:dyDescent="0.25">
      <c r="A1107" t="s">
        <v>2684</v>
      </c>
      <c r="B1107" t="s">
        <v>2153</v>
      </c>
      <c r="C1107" s="4">
        <v>45917</v>
      </c>
      <c r="F1107" s="4">
        <v>45536</v>
      </c>
      <c r="G1107" t="s">
        <v>39</v>
      </c>
      <c r="H1107" t="s">
        <v>1282</v>
      </c>
      <c r="K1107" t="s">
        <v>41</v>
      </c>
      <c r="L1107" t="s">
        <v>2154</v>
      </c>
      <c r="M1107" t="s">
        <v>42</v>
      </c>
      <c r="N1107" t="s">
        <v>2160</v>
      </c>
      <c r="O1107" t="s">
        <v>32</v>
      </c>
      <c r="P1107" t="s">
        <v>2579</v>
      </c>
      <c r="Q1107">
        <v>230</v>
      </c>
      <c r="R1107">
        <v>230</v>
      </c>
      <c r="S1107" t="s">
        <v>56</v>
      </c>
      <c r="T1107" t="s">
        <v>57</v>
      </c>
      <c r="U1107" t="s">
        <v>44</v>
      </c>
      <c r="W1107">
        <v>230</v>
      </c>
      <c r="X1107">
        <v>230</v>
      </c>
      <c r="Y1107">
        <v>230</v>
      </c>
      <c r="Z1107">
        <v>230</v>
      </c>
    </row>
    <row r="1108" spans="1:26" hidden="1" x14ac:dyDescent="0.25">
      <c r="A1108" t="s">
        <v>2685</v>
      </c>
      <c r="B1108" t="s">
        <v>38</v>
      </c>
      <c r="C1108" s="4">
        <v>44434</v>
      </c>
      <c r="D1108" s="4">
        <v>45209</v>
      </c>
      <c r="F1108" s="4">
        <v>45397</v>
      </c>
      <c r="G1108" t="s">
        <v>72</v>
      </c>
      <c r="H1108" t="s">
        <v>1424</v>
      </c>
      <c r="K1108" t="s">
        <v>209</v>
      </c>
      <c r="L1108" t="s">
        <v>2154</v>
      </c>
      <c r="M1108" t="s">
        <v>42</v>
      </c>
      <c r="N1108" t="s">
        <v>2160</v>
      </c>
      <c r="O1108" t="s">
        <v>32</v>
      </c>
      <c r="P1108" t="s">
        <v>2686</v>
      </c>
      <c r="Q1108">
        <v>200</v>
      </c>
      <c r="R1108">
        <v>200</v>
      </c>
      <c r="S1108" t="s">
        <v>159</v>
      </c>
      <c r="T1108" t="s">
        <v>159</v>
      </c>
      <c r="U1108" t="s">
        <v>44</v>
      </c>
      <c r="W1108">
        <v>0</v>
      </c>
      <c r="X1108">
        <v>0</v>
      </c>
      <c r="Y1108">
        <v>0</v>
      </c>
      <c r="Z1108">
        <v>0</v>
      </c>
    </row>
    <row r="1109" spans="1:26" hidden="1" x14ac:dyDescent="0.25">
      <c r="A1109" t="s">
        <v>2687</v>
      </c>
      <c r="B1109" t="s">
        <v>38</v>
      </c>
      <c r="C1109" s="4">
        <v>44411</v>
      </c>
      <c r="D1109" s="4">
        <v>45957</v>
      </c>
      <c r="F1109" s="4">
        <v>45596</v>
      </c>
      <c r="G1109" t="s">
        <v>72</v>
      </c>
      <c r="H1109" t="s">
        <v>1892</v>
      </c>
      <c r="K1109" t="s">
        <v>209</v>
      </c>
      <c r="L1109" t="s">
        <v>2154</v>
      </c>
      <c r="M1109" t="s">
        <v>42</v>
      </c>
      <c r="N1109" t="s">
        <v>2160</v>
      </c>
      <c r="O1109" t="s">
        <v>1110</v>
      </c>
      <c r="P1109" t="s">
        <v>2688</v>
      </c>
      <c r="Q1109">
        <v>150</v>
      </c>
      <c r="R1109">
        <v>150</v>
      </c>
      <c r="S1109" t="s">
        <v>56</v>
      </c>
      <c r="T1109" t="s">
        <v>57</v>
      </c>
      <c r="U1109" t="s">
        <v>44</v>
      </c>
      <c r="W1109">
        <v>0</v>
      </c>
      <c r="X1109">
        <v>150</v>
      </c>
      <c r="Y1109">
        <v>0</v>
      </c>
      <c r="Z1109">
        <v>0</v>
      </c>
    </row>
    <row r="1110" spans="1:26" hidden="1" x14ac:dyDescent="0.25">
      <c r="A1110" t="s">
        <v>2689</v>
      </c>
      <c r="B1110" t="s">
        <v>2153</v>
      </c>
      <c r="C1110" s="4">
        <v>44734</v>
      </c>
      <c r="F1110" s="4">
        <v>45566</v>
      </c>
      <c r="G1110" t="s">
        <v>1278</v>
      </c>
      <c r="H1110" t="s">
        <v>1493</v>
      </c>
      <c r="K1110" t="s">
        <v>28</v>
      </c>
      <c r="L1110" t="s">
        <v>2154</v>
      </c>
      <c r="M1110" t="s">
        <v>30</v>
      </c>
      <c r="N1110" t="s">
        <v>2155</v>
      </c>
      <c r="O1110" t="s">
        <v>32</v>
      </c>
      <c r="P1110" t="s">
        <v>2690</v>
      </c>
      <c r="Q1110">
        <v>399.04</v>
      </c>
      <c r="R1110">
        <v>399.04</v>
      </c>
      <c r="S1110" t="s">
        <v>34</v>
      </c>
      <c r="T1110" t="s">
        <v>35</v>
      </c>
      <c r="U1110" t="s">
        <v>44</v>
      </c>
      <c r="V1110" s="4">
        <v>46798</v>
      </c>
      <c r="W1110">
        <v>399.03</v>
      </c>
      <c r="X1110">
        <v>399.03</v>
      </c>
      <c r="Y1110">
        <v>399.03</v>
      </c>
      <c r="Z1110">
        <v>195.79</v>
      </c>
    </row>
    <row r="1111" spans="1:26" hidden="1" x14ac:dyDescent="0.25">
      <c r="A1111" t="s">
        <v>2691</v>
      </c>
      <c r="B1111" t="s">
        <v>38</v>
      </c>
      <c r="C1111" s="4">
        <v>44417</v>
      </c>
      <c r="D1111" s="4">
        <v>45209</v>
      </c>
      <c r="F1111" s="4">
        <v>45597</v>
      </c>
      <c r="G1111" t="s">
        <v>1381</v>
      </c>
      <c r="H1111" t="s">
        <v>1824</v>
      </c>
      <c r="K1111" t="s">
        <v>209</v>
      </c>
      <c r="L1111" t="s">
        <v>2154</v>
      </c>
      <c r="M1111" t="s">
        <v>42</v>
      </c>
      <c r="N1111" t="s">
        <v>2160</v>
      </c>
      <c r="O1111" t="s">
        <v>32</v>
      </c>
      <c r="P1111" t="s">
        <v>2692</v>
      </c>
      <c r="Q1111">
        <v>150</v>
      </c>
      <c r="R1111">
        <v>150</v>
      </c>
      <c r="S1111" t="s">
        <v>34</v>
      </c>
      <c r="T1111" t="s">
        <v>35</v>
      </c>
      <c r="U1111" t="s">
        <v>44</v>
      </c>
      <c r="W1111">
        <v>0</v>
      </c>
      <c r="X1111">
        <v>0</v>
      </c>
      <c r="Y1111">
        <v>0</v>
      </c>
      <c r="Z1111">
        <v>0</v>
      </c>
    </row>
    <row r="1112" spans="1:26" hidden="1" x14ac:dyDescent="0.25">
      <c r="A1112" t="s">
        <v>2693</v>
      </c>
      <c r="B1112" t="s">
        <v>38</v>
      </c>
      <c r="C1112" s="4">
        <v>44433</v>
      </c>
      <c r="D1112" s="4">
        <v>45224</v>
      </c>
      <c r="F1112" s="4">
        <v>45931</v>
      </c>
      <c r="G1112" t="s">
        <v>144</v>
      </c>
      <c r="H1112" t="s">
        <v>1409</v>
      </c>
      <c r="K1112" t="s">
        <v>146</v>
      </c>
      <c r="L1112" t="s">
        <v>2154</v>
      </c>
      <c r="M1112" t="s">
        <v>68</v>
      </c>
      <c r="N1112" t="s">
        <v>2155</v>
      </c>
      <c r="O1112" t="s">
        <v>32</v>
      </c>
      <c r="P1112" t="s">
        <v>2519</v>
      </c>
      <c r="Q1112">
        <v>25</v>
      </c>
      <c r="R1112">
        <v>25</v>
      </c>
      <c r="S1112" t="s">
        <v>159</v>
      </c>
      <c r="T1112" t="s">
        <v>159</v>
      </c>
      <c r="U1112" t="s">
        <v>44</v>
      </c>
      <c r="W1112">
        <v>0</v>
      </c>
      <c r="X1112">
        <v>0</v>
      </c>
      <c r="Y1112">
        <v>0</v>
      </c>
      <c r="Z1112">
        <v>0</v>
      </c>
    </row>
    <row r="1113" spans="1:26" hidden="1" x14ac:dyDescent="0.25">
      <c r="A1113" t="s">
        <v>2694</v>
      </c>
      <c r="B1113" t="s">
        <v>38</v>
      </c>
      <c r="C1113" s="4">
        <v>44433</v>
      </c>
      <c r="D1113" s="4">
        <v>44539</v>
      </c>
      <c r="F1113" s="4">
        <v>45916</v>
      </c>
      <c r="G1113" t="s">
        <v>65</v>
      </c>
      <c r="H1113" t="s">
        <v>2526</v>
      </c>
      <c r="K1113" t="s">
        <v>67</v>
      </c>
      <c r="L1113" t="s">
        <v>2154</v>
      </c>
      <c r="M1113" t="s">
        <v>68</v>
      </c>
      <c r="N1113" t="s">
        <v>2155</v>
      </c>
      <c r="O1113" t="s">
        <v>122</v>
      </c>
      <c r="P1113" t="s">
        <v>2695</v>
      </c>
      <c r="Q1113">
        <v>100</v>
      </c>
      <c r="R1113">
        <v>100</v>
      </c>
      <c r="S1113" t="s">
        <v>34</v>
      </c>
      <c r="T1113" t="s">
        <v>35</v>
      </c>
      <c r="W1113">
        <v>0</v>
      </c>
      <c r="X1113">
        <v>0</v>
      </c>
      <c r="Y1113">
        <v>0</v>
      </c>
      <c r="Z1113">
        <v>0</v>
      </c>
    </row>
    <row r="1114" spans="1:26" hidden="1" x14ac:dyDescent="0.25">
      <c r="A1114" t="s">
        <v>2696</v>
      </c>
      <c r="B1114" t="s">
        <v>38</v>
      </c>
      <c r="C1114" s="4">
        <v>44433</v>
      </c>
      <c r="D1114" s="4">
        <v>44539</v>
      </c>
      <c r="F1114" s="4">
        <v>45916</v>
      </c>
      <c r="G1114" t="s">
        <v>65</v>
      </c>
      <c r="H1114" t="s">
        <v>2526</v>
      </c>
      <c r="K1114" t="s">
        <v>67</v>
      </c>
      <c r="L1114" t="s">
        <v>2154</v>
      </c>
      <c r="M1114" t="s">
        <v>68</v>
      </c>
      <c r="N1114" t="s">
        <v>2155</v>
      </c>
      <c r="O1114" t="s">
        <v>122</v>
      </c>
      <c r="P1114" t="s">
        <v>2697</v>
      </c>
      <c r="Q1114">
        <v>100</v>
      </c>
      <c r="R1114">
        <v>100</v>
      </c>
      <c r="S1114" t="s">
        <v>34</v>
      </c>
      <c r="T1114" t="s">
        <v>35</v>
      </c>
      <c r="W1114">
        <v>0</v>
      </c>
      <c r="X1114">
        <v>0</v>
      </c>
      <c r="Y1114">
        <v>0</v>
      </c>
      <c r="Z1114">
        <v>0</v>
      </c>
    </row>
    <row r="1115" spans="1:26" hidden="1" x14ac:dyDescent="0.25">
      <c r="A1115" t="s">
        <v>2698</v>
      </c>
      <c r="B1115" t="s">
        <v>38</v>
      </c>
      <c r="C1115" s="4">
        <v>44531</v>
      </c>
      <c r="D1115" s="4">
        <v>45723</v>
      </c>
      <c r="F1115" s="4">
        <v>45505</v>
      </c>
      <c r="G1115" t="s">
        <v>149</v>
      </c>
      <c r="H1115" t="s">
        <v>2168</v>
      </c>
      <c r="K1115" t="s">
        <v>151</v>
      </c>
      <c r="L1115" t="s">
        <v>2154</v>
      </c>
      <c r="M1115" t="s">
        <v>68</v>
      </c>
      <c r="N1115" t="s">
        <v>2155</v>
      </c>
      <c r="O1115" t="s">
        <v>32</v>
      </c>
      <c r="P1115" t="s">
        <v>2699</v>
      </c>
      <c r="Q1115">
        <v>115</v>
      </c>
      <c r="R1115">
        <v>115</v>
      </c>
      <c r="S1115" t="s">
        <v>34</v>
      </c>
      <c r="T1115" t="s">
        <v>35</v>
      </c>
      <c r="U1115" t="s">
        <v>44</v>
      </c>
      <c r="W1115">
        <v>115</v>
      </c>
      <c r="X1115">
        <v>0</v>
      </c>
      <c r="Y1115">
        <v>0</v>
      </c>
      <c r="Z1115">
        <v>0</v>
      </c>
    </row>
    <row r="1116" spans="1:26" hidden="1" x14ac:dyDescent="0.25">
      <c r="A1116" t="s">
        <v>2700</v>
      </c>
      <c r="B1116" t="s">
        <v>38</v>
      </c>
      <c r="C1116" s="4">
        <v>44420</v>
      </c>
      <c r="D1116" s="4">
        <v>46009</v>
      </c>
      <c r="F1116" s="4">
        <v>45595</v>
      </c>
      <c r="G1116" t="s">
        <v>681</v>
      </c>
      <c r="H1116" t="s">
        <v>2499</v>
      </c>
      <c r="K1116" t="s">
        <v>683</v>
      </c>
      <c r="L1116" t="s">
        <v>2154</v>
      </c>
      <c r="M1116" t="s">
        <v>84</v>
      </c>
      <c r="N1116" t="s">
        <v>2160</v>
      </c>
      <c r="O1116" t="s">
        <v>32</v>
      </c>
      <c r="P1116" t="s">
        <v>2701</v>
      </c>
      <c r="Q1116">
        <v>200</v>
      </c>
      <c r="R1116">
        <v>200</v>
      </c>
      <c r="S1116" t="s">
        <v>34</v>
      </c>
      <c r="T1116" t="s">
        <v>35</v>
      </c>
      <c r="U1116" t="s">
        <v>44</v>
      </c>
      <c r="W1116">
        <v>200</v>
      </c>
      <c r="X1116">
        <v>0</v>
      </c>
      <c r="Y1116">
        <v>0</v>
      </c>
      <c r="Z1116">
        <v>0</v>
      </c>
    </row>
    <row r="1117" spans="1:26" hidden="1" x14ac:dyDescent="0.25">
      <c r="A1117" t="s">
        <v>2702</v>
      </c>
      <c r="B1117" t="s">
        <v>38</v>
      </c>
      <c r="C1117" s="4">
        <v>44531</v>
      </c>
      <c r="D1117" s="4">
        <v>45723</v>
      </c>
      <c r="F1117" s="4">
        <v>45505</v>
      </c>
      <c r="G1117" t="s">
        <v>149</v>
      </c>
      <c r="H1117" t="s">
        <v>2703</v>
      </c>
      <c r="K1117" t="s">
        <v>151</v>
      </c>
      <c r="L1117" t="s">
        <v>2154</v>
      </c>
      <c r="M1117" t="s">
        <v>68</v>
      </c>
      <c r="N1117" t="s">
        <v>2155</v>
      </c>
      <c r="O1117" t="s">
        <v>32</v>
      </c>
      <c r="P1117" t="s">
        <v>2704</v>
      </c>
      <c r="Q1117">
        <v>140</v>
      </c>
      <c r="R1117">
        <v>140</v>
      </c>
      <c r="S1117" t="s">
        <v>597</v>
      </c>
      <c r="T1117" t="s">
        <v>598</v>
      </c>
      <c r="U1117" t="s">
        <v>44</v>
      </c>
      <c r="W1117">
        <v>140</v>
      </c>
      <c r="X1117">
        <v>0</v>
      </c>
      <c r="Y1117">
        <v>0</v>
      </c>
      <c r="Z1117">
        <v>0</v>
      </c>
    </row>
    <row r="1118" spans="1:26" hidden="1" x14ac:dyDescent="0.25">
      <c r="A1118" t="s">
        <v>2705</v>
      </c>
      <c r="B1118" t="s">
        <v>38</v>
      </c>
      <c r="C1118" s="4">
        <v>44428</v>
      </c>
      <c r="D1118" s="4">
        <v>46009</v>
      </c>
      <c r="F1118" s="4">
        <v>45551</v>
      </c>
      <c r="G1118" t="s">
        <v>117</v>
      </c>
      <c r="H1118" t="s">
        <v>1768</v>
      </c>
      <c r="K1118" t="s">
        <v>83</v>
      </c>
      <c r="L1118" t="s">
        <v>2154</v>
      </c>
      <c r="M1118" t="s">
        <v>84</v>
      </c>
      <c r="N1118" t="s">
        <v>2160</v>
      </c>
      <c r="O1118" t="s">
        <v>32</v>
      </c>
      <c r="P1118" t="s">
        <v>2706</v>
      </c>
      <c r="Q1118">
        <v>98.3</v>
      </c>
      <c r="R1118">
        <v>98.3</v>
      </c>
      <c r="S1118" t="s">
        <v>56</v>
      </c>
      <c r="T1118" t="s">
        <v>57</v>
      </c>
      <c r="U1118" t="s">
        <v>44</v>
      </c>
      <c r="W1118">
        <v>98.3</v>
      </c>
      <c r="X1118">
        <v>98.3</v>
      </c>
      <c r="Y1118">
        <v>0</v>
      </c>
      <c r="Z1118">
        <v>0</v>
      </c>
    </row>
    <row r="1119" spans="1:26" hidden="1" x14ac:dyDescent="0.25">
      <c r="A1119" t="s">
        <v>2707</v>
      </c>
      <c r="B1119" t="s">
        <v>2153</v>
      </c>
      <c r="C1119" s="4">
        <v>45268</v>
      </c>
      <c r="F1119" s="4">
        <v>44805</v>
      </c>
      <c r="G1119" t="s">
        <v>173</v>
      </c>
      <c r="H1119" t="s">
        <v>2708</v>
      </c>
      <c r="K1119" t="s">
        <v>41</v>
      </c>
      <c r="L1119" t="s">
        <v>2154</v>
      </c>
      <c r="M1119" t="s">
        <v>42</v>
      </c>
      <c r="N1119" t="s">
        <v>2160</v>
      </c>
      <c r="O1119" t="s">
        <v>32</v>
      </c>
      <c r="P1119" t="s">
        <v>2709</v>
      </c>
      <c r="Q1119">
        <v>18</v>
      </c>
      <c r="R1119">
        <v>18</v>
      </c>
      <c r="S1119" t="s">
        <v>2710</v>
      </c>
      <c r="T1119" t="s">
        <v>2129</v>
      </c>
      <c r="U1119" t="s">
        <v>44</v>
      </c>
      <c r="W1119">
        <v>0</v>
      </c>
      <c r="X1119">
        <v>18</v>
      </c>
      <c r="Y1119">
        <v>18</v>
      </c>
      <c r="Z1119">
        <v>18</v>
      </c>
    </row>
    <row r="1120" spans="1:26" hidden="1" x14ac:dyDescent="0.25">
      <c r="A1120" t="s">
        <v>2711</v>
      </c>
      <c r="B1120" t="s">
        <v>38</v>
      </c>
      <c r="C1120" s="4">
        <v>44656</v>
      </c>
      <c r="D1120" s="4">
        <v>45782</v>
      </c>
      <c r="F1120" s="4">
        <v>45139</v>
      </c>
      <c r="G1120" t="s">
        <v>1278</v>
      </c>
      <c r="H1120" t="s">
        <v>1315</v>
      </c>
      <c r="K1120" t="s">
        <v>28</v>
      </c>
      <c r="L1120" t="s">
        <v>2154</v>
      </c>
      <c r="M1120" t="s">
        <v>30</v>
      </c>
      <c r="N1120" t="s">
        <v>2155</v>
      </c>
      <c r="O1120" t="s">
        <v>32</v>
      </c>
      <c r="P1120" t="s">
        <v>1940</v>
      </c>
      <c r="Q1120">
        <v>0</v>
      </c>
      <c r="R1120">
        <v>0</v>
      </c>
      <c r="S1120" t="s">
        <v>159</v>
      </c>
      <c r="T1120" t="s">
        <v>159</v>
      </c>
      <c r="U1120" t="s">
        <v>44</v>
      </c>
      <c r="W1120">
        <v>0</v>
      </c>
      <c r="X1120">
        <v>0</v>
      </c>
      <c r="Y1120">
        <v>0</v>
      </c>
      <c r="Z1120">
        <v>0</v>
      </c>
    </row>
    <row r="1121" spans="1:26" hidden="1" x14ac:dyDescent="0.25">
      <c r="A1121" t="s">
        <v>2712</v>
      </c>
      <c r="B1121" t="s">
        <v>38</v>
      </c>
      <c r="C1121" s="4">
        <v>44468</v>
      </c>
      <c r="D1121" s="4">
        <v>45175</v>
      </c>
      <c r="F1121" s="4">
        <v>45931</v>
      </c>
      <c r="G1121" t="s">
        <v>52</v>
      </c>
      <c r="H1121" t="s">
        <v>1421</v>
      </c>
      <c r="K1121" t="s">
        <v>53</v>
      </c>
      <c r="L1121" t="s">
        <v>2154</v>
      </c>
      <c r="M1121" t="s">
        <v>54</v>
      </c>
      <c r="N1121" t="s">
        <v>2155</v>
      </c>
      <c r="O1121" t="s">
        <v>32</v>
      </c>
      <c r="P1121" t="s">
        <v>2713</v>
      </c>
      <c r="Q1121">
        <v>125</v>
      </c>
      <c r="R1121">
        <v>125</v>
      </c>
      <c r="S1121" t="s">
        <v>597</v>
      </c>
      <c r="T1121" t="s">
        <v>598</v>
      </c>
      <c r="U1121" t="s">
        <v>44</v>
      </c>
      <c r="W1121">
        <v>0</v>
      </c>
      <c r="X1121">
        <v>0</v>
      </c>
      <c r="Y1121">
        <v>0</v>
      </c>
      <c r="Z1121">
        <v>0</v>
      </c>
    </row>
    <row r="1122" spans="1:26" hidden="1" x14ac:dyDescent="0.25">
      <c r="A1122" t="s">
        <v>2714</v>
      </c>
      <c r="B1122" t="s">
        <v>38</v>
      </c>
      <c r="C1122" s="4">
        <v>44579</v>
      </c>
      <c r="D1122" s="4">
        <v>45719</v>
      </c>
      <c r="F1122" s="4">
        <v>45991</v>
      </c>
      <c r="G1122" t="s">
        <v>907</v>
      </c>
      <c r="H1122" t="s">
        <v>1445</v>
      </c>
      <c r="K1122" t="s">
        <v>53</v>
      </c>
      <c r="L1122" t="s">
        <v>2154</v>
      </c>
      <c r="M1122" t="s">
        <v>54</v>
      </c>
      <c r="N1122" t="s">
        <v>2155</v>
      </c>
      <c r="O1122" t="s">
        <v>32</v>
      </c>
      <c r="P1122" t="s">
        <v>1345</v>
      </c>
      <c r="Q1122">
        <v>50</v>
      </c>
      <c r="R1122">
        <v>50</v>
      </c>
      <c r="S1122" t="s">
        <v>34</v>
      </c>
      <c r="T1122" t="s">
        <v>598</v>
      </c>
      <c r="U1122" t="s">
        <v>44</v>
      </c>
      <c r="W1122">
        <v>30</v>
      </c>
      <c r="X1122">
        <v>12.6</v>
      </c>
      <c r="Y1122">
        <v>0</v>
      </c>
      <c r="Z1122">
        <v>0</v>
      </c>
    </row>
    <row r="1123" spans="1:26" hidden="1" x14ac:dyDescent="0.25">
      <c r="A1123" t="s">
        <v>2715</v>
      </c>
      <c r="B1123" t="s">
        <v>2153</v>
      </c>
      <c r="C1123" s="4">
        <v>44412</v>
      </c>
      <c r="F1123" s="4">
        <v>45838</v>
      </c>
      <c r="G1123" t="s">
        <v>72</v>
      </c>
      <c r="H1123" t="s">
        <v>2246</v>
      </c>
      <c r="K1123" t="s">
        <v>209</v>
      </c>
      <c r="L1123" t="s">
        <v>2154</v>
      </c>
      <c r="M1123" t="s">
        <v>42</v>
      </c>
      <c r="N1123" t="s">
        <v>2160</v>
      </c>
      <c r="O1123" t="s">
        <v>32</v>
      </c>
      <c r="P1123" t="s">
        <v>2716</v>
      </c>
      <c r="Q1123">
        <v>100</v>
      </c>
      <c r="R1123">
        <v>100</v>
      </c>
      <c r="S1123" t="s">
        <v>159</v>
      </c>
      <c r="T1123" t="s">
        <v>159</v>
      </c>
      <c r="U1123" t="s">
        <v>44</v>
      </c>
      <c r="W1123">
        <v>100</v>
      </c>
      <c r="X1123">
        <v>100</v>
      </c>
      <c r="Y1123">
        <v>100</v>
      </c>
      <c r="Z1123">
        <v>100</v>
      </c>
    </row>
    <row r="1124" spans="1:26" hidden="1" x14ac:dyDescent="0.25">
      <c r="A1124" t="s">
        <v>2717</v>
      </c>
      <c r="B1124" t="s">
        <v>38</v>
      </c>
      <c r="C1124" s="4">
        <v>44414</v>
      </c>
      <c r="D1124" s="4">
        <v>45573</v>
      </c>
      <c r="F1124" s="4">
        <v>45595</v>
      </c>
      <c r="G1124" t="s">
        <v>1251</v>
      </c>
      <c r="H1124" t="s">
        <v>2135</v>
      </c>
      <c r="K1124" t="s">
        <v>109</v>
      </c>
      <c r="L1124" t="s">
        <v>2154</v>
      </c>
      <c r="M1124" t="s">
        <v>84</v>
      </c>
      <c r="N1124" t="s">
        <v>2160</v>
      </c>
      <c r="O1124" t="s">
        <v>32</v>
      </c>
      <c r="P1124" t="s">
        <v>2718</v>
      </c>
      <c r="Q1124">
        <v>100</v>
      </c>
      <c r="R1124">
        <v>100</v>
      </c>
      <c r="S1124" t="s">
        <v>34</v>
      </c>
      <c r="T1124" t="s">
        <v>35</v>
      </c>
      <c r="U1124" t="s">
        <v>44</v>
      </c>
      <c r="W1124">
        <v>0</v>
      </c>
      <c r="X1124">
        <v>0</v>
      </c>
      <c r="Y1124">
        <v>0</v>
      </c>
      <c r="Z1124">
        <v>0</v>
      </c>
    </row>
    <row r="1125" spans="1:26" hidden="1" x14ac:dyDescent="0.25">
      <c r="A1125" t="s">
        <v>2719</v>
      </c>
      <c r="B1125" t="s">
        <v>38</v>
      </c>
      <c r="C1125" s="4">
        <v>44412</v>
      </c>
      <c r="D1125" s="4">
        <v>46195</v>
      </c>
      <c r="F1125" s="4">
        <v>45473</v>
      </c>
      <c r="G1125" t="s">
        <v>72</v>
      </c>
      <c r="H1125" t="s">
        <v>1424</v>
      </c>
      <c r="K1125" t="s">
        <v>209</v>
      </c>
      <c r="L1125" t="s">
        <v>2154</v>
      </c>
      <c r="M1125" t="s">
        <v>42</v>
      </c>
      <c r="N1125" t="s">
        <v>2160</v>
      </c>
      <c r="O1125" t="s">
        <v>32</v>
      </c>
      <c r="P1125" t="s">
        <v>2720</v>
      </c>
      <c r="Q1125">
        <v>33</v>
      </c>
      <c r="R1125">
        <v>33</v>
      </c>
      <c r="S1125" t="s">
        <v>56</v>
      </c>
      <c r="T1125" t="s">
        <v>57</v>
      </c>
      <c r="U1125" t="s">
        <v>44</v>
      </c>
      <c r="W1125">
        <v>33</v>
      </c>
      <c r="X1125">
        <v>33</v>
      </c>
      <c r="Y1125">
        <v>33</v>
      </c>
      <c r="Z1125">
        <v>33</v>
      </c>
    </row>
    <row r="1126" spans="1:26" hidden="1" x14ac:dyDescent="0.25">
      <c r="A1126" t="s">
        <v>2721</v>
      </c>
      <c r="B1126" t="s">
        <v>38</v>
      </c>
      <c r="C1126" s="4">
        <v>44440</v>
      </c>
      <c r="D1126" s="4">
        <v>46009</v>
      </c>
      <c r="F1126" s="4">
        <v>45505</v>
      </c>
      <c r="G1126" t="s">
        <v>1679</v>
      </c>
      <c r="H1126" t="s">
        <v>1841</v>
      </c>
      <c r="K1126" t="s">
        <v>98</v>
      </c>
      <c r="L1126" t="s">
        <v>2154</v>
      </c>
      <c r="M1126" t="s">
        <v>84</v>
      </c>
      <c r="N1126" t="s">
        <v>2160</v>
      </c>
      <c r="O1126" t="s">
        <v>32</v>
      </c>
      <c r="P1126" t="s">
        <v>2722</v>
      </c>
      <c r="Q1126">
        <v>50</v>
      </c>
      <c r="R1126">
        <v>50</v>
      </c>
      <c r="S1126" t="s">
        <v>159</v>
      </c>
      <c r="T1126" t="s">
        <v>159</v>
      </c>
      <c r="U1126" t="s">
        <v>44</v>
      </c>
      <c r="W1126">
        <v>50</v>
      </c>
      <c r="X1126">
        <v>50</v>
      </c>
      <c r="Y1126">
        <v>0</v>
      </c>
      <c r="Z1126">
        <v>0</v>
      </c>
    </row>
    <row r="1127" spans="1:26" hidden="1" x14ac:dyDescent="0.25">
      <c r="A1127" t="s">
        <v>2723</v>
      </c>
      <c r="B1127" t="s">
        <v>2153</v>
      </c>
      <c r="C1127" s="4">
        <v>44414</v>
      </c>
      <c r="F1127" s="4">
        <v>44897</v>
      </c>
      <c r="G1127" t="s">
        <v>132</v>
      </c>
      <c r="H1127" t="s">
        <v>1708</v>
      </c>
      <c r="K1127" t="s">
        <v>83</v>
      </c>
      <c r="L1127" t="s">
        <v>2154</v>
      </c>
      <c r="M1127" t="s">
        <v>84</v>
      </c>
      <c r="N1127" t="s">
        <v>2160</v>
      </c>
      <c r="O1127" t="s">
        <v>32</v>
      </c>
      <c r="P1127" t="s">
        <v>2724</v>
      </c>
      <c r="Q1127">
        <v>100</v>
      </c>
      <c r="R1127">
        <v>100</v>
      </c>
      <c r="S1127" t="s">
        <v>159</v>
      </c>
      <c r="T1127" t="s">
        <v>159</v>
      </c>
      <c r="U1127" t="s">
        <v>44</v>
      </c>
      <c r="W1127">
        <v>100</v>
      </c>
      <c r="X1127">
        <v>100</v>
      </c>
      <c r="Y1127">
        <v>100</v>
      </c>
      <c r="Z1127">
        <v>100</v>
      </c>
    </row>
    <row r="1128" spans="1:26" hidden="1" x14ac:dyDescent="0.25">
      <c r="A1128" t="s">
        <v>2725</v>
      </c>
      <c r="B1128" t="s">
        <v>38</v>
      </c>
      <c r="C1128" s="4">
        <v>44429</v>
      </c>
      <c r="D1128" s="4">
        <v>45520</v>
      </c>
      <c r="F1128" s="4">
        <v>45397</v>
      </c>
      <c r="G1128" t="s">
        <v>132</v>
      </c>
      <c r="H1128" t="s">
        <v>1542</v>
      </c>
      <c r="K1128" t="s">
        <v>83</v>
      </c>
      <c r="L1128" t="s">
        <v>2154</v>
      </c>
      <c r="M1128" t="s">
        <v>84</v>
      </c>
      <c r="N1128" t="s">
        <v>2160</v>
      </c>
      <c r="O1128" t="s">
        <v>32</v>
      </c>
      <c r="P1128" t="s">
        <v>2726</v>
      </c>
      <c r="Q1128">
        <v>100</v>
      </c>
      <c r="R1128">
        <v>100</v>
      </c>
      <c r="S1128" t="s">
        <v>34</v>
      </c>
      <c r="T1128" t="s">
        <v>35</v>
      </c>
      <c r="W1128">
        <v>0</v>
      </c>
      <c r="X1128">
        <v>0</v>
      </c>
      <c r="Y1128">
        <v>0</v>
      </c>
      <c r="Z1128">
        <v>0</v>
      </c>
    </row>
    <row r="1129" spans="1:26" hidden="1" x14ac:dyDescent="0.25">
      <c r="A1129" t="s">
        <v>2727</v>
      </c>
      <c r="B1129" t="s">
        <v>38</v>
      </c>
      <c r="C1129" s="4">
        <v>44433</v>
      </c>
      <c r="D1129" s="4">
        <v>45520</v>
      </c>
      <c r="F1129" s="4">
        <v>45397</v>
      </c>
      <c r="G1129" t="s">
        <v>65</v>
      </c>
      <c r="H1129" t="s">
        <v>1876</v>
      </c>
      <c r="K1129" t="s">
        <v>67</v>
      </c>
      <c r="L1129" t="s">
        <v>2154</v>
      </c>
      <c r="M1129" t="s">
        <v>68</v>
      </c>
      <c r="N1129" t="s">
        <v>2155</v>
      </c>
      <c r="O1129" t="s">
        <v>32</v>
      </c>
      <c r="P1129" t="s">
        <v>2728</v>
      </c>
      <c r="Q1129">
        <v>100</v>
      </c>
      <c r="R1129">
        <v>100</v>
      </c>
      <c r="S1129" t="s">
        <v>597</v>
      </c>
      <c r="T1129" t="s">
        <v>598</v>
      </c>
      <c r="W1129">
        <v>0</v>
      </c>
      <c r="X1129">
        <v>0</v>
      </c>
      <c r="Y1129">
        <v>0</v>
      </c>
      <c r="Z1129">
        <v>0</v>
      </c>
    </row>
    <row r="1130" spans="1:26" hidden="1" x14ac:dyDescent="0.25">
      <c r="A1130" t="s">
        <v>2729</v>
      </c>
      <c r="B1130" t="s">
        <v>25</v>
      </c>
      <c r="C1130" s="4">
        <v>44431</v>
      </c>
      <c r="F1130" s="4">
        <v>45397</v>
      </c>
      <c r="G1130" t="s">
        <v>2730</v>
      </c>
      <c r="H1130" t="s">
        <v>1744</v>
      </c>
      <c r="K1130" t="s">
        <v>114</v>
      </c>
      <c r="L1130" t="s">
        <v>2154</v>
      </c>
      <c r="M1130" t="s">
        <v>68</v>
      </c>
      <c r="N1130" t="s">
        <v>2155</v>
      </c>
      <c r="O1130" t="s">
        <v>32</v>
      </c>
      <c r="P1130" t="s">
        <v>2731</v>
      </c>
      <c r="Q1130">
        <v>172.5</v>
      </c>
      <c r="R1130">
        <v>172.5</v>
      </c>
      <c r="S1130" t="s">
        <v>597</v>
      </c>
      <c r="T1130" t="s">
        <v>598</v>
      </c>
      <c r="U1130" t="s">
        <v>44</v>
      </c>
      <c r="V1130" s="4">
        <v>46569</v>
      </c>
      <c r="W1130">
        <v>172.5</v>
      </c>
      <c r="X1130">
        <v>172.5</v>
      </c>
      <c r="Y1130">
        <v>172.5</v>
      </c>
      <c r="Z1130">
        <v>0</v>
      </c>
    </row>
    <row r="1131" spans="1:26" hidden="1" x14ac:dyDescent="0.25">
      <c r="A1131" t="s">
        <v>2732</v>
      </c>
      <c r="B1131" t="s">
        <v>2153</v>
      </c>
      <c r="C1131" s="4">
        <v>44421</v>
      </c>
      <c r="F1131" s="4">
        <v>45535</v>
      </c>
      <c r="G1131" t="s">
        <v>117</v>
      </c>
      <c r="H1131" t="s">
        <v>1954</v>
      </c>
      <c r="K1131" t="s">
        <v>83</v>
      </c>
      <c r="L1131" t="s">
        <v>2154</v>
      </c>
      <c r="M1131" t="s">
        <v>84</v>
      </c>
      <c r="N1131" t="s">
        <v>2160</v>
      </c>
      <c r="O1131" t="s">
        <v>122</v>
      </c>
      <c r="P1131" t="s">
        <v>2733</v>
      </c>
      <c r="Q1131">
        <v>300</v>
      </c>
      <c r="R1131">
        <v>300</v>
      </c>
      <c r="S1131" t="s">
        <v>597</v>
      </c>
      <c r="T1131" t="s">
        <v>2552</v>
      </c>
      <c r="U1131" t="s">
        <v>44</v>
      </c>
      <c r="V1131" s="4">
        <v>46357</v>
      </c>
      <c r="W1131">
        <v>300</v>
      </c>
      <c r="X1131">
        <v>300</v>
      </c>
      <c r="Y1131">
        <v>300</v>
      </c>
      <c r="Z1131">
        <v>0</v>
      </c>
    </row>
    <row r="1132" spans="1:26" hidden="1" x14ac:dyDescent="0.25">
      <c r="A1132" t="s">
        <v>2734</v>
      </c>
      <c r="B1132" t="s">
        <v>2153</v>
      </c>
      <c r="C1132" s="4">
        <v>44434</v>
      </c>
      <c r="F1132" s="4">
        <v>45397</v>
      </c>
      <c r="G1132" t="s">
        <v>2735</v>
      </c>
      <c r="H1132" t="s">
        <v>2736</v>
      </c>
      <c r="K1132" t="s">
        <v>53</v>
      </c>
      <c r="L1132" t="s">
        <v>2154</v>
      </c>
      <c r="M1132" t="s">
        <v>54</v>
      </c>
      <c r="N1132" t="s">
        <v>2155</v>
      </c>
      <c r="O1132" t="s">
        <v>32</v>
      </c>
      <c r="P1132" t="s">
        <v>2737</v>
      </c>
      <c r="Q1132">
        <v>150</v>
      </c>
      <c r="R1132">
        <v>150</v>
      </c>
      <c r="S1132" t="s">
        <v>597</v>
      </c>
      <c r="T1132" t="s">
        <v>598</v>
      </c>
      <c r="U1132" t="s">
        <v>44</v>
      </c>
      <c r="V1132" s="4">
        <v>46858</v>
      </c>
      <c r="W1132">
        <v>150</v>
      </c>
      <c r="X1132">
        <v>150</v>
      </c>
      <c r="Y1132">
        <v>150</v>
      </c>
      <c r="Z1132">
        <v>150</v>
      </c>
    </row>
    <row r="1133" spans="1:26" hidden="1" x14ac:dyDescent="0.25">
      <c r="A1133" t="s">
        <v>2738</v>
      </c>
      <c r="B1133" t="s">
        <v>38</v>
      </c>
      <c r="C1133" s="4">
        <v>44645</v>
      </c>
      <c r="D1133" s="4">
        <v>45573</v>
      </c>
      <c r="F1133" s="4">
        <v>45397</v>
      </c>
      <c r="G1133" t="s">
        <v>101</v>
      </c>
      <c r="H1133" t="s">
        <v>1336</v>
      </c>
      <c r="K1133" t="s">
        <v>98</v>
      </c>
      <c r="L1133" t="s">
        <v>2154</v>
      </c>
      <c r="M1133" t="s">
        <v>84</v>
      </c>
      <c r="N1133" t="s">
        <v>2160</v>
      </c>
      <c r="O1133" t="s">
        <v>32</v>
      </c>
      <c r="P1133" t="s">
        <v>2739</v>
      </c>
      <c r="Q1133">
        <v>180</v>
      </c>
      <c r="R1133">
        <v>180</v>
      </c>
      <c r="S1133" t="s">
        <v>34</v>
      </c>
      <c r="T1133" t="s">
        <v>35</v>
      </c>
      <c r="U1133" t="s">
        <v>44</v>
      </c>
      <c r="W1133">
        <v>0</v>
      </c>
      <c r="X1133">
        <v>0</v>
      </c>
      <c r="Y1133">
        <v>0</v>
      </c>
      <c r="Z1133">
        <v>0</v>
      </c>
    </row>
    <row r="1134" spans="1:26" hidden="1" x14ac:dyDescent="0.25">
      <c r="A1134" t="s">
        <v>2740</v>
      </c>
      <c r="B1134" t="s">
        <v>2153</v>
      </c>
      <c r="C1134" s="4">
        <v>44424</v>
      </c>
      <c r="F1134" s="4">
        <v>46492</v>
      </c>
      <c r="G1134" t="s">
        <v>117</v>
      </c>
      <c r="H1134" t="s">
        <v>2366</v>
      </c>
      <c r="K1134" t="s">
        <v>83</v>
      </c>
      <c r="L1134" t="s">
        <v>2154</v>
      </c>
      <c r="M1134" t="s">
        <v>84</v>
      </c>
      <c r="N1134" t="s">
        <v>2160</v>
      </c>
      <c r="O1134" t="s">
        <v>32</v>
      </c>
      <c r="P1134" t="s">
        <v>2741</v>
      </c>
      <c r="Q1134">
        <v>150</v>
      </c>
      <c r="R1134">
        <v>150</v>
      </c>
      <c r="S1134" t="s">
        <v>34</v>
      </c>
      <c r="T1134" t="s">
        <v>35</v>
      </c>
      <c r="U1134" t="s">
        <v>44</v>
      </c>
      <c r="W1134">
        <v>150</v>
      </c>
      <c r="X1134">
        <v>150</v>
      </c>
      <c r="Y1134">
        <v>150</v>
      </c>
      <c r="Z1134">
        <v>150</v>
      </c>
    </row>
    <row r="1135" spans="1:26" hidden="1" x14ac:dyDescent="0.25">
      <c r="A1135" t="s">
        <v>2742</v>
      </c>
      <c r="B1135" t="s">
        <v>38</v>
      </c>
      <c r="C1135" s="4">
        <v>44865</v>
      </c>
      <c r="D1135" s="4">
        <v>45520</v>
      </c>
      <c r="F1135" s="4">
        <v>45397</v>
      </c>
      <c r="G1135" t="s">
        <v>101</v>
      </c>
      <c r="H1135" t="s">
        <v>1336</v>
      </c>
      <c r="K1135" t="s">
        <v>98</v>
      </c>
      <c r="L1135" t="s">
        <v>2154</v>
      </c>
      <c r="M1135" t="s">
        <v>84</v>
      </c>
      <c r="N1135" t="s">
        <v>2160</v>
      </c>
      <c r="O1135" t="s">
        <v>32</v>
      </c>
      <c r="P1135" t="s">
        <v>2743</v>
      </c>
      <c r="Q1135">
        <v>300</v>
      </c>
      <c r="R1135">
        <v>300</v>
      </c>
      <c r="S1135" t="s">
        <v>56</v>
      </c>
      <c r="T1135" t="s">
        <v>57</v>
      </c>
      <c r="U1135" t="s">
        <v>44</v>
      </c>
      <c r="W1135">
        <v>0</v>
      </c>
      <c r="X1135">
        <v>0</v>
      </c>
      <c r="Y1135">
        <v>0</v>
      </c>
      <c r="Z1135">
        <v>0</v>
      </c>
    </row>
    <row r="1136" spans="1:26" hidden="1" x14ac:dyDescent="0.25">
      <c r="A1136" t="s">
        <v>2744</v>
      </c>
      <c r="B1136" t="s">
        <v>25</v>
      </c>
      <c r="C1136" s="4">
        <v>44434</v>
      </c>
      <c r="F1136" s="4">
        <v>45397</v>
      </c>
      <c r="G1136" t="s">
        <v>1326</v>
      </c>
      <c r="H1136" t="s">
        <v>1640</v>
      </c>
      <c r="K1136" t="s">
        <v>67</v>
      </c>
      <c r="L1136" t="s">
        <v>2154</v>
      </c>
      <c r="M1136" t="s">
        <v>68</v>
      </c>
      <c r="N1136" t="s">
        <v>2155</v>
      </c>
      <c r="O1136" t="s">
        <v>32</v>
      </c>
      <c r="P1136" t="s">
        <v>2745</v>
      </c>
      <c r="Q1136">
        <v>100</v>
      </c>
      <c r="R1136">
        <v>100</v>
      </c>
      <c r="S1136" t="s">
        <v>597</v>
      </c>
      <c r="T1136" t="s">
        <v>598</v>
      </c>
      <c r="U1136" t="s">
        <v>44</v>
      </c>
      <c r="W1136">
        <v>100</v>
      </c>
      <c r="X1136">
        <v>100</v>
      </c>
      <c r="Y1136">
        <v>100</v>
      </c>
      <c r="Z1136">
        <v>0</v>
      </c>
    </row>
    <row r="1137" spans="1:26" hidden="1" x14ac:dyDescent="0.25">
      <c r="A1137" t="s">
        <v>2746</v>
      </c>
      <c r="B1137" t="s">
        <v>38</v>
      </c>
      <c r="C1137" s="4">
        <v>44530</v>
      </c>
      <c r="D1137" s="4">
        <v>46035</v>
      </c>
      <c r="F1137" s="4">
        <v>45596</v>
      </c>
      <c r="G1137" t="s">
        <v>65</v>
      </c>
      <c r="H1137" t="s">
        <v>1505</v>
      </c>
      <c r="K1137" t="s">
        <v>67</v>
      </c>
      <c r="L1137" t="s">
        <v>2154</v>
      </c>
      <c r="M1137" t="s">
        <v>68</v>
      </c>
      <c r="N1137" t="s">
        <v>2155</v>
      </c>
      <c r="O1137" t="s">
        <v>32</v>
      </c>
      <c r="P1137" t="s">
        <v>2747</v>
      </c>
      <c r="Q1137">
        <v>200</v>
      </c>
      <c r="R1137">
        <v>200</v>
      </c>
      <c r="S1137" t="s">
        <v>34</v>
      </c>
      <c r="T1137" t="s">
        <v>35</v>
      </c>
      <c r="U1137" t="s">
        <v>44</v>
      </c>
      <c r="W1137">
        <v>195</v>
      </c>
      <c r="X1137">
        <v>195</v>
      </c>
      <c r="Y1137">
        <v>195</v>
      </c>
      <c r="Z1137">
        <v>0</v>
      </c>
    </row>
    <row r="1138" spans="1:26" hidden="1" x14ac:dyDescent="0.25">
      <c r="A1138" t="s">
        <v>2748</v>
      </c>
      <c r="B1138" t="s">
        <v>38</v>
      </c>
      <c r="C1138" s="4">
        <v>44419</v>
      </c>
      <c r="D1138" s="4">
        <v>45723</v>
      </c>
      <c r="F1138" s="4">
        <v>45626</v>
      </c>
      <c r="G1138" t="s">
        <v>616</v>
      </c>
      <c r="H1138" t="s">
        <v>1792</v>
      </c>
      <c r="K1138" t="s">
        <v>146</v>
      </c>
      <c r="L1138" t="s">
        <v>2154</v>
      </c>
      <c r="M1138" t="s">
        <v>68</v>
      </c>
      <c r="N1138" t="s">
        <v>2155</v>
      </c>
      <c r="O1138" t="s">
        <v>32</v>
      </c>
      <c r="P1138" t="s">
        <v>2749</v>
      </c>
      <c r="Q1138">
        <v>200</v>
      </c>
      <c r="R1138">
        <v>200</v>
      </c>
      <c r="S1138" t="s">
        <v>34</v>
      </c>
      <c r="T1138" t="s">
        <v>35</v>
      </c>
      <c r="U1138" t="s">
        <v>44</v>
      </c>
      <c r="W1138">
        <v>200</v>
      </c>
      <c r="X1138">
        <v>0</v>
      </c>
      <c r="Y1138">
        <v>0</v>
      </c>
      <c r="Z1138">
        <v>0</v>
      </c>
    </row>
    <row r="1139" spans="1:26" hidden="1" x14ac:dyDescent="0.25">
      <c r="A1139" t="s">
        <v>2750</v>
      </c>
      <c r="B1139" t="s">
        <v>2153</v>
      </c>
      <c r="C1139" s="4">
        <v>44643</v>
      </c>
      <c r="F1139" s="4">
        <v>45536</v>
      </c>
      <c r="G1139" t="s">
        <v>117</v>
      </c>
      <c r="H1139" t="s">
        <v>2751</v>
      </c>
      <c r="K1139" t="s">
        <v>83</v>
      </c>
      <c r="L1139" t="s">
        <v>2154</v>
      </c>
      <c r="M1139" t="s">
        <v>84</v>
      </c>
      <c r="N1139" t="s">
        <v>2160</v>
      </c>
      <c r="O1139" t="s">
        <v>32</v>
      </c>
      <c r="P1139" t="s">
        <v>2752</v>
      </c>
      <c r="Q1139">
        <v>190.9</v>
      </c>
      <c r="R1139">
        <v>190.9</v>
      </c>
      <c r="S1139" t="s">
        <v>34</v>
      </c>
      <c r="T1139" t="s">
        <v>35</v>
      </c>
      <c r="U1139" t="s">
        <v>44</v>
      </c>
      <c r="W1139">
        <v>190.9</v>
      </c>
      <c r="X1139">
        <v>190.9</v>
      </c>
      <c r="Y1139">
        <v>190.9</v>
      </c>
      <c r="Z1139">
        <v>190.9</v>
      </c>
    </row>
    <row r="1140" spans="1:26" hidden="1" x14ac:dyDescent="0.25">
      <c r="A1140" t="s">
        <v>2753</v>
      </c>
      <c r="B1140" t="s">
        <v>38</v>
      </c>
      <c r="C1140" s="4">
        <v>44495</v>
      </c>
      <c r="D1140" s="4">
        <v>44538</v>
      </c>
      <c r="F1140" s="4">
        <v>45580</v>
      </c>
      <c r="G1140" t="s">
        <v>681</v>
      </c>
      <c r="H1140" t="s">
        <v>2617</v>
      </c>
      <c r="K1140" t="s">
        <v>683</v>
      </c>
      <c r="L1140" t="s">
        <v>2154</v>
      </c>
      <c r="M1140" t="s">
        <v>84</v>
      </c>
      <c r="N1140" t="s">
        <v>2160</v>
      </c>
      <c r="O1140" t="s">
        <v>32</v>
      </c>
      <c r="P1140" t="s">
        <v>2618</v>
      </c>
      <c r="Q1140">
        <v>78.23</v>
      </c>
      <c r="R1140">
        <v>78.23</v>
      </c>
      <c r="S1140" t="s">
        <v>597</v>
      </c>
      <c r="T1140" t="s">
        <v>598</v>
      </c>
      <c r="W1140">
        <v>0</v>
      </c>
      <c r="X1140">
        <v>0</v>
      </c>
      <c r="Y1140">
        <v>0</v>
      </c>
      <c r="Z1140">
        <v>0</v>
      </c>
    </row>
    <row r="1141" spans="1:26" hidden="1" x14ac:dyDescent="0.25">
      <c r="A1141" t="s">
        <v>2754</v>
      </c>
      <c r="B1141" t="s">
        <v>38</v>
      </c>
      <c r="C1141" s="4">
        <v>44453</v>
      </c>
      <c r="D1141" s="4">
        <v>45723</v>
      </c>
      <c r="F1141" s="4">
        <v>45596</v>
      </c>
      <c r="G1141" t="s">
        <v>149</v>
      </c>
      <c r="H1141" t="s">
        <v>2168</v>
      </c>
      <c r="K1141" t="s">
        <v>151</v>
      </c>
      <c r="L1141" t="s">
        <v>2154</v>
      </c>
      <c r="M1141" t="s">
        <v>68</v>
      </c>
      <c r="N1141" t="s">
        <v>2155</v>
      </c>
      <c r="O1141" t="s">
        <v>32</v>
      </c>
      <c r="P1141" t="s">
        <v>2755</v>
      </c>
      <c r="Q1141">
        <v>0</v>
      </c>
      <c r="R1141">
        <v>0</v>
      </c>
      <c r="S1141" t="s">
        <v>159</v>
      </c>
      <c r="T1141" t="s">
        <v>159</v>
      </c>
      <c r="U1141" t="s">
        <v>44</v>
      </c>
      <c r="W1141">
        <v>0</v>
      </c>
      <c r="X1141">
        <v>0</v>
      </c>
      <c r="Y1141">
        <v>0</v>
      </c>
      <c r="Z1141">
        <v>0</v>
      </c>
    </row>
    <row r="1142" spans="1:26" hidden="1" x14ac:dyDescent="0.25">
      <c r="A1142" t="s">
        <v>2756</v>
      </c>
      <c r="B1142" t="s">
        <v>2153</v>
      </c>
      <c r="C1142" s="4">
        <v>44441</v>
      </c>
      <c r="F1142" s="4">
        <v>45536</v>
      </c>
      <c r="G1142" t="s">
        <v>907</v>
      </c>
      <c r="H1142" t="s">
        <v>1396</v>
      </c>
      <c r="K1142" t="s">
        <v>53</v>
      </c>
      <c r="L1142" t="s">
        <v>2154</v>
      </c>
      <c r="M1142" t="s">
        <v>54</v>
      </c>
      <c r="N1142" t="s">
        <v>2155</v>
      </c>
      <c r="O1142" t="s">
        <v>32</v>
      </c>
      <c r="P1142" t="s">
        <v>2757</v>
      </c>
      <c r="Q1142">
        <v>250</v>
      </c>
      <c r="R1142">
        <v>250</v>
      </c>
      <c r="S1142" t="s">
        <v>597</v>
      </c>
      <c r="T1142" t="s">
        <v>598</v>
      </c>
      <c r="U1142" t="s">
        <v>44</v>
      </c>
      <c r="V1142" s="4">
        <v>47144</v>
      </c>
      <c r="W1142">
        <v>250</v>
      </c>
      <c r="X1142">
        <v>250</v>
      </c>
      <c r="Y1142">
        <v>250</v>
      </c>
      <c r="Z1142">
        <v>250</v>
      </c>
    </row>
    <row r="1143" spans="1:26" hidden="1" x14ac:dyDescent="0.25">
      <c r="A1143" t="s">
        <v>2758</v>
      </c>
      <c r="B1143" t="s">
        <v>38</v>
      </c>
      <c r="C1143" s="4">
        <v>44453</v>
      </c>
      <c r="D1143" s="4">
        <v>45224</v>
      </c>
      <c r="F1143" s="4">
        <v>45596</v>
      </c>
      <c r="G1143" t="s">
        <v>65</v>
      </c>
      <c r="H1143" t="s">
        <v>1421</v>
      </c>
      <c r="K1143" t="s">
        <v>67</v>
      </c>
      <c r="L1143" t="s">
        <v>2154</v>
      </c>
      <c r="M1143" t="s">
        <v>68</v>
      </c>
      <c r="N1143" t="s">
        <v>2155</v>
      </c>
      <c r="O1143" t="s">
        <v>32</v>
      </c>
      <c r="P1143" t="s">
        <v>2031</v>
      </c>
      <c r="Q1143">
        <v>0</v>
      </c>
      <c r="R1143">
        <v>0</v>
      </c>
      <c r="S1143" t="s">
        <v>159</v>
      </c>
      <c r="T1143" t="s">
        <v>159</v>
      </c>
      <c r="U1143" t="s">
        <v>44</v>
      </c>
      <c r="W1143">
        <v>0</v>
      </c>
      <c r="X1143">
        <v>0</v>
      </c>
      <c r="Y1143">
        <v>0</v>
      </c>
      <c r="Z1143">
        <v>0</v>
      </c>
    </row>
    <row r="1144" spans="1:26" hidden="1" x14ac:dyDescent="0.25">
      <c r="A1144" t="s">
        <v>2759</v>
      </c>
      <c r="B1144" t="s">
        <v>38</v>
      </c>
      <c r="C1144" s="4">
        <v>44453</v>
      </c>
      <c r="D1144" s="4">
        <v>45224</v>
      </c>
      <c r="F1144" s="4">
        <v>45596</v>
      </c>
      <c r="G1144" t="s">
        <v>65</v>
      </c>
      <c r="H1144" t="s">
        <v>1421</v>
      </c>
      <c r="K1144" t="s">
        <v>67</v>
      </c>
      <c r="L1144" t="s">
        <v>2154</v>
      </c>
      <c r="M1144" t="s">
        <v>68</v>
      </c>
      <c r="N1144" t="s">
        <v>2155</v>
      </c>
      <c r="O1144" t="s">
        <v>32</v>
      </c>
      <c r="P1144" t="s">
        <v>2031</v>
      </c>
      <c r="Q1144">
        <v>100</v>
      </c>
      <c r="R1144">
        <v>100</v>
      </c>
      <c r="S1144" t="s">
        <v>34</v>
      </c>
      <c r="T1144" t="s">
        <v>35</v>
      </c>
      <c r="U1144" t="s">
        <v>44</v>
      </c>
      <c r="W1144">
        <v>0</v>
      </c>
      <c r="X1144">
        <v>0</v>
      </c>
      <c r="Y1144">
        <v>0</v>
      </c>
      <c r="Z1144">
        <v>0</v>
      </c>
    </row>
    <row r="1145" spans="1:26" hidden="1" x14ac:dyDescent="0.25">
      <c r="A1145" t="s">
        <v>2760</v>
      </c>
      <c r="B1145" t="s">
        <v>2232</v>
      </c>
      <c r="C1145" s="4">
        <v>44503</v>
      </c>
      <c r="F1145" s="4">
        <v>45505</v>
      </c>
      <c r="G1145" t="s">
        <v>1251</v>
      </c>
      <c r="H1145" t="s">
        <v>2761</v>
      </c>
      <c r="K1145" t="s">
        <v>109</v>
      </c>
      <c r="L1145" t="s">
        <v>2154</v>
      </c>
      <c r="M1145" t="s">
        <v>84</v>
      </c>
      <c r="N1145" t="s">
        <v>2160</v>
      </c>
      <c r="O1145" t="s">
        <v>32</v>
      </c>
      <c r="P1145" t="s">
        <v>2762</v>
      </c>
      <c r="Q1145">
        <v>150</v>
      </c>
      <c r="R1145">
        <v>150</v>
      </c>
      <c r="S1145" t="s">
        <v>597</v>
      </c>
      <c r="T1145" t="s">
        <v>598</v>
      </c>
      <c r="U1145" t="s">
        <v>44</v>
      </c>
      <c r="W1145">
        <v>150</v>
      </c>
      <c r="X1145">
        <v>150</v>
      </c>
      <c r="Y1145">
        <v>150</v>
      </c>
      <c r="Z1145">
        <v>150</v>
      </c>
    </row>
    <row r="1146" spans="1:26" hidden="1" x14ac:dyDescent="0.25">
      <c r="A1146" t="s">
        <v>2763</v>
      </c>
      <c r="B1146" t="s">
        <v>25</v>
      </c>
      <c r="C1146" s="4">
        <v>44484</v>
      </c>
      <c r="F1146" s="4">
        <v>45703</v>
      </c>
      <c r="G1146" t="s">
        <v>1326</v>
      </c>
      <c r="H1146" t="s">
        <v>2764</v>
      </c>
      <c r="K1146" t="s">
        <v>67</v>
      </c>
      <c r="L1146" t="s">
        <v>2154</v>
      </c>
      <c r="M1146" t="s">
        <v>68</v>
      </c>
      <c r="N1146" t="s">
        <v>2155</v>
      </c>
      <c r="O1146" t="s">
        <v>32</v>
      </c>
      <c r="P1146" t="s">
        <v>2765</v>
      </c>
      <c r="Q1146">
        <v>250</v>
      </c>
      <c r="R1146">
        <v>250</v>
      </c>
      <c r="S1146" t="s">
        <v>34</v>
      </c>
      <c r="T1146" t="s">
        <v>35</v>
      </c>
      <c r="U1146" t="s">
        <v>44</v>
      </c>
      <c r="V1146" s="4">
        <v>46447</v>
      </c>
      <c r="W1146">
        <v>250</v>
      </c>
      <c r="X1146">
        <v>0</v>
      </c>
      <c r="Y1146">
        <v>250</v>
      </c>
      <c r="Z1146">
        <v>0</v>
      </c>
    </row>
    <row r="1147" spans="1:26" hidden="1" x14ac:dyDescent="0.25">
      <c r="A1147" t="s">
        <v>2766</v>
      </c>
      <c r="B1147" t="s">
        <v>38</v>
      </c>
      <c r="C1147" s="4">
        <v>44441</v>
      </c>
      <c r="D1147" s="4">
        <v>44538</v>
      </c>
      <c r="F1147" s="4">
        <v>45566</v>
      </c>
      <c r="G1147" t="s">
        <v>254</v>
      </c>
      <c r="H1147" t="s">
        <v>2366</v>
      </c>
      <c r="K1147" t="s">
        <v>98</v>
      </c>
      <c r="L1147" t="s">
        <v>2154</v>
      </c>
      <c r="M1147" t="s">
        <v>84</v>
      </c>
      <c r="N1147" t="s">
        <v>2160</v>
      </c>
      <c r="O1147" t="s">
        <v>32</v>
      </c>
      <c r="P1147" t="s">
        <v>2767</v>
      </c>
      <c r="Q1147">
        <v>155.19999999999999</v>
      </c>
      <c r="R1147">
        <v>195</v>
      </c>
      <c r="S1147" t="s">
        <v>597</v>
      </c>
      <c r="T1147" t="s">
        <v>584</v>
      </c>
      <c r="W1147">
        <v>0</v>
      </c>
      <c r="X1147">
        <v>0</v>
      </c>
      <c r="Y1147">
        <v>0</v>
      </c>
      <c r="Z1147">
        <v>0</v>
      </c>
    </row>
    <row r="1148" spans="1:26" hidden="1" x14ac:dyDescent="0.25">
      <c r="A1148" t="s">
        <v>2768</v>
      </c>
      <c r="B1148" t="s">
        <v>38</v>
      </c>
      <c r="C1148" s="4">
        <v>44529</v>
      </c>
      <c r="D1148" s="4">
        <v>46009</v>
      </c>
      <c r="F1148" s="4">
        <v>45580</v>
      </c>
      <c r="G1148" t="s">
        <v>681</v>
      </c>
      <c r="H1148" t="s">
        <v>2617</v>
      </c>
      <c r="K1148" t="s">
        <v>683</v>
      </c>
      <c r="L1148" t="s">
        <v>2154</v>
      </c>
      <c r="M1148" t="s">
        <v>84</v>
      </c>
      <c r="N1148" t="s">
        <v>2160</v>
      </c>
      <c r="O1148" t="s">
        <v>32</v>
      </c>
      <c r="P1148" t="s">
        <v>2769</v>
      </c>
      <c r="Q1148">
        <v>50</v>
      </c>
      <c r="R1148">
        <v>50</v>
      </c>
      <c r="S1148" t="s">
        <v>597</v>
      </c>
      <c r="T1148" t="s">
        <v>598</v>
      </c>
      <c r="U1148" t="s">
        <v>44</v>
      </c>
      <c r="W1148">
        <v>50</v>
      </c>
      <c r="X1148">
        <v>50</v>
      </c>
      <c r="Y1148">
        <v>0</v>
      </c>
      <c r="Z1148">
        <v>0</v>
      </c>
    </row>
    <row r="1149" spans="1:26" hidden="1" x14ac:dyDescent="0.25">
      <c r="A1149" t="s">
        <v>2770</v>
      </c>
      <c r="B1149" t="s">
        <v>38</v>
      </c>
      <c r="C1149" s="4">
        <v>44530</v>
      </c>
      <c r="D1149" s="4">
        <v>46009</v>
      </c>
      <c r="F1149" s="4">
        <v>45626</v>
      </c>
      <c r="G1149" t="s">
        <v>681</v>
      </c>
      <c r="H1149" t="s">
        <v>2771</v>
      </c>
      <c r="K1149" t="s">
        <v>683</v>
      </c>
      <c r="L1149" t="s">
        <v>2154</v>
      </c>
      <c r="M1149" t="s">
        <v>84</v>
      </c>
      <c r="N1149" t="s">
        <v>2160</v>
      </c>
      <c r="O1149" t="s">
        <v>32</v>
      </c>
      <c r="P1149" t="s">
        <v>2772</v>
      </c>
      <c r="Q1149">
        <v>45</v>
      </c>
      <c r="R1149">
        <v>45</v>
      </c>
      <c r="S1149" t="s">
        <v>34</v>
      </c>
      <c r="T1149" t="s">
        <v>35</v>
      </c>
      <c r="U1149" t="s">
        <v>44</v>
      </c>
      <c r="W1149">
        <v>45</v>
      </c>
      <c r="X1149">
        <v>0</v>
      </c>
      <c r="Y1149">
        <v>0</v>
      </c>
      <c r="Z1149">
        <v>0</v>
      </c>
    </row>
    <row r="1150" spans="1:26" hidden="1" x14ac:dyDescent="0.25">
      <c r="A1150" t="s">
        <v>2773</v>
      </c>
      <c r="B1150" t="s">
        <v>38</v>
      </c>
      <c r="C1150" s="4">
        <v>44524</v>
      </c>
      <c r="D1150" s="4">
        <v>45573</v>
      </c>
      <c r="F1150" s="4">
        <v>45626</v>
      </c>
      <c r="G1150" t="s">
        <v>681</v>
      </c>
      <c r="H1150" t="s">
        <v>2499</v>
      </c>
      <c r="K1150" t="s">
        <v>683</v>
      </c>
      <c r="L1150" t="s">
        <v>2154</v>
      </c>
      <c r="M1150" t="s">
        <v>84</v>
      </c>
      <c r="N1150" t="s">
        <v>2160</v>
      </c>
      <c r="O1150" t="s">
        <v>32</v>
      </c>
      <c r="P1150" t="s">
        <v>2774</v>
      </c>
      <c r="Q1150">
        <v>56</v>
      </c>
      <c r="R1150">
        <v>56</v>
      </c>
      <c r="S1150" t="s">
        <v>34</v>
      </c>
      <c r="T1150" t="s">
        <v>35</v>
      </c>
      <c r="U1150" t="s">
        <v>44</v>
      </c>
      <c r="W1150">
        <v>0</v>
      </c>
      <c r="X1150">
        <v>0</v>
      </c>
      <c r="Y1150">
        <v>0</v>
      </c>
      <c r="Z1150">
        <v>0</v>
      </c>
    </row>
    <row r="1151" spans="1:26" hidden="1" x14ac:dyDescent="0.25">
      <c r="A1151" t="s">
        <v>2775</v>
      </c>
      <c r="B1151" t="s">
        <v>38</v>
      </c>
      <c r="C1151" s="4">
        <v>44487</v>
      </c>
      <c r="D1151" s="4">
        <v>45973</v>
      </c>
      <c r="F1151" s="4">
        <v>47118</v>
      </c>
      <c r="G1151" t="s">
        <v>1278</v>
      </c>
      <c r="H1151" t="s">
        <v>1476</v>
      </c>
      <c r="K1151" t="s">
        <v>28</v>
      </c>
      <c r="L1151" t="s">
        <v>2154</v>
      </c>
      <c r="M1151" t="s">
        <v>30</v>
      </c>
      <c r="N1151" t="s">
        <v>2155</v>
      </c>
      <c r="O1151" t="s">
        <v>32</v>
      </c>
      <c r="P1151" t="s">
        <v>2620</v>
      </c>
      <c r="Q1151">
        <v>200</v>
      </c>
      <c r="R1151">
        <v>200</v>
      </c>
      <c r="S1151" t="s">
        <v>34</v>
      </c>
      <c r="T1151" t="s">
        <v>35</v>
      </c>
      <c r="U1151" t="s">
        <v>44</v>
      </c>
      <c r="W1151">
        <v>150</v>
      </c>
      <c r="X1151">
        <v>150</v>
      </c>
      <c r="Y1151">
        <v>150</v>
      </c>
      <c r="Z1151">
        <v>150</v>
      </c>
    </row>
    <row r="1152" spans="1:26" hidden="1" x14ac:dyDescent="0.25">
      <c r="A1152" t="s">
        <v>2776</v>
      </c>
      <c r="B1152" t="s">
        <v>38</v>
      </c>
      <c r="C1152" s="4">
        <v>44530</v>
      </c>
      <c r="D1152" s="4">
        <v>46035</v>
      </c>
      <c r="F1152" s="4">
        <v>45596</v>
      </c>
      <c r="G1152" t="s">
        <v>65</v>
      </c>
      <c r="H1152" t="s">
        <v>2777</v>
      </c>
      <c r="K1152" t="s">
        <v>67</v>
      </c>
      <c r="L1152" t="s">
        <v>2154</v>
      </c>
      <c r="M1152" t="s">
        <v>68</v>
      </c>
      <c r="N1152" t="s">
        <v>2155</v>
      </c>
      <c r="O1152" t="s">
        <v>32</v>
      </c>
      <c r="P1152" t="s">
        <v>2778</v>
      </c>
      <c r="Q1152">
        <v>240</v>
      </c>
      <c r="R1152">
        <v>240</v>
      </c>
      <c r="S1152" t="s">
        <v>34</v>
      </c>
      <c r="T1152" t="s">
        <v>35</v>
      </c>
      <c r="U1152" t="s">
        <v>44</v>
      </c>
      <c r="W1152">
        <v>112</v>
      </c>
      <c r="X1152">
        <v>112</v>
      </c>
      <c r="Y1152">
        <v>112</v>
      </c>
      <c r="Z1152">
        <v>0</v>
      </c>
    </row>
    <row r="1153" spans="1:26" hidden="1" x14ac:dyDescent="0.25">
      <c r="A1153" t="s">
        <v>2779</v>
      </c>
      <c r="B1153" t="s">
        <v>38</v>
      </c>
      <c r="C1153" s="4">
        <v>44648</v>
      </c>
      <c r="D1153" s="4">
        <v>45573</v>
      </c>
      <c r="F1153" s="4">
        <v>45565</v>
      </c>
      <c r="G1153" t="s">
        <v>101</v>
      </c>
      <c r="H1153" t="s">
        <v>1279</v>
      </c>
      <c r="K1153" t="s">
        <v>98</v>
      </c>
      <c r="L1153" t="s">
        <v>2154</v>
      </c>
      <c r="M1153" t="s">
        <v>84</v>
      </c>
      <c r="N1153" t="s">
        <v>2160</v>
      </c>
      <c r="O1153" t="s">
        <v>32</v>
      </c>
      <c r="P1153" t="s">
        <v>2780</v>
      </c>
      <c r="Q1153">
        <v>100</v>
      </c>
      <c r="R1153">
        <v>100</v>
      </c>
      <c r="S1153" t="s">
        <v>34</v>
      </c>
      <c r="T1153" t="s">
        <v>35</v>
      </c>
      <c r="U1153" t="s">
        <v>44</v>
      </c>
      <c r="W1153">
        <v>0</v>
      </c>
      <c r="X1153">
        <v>0</v>
      </c>
      <c r="Y1153">
        <v>0</v>
      </c>
      <c r="Z1153">
        <v>0</v>
      </c>
    </row>
    <row r="1154" spans="1:26" hidden="1" x14ac:dyDescent="0.25">
      <c r="A1154" t="s">
        <v>2781</v>
      </c>
      <c r="B1154" t="s">
        <v>2153</v>
      </c>
      <c r="C1154" s="4">
        <v>44420</v>
      </c>
      <c r="F1154" s="4">
        <v>45870</v>
      </c>
      <c r="G1154" t="s">
        <v>117</v>
      </c>
      <c r="H1154" t="s">
        <v>2777</v>
      </c>
      <c r="K1154" t="s">
        <v>83</v>
      </c>
      <c r="L1154" t="s">
        <v>2154</v>
      </c>
      <c r="M1154" t="s">
        <v>84</v>
      </c>
      <c r="N1154" t="s">
        <v>2160</v>
      </c>
      <c r="O1154" t="s">
        <v>32</v>
      </c>
      <c r="P1154" t="s">
        <v>2782</v>
      </c>
      <c r="Q1154">
        <v>150</v>
      </c>
      <c r="R1154">
        <v>150</v>
      </c>
      <c r="S1154" t="s">
        <v>597</v>
      </c>
      <c r="T1154" t="s">
        <v>598</v>
      </c>
      <c r="U1154" t="s">
        <v>44</v>
      </c>
      <c r="W1154">
        <v>150</v>
      </c>
      <c r="X1154">
        <v>150</v>
      </c>
      <c r="Y1154">
        <v>135</v>
      </c>
      <c r="Z1154">
        <v>135</v>
      </c>
    </row>
    <row r="1155" spans="1:26" hidden="1" x14ac:dyDescent="0.25">
      <c r="A1155" t="s">
        <v>2783</v>
      </c>
      <c r="B1155" t="s">
        <v>25</v>
      </c>
      <c r="C1155" s="4">
        <v>45260</v>
      </c>
      <c r="F1155" s="4">
        <v>45901</v>
      </c>
      <c r="G1155" t="s">
        <v>1408</v>
      </c>
      <c r="H1155" t="s">
        <v>2214</v>
      </c>
      <c r="K1155" t="s">
        <v>146</v>
      </c>
      <c r="L1155" t="s">
        <v>2154</v>
      </c>
      <c r="M1155" t="s">
        <v>68</v>
      </c>
      <c r="N1155" t="s">
        <v>2155</v>
      </c>
      <c r="O1155" t="s">
        <v>122</v>
      </c>
      <c r="P1155" t="s">
        <v>2784</v>
      </c>
      <c r="Q1155">
        <v>120</v>
      </c>
      <c r="R1155">
        <v>120</v>
      </c>
      <c r="S1155" t="s">
        <v>597</v>
      </c>
      <c r="T1155" t="s">
        <v>598</v>
      </c>
      <c r="U1155" t="s">
        <v>44</v>
      </c>
      <c r="W1155">
        <v>120</v>
      </c>
      <c r="X1155">
        <v>0</v>
      </c>
      <c r="Y1155">
        <v>120</v>
      </c>
      <c r="Z1155">
        <v>0</v>
      </c>
    </row>
    <row r="1156" spans="1:26" hidden="1" x14ac:dyDescent="0.25">
      <c r="A1156" t="s">
        <v>2785</v>
      </c>
      <c r="B1156" t="s">
        <v>25</v>
      </c>
      <c r="C1156" s="4">
        <v>44419</v>
      </c>
      <c r="F1156" s="4">
        <v>45901</v>
      </c>
      <c r="G1156" t="s">
        <v>1326</v>
      </c>
      <c r="H1156" t="s">
        <v>2033</v>
      </c>
      <c r="K1156" t="s">
        <v>67</v>
      </c>
      <c r="L1156" t="s">
        <v>2154</v>
      </c>
      <c r="M1156" t="s">
        <v>68</v>
      </c>
      <c r="N1156" t="s">
        <v>2155</v>
      </c>
      <c r="O1156" t="s">
        <v>32</v>
      </c>
      <c r="P1156" t="s">
        <v>2786</v>
      </c>
      <c r="Q1156">
        <v>200</v>
      </c>
      <c r="R1156">
        <v>200</v>
      </c>
      <c r="S1156" t="s">
        <v>597</v>
      </c>
      <c r="T1156" t="s">
        <v>598</v>
      </c>
      <c r="U1156" t="s">
        <v>44</v>
      </c>
      <c r="V1156" s="4">
        <v>46507</v>
      </c>
      <c r="W1156">
        <v>145</v>
      </c>
      <c r="X1156">
        <v>0</v>
      </c>
      <c r="Y1156">
        <v>134</v>
      </c>
      <c r="Z1156">
        <v>0</v>
      </c>
    </row>
    <row r="1157" spans="1:26" hidden="1" x14ac:dyDescent="0.25">
      <c r="A1157" t="s">
        <v>2787</v>
      </c>
      <c r="B1157" t="s">
        <v>38</v>
      </c>
      <c r="C1157" s="4">
        <v>44420</v>
      </c>
      <c r="D1157" s="4">
        <v>45723</v>
      </c>
      <c r="F1157" s="4">
        <v>45566</v>
      </c>
      <c r="G1157" t="s">
        <v>144</v>
      </c>
      <c r="H1157" t="s">
        <v>1405</v>
      </c>
      <c r="K1157" t="s">
        <v>146</v>
      </c>
      <c r="L1157" t="s">
        <v>2154</v>
      </c>
      <c r="M1157" t="s">
        <v>68</v>
      </c>
      <c r="N1157" t="s">
        <v>2155</v>
      </c>
      <c r="O1157" t="s">
        <v>122</v>
      </c>
      <c r="P1157" t="s">
        <v>2788</v>
      </c>
      <c r="Q1157">
        <v>150</v>
      </c>
      <c r="R1157">
        <v>150</v>
      </c>
      <c r="S1157" t="s">
        <v>597</v>
      </c>
      <c r="T1157" t="s">
        <v>598</v>
      </c>
      <c r="U1157" t="s">
        <v>44</v>
      </c>
      <c r="W1157">
        <v>150</v>
      </c>
      <c r="X1157">
        <v>0</v>
      </c>
      <c r="Y1157">
        <v>0</v>
      </c>
      <c r="Z1157">
        <v>0</v>
      </c>
    </row>
    <row r="1158" spans="1:26" hidden="1" x14ac:dyDescent="0.25">
      <c r="A1158" t="s">
        <v>2789</v>
      </c>
      <c r="B1158" t="s">
        <v>2153</v>
      </c>
      <c r="C1158" s="4">
        <v>44648</v>
      </c>
      <c r="F1158" s="4">
        <v>45443</v>
      </c>
      <c r="G1158" t="s">
        <v>1251</v>
      </c>
      <c r="H1158" t="s">
        <v>2790</v>
      </c>
      <c r="K1158" t="s">
        <v>109</v>
      </c>
      <c r="L1158" t="s">
        <v>2154</v>
      </c>
      <c r="M1158" t="s">
        <v>84</v>
      </c>
      <c r="N1158" t="s">
        <v>2160</v>
      </c>
      <c r="O1158" t="s">
        <v>32</v>
      </c>
      <c r="P1158" t="s">
        <v>1345</v>
      </c>
      <c r="Q1158">
        <v>150</v>
      </c>
      <c r="R1158">
        <v>150</v>
      </c>
      <c r="S1158" t="s">
        <v>34</v>
      </c>
      <c r="T1158" t="s">
        <v>35</v>
      </c>
      <c r="U1158" t="s">
        <v>44</v>
      </c>
      <c r="W1158">
        <v>150</v>
      </c>
      <c r="X1158">
        <v>150</v>
      </c>
      <c r="Y1158">
        <v>150</v>
      </c>
      <c r="Z1158">
        <v>150</v>
      </c>
    </row>
    <row r="1159" spans="1:26" hidden="1" x14ac:dyDescent="0.25">
      <c r="A1159" t="s">
        <v>2791</v>
      </c>
      <c r="B1159" t="s">
        <v>2153</v>
      </c>
      <c r="C1159" s="4">
        <v>44740</v>
      </c>
      <c r="F1159" s="4">
        <v>45443</v>
      </c>
      <c r="G1159" t="s">
        <v>117</v>
      </c>
      <c r="H1159" t="s">
        <v>1824</v>
      </c>
      <c r="K1159" t="s">
        <v>83</v>
      </c>
      <c r="L1159" t="s">
        <v>2154</v>
      </c>
      <c r="M1159" t="s">
        <v>84</v>
      </c>
      <c r="N1159" t="s">
        <v>2160</v>
      </c>
      <c r="O1159" t="s">
        <v>32</v>
      </c>
      <c r="P1159" t="s">
        <v>2792</v>
      </c>
      <c r="Q1159">
        <v>150</v>
      </c>
      <c r="R1159">
        <v>150</v>
      </c>
      <c r="S1159" t="s">
        <v>34</v>
      </c>
      <c r="T1159" t="s">
        <v>35</v>
      </c>
      <c r="U1159" t="s">
        <v>44</v>
      </c>
      <c r="W1159">
        <v>150</v>
      </c>
      <c r="X1159">
        <v>150</v>
      </c>
      <c r="Y1159">
        <v>150</v>
      </c>
      <c r="Z1159">
        <v>150</v>
      </c>
    </row>
    <row r="1160" spans="1:26" hidden="1" x14ac:dyDescent="0.25">
      <c r="A1160" t="s">
        <v>2793</v>
      </c>
      <c r="B1160" t="s">
        <v>2153</v>
      </c>
      <c r="C1160" s="4">
        <v>44433</v>
      </c>
      <c r="F1160" s="4">
        <v>45778</v>
      </c>
      <c r="G1160" t="s">
        <v>1597</v>
      </c>
      <c r="H1160" t="s">
        <v>1415</v>
      </c>
      <c r="K1160" t="s">
        <v>185</v>
      </c>
      <c r="L1160" t="s">
        <v>2154</v>
      </c>
      <c r="M1160" t="s">
        <v>42</v>
      </c>
      <c r="N1160" t="s">
        <v>2160</v>
      </c>
      <c r="O1160" t="s">
        <v>32</v>
      </c>
      <c r="P1160" t="s">
        <v>2671</v>
      </c>
      <c r="Q1160">
        <v>100</v>
      </c>
      <c r="R1160">
        <v>100</v>
      </c>
      <c r="S1160" t="s">
        <v>56</v>
      </c>
      <c r="T1160" t="s">
        <v>57</v>
      </c>
      <c r="U1160" t="s">
        <v>44</v>
      </c>
      <c r="W1160">
        <v>100</v>
      </c>
      <c r="X1160">
        <v>100</v>
      </c>
      <c r="Y1160">
        <v>100</v>
      </c>
      <c r="Z1160">
        <v>100</v>
      </c>
    </row>
    <row r="1161" spans="1:26" hidden="1" x14ac:dyDescent="0.25">
      <c r="A1161" t="s">
        <v>2794</v>
      </c>
      <c r="B1161" t="s">
        <v>38</v>
      </c>
      <c r="C1161" s="4">
        <v>44432</v>
      </c>
      <c r="D1161" s="4">
        <v>46009</v>
      </c>
      <c r="F1161" s="4">
        <v>45535</v>
      </c>
      <c r="G1161" t="s">
        <v>117</v>
      </c>
      <c r="H1161" t="s">
        <v>1550</v>
      </c>
      <c r="K1161" t="s">
        <v>83</v>
      </c>
      <c r="L1161" t="s">
        <v>2154</v>
      </c>
      <c r="M1161" t="s">
        <v>84</v>
      </c>
      <c r="N1161" t="s">
        <v>2160</v>
      </c>
      <c r="O1161" t="s">
        <v>32</v>
      </c>
      <c r="P1161" t="s">
        <v>2795</v>
      </c>
      <c r="Q1161">
        <v>50</v>
      </c>
      <c r="R1161">
        <v>50</v>
      </c>
      <c r="S1161" t="s">
        <v>34</v>
      </c>
      <c r="T1161" t="s">
        <v>35</v>
      </c>
      <c r="U1161" t="s">
        <v>44</v>
      </c>
      <c r="W1161">
        <v>50</v>
      </c>
      <c r="X1161">
        <v>50</v>
      </c>
      <c r="Y1161">
        <v>0</v>
      </c>
      <c r="Z1161">
        <v>0</v>
      </c>
    </row>
    <row r="1162" spans="1:26" hidden="1" x14ac:dyDescent="0.25">
      <c r="A1162" t="s">
        <v>2796</v>
      </c>
      <c r="B1162" t="s">
        <v>2232</v>
      </c>
      <c r="C1162" s="4">
        <v>44432</v>
      </c>
      <c r="F1162" s="4">
        <v>45535</v>
      </c>
      <c r="G1162" t="s">
        <v>117</v>
      </c>
      <c r="H1162" t="s">
        <v>1550</v>
      </c>
      <c r="K1162" t="s">
        <v>83</v>
      </c>
      <c r="L1162" t="s">
        <v>2154</v>
      </c>
      <c r="M1162" t="s">
        <v>84</v>
      </c>
      <c r="N1162" t="s">
        <v>2160</v>
      </c>
      <c r="O1162" t="s">
        <v>32</v>
      </c>
      <c r="P1162" t="s">
        <v>2795</v>
      </c>
      <c r="Q1162">
        <v>50</v>
      </c>
      <c r="R1162">
        <v>50</v>
      </c>
      <c r="S1162" t="s">
        <v>159</v>
      </c>
      <c r="T1162" t="s">
        <v>159</v>
      </c>
      <c r="U1162" t="s">
        <v>44</v>
      </c>
      <c r="W1162">
        <v>50</v>
      </c>
      <c r="X1162">
        <v>50</v>
      </c>
      <c r="Y1162">
        <v>50</v>
      </c>
      <c r="Z1162">
        <v>40</v>
      </c>
    </row>
    <row r="1163" spans="1:26" hidden="1" x14ac:dyDescent="0.25">
      <c r="A1163" t="s">
        <v>2797</v>
      </c>
      <c r="B1163" t="s">
        <v>38</v>
      </c>
      <c r="C1163" s="4">
        <v>44440</v>
      </c>
      <c r="D1163" s="4">
        <v>46009</v>
      </c>
      <c r="F1163" s="4">
        <v>45505</v>
      </c>
      <c r="G1163" t="s">
        <v>101</v>
      </c>
      <c r="H1163" t="s">
        <v>1508</v>
      </c>
      <c r="K1163" t="s">
        <v>98</v>
      </c>
      <c r="L1163" t="s">
        <v>2154</v>
      </c>
      <c r="M1163" t="s">
        <v>84</v>
      </c>
      <c r="N1163" t="s">
        <v>2160</v>
      </c>
      <c r="O1163" t="s">
        <v>32</v>
      </c>
      <c r="P1163" t="s">
        <v>2798</v>
      </c>
      <c r="Q1163">
        <v>50</v>
      </c>
      <c r="R1163">
        <v>50</v>
      </c>
      <c r="S1163" t="s">
        <v>159</v>
      </c>
      <c r="T1163" t="s">
        <v>159</v>
      </c>
      <c r="U1163" t="s">
        <v>44</v>
      </c>
      <c r="W1163">
        <v>50</v>
      </c>
      <c r="X1163">
        <v>50</v>
      </c>
      <c r="Y1163">
        <v>0</v>
      </c>
      <c r="Z1163">
        <v>0</v>
      </c>
    </row>
    <row r="1164" spans="1:26" hidden="1" x14ac:dyDescent="0.25">
      <c r="A1164" t="s">
        <v>2799</v>
      </c>
      <c r="B1164" t="s">
        <v>38</v>
      </c>
      <c r="C1164" s="4">
        <v>44439</v>
      </c>
      <c r="D1164" s="4">
        <v>46009</v>
      </c>
      <c r="F1164" s="4">
        <v>45535</v>
      </c>
      <c r="G1164" t="s">
        <v>132</v>
      </c>
      <c r="H1164" t="s">
        <v>2800</v>
      </c>
      <c r="K1164" t="s">
        <v>83</v>
      </c>
      <c r="L1164" t="s">
        <v>2154</v>
      </c>
      <c r="M1164" t="s">
        <v>84</v>
      </c>
      <c r="N1164" t="s">
        <v>2160</v>
      </c>
      <c r="O1164" t="s">
        <v>32</v>
      </c>
      <c r="P1164" t="s">
        <v>2801</v>
      </c>
      <c r="Q1164">
        <v>50</v>
      </c>
      <c r="R1164">
        <v>50</v>
      </c>
      <c r="S1164" t="s">
        <v>159</v>
      </c>
      <c r="T1164" t="s">
        <v>159</v>
      </c>
      <c r="U1164" t="s">
        <v>44</v>
      </c>
      <c r="W1164">
        <v>50</v>
      </c>
      <c r="X1164">
        <v>50</v>
      </c>
      <c r="Y1164">
        <v>0</v>
      </c>
      <c r="Z1164">
        <v>0</v>
      </c>
    </row>
    <row r="1165" spans="1:26" hidden="1" x14ac:dyDescent="0.25">
      <c r="A1165" t="s">
        <v>2802</v>
      </c>
      <c r="B1165" t="s">
        <v>38</v>
      </c>
      <c r="C1165" s="4">
        <v>44421</v>
      </c>
      <c r="D1165" s="4">
        <v>45723</v>
      </c>
      <c r="F1165" s="4">
        <v>45535</v>
      </c>
      <c r="G1165" t="s">
        <v>1311</v>
      </c>
      <c r="H1165" t="s">
        <v>1312</v>
      </c>
      <c r="K1165" t="s">
        <v>114</v>
      </c>
      <c r="L1165" t="s">
        <v>2154</v>
      </c>
      <c r="M1165" t="s">
        <v>68</v>
      </c>
      <c r="N1165" t="s">
        <v>2155</v>
      </c>
      <c r="O1165" t="s">
        <v>32</v>
      </c>
      <c r="P1165" t="s">
        <v>2803</v>
      </c>
      <c r="Q1165">
        <v>100</v>
      </c>
      <c r="R1165">
        <v>100</v>
      </c>
      <c r="S1165" t="s">
        <v>34</v>
      </c>
      <c r="T1165" t="s">
        <v>35</v>
      </c>
      <c r="U1165" t="s">
        <v>44</v>
      </c>
      <c r="W1165">
        <v>100</v>
      </c>
      <c r="X1165">
        <v>100</v>
      </c>
      <c r="Y1165">
        <v>0</v>
      </c>
      <c r="Z1165">
        <v>0</v>
      </c>
    </row>
    <row r="1166" spans="1:26" hidden="1" x14ac:dyDescent="0.25">
      <c r="A1166" t="s">
        <v>2804</v>
      </c>
      <c r="B1166" t="s">
        <v>38</v>
      </c>
      <c r="C1166" s="4">
        <v>44755</v>
      </c>
      <c r="D1166" s="4">
        <v>45723</v>
      </c>
      <c r="F1166" s="4">
        <v>45596</v>
      </c>
      <c r="G1166" t="s">
        <v>144</v>
      </c>
      <c r="H1166" t="s">
        <v>1405</v>
      </c>
      <c r="K1166" t="s">
        <v>146</v>
      </c>
      <c r="L1166" t="s">
        <v>2154</v>
      </c>
      <c r="M1166" t="s">
        <v>68</v>
      </c>
      <c r="N1166" t="s">
        <v>2155</v>
      </c>
      <c r="O1166" t="s">
        <v>32</v>
      </c>
      <c r="P1166" t="s">
        <v>2805</v>
      </c>
      <c r="Q1166">
        <v>200</v>
      </c>
      <c r="R1166">
        <v>200</v>
      </c>
      <c r="S1166" t="s">
        <v>34</v>
      </c>
      <c r="T1166" t="s">
        <v>35</v>
      </c>
      <c r="U1166" t="s">
        <v>44</v>
      </c>
      <c r="W1166">
        <v>200</v>
      </c>
      <c r="X1166">
        <v>200</v>
      </c>
      <c r="Y1166">
        <v>0</v>
      </c>
      <c r="Z1166">
        <v>0</v>
      </c>
    </row>
    <row r="1167" spans="1:26" hidden="1" x14ac:dyDescent="0.25">
      <c r="A1167" t="s">
        <v>2806</v>
      </c>
      <c r="B1167" t="s">
        <v>38</v>
      </c>
      <c r="C1167" s="4">
        <v>44420</v>
      </c>
      <c r="D1167" s="4">
        <v>46009</v>
      </c>
      <c r="F1167" s="4">
        <v>45595</v>
      </c>
      <c r="G1167" t="s">
        <v>1257</v>
      </c>
      <c r="H1167" t="s">
        <v>1663</v>
      </c>
      <c r="K1167" t="s">
        <v>98</v>
      </c>
      <c r="L1167" t="s">
        <v>2154</v>
      </c>
      <c r="M1167" t="s">
        <v>84</v>
      </c>
      <c r="N1167" t="s">
        <v>2160</v>
      </c>
      <c r="O1167" t="s">
        <v>32</v>
      </c>
      <c r="P1167" t="s">
        <v>2807</v>
      </c>
      <c r="Q1167">
        <v>250</v>
      </c>
      <c r="R1167">
        <v>250</v>
      </c>
      <c r="S1167" t="s">
        <v>34</v>
      </c>
      <c r="T1167" t="s">
        <v>35</v>
      </c>
      <c r="U1167" t="s">
        <v>44</v>
      </c>
      <c r="W1167">
        <v>250</v>
      </c>
      <c r="X1167">
        <v>0</v>
      </c>
      <c r="Y1167">
        <v>0</v>
      </c>
      <c r="Z1167">
        <v>0</v>
      </c>
    </row>
    <row r="1168" spans="1:26" hidden="1" x14ac:dyDescent="0.25">
      <c r="A1168" t="s">
        <v>2808</v>
      </c>
      <c r="B1168" t="s">
        <v>25</v>
      </c>
      <c r="C1168" s="4">
        <v>44503</v>
      </c>
      <c r="F1168" s="4">
        <v>45231</v>
      </c>
      <c r="G1168" t="s">
        <v>1749</v>
      </c>
      <c r="H1168" t="s">
        <v>1962</v>
      </c>
      <c r="K1168" t="s">
        <v>151</v>
      </c>
      <c r="L1168" t="s">
        <v>2154</v>
      </c>
      <c r="M1168" t="s">
        <v>68</v>
      </c>
      <c r="N1168" t="s">
        <v>2155</v>
      </c>
      <c r="O1168" t="s">
        <v>122</v>
      </c>
      <c r="P1168" t="s">
        <v>2809</v>
      </c>
      <c r="Q1168">
        <v>145</v>
      </c>
      <c r="R1168">
        <v>145</v>
      </c>
      <c r="S1168" t="s">
        <v>34</v>
      </c>
      <c r="T1168" t="s">
        <v>35</v>
      </c>
      <c r="U1168" t="s">
        <v>44</v>
      </c>
      <c r="V1168" s="4">
        <v>46661</v>
      </c>
      <c r="W1168">
        <v>145</v>
      </c>
      <c r="X1168">
        <v>0</v>
      </c>
      <c r="Y1168">
        <v>145</v>
      </c>
      <c r="Z1168">
        <v>0</v>
      </c>
    </row>
    <row r="1169" spans="1:26" hidden="1" x14ac:dyDescent="0.25">
      <c r="A1169" t="s">
        <v>2810</v>
      </c>
      <c r="B1169" t="s">
        <v>38</v>
      </c>
      <c r="C1169" s="4">
        <v>44425</v>
      </c>
      <c r="D1169" s="4">
        <v>44539</v>
      </c>
      <c r="F1169" s="4">
        <v>45748</v>
      </c>
      <c r="G1169" t="s">
        <v>1381</v>
      </c>
      <c r="H1169" t="s">
        <v>2811</v>
      </c>
      <c r="K1169" t="s">
        <v>209</v>
      </c>
      <c r="L1169" t="s">
        <v>2154</v>
      </c>
      <c r="M1169" t="s">
        <v>42</v>
      </c>
      <c r="N1169" t="s">
        <v>2160</v>
      </c>
      <c r="O1169" t="s">
        <v>32</v>
      </c>
      <c r="P1169" t="s">
        <v>2812</v>
      </c>
      <c r="Q1169">
        <v>200</v>
      </c>
      <c r="R1169">
        <v>200</v>
      </c>
      <c r="S1169" t="s">
        <v>34</v>
      </c>
      <c r="T1169" t="s">
        <v>35</v>
      </c>
      <c r="U1169" t="s">
        <v>44</v>
      </c>
      <c r="W1169">
        <v>0</v>
      </c>
      <c r="X1169">
        <v>0</v>
      </c>
      <c r="Y1169">
        <v>0</v>
      </c>
      <c r="Z1169">
        <v>0</v>
      </c>
    </row>
    <row r="1170" spans="1:26" hidden="1" x14ac:dyDescent="0.25">
      <c r="A1170" t="s">
        <v>2813</v>
      </c>
      <c r="B1170" t="s">
        <v>38</v>
      </c>
      <c r="C1170" s="4">
        <v>44503</v>
      </c>
      <c r="D1170" s="4">
        <v>45224</v>
      </c>
      <c r="F1170" s="4">
        <v>45230</v>
      </c>
      <c r="G1170" t="s">
        <v>144</v>
      </c>
      <c r="H1170" t="s">
        <v>1405</v>
      </c>
      <c r="K1170" t="s">
        <v>146</v>
      </c>
      <c r="L1170" t="s">
        <v>2154</v>
      </c>
      <c r="M1170" t="s">
        <v>68</v>
      </c>
      <c r="N1170" t="s">
        <v>2155</v>
      </c>
      <c r="O1170" t="s">
        <v>32</v>
      </c>
      <c r="P1170" t="s">
        <v>2814</v>
      </c>
      <c r="Q1170">
        <v>198</v>
      </c>
      <c r="R1170">
        <v>198</v>
      </c>
      <c r="S1170" t="s">
        <v>34</v>
      </c>
      <c r="T1170" t="s">
        <v>35</v>
      </c>
      <c r="U1170" t="s">
        <v>44</v>
      </c>
      <c r="W1170">
        <v>0</v>
      </c>
      <c r="X1170">
        <v>0</v>
      </c>
      <c r="Y1170">
        <v>0</v>
      </c>
      <c r="Z1170">
        <v>0</v>
      </c>
    </row>
    <row r="1171" spans="1:26" hidden="1" x14ac:dyDescent="0.25">
      <c r="A1171" t="s">
        <v>2815</v>
      </c>
      <c r="B1171" t="s">
        <v>38</v>
      </c>
      <c r="C1171" s="4">
        <v>44421</v>
      </c>
      <c r="D1171" s="4">
        <v>45224</v>
      </c>
      <c r="F1171" s="4">
        <v>45657</v>
      </c>
      <c r="G1171" t="s">
        <v>149</v>
      </c>
      <c r="H1171" t="s">
        <v>1279</v>
      </c>
      <c r="K1171" t="s">
        <v>151</v>
      </c>
      <c r="L1171" t="s">
        <v>2154</v>
      </c>
      <c r="M1171" t="s">
        <v>68</v>
      </c>
      <c r="N1171" t="s">
        <v>2155</v>
      </c>
      <c r="O1171" t="s">
        <v>32</v>
      </c>
      <c r="P1171" t="s">
        <v>2816</v>
      </c>
      <c r="Q1171">
        <v>693</v>
      </c>
      <c r="R1171">
        <v>693</v>
      </c>
      <c r="S1171" t="s">
        <v>34</v>
      </c>
      <c r="T1171" t="s">
        <v>35</v>
      </c>
      <c r="U1171" t="s">
        <v>44</v>
      </c>
      <c r="W1171">
        <v>0</v>
      </c>
      <c r="X1171">
        <v>0</v>
      </c>
      <c r="Y1171">
        <v>0</v>
      </c>
      <c r="Z1171">
        <v>0</v>
      </c>
    </row>
    <row r="1172" spans="1:26" hidden="1" x14ac:dyDescent="0.25">
      <c r="A1172" t="s">
        <v>2817</v>
      </c>
      <c r="B1172" t="s">
        <v>38</v>
      </c>
      <c r="C1172" s="4">
        <v>44425</v>
      </c>
      <c r="D1172" s="4">
        <v>45723</v>
      </c>
      <c r="F1172" s="4">
        <v>45230</v>
      </c>
      <c r="G1172" t="s">
        <v>616</v>
      </c>
      <c r="H1172" t="s">
        <v>1656</v>
      </c>
      <c r="K1172" t="s">
        <v>146</v>
      </c>
      <c r="L1172" t="s">
        <v>2154</v>
      </c>
      <c r="M1172" t="s">
        <v>68</v>
      </c>
      <c r="N1172" t="s">
        <v>2155</v>
      </c>
      <c r="O1172" t="s">
        <v>32</v>
      </c>
      <c r="P1172" t="s">
        <v>2818</v>
      </c>
      <c r="Q1172">
        <v>98.9</v>
      </c>
      <c r="R1172">
        <v>98.9</v>
      </c>
      <c r="S1172" t="s">
        <v>34</v>
      </c>
      <c r="T1172" t="s">
        <v>35</v>
      </c>
      <c r="U1172" t="s">
        <v>44</v>
      </c>
      <c r="W1172">
        <v>99</v>
      </c>
      <c r="X1172">
        <v>99</v>
      </c>
      <c r="Y1172">
        <v>0</v>
      </c>
      <c r="Z1172">
        <v>0</v>
      </c>
    </row>
    <row r="1173" spans="1:26" hidden="1" x14ac:dyDescent="0.25">
      <c r="A1173" t="s">
        <v>2819</v>
      </c>
      <c r="B1173" t="s">
        <v>2232</v>
      </c>
      <c r="C1173" s="4">
        <v>44656</v>
      </c>
      <c r="F1173" s="4">
        <v>45292</v>
      </c>
      <c r="G1173" t="s">
        <v>117</v>
      </c>
      <c r="H1173" t="s">
        <v>1550</v>
      </c>
      <c r="K1173" t="s">
        <v>83</v>
      </c>
      <c r="L1173" t="s">
        <v>2154</v>
      </c>
      <c r="M1173" t="s">
        <v>84</v>
      </c>
      <c r="N1173" t="s">
        <v>2160</v>
      </c>
      <c r="O1173" t="s">
        <v>32</v>
      </c>
      <c r="P1173" t="s">
        <v>2820</v>
      </c>
      <c r="Q1173">
        <v>150</v>
      </c>
      <c r="R1173">
        <v>150</v>
      </c>
      <c r="S1173" t="s">
        <v>159</v>
      </c>
      <c r="T1173" t="s">
        <v>159</v>
      </c>
      <c r="U1173" t="s">
        <v>44</v>
      </c>
      <c r="W1173">
        <v>150</v>
      </c>
      <c r="X1173">
        <v>150</v>
      </c>
      <c r="Y1173">
        <v>150</v>
      </c>
      <c r="Z1173">
        <v>150</v>
      </c>
    </row>
    <row r="1174" spans="1:26" hidden="1" x14ac:dyDescent="0.25">
      <c r="A1174" t="s">
        <v>2821</v>
      </c>
      <c r="B1174" t="s">
        <v>2153</v>
      </c>
      <c r="C1174" s="4">
        <v>44645</v>
      </c>
      <c r="F1174" s="4">
        <v>45413</v>
      </c>
      <c r="G1174" t="s">
        <v>117</v>
      </c>
      <c r="H1174" t="s">
        <v>1813</v>
      </c>
      <c r="K1174" t="s">
        <v>83</v>
      </c>
      <c r="L1174" t="s">
        <v>2154</v>
      </c>
      <c r="M1174" t="s">
        <v>84</v>
      </c>
      <c r="N1174" t="s">
        <v>2160</v>
      </c>
      <c r="O1174" t="s">
        <v>32</v>
      </c>
      <c r="P1174" t="s">
        <v>2822</v>
      </c>
      <c r="Q1174">
        <v>500</v>
      </c>
      <c r="R1174">
        <v>500</v>
      </c>
      <c r="S1174" t="s">
        <v>34</v>
      </c>
      <c r="T1174" t="s">
        <v>945</v>
      </c>
      <c r="U1174" t="s">
        <v>44</v>
      </c>
      <c r="W1174">
        <v>500</v>
      </c>
      <c r="X1174">
        <v>500</v>
      </c>
      <c r="Y1174">
        <v>500</v>
      </c>
      <c r="Z1174">
        <v>500</v>
      </c>
    </row>
    <row r="1175" spans="1:26" hidden="1" x14ac:dyDescent="0.25">
      <c r="A1175" t="s">
        <v>2823</v>
      </c>
      <c r="B1175" t="s">
        <v>38</v>
      </c>
      <c r="C1175" s="4">
        <v>44648</v>
      </c>
      <c r="D1175" s="4">
        <v>46009</v>
      </c>
      <c r="F1175" s="4">
        <v>45991</v>
      </c>
      <c r="G1175" t="s">
        <v>117</v>
      </c>
      <c r="H1175" t="s">
        <v>1827</v>
      </c>
      <c r="K1175" t="s">
        <v>83</v>
      </c>
      <c r="L1175" t="s">
        <v>2154</v>
      </c>
      <c r="M1175" t="s">
        <v>84</v>
      </c>
      <c r="N1175" t="s">
        <v>2160</v>
      </c>
      <c r="O1175" t="s">
        <v>32</v>
      </c>
      <c r="P1175" t="s">
        <v>2824</v>
      </c>
      <c r="Q1175">
        <v>100</v>
      </c>
      <c r="R1175">
        <v>100</v>
      </c>
      <c r="S1175" t="s">
        <v>597</v>
      </c>
      <c r="T1175" t="s">
        <v>598</v>
      </c>
      <c r="U1175" t="s">
        <v>44</v>
      </c>
      <c r="W1175">
        <v>75</v>
      </c>
      <c r="X1175">
        <v>75</v>
      </c>
      <c r="Y1175">
        <v>0</v>
      </c>
      <c r="Z1175">
        <v>0</v>
      </c>
    </row>
    <row r="1176" spans="1:26" hidden="1" x14ac:dyDescent="0.25">
      <c r="A1176" t="s">
        <v>2825</v>
      </c>
      <c r="B1176" t="s">
        <v>25</v>
      </c>
      <c r="C1176" s="4">
        <v>44431</v>
      </c>
      <c r="F1176" s="4">
        <v>45397</v>
      </c>
      <c r="G1176" t="s">
        <v>1753</v>
      </c>
      <c r="H1176" t="s">
        <v>1673</v>
      </c>
      <c r="K1176" t="s">
        <v>114</v>
      </c>
      <c r="L1176" t="s">
        <v>2154</v>
      </c>
      <c r="M1176" t="s">
        <v>68</v>
      </c>
      <c r="N1176" t="s">
        <v>2155</v>
      </c>
      <c r="O1176" t="s">
        <v>32</v>
      </c>
      <c r="P1176" t="s">
        <v>2826</v>
      </c>
      <c r="Q1176">
        <v>396</v>
      </c>
      <c r="R1176">
        <v>396</v>
      </c>
      <c r="S1176" t="s">
        <v>597</v>
      </c>
      <c r="T1176" t="s">
        <v>598</v>
      </c>
      <c r="U1176" t="s">
        <v>44</v>
      </c>
      <c r="V1176" s="4">
        <v>46736</v>
      </c>
      <c r="W1176">
        <v>396</v>
      </c>
      <c r="X1176">
        <v>396</v>
      </c>
      <c r="Y1176">
        <v>396</v>
      </c>
      <c r="Z1176">
        <v>0</v>
      </c>
    </row>
    <row r="1177" spans="1:26" hidden="1" x14ac:dyDescent="0.25">
      <c r="A1177" t="s">
        <v>2827</v>
      </c>
      <c r="B1177" t="s">
        <v>38</v>
      </c>
      <c r="C1177" s="4">
        <v>44430</v>
      </c>
      <c r="D1177" s="4">
        <v>45667</v>
      </c>
      <c r="F1177" s="4">
        <v>45747</v>
      </c>
      <c r="G1177" t="s">
        <v>1311</v>
      </c>
      <c r="H1177" t="s">
        <v>2496</v>
      </c>
      <c r="K1177" t="s">
        <v>114</v>
      </c>
      <c r="L1177" t="s">
        <v>2154</v>
      </c>
      <c r="M1177" t="s">
        <v>68</v>
      </c>
      <c r="N1177" t="s">
        <v>2155</v>
      </c>
      <c r="O1177" t="s">
        <v>32</v>
      </c>
      <c r="P1177" t="s">
        <v>2828</v>
      </c>
      <c r="Q1177">
        <v>390</v>
      </c>
      <c r="R1177">
        <v>390</v>
      </c>
      <c r="S1177" t="s">
        <v>34</v>
      </c>
      <c r="T1177" t="s">
        <v>35</v>
      </c>
      <c r="U1177" t="s">
        <v>44</v>
      </c>
      <c r="W1177">
        <v>0</v>
      </c>
      <c r="X1177">
        <v>0</v>
      </c>
      <c r="Y1177">
        <v>0</v>
      </c>
      <c r="Z1177">
        <v>0</v>
      </c>
    </row>
    <row r="1178" spans="1:26" hidden="1" x14ac:dyDescent="0.25">
      <c r="A1178" t="s">
        <v>2829</v>
      </c>
      <c r="B1178" t="s">
        <v>38</v>
      </c>
      <c r="C1178" s="4">
        <v>44432</v>
      </c>
      <c r="D1178" s="4">
        <v>45224</v>
      </c>
      <c r="F1178" s="4">
        <v>45747</v>
      </c>
      <c r="G1178" t="s">
        <v>144</v>
      </c>
      <c r="H1178" t="s">
        <v>1302</v>
      </c>
      <c r="K1178" t="s">
        <v>114</v>
      </c>
      <c r="L1178" t="s">
        <v>2154</v>
      </c>
      <c r="M1178" t="s">
        <v>68</v>
      </c>
      <c r="N1178" t="s">
        <v>2155</v>
      </c>
      <c r="O1178" t="s">
        <v>32</v>
      </c>
      <c r="P1178" t="s">
        <v>2830</v>
      </c>
      <c r="Q1178">
        <v>350</v>
      </c>
      <c r="R1178">
        <v>350</v>
      </c>
      <c r="S1178" t="s">
        <v>34</v>
      </c>
      <c r="T1178" t="s">
        <v>35</v>
      </c>
      <c r="U1178" t="s">
        <v>44</v>
      </c>
      <c r="W1178">
        <v>0</v>
      </c>
      <c r="X1178">
        <v>0</v>
      </c>
      <c r="Y1178">
        <v>0</v>
      </c>
      <c r="Z1178">
        <v>0</v>
      </c>
    </row>
    <row r="1179" spans="1:26" hidden="1" x14ac:dyDescent="0.25">
      <c r="A1179" t="s">
        <v>2831</v>
      </c>
      <c r="B1179" t="s">
        <v>38</v>
      </c>
      <c r="C1179" s="4">
        <v>44432</v>
      </c>
      <c r="D1179" s="4">
        <v>45224</v>
      </c>
      <c r="F1179" s="4">
        <v>45747</v>
      </c>
      <c r="G1179" t="s">
        <v>144</v>
      </c>
      <c r="H1179" t="s">
        <v>1405</v>
      </c>
      <c r="K1179" t="s">
        <v>146</v>
      </c>
      <c r="L1179" t="s">
        <v>2154</v>
      </c>
      <c r="M1179" t="s">
        <v>68</v>
      </c>
      <c r="N1179" t="s">
        <v>2155</v>
      </c>
      <c r="O1179" t="s">
        <v>32</v>
      </c>
      <c r="P1179" t="s">
        <v>2832</v>
      </c>
      <c r="Q1179">
        <v>680</v>
      </c>
      <c r="R1179">
        <v>680</v>
      </c>
      <c r="S1179" t="s">
        <v>34</v>
      </c>
      <c r="T1179" t="s">
        <v>35</v>
      </c>
      <c r="U1179" t="s">
        <v>44</v>
      </c>
      <c r="W1179">
        <v>0</v>
      </c>
      <c r="X1179">
        <v>0</v>
      </c>
      <c r="Y1179">
        <v>0</v>
      </c>
      <c r="Z1179">
        <v>0</v>
      </c>
    </row>
    <row r="1180" spans="1:26" hidden="1" x14ac:dyDescent="0.25">
      <c r="A1180" t="s">
        <v>2833</v>
      </c>
      <c r="B1180" t="s">
        <v>2153</v>
      </c>
      <c r="C1180" s="4">
        <v>44417</v>
      </c>
      <c r="F1180" s="4">
        <v>45595</v>
      </c>
      <c r="G1180" t="s">
        <v>691</v>
      </c>
      <c r="H1180" t="s">
        <v>1634</v>
      </c>
      <c r="K1180" t="s">
        <v>98</v>
      </c>
      <c r="L1180" t="s">
        <v>2154</v>
      </c>
      <c r="M1180" t="s">
        <v>84</v>
      </c>
      <c r="N1180" t="s">
        <v>2160</v>
      </c>
      <c r="O1180" t="s">
        <v>32</v>
      </c>
      <c r="P1180" t="s">
        <v>2834</v>
      </c>
      <c r="Q1180">
        <v>67</v>
      </c>
      <c r="R1180">
        <v>67</v>
      </c>
      <c r="S1180" t="s">
        <v>34</v>
      </c>
      <c r="T1180" t="s">
        <v>35</v>
      </c>
      <c r="U1180" t="s">
        <v>44</v>
      </c>
      <c r="W1180">
        <v>67</v>
      </c>
      <c r="X1180">
        <v>67</v>
      </c>
      <c r="Y1180">
        <v>67</v>
      </c>
      <c r="Z1180">
        <v>67</v>
      </c>
    </row>
    <row r="1181" spans="1:26" hidden="1" x14ac:dyDescent="0.25">
      <c r="A1181" t="s">
        <v>2835</v>
      </c>
      <c r="B1181" t="s">
        <v>2153</v>
      </c>
      <c r="C1181" s="4">
        <v>44414</v>
      </c>
      <c r="F1181" s="4">
        <v>45595</v>
      </c>
      <c r="G1181" t="s">
        <v>138</v>
      </c>
      <c r="H1181" t="s">
        <v>1805</v>
      </c>
      <c r="K1181" t="s">
        <v>98</v>
      </c>
      <c r="L1181" t="s">
        <v>2154</v>
      </c>
      <c r="M1181" t="s">
        <v>84</v>
      </c>
      <c r="N1181" t="s">
        <v>2160</v>
      </c>
      <c r="O1181" t="s">
        <v>32</v>
      </c>
      <c r="P1181" t="s">
        <v>2836</v>
      </c>
      <c r="Q1181">
        <v>100</v>
      </c>
      <c r="R1181">
        <v>100</v>
      </c>
      <c r="S1181" t="s">
        <v>159</v>
      </c>
      <c r="T1181" t="s">
        <v>159</v>
      </c>
      <c r="U1181" t="s">
        <v>44</v>
      </c>
      <c r="W1181">
        <v>100</v>
      </c>
      <c r="X1181">
        <v>0</v>
      </c>
      <c r="Y1181">
        <v>100</v>
      </c>
      <c r="Z1181">
        <v>0</v>
      </c>
    </row>
    <row r="1182" spans="1:26" hidden="1" x14ac:dyDescent="0.25">
      <c r="A1182" t="s">
        <v>2837</v>
      </c>
      <c r="B1182" t="s">
        <v>2153</v>
      </c>
      <c r="C1182" s="4">
        <v>44414</v>
      </c>
      <c r="F1182" s="4">
        <v>45595</v>
      </c>
      <c r="G1182" t="s">
        <v>1251</v>
      </c>
      <c r="H1182" t="s">
        <v>2013</v>
      </c>
      <c r="K1182" t="s">
        <v>109</v>
      </c>
      <c r="L1182" t="s">
        <v>2154</v>
      </c>
      <c r="M1182" t="s">
        <v>84</v>
      </c>
      <c r="N1182" t="s">
        <v>2160</v>
      </c>
      <c r="O1182" t="s">
        <v>32</v>
      </c>
      <c r="P1182" t="s">
        <v>2838</v>
      </c>
      <c r="Q1182">
        <v>100</v>
      </c>
      <c r="R1182">
        <v>100</v>
      </c>
      <c r="S1182" t="s">
        <v>597</v>
      </c>
      <c r="T1182" t="s">
        <v>35</v>
      </c>
      <c r="U1182" t="s">
        <v>44</v>
      </c>
      <c r="W1182">
        <v>100</v>
      </c>
      <c r="X1182">
        <v>100</v>
      </c>
      <c r="Y1182">
        <v>100</v>
      </c>
      <c r="Z1182">
        <v>100</v>
      </c>
    </row>
    <row r="1183" spans="1:26" hidden="1" x14ac:dyDescent="0.25">
      <c r="A1183" t="s">
        <v>2839</v>
      </c>
      <c r="B1183" t="s">
        <v>25</v>
      </c>
      <c r="C1183" s="4">
        <v>44755</v>
      </c>
      <c r="F1183" s="4">
        <v>45596</v>
      </c>
      <c r="G1183" t="s">
        <v>1108</v>
      </c>
      <c r="H1183" t="s">
        <v>1756</v>
      </c>
      <c r="K1183" t="s">
        <v>146</v>
      </c>
      <c r="L1183" t="s">
        <v>2154</v>
      </c>
      <c r="M1183" t="s">
        <v>68</v>
      </c>
      <c r="N1183" t="s">
        <v>2155</v>
      </c>
      <c r="O1183" t="s">
        <v>32</v>
      </c>
      <c r="P1183" t="s">
        <v>2840</v>
      </c>
      <c r="Q1183">
        <v>250</v>
      </c>
      <c r="R1183">
        <v>250</v>
      </c>
      <c r="S1183" t="s">
        <v>34</v>
      </c>
      <c r="T1183" t="s">
        <v>35</v>
      </c>
      <c r="U1183" t="s">
        <v>44</v>
      </c>
      <c r="V1183" s="4">
        <v>46619</v>
      </c>
      <c r="W1183">
        <v>250</v>
      </c>
      <c r="X1183">
        <v>250</v>
      </c>
      <c r="Y1183">
        <v>250</v>
      </c>
      <c r="Z1183">
        <v>0</v>
      </c>
    </row>
    <row r="1184" spans="1:26" hidden="1" x14ac:dyDescent="0.25">
      <c r="A1184" t="s">
        <v>2841</v>
      </c>
      <c r="B1184" t="s">
        <v>25</v>
      </c>
      <c r="C1184" s="4">
        <v>44755</v>
      </c>
      <c r="F1184" s="4">
        <v>45596</v>
      </c>
      <c r="G1184" t="s">
        <v>1326</v>
      </c>
      <c r="H1184" t="s">
        <v>1327</v>
      </c>
      <c r="K1184" t="s">
        <v>67</v>
      </c>
      <c r="L1184" t="s">
        <v>2154</v>
      </c>
      <c r="M1184" t="s">
        <v>68</v>
      </c>
      <c r="N1184" t="s">
        <v>2155</v>
      </c>
      <c r="O1184" t="s">
        <v>32</v>
      </c>
      <c r="P1184" t="s">
        <v>2575</v>
      </c>
      <c r="Q1184">
        <v>200</v>
      </c>
      <c r="R1184">
        <v>200</v>
      </c>
      <c r="S1184" t="s">
        <v>34</v>
      </c>
      <c r="T1184" t="s">
        <v>35</v>
      </c>
      <c r="U1184" t="s">
        <v>44</v>
      </c>
      <c r="V1184" s="4">
        <v>46598</v>
      </c>
      <c r="W1184">
        <v>200</v>
      </c>
      <c r="X1184">
        <v>200</v>
      </c>
      <c r="Y1184">
        <v>200</v>
      </c>
      <c r="Z1184">
        <v>0</v>
      </c>
    </row>
    <row r="1185" spans="1:26" hidden="1" x14ac:dyDescent="0.25">
      <c r="A1185" t="s">
        <v>2842</v>
      </c>
      <c r="B1185" t="s">
        <v>38</v>
      </c>
      <c r="C1185" s="4">
        <v>44420</v>
      </c>
      <c r="D1185" s="4">
        <v>44456</v>
      </c>
      <c r="F1185" s="4">
        <v>45931</v>
      </c>
      <c r="G1185" t="s">
        <v>1311</v>
      </c>
      <c r="H1185" t="s">
        <v>2843</v>
      </c>
      <c r="K1185" t="s">
        <v>114</v>
      </c>
      <c r="L1185" t="s">
        <v>2154</v>
      </c>
      <c r="M1185" t="s">
        <v>68</v>
      </c>
      <c r="N1185" t="s">
        <v>2155</v>
      </c>
      <c r="O1185" t="s">
        <v>32</v>
      </c>
      <c r="P1185" t="s">
        <v>2844</v>
      </c>
      <c r="Q1185">
        <v>100</v>
      </c>
      <c r="R1185">
        <v>100</v>
      </c>
      <c r="S1185" t="s">
        <v>34</v>
      </c>
      <c r="T1185" t="s">
        <v>35</v>
      </c>
      <c r="W1185">
        <v>0</v>
      </c>
      <c r="X1185">
        <v>0</v>
      </c>
      <c r="Y1185">
        <v>0</v>
      </c>
      <c r="Z1185">
        <v>0</v>
      </c>
    </row>
    <row r="1186" spans="1:26" hidden="1" x14ac:dyDescent="0.25">
      <c r="A1186" t="s">
        <v>2845</v>
      </c>
      <c r="B1186" t="s">
        <v>38</v>
      </c>
      <c r="C1186" s="4">
        <v>44440</v>
      </c>
      <c r="D1186" s="4">
        <v>45224</v>
      </c>
      <c r="F1186" s="4">
        <v>44926</v>
      </c>
      <c r="G1186" t="s">
        <v>144</v>
      </c>
      <c r="H1186" t="s">
        <v>2846</v>
      </c>
      <c r="K1186" t="s">
        <v>146</v>
      </c>
      <c r="L1186" t="s">
        <v>2154</v>
      </c>
      <c r="M1186" t="s">
        <v>68</v>
      </c>
      <c r="N1186" t="s">
        <v>2155</v>
      </c>
      <c r="O1186" t="s">
        <v>1110</v>
      </c>
      <c r="P1186" t="s">
        <v>2847</v>
      </c>
      <c r="Q1186">
        <v>200</v>
      </c>
      <c r="R1186">
        <v>200</v>
      </c>
      <c r="S1186" t="s">
        <v>34</v>
      </c>
      <c r="T1186" t="s">
        <v>35</v>
      </c>
      <c r="U1186" t="s">
        <v>44</v>
      </c>
      <c r="W1186">
        <v>0</v>
      </c>
      <c r="X1186">
        <v>0</v>
      </c>
      <c r="Y1186">
        <v>0</v>
      </c>
      <c r="Z1186">
        <v>0</v>
      </c>
    </row>
    <row r="1187" spans="1:26" hidden="1" x14ac:dyDescent="0.25">
      <c r="A1187" t="s">
        <v>2848</v>
      </c>
      <c r="B1187" t="s">
        <v>38</v>
      </c>
      <c r="C1187" s="4">
        <v>44431</v>
      </c>
      <c r="D1187" s="4">
        <v>45723</v>
      </c>
      <c r="F1187" s="4">
        <v>45397</v>
      </c>
      <c r="G1187" t="s">
        <v>65</v>
      </c>
      <c r="H1187" t="s">
        <v>1421</v>
      </c>
      <c r="K1187" t="s">
        <v>67</v>
      </c>
      <c r="L1187" t="s">
        <v>2154</v>
      </c>
      <c r="M1187" t="s">
        <v>68</v>
      </c>
      <c r="N1187" t="s">
        <v>2155</v>
      </c>
      <c r="O1187" t="s">
        <v>32</v>
      </c>
      <c r="P1187" t="s">
        <v>2849</v>
      </c>
      <c r="Q1187">
        <v>100</v>
      </c>
      <c r="R1187">
        <v>100</v>
      </c>
      <c r="S1187" t="s">
        <v>597</v>
      </c>
      <c r="T1187" t="s">
        <v>598</v>
      </c>
      <c r="U1187" t="s">
        <v>44</v>
      </c>
      <c r="W1187">
        <v>100</v>
      </c>
      <c r="X1187">
        <v>100</v>
      </c>
      <c r="Y1187">
        <v>0</v>
      </c>
      <c r="Z1187">
        <v>0</v>
      </c>
    </row>
    <row r="1188" spans="1:26" hidden="1" x14ac:dyDescent="0.25">
      <c r="A1188" t="s">
        <v>2850</v>
      </c>
      <c r="B1188" t="s">
        <v>2153</v>
      </c>
      <c r="C1188" s="4">
        <v>44734</v>
      </c>
      <c r="F1188" s="4">
        <v>45566</v>
      </c>
      <c r="G1188" t="s">
        <v>1278</v>
      </c>
      <c r="H1188" t="s">
        <v>1493</v>
      </c>
      <c r="K1188" t="s">
        <v>28</v>
      </c>
      <c r="L1188" t="s">
        <v>2154</v>
      </c>
      <c r="M1188" t="s">
        <v>30</v>
      </c>
      <c r="N1188" t="s">
        <v>2155</v>
      </c>
      <c r="O1188" t="s">
        <v>32</v>
      </c>
      <c r="P1188" t="s">
        <v>2690</v>
      </c>
      <c r="Q1188">
        <v>399.04</v>
      </c>
      <c r="R1188">
        <v>399.04</v>
      </c>
      <c r="S1188" t="s">
        <v>34</v>
      </c>
      <c r="T1188" t="s">
        <v>35</v>
      </c>
      <c r="U1188" t="s">
        <v>44</v>
      </c>
      <c r="V1188" s="4">
        <v>46798</v>
      </c>
      <c r="W1188">
        <v>399.03</v>
      </c>
      <c r="X1188">
        <v>399.03</v>
      </c>
      <c r="Y1188">
        <v>399.03</v>
      </c>
      <c r="Z1188">
        <v>195.79</v>
      </c>
    </row>
    <row r="1189" spans="1:26" hidden="1" x14ac:dyDescent="0.25">
      <c r="A1189" t="s">
        <v>2851</v>
      </c>
      <c r="B1189" t="s">
        <v>2153</v>
      </c>
      <c r="C1189" s="4">
        <v>44734</v>
      </c>
      <c r="F1189" s="4">
        <v>45566</v>
      </c>
      <c r="G1189" t="s">
        <v>117</v>
      </c>
      <c r="H1189" t="s">
        <v>2800</v>
      </c>
      <c r="K1189" t="s">
        <v>83</v>
      </c>
      <c r="L1189" t="s">
        <v>2154</v>
      </c>
      <c r="M1189" t="s">
        <v>84</v>
      </c>
      <c r="N1189" t="s">
        <v>2160</v>
      </c>
      <c r="O1189" t="s">
        <v>32</v>
      </c>
      <c r="P1189" t="s">
        <v>2852</v>
      </c>
      <c r="Q1189">
        <v>820.6</v>
      </c>
      <c r="R1189">
        <v>820.6</v>
      </c>
      <c r="S1189" t="s">
        <v>34</v>
      </c>
      <c r="T1189" t="s">
        <v>35</v>
      </c>
      <c r="U1189" t="s">
        <v>44</v>
      </c>
      <c r="W1189">
        <v>820.6</v>
      </c>
      <c r="X1189">
        <v>820.6</v>
      </c>
      <c r="Y1189">
        <v>820.6</v>
      </c>
      <c r="Z1189">
        <v>820.6</v>
      </c>
    </row>
    <row r="1190" spans="1:26" hidden="1" x14ac:dyDescent="0.25">
      <c r="A1190" t="s">
        <v>2853</v>
      </c>
      <c r="B1190" t="s">
        <v>38</v>
      </c>
      <c r="C1190" s="4">
        <v>44648</v>
      </c>
      <c r="D1190" s="4">
        <v>46119</v>
      </c>
      <c r="F1190" s="4">
        <v>45585</v>
      </c>
      <c r="G1190" t="s">
        <v>254</v>
      </c>
      <c r="H1190" t="s">
        <v>1882</v>
      </c>
      <c r="K1190" t="s">
        <v>98</v>
      </c>
      <c r="L1190" t="s">
        <v>2154</v>
      </c>
      <c r="M1190" t="s">
        <v>84</v>
      </c>
      <c r="N1190" t="s">
        <v>2160</v>
      </c>
      <c r="O1190" t="s">
        <v>32</v>
      </c>
      <c r="P1190" t="s">
        <v>2854</v>
      </c>
      <c r="Q1190">
        <v>124</v>
      </c>
      <c r="R1190">
        <v>124</v>
      </c>
      <c r="S1190" t="s">
        <v>34</v>
      </c>
      <c r="T1190" t="s">
        <v>35</v>
      </c>
      <c r="U1190" t="s">
        <v>44</v>
      </c>
      <c r="W1190">
        <v>124</v>
      </c>
      <c r="X1190">
        <v>124</v>
      </c>
      <c r="Y1190">
        <v>124</v>
      </c>
      <c r="Z1190">
        <v>100</v>
      </c>
    </row>
    <row r="1191" spans="1:26" hidden="1" x14ac:dyDescent="0.25">
      <c r="A1191" t="s">
        <v>2855</v>
      </c>
      <c r="B1191" t="s">
        <v>38</v>
      </c>
      <c r="C1191" s="4">
        <v>44531</v>
      </c>
      <c r="D1191" s="4">
        <v>45583</v>
      </c>
      <c r="F1191" s="4">
        <v>45861</v>
      </c>
      <c r="G1191" t="s">
        <v>1278</v>
      </c>
      <c r="H1191" t="s">
        <v>1645</v>
      </c>
      <c r="K1191" t="s">
        <v>28</v>
      </c>
      <c r="L1191" t="s">
        <v>2154</v>
      </c>
      <c r="M1191" t="s">
        <v>30</v>
      </c>
      <c r="N1191" t="s">
        <v>2155</v>
      </c>
      <c r="O1191" t="s">
        <v>32</v>
      </c>
      <c r="P1191" t="s">
        <v>2453</v>
      </c>
      <c r="Q1191">
        <v>99</v>
      </c>
      <c r="R1191">
        <v>99</v>
      </c>
      <c r="S1191" t="s">
        <v>34</v>
      </c>
      <c r="T1191" t="s">
        <v>35</v>
      </c>
      <c r="U1191" t="s">
        <v>44</v>
      </c>
      <c r="W1191">
        <v>99</v>
      </c>
      <c r="X1191">
        <v>99</v>
      </c>
      <c r="Y1191">
        <v>0</v>
      </c>
      <c r="Z1191">
        <v>0</v>
      </c>
    </row>
    <row r="1192" spans="1:26" hidden="1" x14ac:dyDescent="0.25">
      <c r="A1192" t="s">
        <v>2856</v>
      </c>
      <c r="B1192" t="s">
        <v>2153</v>
      </c>
      <c r="C1192" s="4">
        <v>44425</v>
      </c>
      <c r="F1192" s="4">
        <v>43800</v>
      </c>
      <c r="G1192" t="s">
        <v>117</v>
      </c>
      <c r="H1192" t="s">
        <v>1827</v>
      </c>
      <c r="K1192" t="s">
        <v>83</v>
      </c>
      <c r="L1192" t="s">
        <v>2154</v>
      </c>
      <c r="M1192" t="s">
        <v>84</v>
      </c>
      <c r="N1192" t="s">
        <v>2160</v>
      </c>
      <c r="O1192" t="s">
        <v>122</v>
      </c>
      <c r="P1192" t="s">
        <v>2857</v>
      </c>
      <c r="Q1192">
        <v>15.6</v>
      </c>
      <c r="R1192">
        <v>15.6</v>
      </c>
      <c r="S1192" t="s">
        <v>56</v>
      </c>
      <c r="T1192" t="s">
        <v>57</v>
      </c>
      <c r="U1192" t="s">
        <v>44</v>
      </c>
      <c r="W1192">
        <v>15.6</v>
      </c>
      <c r="X1192">
        <v>0</v>
      </c>
      <c r="Y1192">
        <v>15.6</v>
      </c>
      <c r="Z1192">
        <v>0</v>
      </c>
    </row>
    <row r="1193" spans="1:26" hidden="1" x14ac:dyDescent="0.25">
      <c r="A1193" t="s">
        <v>2858</v>
      </c>
      <c r="B1193" t="s">
        <v>25</v>
      </c>
      <c r="C1193" s="4">
        <v>44432</v>
      </c>
      <c r="F1193" s="4">
        <v>45519</v>
      </c>
      <c r="G1193" t="s">
        <v>1326</v>
      </c>
      <c r="H1193" t="s">
        <v>1327</v>
      </c>
      <c r="K1193" t="s">
        <v>67</v>
      </c>
      <c r="L1193" t="s">
        <v>2154</v>
      </c>
      <c r="M1193" t="s">
        <v>68</v>
      </c>
      <c r="N1193" t="s">
        <v>2155</v>
      </c>
      <c r="O1193" t="s">
        <v>32</v>
      </c>
      <c r="P1193" t="s">
        <v>2265</v>
      </c>
      <c r="Q1193">
        <v>500</v>
      </c>
      <c r="R1193">
        <v>500</v>
      </c>
      <c r="S1193" t="s">
        <v>597</v>
      </c>
      <c r="T1193" t="s">
        <v>598</v>
      </c>
      <c r="U1193" t="s">
        <v>44</v>
      </c>
      <c r="V1193" s="4">
        <v>46682</v>
      </c>
      <c r="W1193">
        <v>500</v>
      </c>
      <c r="X1193">
        <v>500</v>
      </c>
      <c r="Y1193">
        <v>500</v>
      </c>
      <c r="Z1193">
        <v>425</v>
      </c>
    </row>
    <row r="1194" spans="1:26" hidden="1" x14ac:dyDescent="0.25">
      <c r="A1194" t="s">
        <v>2859</v>
      </c>
      <c r="B1194" t="s">
        <v>38</v>
      </c>
      <c r="C1194" s="4">
        <v>44497</v>
      </c>
      <c r="D1194" s="4">
        <v>45224</v>
      </c>
      <c r="F1194" s="4">
        <v>46006</v>
      </c>
      <c r="G1194" t="s">
        <v>616</v>
      </c>
      <c r="H1194" t="s">
        <v>2028</v>
      </c>
      <c r="K1194" t="s">
        <v>146</v>
      </c>
      <c r="L1194" t="s">
        <v>2154</v>
      </c>
      <c r="M1194" t="s">
        <v>68</v>
      </c>
      <c r="N1194" t="s">
        <v>2155</v>
      </c>
      <c r="O1194" t="s">
        <v>32</v>
      </c>
      <c r="P1194" t="s">
        <v>987</v>
      </c>
      <c r="Q1194">
        <v>100</v>
      </c>
      <c r="R1194">
        <v>100</v>
      </c>
      <c r="S1194" t="s">
        <v>34</v>
      </c>
      <c r="T1194" t="s">
        <v>35</v>
      </c>
      <c r="U1194" t="s">
        <v>44</v>
      </c>
      <c r="W1194">
        <v>0</v>
      </c>
      <c r="X1194">
        <v>0</v>
      </c>
      <c r="Y1194">
        <v>0</v>
      </c>
      <c r="Z1194">
        <v>0</v>
      </c>
    </row>
    <row r="1195" spans="1:26" hidden="1" x14ac:dyDescent="0.25">
      <c r="A1195" t="s">
        <v>2860</v>
      </c>
      <c r="B1195" t="s">
        <v>38</v>
      </c>
      <c r="C1195" s="4">
        <v>44726</v>
      </c>
      <c r="D1195" s="4">
        <v>46009</v>
      </c>
      <c r="F1195" s="4">
        <v>45505</v>
      </c>
      <c r="G1195" t="s">
        <v>117</v>
      </c>
      <c r="H1195" t="s">
        <v>1611</v>
      </c>
      <c r="K1195" t="s">
        <v>83</v>
      </c>
      <c r="L1195" t="s">
        <v>2154</v>
      </c>
      <c r="M1195" t="s">
        <v>84</v>
      </c>
      <c r="N1195" t="s">
        <v>2160</v>
      </c>
      <c r="O1195" t="s">
        <v>32</v>
      </c>
      <c r="P1195" t="s">
        <v>2861</v>
      </c>
      <c r="Q1195">
        <v>99.9</v>
      </c>
      <c r="R1195">
        <v>99.9</v>
      </c>
      <c r="S1195" t="s">
        <v>56</v>
      </c>
      <c r="T1195" t="s">
        <v>57</v>
      </c>
      <c r="U1195" t="s">
        <v>44</v>
      </c>
      <c r="W1195">
        <v>99.9</v>
      </c>
      <c r="X1195">
        <v>99.9</v>
      </c>
      <c r="Y1195">
        <v>0</v>
      </c>
      <c r="Z1195">
        <v>0</v>
      </c>
    </row>
    <row r="1196" spans="1:26" hidden="1" x14ac:dyDescent="0.25">
      <c r="A1196" t="s">
        <v>2862</v>
      </c>
      <c r="B1196" t="s">
        <v>2153</v>
      </c>
      <c r="C1196" s="4">
        <v>44530</v>
      </c>
      <c r="F1196" s="4">
        <v>45536</v>
      </c>
      <c r="G1196" t="s">
        <v>1278</v>
      </c>
      <c r="H1196" t="s">
        <v>1556</v>
      </c>
      <c r="K1196" t="s">
        <v>28</v>
      </c>
      <c r="L1196" t="s">
        <v>2154</v>
      </c>
      <c r="M1196" t="s">
        <v>30</v>
      </c>
      <c r="N1196" t="s">
        <v>2155</v>
      </c>
      <c r="O1196" t="s">
        <v>32</v>
      </c>
      <c r="P1196" t="s">
        <v>2863</v>
      </c>
      <c r="Q1196">
        <v>100</v>
      </c>
      <c r="R1196">
        <v>100</v>
      </c>
      <c r="S1196" t="s">
        <v>597</v>
      </c>
      <c r="T1196" t="s">
        <v>598</v>
      </c>
      <c r="U1196" t="s">
        <v>44</v>
      </c>
      <c r="V1196" s="4">
        <v>46631</v>
      </c>
      <c r="W1196">
        <v>100</v>
      </c>
      <c r="X1196">
        <v>100</v>
      </c>
      <c r="Y1196">
        <v>100</v>
      </c>
      <c r="Z1196">
        <v>100</v>
      </c>
    </row>
    <row r="1197" spans="1:26" hidden="1" x14ac:dyDescent="0.25">
      <c r="A1197" t="s">
        <v>2864</v>
      </c>
      <c r="B1197" t="s">
        <v>38</v>
      </c>
      <c r="C1197" s="4">
        <v>44424</v>
      </c>
      <c r="D1197" s="4">
        <v>44538</v>
      </c>
      <c r="F1197" s="4">
        <v>45383</v>
      </c>
      <c r="G1197" t="s">
        <v>101</v>
      </c>
      <c r="H1197" t="s">
        <v>1805</v>
      </c>
      <c r="K1197" t="s">
        <v>98</v>
      </c>
      <c r="L1197" t="s">
        <v>2154</v>
      </c>
      <c r="M1197" t="s">
        <v>84</v>
      </c>
      <c r="N1197" t="s">
        <v>2160</v>
      </c>
      <c r="O1197" t="s">
        <v>32</v>
      </c>
      <c r="P1197" t="s">
        <v>2865</v>
      </c>
      <c r="Q1197">
        <v>350</v>
      </c>
      <c r="R1197">
        <v>350</v>
      </c>
      <c r="S1197" t="s">
        <v>34</v>
      </c>
      <c r="T1197" t="s">
        <v>35</v>
      </c>
      <c r="W1197">
        <v>0</v>
      </c>
      <c r="X1197">
        <v>0</v>
      </c>
      <c r="Y1197">
        <v>0</v>
      </c>
      <c r="Z1197">
        <v>0</v>
      </c>
    </row>
    <row r="1198" spans="1:26" hidden="1" x14ac:dyDescent="0.25">
      <c r="A1198" t="s">
        <v>2866</v>
      </c>
      <c r="B1198" t="s">
        <v>2153</v>
      </c>
      <c r="C1198" s="4">
        <v>45667</v>
      </c>
      <c r="F1198" s="4">
        <v>45572</v>
      </c>
      <c r="G1198" t="s">
        <v>117</v>
      </c>
      <c r="H1198" t="s">
        <v>1637</v>
      </c>
      <c r="K1198" t="s">
        <v>83</v>
      </c>
      <c r="L1198" t="s">
        <v>2154</v>
      </c>
      <c r="M1198" t="s">
        <v>84</v>
      </c>
      <c r="N1198" t="s">
        <v>2160</v>
      </c>
      <c r="O1198" t="s">
        <v>32</v>
      </c>
      <c r="P1198" t="s">
        <v>2867</v>
      </c>
      <c r="Q1198">
        <v>100</v>
      </c>
      <c r="R1198">
        <v>100</v>
      </c>
      <c r="S1198" t="s">
        <v>159</v>
      </c>
      <c r="T1198" t="s">
        <v>159</v>
      </c>
      <c r="U1198" t="s">
        <v>44</v>
      </c>
      <c r="W1198">
        <v>100</v>
      </c>
      <c r="X1198">
        <v>100</v>
      </c>
      <c r="Y1198">
        <v>100</v>
      </c>
      <c r="Z1198">
        <v>100</v>
      </c>
    </row>
    <row r="1199" spans="1:26" hidden="1" x14ac:dyDescent="0.25">
      <c r="A1199" t="s">
        <v>2868</v>
      </c>
      <c r="B1199" t="s">
        <v>38</v>
      </c>
      <c r="C1199" s="4">
        <v>44425</v>
      </c>
      <c r="D1199" s="4">
        <v>46009</v>
      </c>
      <c r="F1199" s="4">
        <v>46873</v>
      </c>
      <c r="G1199" t="s">
        <v>117</v>
      </c>
      <c r="H1199" t="s">
        <v>2013</v>
      </c>
      <c r="K1199" t="s">
        <v>83</v>
      </c>
      <c r="L1199" t="s">
        <v>2154</v>
      </c>
      <c r="M1199" t="s">
        <v>84</v>
      </c>
      <c r="N1199" t="s">
        <v>2160</v>
      </c>
      <c r="O1199" t="s">
        <v>32</v>
      </c>
      <c r="P1199" t="s">
        <v>2869</v>
      </c>
      <c r="Q1199">
        <v>100</v>
      </c>
      <c r="R1199">
        <v>100</v>
      </c>
      <c r="S1199" t="s">
        <v>597</v>
      </c>
      <c r="T1199" t="s">
        <v>1077</v>
      </c>
      <c r="U1199" t="s">
        <v>44</v>
      </c>
      <c r="W1199">
        <v>100</v>
      </c>
      <c r="X1199">
        <v>100</v>
      </c>
      <c r="Y1199">
        <v>0</v>
      </c>
      <c r="Z1199">
        <v>0</v>
      </c>
    </row>
    <row r="1200" spans="1:26" hidden="1" x14ac:dyDescent="0.25">
      <c r="A1200" t="s">
        <v>2870</v>
      </c>
      <c r="B1200" t="s">
        <v>2153</v>
      </c>
      <c r="C1200" s="4">
        <v>45667</v>
      </c>
      <c r="F1200" s="4">
        <v>45572</v>
      </c>
      <c r="G1200" t="s">
        <v>117</v>
      </c>
      <c r="H1200" t="s">
        <v>1542</v>
      </c>
      <c r="K1200" t="s">
        <v>83</v>
      </c>
      <c r="L1200" t="s">
        <v>2154</v>
      </c>
      <c r="M1200" t="s">
        <v>84</v>
      </c>
      <c r="N1200" t="s">
        <v>2160</v>
      </c>
      <c r="O1200" t="s">
        <v>32</v>
      </c>
      <c r="P1200" t="s">
        <v>2871</v>
      </c>
      <c r="Q1200">
        <v>100</v>
      </c>
      <c r="R1200">
        <v>100</v>
      </c>
      <c r="S1200" t="s">
        <v>159</v>
      </c>
      <c r="T1200" t="s">
        <v>159</v>
      </c>
      <c r="U1200" t="s">
        <v>44</v>
      </c>
      <c r="W1200">
        <v>100</v>
      </c>
      <c r="X1200">
        <v>100</v>
      </c>
      <c r="Y1200">
        <v>100</v>
      </c>
      <c r="Z1200">
        <v>100</v>
      </c>
    </row>
    <row r="1201" spans="1:26" hidden="1" x14ac:dyDescent="0.25">
      <c r="A1201" t="s">
        <v>2872</v>
      </c>
      <c r="B1201" t="s">
        <v>38</v>
      </c>
      <c r="C1201" s="4">
        <v>44645</v>
      </c>
      <c r="D1201" s="4">
        <v>46009</v>
      </c>
      <c r="F1201" s="4">
        <v>45565</v>
      </c>
      <c r="G1201" t="s">
        <v>1251</v>
      </c>
      <c r="H1201" t="s">
        <v>1279</v>
      </c>
      <c r="K1201" t="s">
        <v>109</v>
      </c>
      <c r="L1201" t="s">
        <v>2154</v>
      </c>
      <c r="M1201" t="s">
        <v>84</v>
      </c>
      <c r="N1201" t="s">
        <v>2160</v>
      </c>
      <c r="O1201" t="s">
        <v>32</v>
      </c>
      <c r="P1201" t="s">
        <v>2873</v>
      </c>
      <c r="Q1201">
        <v>250</v>
      </c>
      <c r="R1201">
        <v>250</v>
      </c>
      <c r="S1201" t="s">
        <v>159</v>
      </c>
      <c r="T1201" t="s">
        <v>159</v>
      </c>
      <c r="U1201" t="s">
        <v>44</v>
      </c>
      <c r="W1201">
        <v>250</v>
      </c>
      <c r="X1201">
        <v>250</v>
      </c>
      <c r="Y1201">
        <v>0</v>
      </c>
      <c r="Z1201">
        <v>0</v>
      </c>
    </row>
    <row r="1202" spans="1:26" hidden="1" x14ac:dyDescent="0.25">
      <c r="A1202" t="s">
        <v>2874</v>
      </c>
      <c r="B1202" t="s">
        <v>38</v>
      </c>
      <c r="C1202" s="4">
        <v>44421</v>
      </c>
      <c r="D1202" s="4">
        <v>45957</v>
      </c>
      <c r="F1202" s="4">
        <v>45565</v>
      </c>
      <c r="G1202" t="s">
        <v>39</v>
      </c>
      <c r="H1202" t="s">
        <v>2875</v>
      </c>
      <c r="K1202" t="s">
        <v>41</v>
      </c>
      <c r="L1202" t="s">
        <v>2154</v>
      </c>
      <c r="M1202" t="s">
        <v>42</v>
      </c>
      <c r="N1202" t="s">
        <v>2160</v>
      </c>
      <c r="O1202" t="s">
        <v>32</v>
      </c>
      <c r="P1202" t="s">
        <v>2876</v>
      </c>
      <c r="Q1202">
        <v>200</v>
      </c>
      <c r="R1202">
        <v>200</v>
      </c>
      <c r="S1202" t="s">
        <v>159</v>
      </c>
      <c r="T1202" t="s">
        <v>159</v>
      </c>
      <c r="U1202" t="s">
        <v>44</v>
      </c>
      <c r="W1202">
        <v>200</v>
      </c>
      <c r="X1202">
        <v>200</v>
      </c>
      <c r="Y1202">
        <v>0</v>
      </c>
      <c r="Z1202">
        <v>0</v>
      </c>
    </row>
    <row r="1203" spans="1:26" hidden="1" x14ac:dyDescent="0.25">
      <c r="A1203" t="s">
        <v>2877</v>
      </c>
      <c r="B1203" t="s">
        <v>38</v>
      </c>
      <c r="C1203" s="4">
        <v>44421</v>
      </c>
      <c r="D1203" s="4">
        <v>44530</v>
      </c>
      <c r="F1203" s="4">
        <v>45565</v>
      </c>
      <c r="G1203" t="s">
        <v>39</v>
      </c>
      <c r="H1203" t="s">
        <v>2878</v>
      </c>
      <c r="K1203" t="s">
        <v>41</v>
      </c>
      <c r="L1203" t="s">
        <v>2154</v>
      </c>
      <c r="M1203" t="s">
        <v>42</v>
      </c>
      <c r="N1203" t="s">
        <v>2160</v>
      </c>
      <c r="O1203" t="s">
        <v>32</v>
      </c>
      <c r="P1203" t="s">
        <v>2879</v>
      </c>
      <c r="Q1203">
        <v>200</v>
      </c>
      <c r="R1203">
        <v>200</v>
      </c>
      <c r="S1203" t="s">
        <v>159</v>
      </c>
      <c r="T1203" t="s">
        <v>159</v>
      </c>
      <c r="W1203">
        <v>0</v>
      </c>
      <c r="X1203">
        <v>0</v>
      </c>
      <c r="Y1203">
        <v>0</v>
      </c>
      <c r="Z1203">
        <v>0</v>
      </c>
    </row>
    <row r="1204" spans="1:26" hidden="1" x14ac:dyDescent="0.25">
      <c r="A1204" t="s">
        <v>2880</v>
      </c>
      <c r="B1204" t="s">
        <v>38</v>
      </c>
      <c r="C1204" s="4">
        <v>44537</v>
      </c>
      <c r="D1204" s="4">
        <v>46009</v>
      </c>
      <c r="F1204" s="4">
        <v>45625</v>
      </c>
      <c r="G1204" t="s">
        <v>101</v>
      </c>
      <c r="H1204" t="s">
        <v>2881</v>
      </c>
      <c r="K1204" t="s">
        <v>98</v>
      </c>
      <c r="L1204" t="s">
        <v>2154</v>
      </c>
      <c r="M1204" t="s">
        <v>84</v>
      </c>
      <c r="N1204" t="s">
        <v>2160</v>
      </c>
      <c r="O1204" t="s">
        <v>32</v>
      </c>
      <c r="P1204" t="s">
        <v>2882</v>
      </c>
      <c r="Q1204">
        <v>200</v>
      </c>
      <c r="R1204">
        <v>200</v>
      </c>
      <c r="S1204" t="s">
        <v>597</v>
      </c>
      <c r="T1204" t="s">
        <v>598</v>
      </c>
      <c r="U1204" t="s">
        <v>44</v>
      </c>
      <c r="W1204">
        <v>200</v>
      </c>
      <c r="X1204">
        <v>125</v>
      </c>
      <c r="Y1204">
        <v>0</v>
      </c>
      <c r="Z1204">
        <v>0</v>
      </c>
    </row>
    <row r="1205" spans="1:26" hidden="1" x14ac:dyDescent="0.25">
      <c r="A1205" t="s">
        <v>2883</v>
      </c>
      <c r="B1205" t="s">
        <v>38</v>
      </c>
      <c r="C1205" s="4">
        <v>44425</v>
      </c>
      <c r="D1205" s="4">
        <v>45224</v>
      </c>
      <c r="F1205" s="4">
        <v>44897</v>
      </c>
      <c r="G1205" t="s">
        <v>144</v>
      </c>
      <c r="H1205" t="s">
        <v>1744</v>
      </c>
      <c r="K1205" t="s">
        <v>146</v>
      </c>
      <c r="L1205" t="s">
        <v>2154</v>
      </c>
      <c r="M1205" t="s">
        <v>68</v>
      </c>
      <c r="N1205" t="s">
        <v>2155</v>
      </c>
      <c r="O1205" t="s">
        <v>32</v>
      </c>
      <c r="P1205" t="s">
        <v>2884</v>
      </c>
      <c r="Q1205">
        <v>100</v>
      </c>
      <c r="R1205">
        <v>100</v>
      </c>
      <c r="S1205" t="s">
        <v>159</v>
      </c>
      <c r="T1205" t="s">
        <v>159</v>
      </c>
      <c r="U1205" t="s">
        <v>44</v>
      </c>
      <c r="W1205">
        <v>0</v>
      </c>
      <c r="X1205">
        <v>0</v>
      </c>
      <c r="Y1205">
        <v>0</v>
      </c>
      <c r="Z1205">
        <v>0</v>
      </c>
    </row>
    <row r="1206" spans="1:26" hidden="1" x14ac:dyDescent="0.25">
      <c r="A1206" t="s">
        <v>2885</v>
      </c>
      <c r="B1206" t="s">
        <v>2153</v>
      </c>
      <c r="C1206" s="4">
        <v>44645</v>
      </c>
      <c r="F1206" s="4">
        <v>45565</v>
      </c>
      <c r="G1206" t="s">
        <v>117</v>
      </c>
      <c r="H1206" t="s">
        <v>1382</v>
      </c>
      <c r="K1206" t="s">
        <v>83</v>
      </c>
      <c r="L1206" t="s">
        <v>2154</v>
      </c>
      <c r="M1206" t="s">
        <v>84</v>
      </c>
      <c r="N1206" t="s">
        <v>2160</v>
      </c>
      <c r="O1206" t="s">
        <v>32</v>
      </c>
      <c r="P1206" t="s">
        <v>2886</v>
      </c>
      <c r="Q1206">
        <v>150</v>
      </c>
      <c r="R1206">
        <v>150</v>
      </c>
      <c r="S1206" t="s">
        <v>159</v>
      </c>
      <c r="T1206" t="s">
        <v>159</v>
      </c>
      <c r="U1206" t="s">
        <v>44</v>
      </c>
      <c r="V1206" s="4">
        <v>46966</v>
      </c>
      <c r="W1206">
        <v>150</v>
      </c>
      <c r="X1206">
        <v>150</v>
      </c>
      <c r="Y1206">
        <v>150</v>
      </c>
      <c r="Z1206">
        <v>150</v>
      </c>
    </row>
    <row r="1207" spans="1:26" hidden="1" x14ac:dyDescent="0.25">
      <c r="A1207" t="s">
        <v>2887</v>
      </c>
      <c r="B1207" t="s">
        <v>38</v>
      </c>
      <c r="C1207" s="4">
        <v>44498</v>
      </c>
      <c r="D1207" s="4">
        <v>44538</v>
      </c>
      <c r="F1207" s="4">
        <v>45565</v>
      </c>
      <c r="G1207" t="s">
        <v>117</v>
      </c>
      <c r="H1207" t="s">
        <v>1333</v>
      </c>
      <c r="K1207" t="s">
        <v>83</v>
      </c>
      <c r="L1207" t="s">
        <v>2154</v>
      </c>
      <c r="M1207" t="s">
        <v>84</v>
      </c>
      <c r="N1207" t="s">
        <v>2160</v>
      </c>
      <c r="O1207" t="s">
        <v>32</v>
      </c>
      <c r="P1207" t="s">
        <v>2888</v>
      </c>
      <c r="Q1207">
        <v>200</v>
      </c>
      <c r="R1207">
        <v>200</v>
      </c>
      <c r="S1207" t="s">
        <v>159</v>
      </c>
      <c r="T1207" t="s">
        <v>159</v>
      </c>
      <c r="W1207">
        <v>0</v>
      </c>
      <c r="X1207">
        <v>0</v>
      </c>
      <c r="Y1207">
        <v>0</v>
      </c>
      <c r="Z1207">
        <v>0</v>
      </c>
    </row>
    <row r="1208" spans="1:26" hidden="1" x14ac:dyDescent="0.25">
      <c r="A1208" t="s">
        <v>2889</v>
      </c>
      <c r="B1208" t="s">
        <v>2153</v>
      </c>
      <c r="C1208" s="4">
        <v>44420</v>
      </c>
      <c r="F1208" s="4">
        <v>45536</v>
      </c>
      <c r="G1208" t="s">
        <v>1251</v>
      </c>
      <c r="H1208" t="s">
        <v>2135</v>
      </c>
      <c r="K1208" t="s">
        <v>109</v>
      </c>
      <c r="L1208" t="s">
        <v>2154</v>
      </c>
      <c r="M1208" t="s">
        <v>84</v>
      </c>
      <c r="N1208" t="s">
        <v>2160</v>
      </c>
      <c r="O1208" t="s">
        <v>32</v>
      </c>
      <c r="P1208" t="s">
        <v>2890</v>
      </c>
      <c r="Q1208">
        <v>300</v>
      </c>
      <c r="R1208">
        <v>300</v>
      </c>
      <c r="S1208" t="s">
        <v>597</v>
      </c>
      <c r="T1208" t="s">
        <v>598</v>
      </c>
      <c r="U1208" t="s">
        <v>44</v>
      </c>
      <c r="W1208">
        <v>300</v>
      </c>
      <c r="X1208">
        <v>300</v>
      </c>
      <c r="Y1208">
        <v>300</v>
      </c>
      <c r="Z1208">
        <v>300</v>
      </c>
    </row>
    <row r="1209" spans="1:26" hidden="1" x14ac:dyDescent="0.25">
      <c r="A1209" t="s">
        <v>2891</v>
      </c>
      <c r="B1209" t="s">
        <v>38</v>
      </c>
      <c r="C1209" s="4">
        <v>44427</v>
      </c>
      <c r="D1209" s="4">
        <v>45020</v>
      </c>
      <c r="F1209" s="4">
        <v>45748</v>
      </c>
      <c r="G1209" t="s">
        <v>101</v>
      </c>
      <c r="H1209" t="s">
        <v>1583</v>
      </c>
      <c r="K1209" t="s">
        <v>98</v>
      </c>
      <c r="L1209" t="s">
        <v>2154</v>
      </c>
      <c r="M1209" t="s">
        <v>84</v>
      </c>
      <c r="N1209" t="s">
        <v>2160</v>
      </c>
      <c r="O1209" t="s">
        <v>32</v>
      </c>
      <c r="P1209" t="s">
        <v>2892</v>
      </c>
      <c r="Q1209">
        <v>100</v>
      </c>
      <c r="R1209">
        <v>100</v>
      </c>
      <c r="S1209" t="s">
        <v>34</v>
      </c>
      <c r="T1209" t="s">
        <v>35</v>
      </c>
      <c r="W1209">
        <v>0</v>
      </c>
      <c r="X1209">
        <v>0</v>
      </c>
      <c r="Y1209">
        <v>0</v>
      </c>
      <c r="Z1209">
        <v>0</v>
      </c>
    </row>
    <row r="1210" spans="1:26" hidden="1" x14ac:dyDescent="0.25">
      <c r="A1210" t="s">
        <v>2893</v>
      </c>
      <c r="B1210" t="s">
        <v>38</v>
      </c>
      <c r="C1210" s="4">
        <v>44425</v>
      </c>
      <c r="D1210" s="4">
        <v>44538</v>
      </c>
      <c r="F1210" s="4">
        <v>45748</v>
      </c>
      <c r="G1210" t="s">
        <v>681</v>
      </c>
      <c r="H1210" t="s">
        <v>1578</v>
      </c>
      <c r="K1210" t="s">
        <v>683</v>
      </c>
      <c r="L1210" t="s">
        <v>2154</v>
      </c>
      <c r="M1210" t="s">
        <v>84</v>
      </c>
      <c r="N1210" t="s">
        <v>2160</v>
      </c>
      <c r="O1210" t="s">
        <v>32</v>
      </c>
      <c r="P1210" t="s">
        <v>2263</v>
      </c>
      <c r="Q1210">
        <v>300</v>
      </c>
      <c r="R1210">
        <v>300</v>
      </c>
      <c r="S1210" t="s">
        <v>34</v>
      </c>
      <c r="T1210" t="s">
        <v>35</v>
      </c>
      <c r="W1210">
        <v>0</v>
      </c>
      <c r="X1210">
        <v>0</v>
      </c>
      <c r="Y1210">
        <v>0</v>
      </c>
      <c r="Z1210">
        <v>0</v>
      </c>
    </row>
    <row r="1211" spans="1:26" hidden="1" x14ac:dyDescent="0.25">
      <c r="A1211" t="s">
        <v>2894</v>
      </c>
      <c r="B1211" t="s">
        <v>38</v>
      </c>
      <c r="C1211" s="4">
        <v>44435</v>
      </c>
      <c r="D1211" s="4">
        <v>46065</v>
      </c>
      <c r="F1211" s="4">
        <v>45569</v>
      </c>
      <c r="G1211" t="s">
        <v>616</v>
      </c>
      <c r="H1211" t="s">
        <v>2895</v>
      </c>
      <c r="K1211" t="s">
        <v>146</v>
      </c>
      <c r="L1211" t="s">
        <v>2154</v>
      </c>
      <c r="M1211" t="s">
        <v>68</v>
      </c>
      <c r="N1211" t="s">
        <v>2155</v>
      </c>
      <c r="O1211" t="s">
        <v>32</v>
      </c>
      <c r="P1211" t="s">
        <v>2896</v>
      </c>
      <c r="Q1211">
        <v>99</v>
      </c>
      <c r="R1211">
        <v>99</v>
      </c>
      <c r="S1211" t="s">
        <v>34</v>
      </c>
      <c r="T1211" t="s">
        <v>35</v>
      </c>
      <c r="U1211" t="s">
        <v>44</v>
      </c>
      <c r="W1211">
        <v>99</v>
      </c>
      <c r="X1211">
        <v>99</v>
      </c>
      <c r="Y1211">
        <v>99</v>
      </c>
      <c r="Z1211">
        <v>0</v>
      </c>
    </row>
    <row r="1212" spans="1:26" hidden="1" x14ac:dyDescent="0.25">
      <c r="A1212" t="s">
        <v>2897</v>
      </c>
      <c r="B1212" t="s">
        <v>38</v>
      </c>
      <c r="C1212" s="4">
        <v>44553</v>
      </c>
      <c r="D1212" s="4">
        <v>46009</v>
      </c>
      <c r="F1212" s="4">
        <v>45916</v>
      </c>
      <c r="G1212" t="s">
        <v>1251</v>
      </c>
      <c r="H1212" t="s">
        <v>2878</v>
      </c>
      <c r="K1212" t="s">
        <v>109</v>
      </c>
      <c r="L1212" t="s">
        <v>2154</v>
      </c>
      <c r="M1212" t="s">
        <v>84</v>
      </c>
      <c r="N1212" t="s">
        <v>2160</v>
      </c>
      <c r="O1212" t="s">
        <v>32</v>
      </c>
      <c r="P1212" t="s">
        <v>2898</v>
      </c>
      <c r="Q1212">
        <v>100</v>
      </c>
      <c r="R1212">
        <v>100</v>
      </c>
      <c r="S1212" t="s">
        <v>34</v>
      </c>
      <c r="T1212" t="s">
        <v>35</v>
      </c>
      <c r="U1212" t="s">
        <v>44</v>
      </c>
      <c r="W1212">
        <v>100</v>
      </c>
      <c r="X1212">
        <v>100</v>
      </c>
      <c r="Y1212">
        <v>0</v>
      </c>
      <c r="Z1212">
        <v>0</v>
      </c>
    </row>
    <row r="1213" spans="1:26" hidden="1" x14ac:dyDescent="0.25">
      <c r="A1213" t="s">
        <v>2899</v>
      </c>
      <c r="B1213" t="s">
        <v>38</v>
      </c>
      <c r="C1213" s="4">
        <v>44434</v>
      </c>
      <c r="D1213" s="4">
        <v>45224</v>
      </c>
      <c r="F1213" s="4">
        <v>45931</v>
      </c>
      <c r="G1213" t="s">
        <v>144</v>
      </c>
      <c r="H1213" t="s">
        <v>1522</v>
      </c>
      <c r="K1213" t="s">
        <v>146</v>
      </c>
      <c r="L1213" t="s">
        <v>2154</v>
      </c>
      <c r="M1213" t="s">
        <v>68</v>
      </c>
      <c r="N1213" t="s">
        <v>2155</v>
      </c>
      <c r="O1213" t="s">
        <v>32</v>
      </c>
      <c r="P1213" t="s">
        <v>2900</v>
      </c>
      <c r="Q1213">
        <v>100</v>
      </c>
      <c r="R1213">
        <v>100</v>
      </c>
      <c r="S1213" t="s">
        <v>159</v>
      </c>
      <c r="T1213" t="s">
        <v>159</v>
      </c>
      <c r="U1213" t="s">
        <v>44</v>
      </c>
      <c r="W1213">
        <v>0</v>
      </c>
      <c r="X1213">
        <v>0</v>
      </c>
      <c r="Y1213">
        <v>0</v>
      </c>
      <c r="Z1213">
        <v>0</v>
      </c>
    </row>
    <row r="1214" spans="1:26" hidden="1" x14ac:dyDescent="0.25">
      <c r="A1214" t="s">
        <v>2901</v>
      </c>
      <c r="B1214" t="s">
        <v>38</v>
      </c>
      <c r="C1214" s="4">
        <v>45562</v>
      </c>
      <c r="D1214" s="4">
        <v>45974</v>
      </c>
      <c r="F1214" s="4">
        <v>45565</v>
      </c>
      <c r="G1214" t="s">
        <v>1278</v>
      </c>
      <c r="H1214" t="s">
        <v>2444</v>
      </c>
      <c r="K1214" t="s">
        <v>28</v>
      </c>
      <c r="L1214" t="s">
        <v>2154</v>
      </c>
      <c r="M1214" t="s">
        <v>30</v>
      </c>
      <c r="N1214" t="s">
        <v>2155</v>
      </c>
      <c r="O1214" t="s">
        <v>32</v>
      </c>
      <c r="P1214" t="s">
        <v>2902</v>
      </c>
      <c r="Q1214">
        <v>200</v>
      </c>
      <c r="R1214">
        <v>200</v>
      </c>
      <c r="S1214" t="s">
        <v>159</v>
      </c>
      <c r="T1214" t="s">
        <v>159</v>
      </c>
      <c r="U1214" t="s">
        <v>44</v>
      </c>
      <c r="W1214">
        <v>200</v>
      </c>
      <c r="X1214">
        <v>200</v>
      </c>
      <c r="Y1214">
        <v>200</v>
      </c>
      <c r="Z1214">
        <v>200</v>
      </c>
    </row>
    <row r="1215" spans="1:26" hidden="1" x14ac:dyDescent="0.25">
      <c r="A1215" t="s">
        <v>2903</v>
      </c>
      <c r="B1215" t="s">
        <v>38</v>
      </c>
      <c r="C1215" s="4">
        <v>44648</v>
      </c>
      <c r="D1215" s="4">
        <v>46009</v>
      </c>
      <c r="F1215" s="4">
        <v>45930</v>
      </c>
      <c r="G1215" t="s">
        <v>101</v>
      </c>
      <c r="H1215" t="s">
        <v>1279</v>
      </c>
      <c r="K1215" t="s">
        <v>98</v>
      </c>
      <c r="L1215" t="s">
        <v>2154</v>
      </c>
      <c r="M1215" t="s">
        <v>84</v>
      </c>
      <c r="N1215" t="s">
        <v>2160</v>
      </c>
      <c r="O1215" t="s">
        <v>32</v>
      </c>
      <c r="P1215" t="s">
        <v>2904</v>
      </c>
      <c r="Q1215">
        <v>150</v>
      </c>
      <c r="R1215">
        <v>150</v>
      </c>
      <c r="S1215" t="s">
        <v>34</v>
      </c>
      <c r="T1215" t="s">
        <v>35</v>
      </c>
      <c r="U1215" t="s">
        <v>44</v>
      </c>
      <c r="W1215">
        <v>150</v>
      </c>
      <c r="X1215">
        <v>150</v>
      </c>
      <c r="Y1215">
        <v>0</v>
      </c>
      <c r="Z1215">
        <v>0</v>
      </c>
    </row>
    <row r="1216" spans="1:26" hidden="1" x14ac:dyDescent="0.25">
      <c r="A1216" t="s">
        <v>2905</v>
      </c>
      <c r="B1216" t="s">
        <v>2153</v>
      </c>
      <c r="C1216" s="4">
        <v>44645</v>
      </c>
      <c r="F1216" s="4">
        <v>47026</v>
      </c>
      <c r="G1216" t="s">
        <v>1690</v>
      </c>
      <c r="H1216" t="s">
        <v>1500</v>
      </c>
      <c r="K1216" t="s">
        <v>98</v>
      </c>
      <c r="L1216" t="s">
        <v>2154</v>
      </c>
      <c r="M1216" t="s">
        <v>84</v>
      </c>
      <c r="N1216" t="s">
        <v>2160</v>
      </c>
      <c r="O1216" t="s">
        <v>32</v>
      </c>
      <c r="P1216" t="s">
        <v>2906</v>
      </c>
      <c r="Q1216">
        <v>200</v>
      </c>
      <c r="R1216">
        <v>200</v>
      </c>
      <c r="S1216" t="s">
        <v>159</v>
      </c>
      <c r="T1216" t="s">
        <v>159</v>
      </c>
      <c r="U1216" t="s">
        <v>44</v>
      </c>
      <c r="W1216">
        <v>200</v>
      </c>
      <c r="X1216">
        <v>200</v>
      </c>
      <c r="Y1216">
        <v>200</v>
      </c>
      <c r="Z1216">
        <v>200</v>
      </c>
    </row>
    <row r="1217" spans="1:26" hidden="1" x14ac:dyDescent="0.25">
      <c r="A1217" t="s">
        <v>2907</v>
      </c>
      <c r="B1217" t="s">
        <v>38</v>
      </c>
      <c r="C1217" s="4">
        <v>44551</v>
      </c>
      <c r="D1217" s="4">
        <v>45723</v>
      </c>
      <c r="F1217" s="4">
        <v>45595</v>
      </c>
      <c r="G1217" t="s">
        <v>616</v>
      </c>
      <c r="H1217" t="s">
        <v>1756</v>
      </c>
      <c r="K1217" t="s">
        <v>146</v>
      </c>
      <c r="L1217" t="s">
        <v>2154</v>
      </c>
      <c r="M1217" t="s">
        <v>68</v>
      </c>
      <c r="N1217" t="s">
        <v>2155</v>
      </c>
      <c r="O1217" t="s">
        <v>32</v>
      </c>
      <c r="P1217" t="s">
        <v>2908</v>
      </c>
      <c r="Q1217">
        <v>62</v>
      </c>
      <c r="R1217">
        <v>62</v>
      </c>
      <c r="S1217" t="s">
        <v>159</v>
      </c>
      <c r="T1217" t="s">
        <v>159</v>
      </c>
      <c r="U1217" t="s">
        <v>44</v>
      </c>
      <c r="W1217">
        <v>62</v>
      </c>
      <c r="X1217">
        <v>62</v>
      </c>
      <c r="Y1217">
        <v>0</v>
      </c>
      <c r="Z1217">
        <v>0</v>
      </c>
    </row>
    <row r="1218" spans="1:26" hidden="1" x14ac:dyDescent="0.25">
      <c r="A1218" t="s">
        <v>2909</v>
      </c>
      <c r="B1218" t="s">
        <v>2153</v>
      </c>
      <c r="C1218" s="4">
        <v>44645</v>
      </c>
      <c r="F1218" s="4">
        <v>45565</v>
      </c>
      <c r="G1218" t="s">
        <v>1690</v>
      </c>
      <c r="H1218" t="s">
        <v>2910</v>
      </c>
      <c r="K1218" t="s">
        <v>98</v>
      </c>
      <c r="L1218" t="s">
        <v>2154</v>
      </c>
      <c r="M1218" t="s">
        <v>84</v>
      </c>
      <c r="N1218" t="s">
        <v>2160</v>
      </c>
      <c r="O1218" t="s">
        <v>32</v>
      </c>
      <c r="P1218" t="s">
        <v>2911</v>
      </c>
      <c r="Q1218">
        <v>300</v>
      </c>
      <c r="R1218">
        <v>300</v>
      </c>
      <c r="S1218" t="s">
        <v>159</v>
      </c>
      <c r="T1218" t="s">
        <v>159</v>
      </c>
      <c r="U1218" t="s">
        <v>44</v>
      </c>
      <c r="V1218" s="4">
        <v>46660</v>
      </c>
      <c r="W1218">
        <v>300</v>
      </c>
      <c r="X1218">
        <v>300</v>
      </c>
      <c r="Y1218">
        <v>300</v>
      </c>
      <c r="Z1218">
        <v>300</v>
      </c>
    </row>
    <row r="1219" spans="1:26" hidden="1" x14ac:dyDescent="0.25">
      <c r="A1219" t="s">
        <v>2912</v>
      </c>
      <c r="B1219" t="s">
        <v>38</v>
      </c>
      <c r="C1219" s="4">
        <v>44659</v>
      </c>
      <c r="D1219" s="4">
        <v>46009</v>
      </c>
      <c r="F1219" s="4">
        <v>45536</v>
      </c>
      <c r="G1219" t="s">
        <v>101</v>
      </c>
      <c r="H1219" t="s">
        <v>1873</v>
      </c>
      <c r="K1219" t="s">
        <v>98</v>
      </c>
      <c r="L1219" t="s">
        <v>2154</v>
      </c>
      <c r="M1219" t="s">
        <v>84</v>
      </c>
      <c r="N1219" t="s">
        <v>2160</v>
      </c>
      <c r="O1219" t="s">
        <v>32</v>
      </c>
      <c r="P1219" t="s">
        <v>2913</v>
      </c>
      <c r="Q1219">
        <v>100</v>
      </c>
      <c r="R1219">
        <v>100</v>
      </c>
      <c r="S1219" t="s">
        <v>34</v>
      </c>
      <c r="T1219" t="s">
        <v>35</v>
      </c>
      <c r="U1219" t="s">
        <v>44</v>
      </c>
      <c r="W1219">
        <v>100</v>
      </c>
      <c r="X1219">
        <v>20</v>
      </c>
      <c r="Y1219">
        <v>0</v>
      </c>
      <c r="Z1219">
        <v>0</v>
      </c>
    </row>
    <row r="1220" spans="1:26" hidden="1" x14ac:dyDescent="0.25">
      <c r="A1220" t="s">
        <v>2914</v>
      </c>
      <c r="B1220" t="s">
        <v>38</v>
      </c>
      <c r="C1220" s="4">
        <v>44551</v>
      </c>
      <c r="D1220" s="4">
        <v>45240</v>
      </c>
      <c r="F1220" s="4">
        <v>45595</v>
      </c>
      <c r="G1220" t="s">
        <v>65</v>
      </c>
      <c r="H1220" t="s">
        <v>1849</v>
      </c>
      <c r="K1220" t="s">
        <v>67</v>
      </c>
      <c r="L1220" t="s">
        <v>2154</v>
      </c>
      <c r="M1220" t="s">
        <v>68</v>
      </c>
      <c r="N1220" t="s">
        <v>2155</v>
      </c>
      <c r="O1220" t="s">
        <v>32</v>
      </c>
      <c r="P1220" t="s">
        <v>2915</v>
      </c>
      <c r="Q1220">
        <v>50</v>
      </c>
      <c r="R1220">
        <v>50</v>
      </c>
      <c r="S1220" t="s">
        <v>159</v>
      </c>
      <c r="T1220" t="s">
        <v>159</v>
      </c>
      <c r="U1220" t="s">
        <v>44</v>
      </c>
      <c r="W1220">
        <v>0</v>
      </c>
      <c r="X1220">
        <v>0</v>
      </c>
      <c r="Y1220">
        <v>0</v>
      </c>
      <c r="Z1220">
        <v>0</v>
      </c>
    </row>
    <row r="1221" spans="1:26" hidden="1" x14ac:dyDescent="0.25">
      <c r="A1221" t="s">
        <v>2916</v>
      </c>
      <c r="B1221" t="s">
        <v>38</v>
      </c>
      <c r="C1221" s="4">
        <v>44421</v>
      </c>
      <c r="D1221" s="4">
        <v>45566</v>
      </c>
      <c r="F1221" s="4">
        <v>45565</v>
      </c>
      <c r="G1221" t="s">
        <v>1278</v>
      </c>
      <c r="H1221" t="s">
        <v>2917</v>
      </c>
      <c r="K1221" t="s">
        <v>28</v>
      </c>
      <c r="L1221" t="s">
        <v>2154</v>
      </c>
      <c r="M1221" t="s">
        <v>30</v>
      </c>
      <c r="N1221" t="s">
        <v>2155</v>
      </c>
      <c r="O1221" t="s">
        <v>32</v>
      </c>
      <c r="P1221" t="s">
        <v>2918</v>
      </c>
      <c r="Q1221">
        <v>150</v>
      </c>
      <c r="R1221">
        <v>150</v>
      </c>
      <c r="S1221" t="s">
        <v>159</v>
      </c>
      <c r="T1221" t="s">
        <v>159</v>
      </c>
      <c r="U1221" t="s">
        <v>44</v>
      </c>
      <c r="W1221">
        <v>150</v>
      </c>
      <c r="X1221">
        <v>150</v>
      </c>
      <c r="Y1221">
        <v>0</v>
      </c>
      <c r="Z1221">
        <v>0</v>
      </c>
    </row>
    <row r="1222" spans="1:26" hidden="1" x14ac:dyDescent="0.25">
      <c r="A1222" t="s">
        <v>2919</v>
      </c>
      <c r="B1222" t="s">
        <v>2153</v>
      </c>
      <c r="C1222" s="4">
        <v>44399</v>
      </c>
      <c r="F1222" s="4">
        <v>45536</v>
      </c>
      <c r="G1222" t="s">
        <v>1294</v>
      </c>
      <c r="H1222" t="s">
        <v>1275</v>
      </c>
      <c r="K1222" t="s">
        <v>41</v>
      </c>
      <c r="L1222" t="s">
        <v>2154</v>
      </c>
      <c r="M1222" t="s">
        <v>42</v>
      </c>
      <c r="N1222" t="s">
        <v>2160</v>
      </c>
      <c r="O1222" t="s">
        <v>32</v>
      </c>
      <c r="P1222" t="s">
        <v>2920</v>
      </c>
      <c r="Q1222">
        <v>180</v>
      </c>
      <c r="R1222">
        <v>180</v>
      </c>
      <c r="S1222" t="s">
        <v>597</v>
      </c>
      <c r="T1222" t="s">
        <v>598</v>
      </c>
      <c r="U1222" t="s">
        <v>44</v>
      </c>
      <c r="V1222" s="4">
        <v>47102</v>
      </c>
      <c r="W1222">
        <v>180</v>
      </c>
      <c r="X1222">
        <v>180</v>
      </c>
      <c r="Y1222">
        <v>180</v>
      </c>
      <c r="Z1222">
        <v>180</v>
      </c>
    </row>
    <row r="1223" spans="1:26" hidden="1" x14ac:dyDescent="0.25">
      <c r="A1223" t="s">
        <v>2921</v>
      </c>
      <c r="B1223" t="s">
        <v>38</v>
      </c>
      <c r="C1223" s="4">
        <v>44551</v>
      </c>
      <c r="D1223" s="4">
        <v>45723</v>
      </c>
      <c r="F1223" s="4">
        <v>45595</v>
      </c>
      <c r="G1223" t="s">
        <v>144</v>
      </c>
      <c r="H1223" t="s">
        <v>1522</v>
      </c>
      <c r="K1223" t="s">
        <v>146</v>
      </c>
      <c r="L1223" t="s">
        <v>2154</v>
      </c>
      <c r="M1223" t="s">
        <v>68</v>
      </c>
      <c r="N1223" t="s">
        <v>2155</v>
      </c>
      <c r="O1223" t="s">
        <v>32</v>
      </c>
      <c r="P1223" t="s">
        <v>1742</v>
      </c>
      <c r="Q1223">
        <v>50</v>
      </c>
      <c r="R1223">
        <v>50</v>
      </c>
      <c r="S1223" t="s">
        <v>159</v>
      </c>
      <c r="T1223" t="s">
        <v>159</v>
      </c>
      <c r="U1223" t="s">
        <v>44</v>
      </c>
      <c r="W1223">
        <v>50</v>
      </c>
      <c r="X1223">
        <v>50</v>
      </c>
      <c r="Y1223">
        <v>0</v>
      </c>
      <c r="Z1223">
        <v>0</v>
      </c>
    </row>
    <row r="1224" spans="1:26" hidden="1" x14ac:dyDescent="0.25">
      <c r="A1224" t="s">
        <v>2922</v>
      </c>
      <c r="B1224" t="s">
        <v>38</v>
      </c>
      <c r="C1224" s="4">
        <v>44428</v>
      </c>
      <c r="D1224" s="4">
        <v>45573</v>
      </c>
      <c r="F1224" s="4">
        <v>45916</v>
      </c>
      <c r="G1224" t="s">
        <v>101</v>
      </c>
      <c r="H1224" t="s">
        <v>1550</v>
      </c>
      <c r="K1224" t="s">
        <v>98</v>
      </c>
      <c r="L1224" t="s">
        <v>2154</v>
      </c>
      <c r="M1224" t="s">
        <v>84</v>
      </c>
      <c r="N1224" t="s">
        <v>2160</v>
      </c>
      <c r="O1224" t="s">
        <v>32</v>
      </c>
      <c r="P1224" t="s">
        <v>2923</v>
      </c>
      <c r="Q1224">
        <v>100</v>
      </c>
      <c r="R1224">
        <v>100</v>
      </c>
      <c r="S1224" t="s">
        <v>34</v>
      </c>
      <c r="T1224" t="s">
        <v>35</v>
      </c>
      <c r="U1224" t="s">
        <v>44</v>
      </c>
      <c r="W1224">
        <v>0</v>
      </c>
      <c r="X1224">
        <v>0</v>
      </c>
      <c r="Y1224">
        <v>0</v>
      </c>
      <c r="Z1224">
        <v>0</v>
      </c>
    </row>
    <row r="1225" spans="1:26" hidden="1" x14ac:dyDescent="0.25">
      <c r="A1225" t="s">
        <v>2924</v>
      </c>
      <c r="B1225" t="s">
        <v>38</v>
      </c>
      <c r="C1225" s="4">
        <v>44551</v>
      </c>
      <c r="D1225" s="4">
        <v>45237</v>
      </c>
      <c r="F1225" s="4">
        <v>45595</v>
      </c>
      <c r="G1225" t="s">
        <v>144</v>
      </c>
      <c r="H1225" t="s">
        <v>1405</v>
      </c>
      <c r="K1225" t="s">
        <v>146</v>
      </c>
      <c r="L1225" t="s">
        <v>2154</v>
      </c>
      <c r="M1225" t="s">
        <v>68</v>
      </c>
      <c r="N1225" t="s">
        <v>2155</v>
      </c>
      <c r="O1225" t="s">
        <v>32</v>
      </c>
      <c r="P1225" t="s">
        <v>2925</v>
      </c>
      <c r="Q1225">
        <v>100</v>
      </c>
      <c r="R1225">
        <v>100</v>
      </c>
      <c r="S1225" t="s">
        <v>159</v>
      </c>
      <c r="T1225" t="s">
        <v>159</v>
      </c>
      <c r="U1225" t="s">
        <v>44</v>
      </c>
      <c r="W1225">
        <v>0</v>
      </c>
      <c r="X1225">
        <v>0</v>
      </c>
      <c r="Y1225">
        <v>0</v>
      </c>
      <c r="Z1225">
        <v>0</v>
      </c>
    </row>
    <row r="1226" spans="1:26" hidden="1" x14ac:dyDescent="0.25">
      <c r="A1226" t="s">
        <v>2926</v>
      </c>
      <c r="B1226" t="s">
        <v>38</v>
      </c>
      <c r="C1226" s="4">
        <v>44551</v>
      </c>
      <c r="D1226" s="4">
        <v>45237</v>
      </c>
      <c r="F1226" s="4">
        <v>45595</v>
      </c>
      <c r="G1226" t="s">
        <v>65</v>
      </c>
      <c r="H1226" t="s">
        <v>1437</v>
      </c>
      <c r="K1226" t="s">
        <v>67</v>
      </c>
      <c r="L1226" t="s">
        <v>2154</v>
      </c>
      <c r="M1226" t="s">
        <v>68</v>
      </c>
      <c r="N1226" t="s">
        <v>2155</v>
      </c>
      <c r="O1226" t="s">
        <v>32</v>
      </c>
      <c r="P1226" t="s">
        <v>2927</v>
      </c>
      <c r="Q1226">
        <v>100</v>
      </c>
      <c r="R1226">
        <v>100</v>
      </c>
      <c r="S1226" t="s">
        <v>159</v>
      </c>
      <c r="T1226" t="s">
        <v>159</v>
      </c>
      <c r="U1226" t="s">
        <v>44</v>
      </c>
      <c r="W1226">
        <v>0</v>
      </c>
      <c r="X1226">
        <v>0</v>
      </c>
      <c r="Y1226">
        <v>0</v>
      </c>
      <c r="Z1226">
        <v>0</v>
      </c>
    </row>
    <row r="1227" spans="1:26" hidden="1" x14ac:dyDescent="0.25">
      <c r="A1227" t="s">
        <v>2928</v>
      </c>
      <c r="B1227" t="s">
        <v>25</v>
      </c>
      <c r="C1227" s="4">
        <v>44433</v>
      </c>
      <c r="F1227" s="4">
        <v>46844</v>
      </c>
      <c r="G1227" t="s">
        <v>1408</v>
      </c>
      <c r="H1227" t="s">
        <v>1522</v>
      </c>
      <c r="K1227" t="s">
        <v>146</v>
      </c>
      <c r="L1227" t="s">
        <v>2154</v>
      </c>
      <c r="M1227" t="s">
        <v>68</v>
      </c>
      <c r="N1227" t="s">
        <v>2155</v>
      </c>
      <c r="O1227" t="s">
        <v>32</v>
      </c>
      <c r="P1227" t="s">
        <v>2900</v>
      </c>
      <c r="Q1227">
        <v>200</v>
      </c>
      <c r="R1227">
        <v>200</v>
      </c>
      <c r="S1227" t="s">
        <v>34</v>
      </c>
      <c r="T1227" t="s">
        <v>35</v>
      </c>
      <c r="U1227" t="s">
        <v>44</v>
      </c>
      <c r="W1227">
        <v>200</v>
      </c>
      <c r="X1227">
        <v>0</v>
      </c>
      <c r="Y1227">
        <v>200</v>
      </c>
      <c r="Z1227">
        <v>0</v>
      </c>
    </row>
    <row r="1228" spans="1:26" hidden="1" x14ac:dyDescent="0.25">
      <c r="A1228" t="s">
        <v>2929</v>
      </c>
      <c r="B1228" t="s">
        <v>38</v>
      </c>
      <c r="C1228" s="4">
        <v>44425</v>
      </c>
      <c r="D1228" s="4">
        <v>44538</v>
      </c>
      <c r="F1228" s="4">
        <v>45748</v>
      </c>
      <c r="G1228" t="s">
        <v>681</v>
      </c>
      <c r="H1228" t="s">
        <v>1578</v>
      </c>
      <c r="K1228" t="s">
        <v>683</v>
      </c>
      <c r="L1228" t="s">
        <v>2154</v>
      </c>
      <c r="M1228" t="s">
        <v>84</v>
      </c>
      <c r="N1228" t="s">
        <v>2160</v>
      </c>
      <c r="O1228" t="s">
        <v>32</v>
      </c>
      <c r="P1228" t="s">
        <v>2238</v>
      </c>
      <c r="Q1228">
        <v>300</v>
      </c>
      <c r="R1228">
        <v>300</v>
      </c>
      <c r="S1228" t="s">
        <v>34</v>
      </c>
      <c r="T1228" t="s">
        <v>35</v>
      </c>
      <c r="U1228" t="s">
        <v>44</v>
      </c>
      <c r="W1228">
        <v>0</v>
      </c>
      <c r="X1228">
        <v>0</v>
      </c>
      <c r="Y1228">
        <v>0</v>
      </c>
      <c r="Z1228">
        <v>0</v>
      </c>
    </row>
    <row r="1229" spans="1:26" hidden="1" x14ac:dyDescent="0.25">
      <c r="A1229" t="s">
        <v>2930</v>
      </c>
      <c r="B1229" t="s">
        <v>38</v>
      </c>
      <c r="C1229" s="4">
        <v>44726</v>
      </c>
      <c r="D1229" s="4">
        <v>46009</v>
      </c>
      <c r="F1229" s="4">
        <v>45505</v>
      </c>
      <c r="G1229" t="s">
        <v>254</v>
      </c>
      <c r="H1229" t="s">
        <v>1691</v>
      </c>
      <c r="K1229" t="s">
        <v>98</v>
      </c>
      <c r="L1229" t="s">
        <v>2154</v>
      </c>
      <c r="M1229" t="s">
        <v>84</v>
      </c>
      <c r="N1229" t="s">
        <v>2160</v>
      </c>
      <c r="O1229" t="s">
        <v>32</v>
      </c>
      <c r="P1229" t="s">
        <v>2570</v>
      </c>
      <c r="Q1229">
        <v>200</v>
      </c>
      <c r="R1229">
        <v>200</v>
      </c>
      <c r="S1229" t="s">
        <v>34</v>
      </c>
      <c r="T1229" t="s">
        <v>35</v>
      </c>
      <c r="U1229" t="s">
        <v>44</v>
      </c>
      <c r="W1229">
        <v>200</v>
      </c>
      <c r="X1229">
        <v>200</v>
      </c>
      <c r="Y1229">
        <v>0</v>
      </c>
      <c r="Z1229">
        <v>0</v>
      </c>
    </row>
    <row r="1230" spans="1:26" hidden="1" x14ac:dyDescent="0.25">
      <c r="A1230" t="s">
        <v>2931</v>
      </c>
      <c r="B1230" t="s">
        <v>2153</v>
      </c>
      <c r="C1230" s="4">
        <v>45852</v>
      </c>
      <c r="F1230" s="4">
        <v>45596</v>
      </c>
      <c r="G1230" t="s">
        <v>1294</v>
      </c>
      <c r="H1230" t="s">
        <v>2510</v>
      </c>
      <c r="K1230" t="s">
        <v>28</v>
      </c>
      <c r="L1230" t="s">
        <v>2154</v>
      </c>
      <c r="M1230" t="s">
        <v>42</v>
      </c>
      <c r="N1230" t="s">
        <v>2160</v>
      </c>
      <c r="O1230" t="s">
        <v>32</v>
      </c>
      <c r="P1230" t="s">
        <v>2932</v>
      </c>
      <c r="Q1230">
        <v>89</v>
      </c>
      <c r="R1230">
        <v>89</v>
      </c>
      <c r="S1230" t="s">
        <v>34</v>
      </c>
      <c r="T1230" t="s">
        <v>35</v>
      </c>
      <c r="U1230" t="s">
        <v>44</v>
      </c>
      <c r="W1230">
        <v>89</v>
      </c>
      <c r="X1230">
        <v>89</v>
      </c>
      <c r="Y1230">
        <v>80.099999999999994</v>
      </c>
      <c r="Z1230">
        <v>80.099999999999994</v>
      </c>
    </row>
    <row r="1231" spans="1:26" hidden="1" x14ac:dyDescent="0.25">
      <c r="A1231" t="s">
        <v>2933</v>
      </c>
      <c r="B1231" t="s">
        <v>25</v>
      </c>
      <c r="C1231" s="4">
        <v>44551</v>
      </c>
      <c r="F1231" s="4">
        <v>45596</v>
      </c>
      <c r="G1231" t="s">
        <v>1408</v>
      </c>
      <c r="H1231" t="s">
        <v>2382</v>
      </c>
      <c r="K1231" t="s">
        <v>146</v>
      </c>
      <c r="L1231" t="s">
        <v>2154</v>
      </c>
      <c r="M1231" t="s">
        <v>68</v>
      </c>
      <c r="N1231" t="s">
        <v>2155</v>
      </c>
      <c r="O1231" t="s">
        <v>32</v>
      </c>
      <c r="P1231" t="s">
        <v>2934</v>
      </c>
      <c r="Q1231">
        <v>200</v>
      </c>
      <c r="R1231">
        <v>200</v>
      </c>
      <c r="S1231" t="s">
        <v>34</v>
      </c>
      <c r="T1231" t="s">
        <v>35</v>
      </c>
      <c r="U1231" t="s">
        <v>44</v>
      </c>
      <c r="V1231" s="4">
        <v>46691</v>
      </c>
      <c r="W1231">
        <v>200</v>
      </c>
      <c r="X1231">
        <v>200</v>
      </c>
      <c r="Y1231">
        <v>200</v>
      </c>
      <c r="Z1231">
        <v>0</v>
      </c>
    </row>
    <row r="1232" spans="1:26" hidden="1" x14ac:dyDescent="0.25">
      <c r="A1232" t="s">
        <v>2935</v>
      </c>
      <c r="B1232" t="s">
        <v>38</v>
      </c>
      <c r="C1232" s="4">
        <v>44414</v>
      </c>
      <c r="D1232" s="4">
        <v>45573</v>
      </c>
      <c r="F1232" s="4">
        <v>45595</v>
      </c>
      <c r="G1232" t="s">
        <v>101</v>
      </c>
      <c r="H1232" t="s">
        <v>2180</v>
      </c>
      <c r="K1232" t="s">
        <v>98</v>
      </c>
      <c r="L1232" t="s">
        <v>2154</v>
      </c>
      <c r="M1232" t="s">
        <v>84</v>
      </c>
      <c r="N1232" t="s">
        <v>2160</v>
      </c>
      <c r="O1232" t="s">
        <v>32</v>
      </c>
      <c r="P1232" t="s">
        <v>2936</v>
      </c>
      <c r="Q1232">
        <v>100</v>
      </c>
      <c r="R1232">
        <v>100</v>
      </c>
      <c r="S1232" t="s">
        <v>159</v>
      </c>
      <c r="T1232" t="s">
        <v>159</v>
      </c>
      <c r="U1232" t="s">
        <v>44</v>
      </c>
      <c r="W1232">
        <v>0</v>
      </c>
      <c r="X1232">
        <v>0</v>
      </c>
      <c r="Y1232">
        <v>0</v>
      </c>
      <c r="Z1232">
        <v>0</v>
      </c>
    </row>
    <row r="1233" spans="1:26" hidden="1" x14ac:dyDescent="0.25">
      <c r="A1233" t="s">
        <v>2937</v>
      </c>
      <c r="B1233" t="s">
        <v>2153</v>
      </c>
      <c r="C1233" s="4">
        <v>44644</v>
      </c>
      <c r="F1233" s="4">
        <v>45748</v>
      </c>
      <c r="G1233" t="s">
        <v>691</v>
      </c>
      <c r="H1233" t="s">
        <v>1805</v>
      </c>
      <c r="K1233" t="s">
        <v>98</v>
      </c>
      <c r="L1233" t="s">
        <v>2154</v>
      </c>
      <c r="M1233" t="s">
        <v>84</v>
      </c>
      <c r="N1233" t="s">
        <v>2160</v>
      </c>
      <c r="O1233" t="s">
        <v>122</v>
      </c>
      <c r="P1233" t="s">
        <v>1806</v>
      </c>
      <c r="Q1233">
        <v>200</v>
      </c>
      <c r="R1233">
        <v>200</v>
      </c>
      <c r="S1233" t="s">
        <v>34</v>
      </c>
      <c r="T1233" t="s">
        <v>35</v>
      </c>
      <c r="U1233" t="s">
        <v>44</v>
      </c>
      <c r="W1233">
        <v>200</v>
      </c>
      <c r="X1233">
        <v>0</v>
      </c>
      <c r="Y1233">
        <v>200</v>
      </c>
      <c r="Z1233">
        <v>0</v>
      </c>
    </row>
    <row r="1234" spans="1:26" hidden="1" x14ac:dyDescent="0.25">
      <c r="A1234" t="s">
        <v>2938</v>
      </c>
      <c r="B1234" t="s">
        <v>38</v>
      </c>
      <c r="C1234" s="4">
        <v>44420</v>
      </c>
      <c r="D1234" s="4">
        <v>45723</v>
      </c>
      <c r="F1234" s="4">
        <v>45323</v>
      </c>
      <c r="G1234" t="s">
        <v>65</v>
      </c>
      <c r="H1234" t="s">
        <v>1279</v>
      </c>
      <c r="K1234" t="s">
        <v>67</v>
      </c>
      <c r="L1234" t="s">
        <v>2154</v>
      </c>
      <c r="M1234" t="s">
        <v>68</v>
      </c>
      <c r="N1234" t="s">
        <v>2155</v>
      </c>
      <c r="O1234" t="s">
        <v>32</v>
      </c>
      <c r="P1234" t="s">
        <v>2939</v>
      </c>
      <c r="Q1234">
        <v>97.5</v>
      </c>
      <c r="R1234">
        <v>97.5</v>
      </c>
      <c r="S1234" t="s">
        <v>34</v>
      </c>
      <c r="T1234" t="s">
        <v>35</v>
      </c>
      <c r="U1234" t="s">
        <v>44</v>
      </c>
      <c r="W1234">
        <v>97.49</v>
      </c>
      <c r="X1234">
        <v>97.49</v>
      </c>
      <c r="Y1234">
        <v>0</v>
      </c>
      <c r="Z1234">
        <v>0</v>
      </c>
    </row>
    <row r="1235" spans="1:26" hidden="1" x14ac:dyDescent="0.25">
      <c r="A1235" t="s">
        <v>2940</v>
      </c>
      <c r="B1235" t="s">
        <v>2153</v>
      </c>
      <c r="C1235" s="4">
        <v>44414</v>
      </c>
      <c r="F1235" s="4">
        <v>45595</v>
      </c>
      <c r="G1235" t="s">
        <v>691</v>
      </c>
      <c r="H1235" t="s">
        <v>1634</v>
      </c>
      <c r="K1235" t="s">
        <v>98</v>
      </c>
      <c r="L1235" t="s">
        <v>2154</v>
      </c>
      <c r="M1235" t="s">
        <v>84</v>
      </c>
      <c r="N1235" t="s">
        <v>2160</v>
      </c>
      <c r="O1235" t="s">
        <v>32</v>
      </c>
      <c r="P1235" t="s">
        <v>2834</v>
      </c>
      <c r="Q1235">
        <v>100</v>
      </c>
      <c r="R1235">
        <v>100</v>
      </c>
      <c r="S1235" t="s">
        <v>159</v>
      </c>
      <c r="T1235" t="s">
        <v>159</v>
      </c>
      <c r="U1235" t="s">
        <v>44</v>
      </c>
      <c r="W1235">
        <v>100</v>
      </c>
      <c r="X1235">
        <v>100</v>
      </c>
      <c r="Y1235">
        <v>100</v>
      </c>
      <c r="Z1235">
        <v>100</v>
      </c>
    </row>
    <row r="1236" spans="1:26" hidden="1" x14ac:dyDescent="0.25">
      <c r="A1236" t="s">
        <v>2941</v>
      </c>
      <c r="B1236" t="s">
        <v>2153</v>
      </c>
      <c r="C1236" s="4">
        <v>44726</v>
      </c>
      <c r="F1236" s="4">
        <v>45505</v>
      </c>
      <c r="G1236" t="s">
        <v>117</v>
      </c>
      <c r="H1236" t="s">
        <v>1611</v>
      </c>
      <c r="K1236" t="s">
        <v>83</v>
      </c>
      <c r="L1236" t="s">
        <v>2154</v>
      </c>
      <c r="M1236" t="s">
        <v>84</v>
      </c>
      <c r="N1236" t="s">
        <v>2160</v>
      </c>
      <c r="O1236" t="s">
        <v>32</v>
      </c>
      <c r="P1236" t="s">
        <v>2861</v>
      </c>
      <c r="Q1236">
        <v>100</v>
      </c>
      <c r="R1236">
        <v>100</v>
      </c>
      <c r="S1236" t="s">
        <v>34</v>
      </c>
      <c r="T1236" t="s">
        <v>35</v>
      </c>
      <c r="U1236" t="s">
        <v>44</v>
      </c>
      <c r="W1236">
        <v>100</v>
      </c>
      <c r="X1236">
        <v>100</v>
      </c>
      <c r="Y1236">
        <v>100</v>
      </c>
      <c r="Z1236">
        <v>100</v>
      </c>
    </row>
    <row r="1237" spans="1:26" hidden="1" x14ac:dyDescent="0.25">
      <c r="A1237" t="s">
        <v>2942</v>
      </c>
      <c r="B1237" t="s">
        <v>38</v>
      </c>
      <c r="C1237" s="4">
        <v>44425</v>
      </c>
      <c r="D1237" s="4">
        <v>44538</v>
      </c>
      <c r="F1237" s="4">
        <v>45748</v>
      </c>
      <c r="G1237" t="s">
        <v>681</v>
      </c>
      <c r="H1237" t="s">
        <v>1578</v>
      </c>
      <c r="K1237" t="s">
        <v>683</v>
      </c>
      <c r="L1237" t="s">
        <v>2154</v>
      </c>
      <c r="M1237" t="s">
        <v>84</v>
      </c>
      <c r="N1237" t="s">
        <v>2160</v>
      </c>
      <c r="O1237" t="s">
        <v>32</v>
      </c>
      <c r="P1237" t="s">
        <v>2263</v>
      </c>
      <c r="Q1237">
        <v>300</v>
      </c>
      <c r="R1237">
        <v>300</v>
      </c>
      <c r="S1237" t="s">
        <v>34</v>
      </c>
      <c r="T1237" t="s">
        <v>35</v>
      </c>
      <c r="U1237" t="s">
        <v>44</v>
      </c>
      <c r="W1237">
        <v>0</v>
      </c>
      <c r="X1237">
        <v>0</v>
      </c>
      <c r="Y1237">
        <v>0</v>
      </c>
      <c r="Z1237">
        <v>0</v>
      </c>
    </row>
    <row r="1238" spans="1:26" hidden="1" x14ac:dyDescent="0.25">
      <c r="A1238" t="s">
        <v>2943</v>
      </c>
      <c r="B1238" t="s">
        <v>38</v>
      </c>
      <c r="C1238" s="4">
        <v>44425</v>
      </c>
      <c r="D1238" s="4">
        <v>45723</v>
      </c>
      <c r="F1238" s="4">
        <v>44897</v>
      </c>
      <c r="G1238" t="s">
        <v>2944</v>
      </c>
      <c r="H1238" t="s">
        <v>2624</v>
      </c>
      <c r="K1238" t="s">
        <v>151</v>
      </c>
      <c r="L1238" t="s">
        <v>2154</v>
      </c>
      <c r="M1238" t="s">
        <v>68</v>
      </c>
      <c r="N1238" t="s">
        <v>2155</v>
      </c>
      <c r="O1238" t="s">
        <v>32</v>
      </c>
      <c r="P1238" t="s">
        <v>2945</v>
      </c>
      <c r="Q1238">
        <v>100</v>
      </c>
      <c r="R1238">
        <v>100</v>
      </c>
      <c r="S1238" t="s">
        <v>159</v>
      </c>
      <c r="T1238" t="s">
        <v>159</v>
      </c>
      <c r="U1238" t="s">
        <v>44</v>
      </c>
      <c r="W1238">
        <v>100</v>
      </c>
      <c r="X1238">
        <v>100</v>
      </c>
      <c r="Y1238">
        <v>0</v>
      </c>
      <c r="Z1238">
        <v>0</v>
      </c>
    </row>
    <row r="1239" spans="1:26" hidden="1" x14ac:dyDescent="0.25">
      <c r="A1239" t="s">
        <v>2946</v>
      </c>
      <c r="B1239" t="s">
        <v>38</v>
      </c>
      <c r="C1239" s="4">
        <v>44414</v>
      </c>
      <c r="D1239" s="4">
        <v>45573</v>
      </c>
      <c r="F1239" s="4">
        <v>45595</v>
      </c>
      <c r="G1239" t="s">
        <v>101</v>
      </c>
      <c r="H1239" t="s">
        <v>1986</v>
      </c>
      <c r="K1239" t="s">
        <v>98</v>
      </c>
      <c r="L1239" t="s">
        <v>2154</v>
      </c>
      <c r="M1239" t="s">
        <v>84</v>
      </c>
      <c r="N1239" t="s">
        <v>2160</v>
      </c>
      <c r="O1239" t="s">
        <v>32</v>
      </c>
      <c r="P1239" t="s">
        <v>2947</v>
      </c>
      <c r="Q1239">
        <v>100</v>
      </c>
      <c r="R1239">
        <v>100</v>
      </c>
      <c r="S1239" t="s">
        <v>159</v>
      </c>
      <c r="T1239" t="s">
        <v>159</v>
      </c>
      <c r="U1239" t="s">
        <v>44</v>
      </c>
      <c r="W1239">
        <v>0</v>
      </c>
      <c r="X1239">
        <v>0</v>
      </c>
      <c r="Y1239">
        <v>0</v>
      </c>
      <c r="Z1239">
        <v>0</v>
      </c>
    </row>
    <row r="1240" spans="1:26" hidden="1" x14ac:dyDescent="0.25">
      <c r="A1240" t="s">
        <v>2948</v>
      </c>
      <c r="B1240" t="s">
        <v>25</v>
      </c>
      <c r="C1240" s="4">
        <v>44551</v>
      </c>
      <c r="F1240" s="4">
        <v>45626</v>
      </c>
      <c r="G1240" t="s">
        <v>1326</v>
      </c>
      <c r="H1240" t="s">
        <v>1849</v>
      </c>
      <c r="K1240" t="s">
        <v>67</v>
      </c>
      <c r="L1240" t="s">
        <v>2154</v>
      </c>
      <c r="M1240" t="s">
        <v>68</v>
      </c>
      <c r="N1240" t="s">
        <v>2155</v>
      </c>
      <c r="O1240" t="s">
        <v>32</v>
      </c>
      <c r="P1240" t="s">
        <v>2915</v>
      </c>
      <c r="Q1240">
        <v>185</v>
      </c>
      <c r="R1240">
        <v>185</v>
      </c>
      <c r="S1240" t="s">
        <v>34</v>
      </c>
      <c r="T1240" t="s">
        <v>35</v>
      </c>
      <c r="U1240" t="s">
        <v>44</v>
      </c>
      <c r="V1240" s="4">
        <v>46537</v>
      </c>
      <c r="W1240">
        <v>185</v>
      </c>
      <c r="X1240">
        <v>185</v>
      </c>
      <c r="Y1240">
        <v>185</v>
      </c>
      <c r="Z1240">
        <v>0</v>
      </c>
    </row>
    <row r="1241" spans="1:26" hidden="1" x14ac:dyDescent="0.25">
      <c r="A1241" t="s">
        <v>2949</v>
      </c>
      <c r="B1241" t="s">
        <v>2153</v>
      </c>
      <c r="C1241" s="4">
        <v>45854</v>
      </c>
      <c r="F1241" s="4">
        <v>45337</v>
      </c>
      <c r="G1241" t="s">
        <v>1251</v>
      </c>
      <c r="H1241" t="s">
        <v>1778</v>
      </c>
      <c r="K1241" t="s">
        <v>109</v>
      </c>
      <c r="L1241" t="s">
        <v>2154</v>
      </c>
      <c r="M1241" t="s">
        <v>84</v>
      </c>
      <c r="N1241" t="s">
        <v>2160</v>
      </c>
      <c r="O1241" t="s">
        <v>32</v>
      </c>
      <c r="P1241" t="s">
        <v>2950</v>
      </c>
      <c r="Q1241">
        <v>200</v>
      </c>
      <c r="R1241">
        <v>200</v>
      </c>
      <c r="S1241" t="s">
        <v>597</v>
      </c>
      <c r="T1241" t="s">
        <v>598</v>
      </c>
      <c r="U1241" t="s">
        <v>44</v>
      </c>
      <c r="W1241">
        <v>200</v>
      </c>
      <c r="X1241">
        <v>200</v>
      </c>
      <c r="Y1241">
        <v>200</v>
      </c>
      <c r="Z1241">
        <v>200</v>
      </c>
    </row>
    <row r="1242" spans="1:26" hidden="1" x14ac:dyDescent="0.25">
      <c r="A1242" t="s">
        <v>2951</v>
      </c>
      <c r="B1242" t="s">
        <v>38</v>
      </c>
      <c r="C1242" s="4">
        <v>44420</v>
      </c>
      <c r="D1242" s="4">
        <v>45573</v>
      </c>
      <c r="F1242" s="4">
        <v>45595</v>
      </c>
      <c r="G1242" t="s">
        <v>1251</v>
      </c>
      <c r="H1242" t="s">
        <v>1302</v>
      </c>
      <c r="K1242" t="s">
        <v>109</v>
      </c>
      <c r="L1242" t="s">
        <v>2154</v>
      </c>
      <c r="M1242" t="s">
        <v>84</v>
      </c>
      <c r="N1242" t="s">
        <v>2160</v>
      </c>
      <c r="O1242" t="s">
        <v>32</v>
      </c>
      <c r="P1242" t="s">
        <v>2952</v>
      </c>
      <c r="Q1242">
        <v>100</v>
      </c>
      <c r="R1242">
        <v>100</v>
      </c>
      <c r="S1242" t="s">
        <v>34</v>
      </c>
      <c r="T1242" t="s">
        <v>35</v>
      </c>
      <c r="U1242" t="s">
        <v>44</v>
      </c>
      <c r="W1242">
        <v>0</v>
      </c>
      <c r="X1242">
        <v>0</v>
      </c>
      <c r="Y1242">
        <v>0</v>
      </c>
      <c r="Z1242">
        <v>0</v>
      </c>
    </row>
    <row r="1243" spans="1:26" hidden="1" x14ac:dyDescent="0.25">
      <c r="A1243" t="s">
        <v>2953</v>
      </c>
      <c r="B1243" t="s">
        <v>38</v>
      </c>
      <c r="C1243" s="4">
        <v>44551</v>
      </c>
      <c r="D1243" s="4">
        <v>45723</v>
      </c>
      <c r="F1243" s="4">
        <v>45323</v>
      </c>
      <c r="G1243" t="s">
        <v>65</v>
      </c>
      <c r="H1243" t="s">
        <v>2954</v>
      </c>
      <c r="K1243" t="s">
        <v>67</v>
      </c>
      <c r="L1243" t="s">
        <v>2154</v>
      </c>
      <c r="M1243" t="s">
        <v>68</v>
      </c>
      <c r="N1243" t="s">
        <v>2155</v>
      </c>
      <c r="O1243" t="s">
        <v>32</v>
      </c>
      <c r="P1243" t="s">
        <v>2955</v>
      </c>
      <c r="Q1243">
        <v>120</v>
      </c>
      <c r="R1243">
        <v>120</v>
      </c>
      <c r="S1243" t="s">
        <v>34</v>
      </c>
      <c r="T1243" t="s">
        <v>35</v>
      </c>
      <c r="U1243" t="s">
        <v>44</v>
      </c>
      <c r="W1243">
        <v>120</v>
      </c>
      <c r="X1243">
        <v>120</v>
      </c>
      <c r="Y1243">
        <v>0</v>
      </c>
      <c r="Z1243">
        <v>0</v>
      </c>
    </row>
    <row r="1244" spans="1:26" hidden="1" x14ac:dyDescent="0.25">
      <c r="A1244" t="s">
        <v>2956</v>
      </c>
      <c r="B1244" t="s">
        <v>38</v>
      </c>
      <c r="C1244" s="4">
        <v>44424</v>
      </c>
      <c r="D1244" s="4">
        <v>45573</v>
      </c>
      <c r="F1244" s="4">
        <v>45383</v>
      </c>
      <c r="G1244" t="s">
        <v>101</v>
      </c>
      <c r="H1244" t="s">
        <v>2569</v>
      </c>
      <c r="K1244" t="s">
        <v>98</v>
      </c>
      <c r="L1244" t="s">
        <v>2154</v>
      </c>
      <c r="M1244" t="s">
        <v>84</v>
      </c>
      <c r="N1244" t="s">
        <v>2160</v>
      </c>
      <c r="O1244" t="s">
        <v>1110</v>
      </c>
      <c r="P1244" t="s">
        <v>2957</v>
      </c>
      <c r="Q1244">
        <v>320</v>
      </c>
      <c r="R1244">
        <v>320</v>
      </c>
      <c r="S1244" t="s">
        <v>56</v>
      </c>
      <c r="T1244" t="s">
        <v>57</v>
      </c>
      <c r="U1244" t="s">
        <v>44</v>
      </c>
      <c r="W1244">
        <v>0</v>
      </c>
      <c r="X1244">
        <v>0</v>
      </c>
      <c r="Y1244">
        <v>0</v>
      </c>
      <c r="Z1244">
        <v>0</v>
      </c>
    </row>
    <row r="1245" spans="1:26" hidden="1" x14ac:dyDescent="0.25">
      <c r="A1245" t="s">
        <v>2958</v>
      </c>
      <c r="B1245" t="s">
        <v>38</v>
      </c>
      <c r="C1245" s="4">
        <v>44431</v>
      </c>
      <c r="D1245" s="4">
        <v>45723</v>
      </c>
      <c r="F1245" s="4">
        <v>45595</v>
      </c>
      <c r="G1245" t="s">
        <v>149</v>
      </c>
      <c r="H1245" t="s">
        <v>2356</v>
      </c>
      <c r="K1245" t="s">
        <v>151</v>
      </c>
      <c r="L1245" t="s">
        <v>2154</v>
      </c>
      <c r="M1245" t="s">
        <v>68</v>
      </c>
      <c r="N1245" t="s">
        <v>2155</v>
      </c>
      <c r="O1245" t="s">
        <v>32</v>
      </c>
      <c r="P1245" t="s">
        <v>2959</v>
      </c>
      <c r="Q1245">
        <v>100</v>
      </c>
      <c r="R1245">
        <v>100</v>
      </c>
      <c r="S1245" t="s">
        <v>597</v>
      </c>
      <c r="T1245" t="s">
        <v>598</v>
      </c>
      <c r="U1245" t="s">
        <v>44</v>
      </c>
      <c r="W1245">
        <v>100</v>
      </c>
      <c r="X1245">
        <v>100</v>
      </c>
      <c r="Y1245">
        <v>0</v>
      </c>
      <c r="Z1245">
        <v>0</v>
      </c>
    </row>
    <row r="1246" spans="1:26" hidden="1" x14ac:dyDescent="0.25">
      <c r="A1246" t="s">
        <v>2960</v>
      </c>
      <c r="B1246" t="s">
        <v>38</v>
      </c>
      <c r="C1246" s="4">
        <v>44420</v>
      </c>
      <c r="D1246" s="4">
        <v>45224</v>
      </c>
      <c r="F1246" s="4">
        <v>45323</v>
      </c>
      <c r="G1246" t="s">
        <v>149</v>
      </c>
      <c r="H1246" t="s">
        <v>2703</v>
      </c>
      <c r="K1246" t="s">
        <v>151</v>
      </c>
      <c r="L1246" t="s">
        <v>2154</v>
      </c>
      <c r="M1246" t="s">
        <v>68</v>
      </c>
      <c r="N1246" t="s">
        <v>2155</v>
      </c>
      <c r="O1246" t="s">
        <v>32</v>
      </c>
      <c r="P1246" t="s">
        <v>2961</v>
      </c>
      <c r="Q1246">
        <v>100</v>
      </c>
      <c r="R1246">
        <v>100</v>
      </c>
      <c r="S1246" t="s">
        <v>34</v>
      </c>
      <c r="T1246" t="s">
        <v>35</v>
      </c>
      <c r="U1246" t="s">
        <v>44</v>
      </c>
      <c r="W1246">
        <v>0</v>
      </c>
      <c r="X1246">
        <v>0</v>
      </c>
      <c r="Y1246">
        <v>0</v>
      </c>
      <c r="Z1246">
        <v>0</v>
      </c>
    </row>
    <row r="1247" spans="1:26" hidden="1" x14ac:dyDescent="0.25">
      <c r="A1247" t="s">
        <v>2962</v>
      </c>
      <c r="B1247" t="s">
        <v>38</v>
      </c>
      <c r="C1247" s="4">
        <v>44530</v>
      </c>
      <c r="D1247" s="4">
        <v>45723</v>
      </c>
      <c r="F1247" s="4">
        <v>45596</v>
      </c>
      <c r="G1247" t="s">
        <v>65</v>
      </c>
      <c r="H1247" t="s">
        <v>1505</v>
      </c>
      <c r="K1247" t="s">
        <v>67</v>
      </c>
      <c r="L1247" t="s">
        <v>2154</v>
      </c>
      <c r="M1247" t="s">
        <v>68</v>
      </c>
      <c r="N1247" t="s">
        <v>2155</v>
      </c>
      <c r="O1247" t="s">
        <v>32</v>
      </c>
      <c r="P1247" t="s">
        <v>2963</v>
      </c>
      <c r="Q1247">
        <v>0</v>
      </c>
      <c r="R1247">
        <v>0</v>
      </c>
      <c r="S1247" t="s">
        <v>159</v>
      </c>
      <c r="T1247" t="s">
        <v>159</v>
      </c>
      <c r="U1247" t="s">
        <v>44</v>
      </c>
      <c r="W1247">
        <v>0</v>
      </c>
      <c r="X1247">
        <v>0</v>
      </c>
      <c r="Y1247">
        <v>0</v>
      </c>
      <c r="Z1247">
        <v>0</v>
      </c>
    </row>
    <row r="1248" spans="1:26" hidden="1" x14ac:dyDescent="0.25">
      <c r="A1248" t="s">
        <v>2964</v>
      </c>
      <c r="B1248" t="s">
        <v>38</v>
      </c>
      <c r="C1248" s="4">
        <v>44438</v>
      </c>
      <c r="D1248" s="4">
        <v>45224</v>
      </c>
      <c r="F1248" s="4">
        <v>45595</v>
      </c>
      <c r="G1248" t="s">
        <v>616</v>
      </c>
      <c r="H1248" t="s">
        <v>1759</v>
      </c>
      <c r="K1248" t="s">
        <v>146</v>
      </c>
      <c r="L1248" t="s">
        <v>2154</v>
      </c>
      <c r="M1248" t="s">
        <v>68</v>
      </c>
      <c r="N1248" t="s">
        <v>2155</v>
      </c>
      <c r="O1248" t="s">
        <v>32</v>
      </c>
      <c r="P1248" t="s">
        <v>2965</v>
      </c>
      <c r="Q1248">
        <v>100</v>
      </c>
      <c r="R1248">
        <v>100</v>
      </c>
      <c r="S1248" t="s">
        <v>597</v>
      </c>
      <c r="T1248" t="s">
        <v>598</v>
      </c>
      <c r="U1248" t="s">
        <v>44</v>
      </c>
      <c r="W1248">
        <v>0</v>
      </c>
      <c r="X1248">
        <v>0</v>
      </c>
      <c r="Y1248">
        <v>0</v>
      </c>
      <c r="Z1248">
        <v>0</v>
      </c>
    </row>
    <row r="1249" spans="1:26" hidden="1" x14ac:dyDescent="0.25">
      <c r="A1249" t="s">
        <v>2966</v>
      </c>
      <c r="B1249" t="s">
        <v>38</v>
      </c>
      <c r="C1249" s="4">
        <v>44424</v>
      </c>
      <c r="D1249" s="4">
        <v>44538</v>
      </c>
      <c r="F1249" s="4">
        <v>45748</v>
      </c>
      <c r="G1249" t="s">
        <v>681</v>
      </c>
      <c r="H1249" t="s">
        <v>1578</v>
      </c>
      <c r="K1249" t="s">
        <v>683</v>
      </c>
      <c r="L1249" t="s">
        <v>2154</v>
      </c>
      <c r="M1249" t="s">
        <v>84</v>
      </c>
      <c r="N1249" t="s">
        <v>2160</v>
      </c>
      <c r="O1249" t="s">
        <v>32</v>
      </c>
      <c r="P1249" t="s">
        <v>2967</v>
      </c>
      <c r="Q1249">
        <v>300</v>
      </c>
      <c r="R1249">
        <v>300</v>
      </c>
      <c r="S1249" t="s">
        <v>34</v>
      </c>
      <c r="T1249" t="s">
        <v>35</v>
      </c>
      <c r="U1249" t="s">
        <v>44</v>
      </c>
      <c r="W1249">
        <v>0</v>
      </c>
      <c r="X1249">
        <v>0</v>
      </c>
      <c r="Y1249">
        <v>0</v>
      </c>
      <c r="Z1249">
        <v>0</v>
      </c>
    </row>
    <row r="1250" spans="1:26" hidden="1" x14ac:dyDescent="0.25">
      <c r="A1250" t="s">
        <v>2968</v>
      </c>
      <c r="B1250" t="s">
        <v>2153</v>
      </c>
      <c r="C1250" s="4">
        <v>44645</v>
      </c>
      <c r="F1250" s="4">
        <v>45536</v>
      </c>
      <c r="G1250" t="s">
        <v>117</v>
      </c>
      <c r="H1250" t="s">
        <v>1500</v>
      </c>
      <c r="K1250" t="s">
        <v>83</v>
      </c>
      <c r="L1250" t="s">
        <v>2154</v>
      </c>
      <c r="M1250" t="s">
        <v>84</v>
      </c>
      <c r="N1250" t="s">
        <v>2160</v>
      </c>
      <c r="O1250" t="s">
        <v>32</v>
      </c>
      <c r="P1250" t="s">
        <v>2969</v>
      </c>
      <c r="Q1250">
        <v>178</v>
      </c>
      <c r="R1250">
        <v>178</v>
      </c>
      <c r="S1250" t="s">
        <v>56</v>
      </c>
      <c r="T1250" t="s">
        <v>57</v>
      </c>
      <c r="U1250" t="s">
        <v>44</v>
      </c>
      <c r="W1250">
        <v>178</v>
      </c>
      <c r="X1250">
        <v>178</v>
      </c>
      <c r="Y1250">
        <v>178</v>
      </c>
      <c r="Z1250">
        <v>178</v>
      </c>
    </row>
    <row r="1251" spans="1:26" hidden="1" x14ac:dyDescent="0.25">
      <c r="A1251" t="s">
        <v>2970</v>
      </c>
      <c r="B1251" t="s">
        <v>38</v>
      </c>
      <c r="C1251" s="4">
        <v>44530</v>
      </c>
      <c r="D1251" s="4">
        <v>45723</v>
      </c>
      <c r="F1251" s="4">
        <v>45596</v>
      </c>
      <c r="G1251" t="s">
        <v>65</v>
      </c>
      <c r="H1251" t="s">
        <v>1887</v>
      </c>
      <c r="K1251" t="s">
        <v>67</v>
      </c>
      <c r="L1251" t="s">
        <v>2154</v>
      </c>
      <c r="M1251" t="s">
        <v>68</v>
      </c>
      <c r="N1251" t="s">
        <v>2155</v>
      </c>
      <c r="O1251" t="s">
        <v>32</v>
      </c>
      <c r="P1251" t="s">
        <v>2971</v>
      </c>
      <c r="Q1251">
        <v>0</v>
      </c>
      <c r="R1251">
        <v>0</v>
      </c>
      <c r="S1251" t="s">
        <v>159</v>
      </c>
      <c r="T1251" t="s">
        <v>159</v>
      </c>
      <c r="U1251" t="s">
        <v>44</v>
      </c>
      <c r="W1251">
        <v>0</v>
      </c>
      <c r="X1251">
        <v>0</v>
      </c>
      <c r="Y1251">
        <v>0</v>
      </c>
      <c r="Z1251">
        <v>0</v>
      </c>
    </row>
    <row r="1252" spans="1:26" hidden="1" x14ac:dyDescent="0.25">
      <c r="A1252" t="s">
        <v>2972</v>
      </c>
      <c r="B1252" t="s">
        <v>25</v>
      </c>
      <c r="C1252" s="4">
        <v>44551</v>
      </c>
      <c r="F1252" s="4">
        <v>45596</v>
      </c>
      <c r="G1252" t="s">
        <v>1408</v>
      </c>
      <c r="H1252" t="s">
        <v>1462</v>
      </c>
      <c r="K1252" t="s">
        <v>146</v>
      </c>
      <c r="L1252" t="s">
        <v>2154</v>
      </c>
      <c r="M1252" t="s">
        <v>68</v>
      </c>
      <c r="N1252" t="s">
        <v>2155</v>
      </c>
      <c r="O1252" t="s">
        <v>32</v>
      </c>
      <c r="P1252" t="s">
        <v>2973</v>
      </c>
      <c r="Q1252">
        <v>144</v>
      </c>
      <c r="R1252">
        <v>144</v>
      </c>
      <c r="S1252" t="s">
        <v>34</v>
      </c>
      <c r="T1252" t="s">
        <v>35</v>
      </c>
      <c r="U1252" t="s">
        <v>44</v>
      </c>
      <c r="V1252" s="4">
        <v>46705</v>
      </c>
      <c r="W1252">
        <v>144</v>
      </c>
      <c r="X1252">
        <v>144</v>
      </c>
      <c r="Y1252">
        <v>144</v>
      </c>
      <c r="Z1252">
        <v>0</v>
      </c>
    </row>
    <row r="1253" spans="1:26" hidden="1" x14ac:dyDescent="0.25">
      <c r="A1253" t="s">
        <v>2974</v>
      </c>
      <c r="B1253" t="s">
        <v>2153</v>
      </c>
      <c r="C1253" s="4">
        <v>44501</v>
      </c>
      <c r="F1253" s="4">
        <v>45383</v>
      </c>
      <c r="G1253" t="s">
        <v>2975</v>
      </c>
      <c r="H1253" t="s">
        <v>2447</v>
      </c>
      <c r="K1253" t="s">
        <v>185</v>
      </c>
      <c r="L1253" t="s">
        <v>2154</v>
      </c>
      <c r="M1253" t="s">
        <v>42</v>
      </c>
      <c r="N1253" t="s">
        <v>2160</v>
      </c>
      <c r="O1253" t="s">
        <v>122</v>
      </c>
      <c r="P1253" t="s">
        <v>2976</v>
      </c>
      <c r="Q1253">
        <v>200</v>
      </c>
      <c r="R1253">
        <v>200</v>
      </c>
      <c r="S1253" t="s">
        <v>56</v>
      </c>
      <c r="T1253" t="s">
        <v>57</v>
      </c>
      <c r="U1253" t="s">
        <v>44</v>
      </c>
      <c r="W1253">
        <v>200</v>
      </c>
      <c r="X1253">
        <v>200</v>
      </c>
      <c r="Y1253">
        <v>200</v>
      </c>
      <c r="Z1253">
        <v>0</v>
      </c>
    </row>
    <row r="1254" spans="1:26" hidden="1" x14ac:dyDescent="0.25">
      <c r="A1254" t="s">
        <v>2977</v>
      </c>
      <c r="B1254" t="s">
        <v>38</v>
      </c>
      <c r="C1254" s="4">
        <v>44420</v>
      </c>
      <c r="D1254" s="4">
        <v>45573</v>
      </c>
      <c r="F1254" s="4">
        <v>45595</v>
      </c>
      <c r="G1254" t="s">
        <v>101</v>
      </c>
      <c r="H1254" t="s">
        <v>1505</v>
      </c>
      <c r="K1254" t="s">
        <v>98</v>
      </c>
      <c r="L1254" t="s">
        <v>2154</v>
      </c>
      <c r="M1254" t="s">
        <v>84</v>
      </c>
      <c r="N1254" t="s">
        <v>2160</v>
      </c>
      <c r="O1254" t="s">
        <v>32</v>
      </c>
      <c r="P1254" t="s">
        <v>2947</v>
      </c>
      <c r="Q1254">
        <v>200</v>
      </c>
      <c r="R1254">
        <v>200</v>
      </c>
      <c r="S1254" t="s">
        <v>34</v>
      </c>
      <c r="T1254" t="s">
        <v>35</v>
      </c>
      <c r="U1254" t="s">
        <v>44</v>
      </c>
      <c r="W1254">
        <v>0</v>
      </c>
      <c r="X1254">
        <v>0</v>
      </c>
      <c r="Y1254">
        <v>0</v>
      </c>
      <c r="Z1254">
        <v>0</v>
      </c>
    </row>
    <row r="1255" spans="1:26" hidden="1" x14ac:dyDescent="0.25">
      <c r="A1255" t="s">
        <v>2978</v>
      </c>
      <c r="B1255" t="s">
        <v>38</v>
      </c>
      <c r="C1255" s="4">
        <v>44755</v>
      </c>
      <c r="D1255" s="4">
        <v>46097</v>
      </c>
      <c r="F1255" s="4">
        <v>45596</v>
      </c>
      <c r="G1255" t="s">
        <v>65</v>
      </c>
      <c r="H1255" t="s">
        <v>1437</v>
      </c>
      <c r="K1255" t="s">
        <v>67</v>
      </c>
      <c r="L1255" t="s">
        <v>2154</v>
      </c>
      <c r="M1255" t="s">
        <v>68</v>
      </c>
      <c r="N1255" t="s">
        <v>2155</v>
      </c>
      <c r="O1255" t="s">
        <v>32</v>
      </c>
      <c r="P1255" t="s">
        <v>2979</v>
      </c>
      <c r="Q1255">
        <v>300</v>
      </c>
      <c r="R1255">
        <v>300</v>
      </c>
      <c r="S1255" t="s">
        <v>34</v>
      </c>
      <c r="T1255" t="s">
        <v>35</v>
      </c>
      <c r="U1255" t="s">
        <v>44</v>
      </c>
      <c r="V1255" s="4">
        <v>46691</v>
      </c>
      <c r="W1255">
        <v>300</v>
      </c>
      <c r="X1255">
        <v>300</v>
      </c>
      <c r="Y1255">
        <v>300</v>
      </c>
      <c r="Z1255">
        <v>0</v>
      </c>
    </row>
    <row r="1256" spans="1:26" hidden="1" x14ac:dyDescent="0.25">
      <c r="A1256" t="s">
        <v>2980</v>
      </c>
      <c r="B1256" t="s">
        <v>38</v>
      </c>
      <c r="C1256" s="4">
        <v>44425</v>
      </c>
      <c r="D1256" s="4">
        <v>45723</v>
      </c>
      <c r="F1256" s="4">
        <v>44897</v>
      </c>
      <c r="G1256" t="s">
        <v>2944</v>
      </c>
      <c r="H1256" t="s">
        <v>2703</v>
      </c>
      <c r="K1256" t="s">
        <v>151</v>
      </c>
      <c r="L1256" t="s">
        <v>2154</v>
      </c>
      <c r="M1256" t="s">
        <v>68</v>
      </c>
      <c r="N1256" t="s">
        <v>2155</v>
      </c>
      <c r="O1256" t="s">
        <v>32</v>
      </c>
      <c r="P1256" t="s">
        <v>2981</v>
      </c>
      <c r="Q1256">
        <v>100</v>
      </c>
      <c r="R1256">
        <v>100</v>
      </c>
      <c r="S1256" t="s">
        <v>159</v>
      </c>
      <c r="T1256" t="s">
        <v>159</v>
      </c>
      <c r="U1256" t="s">
        <v>44</v>
      </c>
      <c r="W1256">
        <v>100</v>
      </c>
      <c r="X1256">
        <v>100</v>
      </c>
      <c r="Y1256">
        <v>0</v>
      </c>
      <c r="Z1256">
        <v>0</v>
      </c>
    </row>
    <row r="1257" spans="1:26" hidden="1" x14ac:dyDescent="0.25">
      <c r="A1257" t="s">
        <v>2982</v>
      </c>
      <c r="B1257" t="s">
        <v>38</v>
      </c>
      <c r="C1257" s="4">
        <v>44420</v>
      </c>
      <c r="D1257" s="4">
        <v>46009</v>
      </c>
      <c r="F1257" s="4">
        <v>45595</v>
      </c>
      <c r="G1257" t="s">
        <v>1257</v>
      </c>
      <c r="H1257" t="s">
        <v>1663</v>
      </c>
      <c r="K1257" t="s">
        <v>98</v>
      </c>
      <c r="L1257" t="s">
        <v>2154</v>
      </c>
      <c r="M1257" t="s">
        <v>84</v>
      </c>
      <c r="N1257" t="s">
        <v>2160</v>
      </c>
      <c r="O1257" t="s">
        <v>32</v>
      </c>
      <c r="P1257" t="s">
        <v>2807</v>
      </c>
      <c r="Q1257">
        <v>100</v>
      </c>
      <c r="R1257">
        <v>100</v>
      </c>
      <c r="S1257" t="s">
        <v>159</v>
      </c>
      <c r="T1257" t="s">
        <v>159</v>
      </c>
      <c r="U1257" t="s">
        <v>44</v>
      </c>
      <c r="W1257">
        <v>100</v>
      </c>
      <c r="X1257">
        <v>0</v>
      </c>
      <c r="Y1257">
        <v>0</v>
      </c>
      <c r="Z1257">
        <v>0</v>
      </c>
    </row>
    <row r="1258" spans="1:26" hidden="1" x14ac:dyDescent="0.25">
      <c r="A1258" t="s">
        <v>2983</v>
      </c>
      <c r="B1258" t="s">
        <v>38</v>
      </c>
      <c r="C1258" s="4">
        <v>44414</v>
      </c>
      <c r="D1258" s="4">
        <v>45573</v>
      </c>
      <c r="F1258" s="4">
        <v>45595</v>
      </c>
      <c r="G1258" t="s">
        <v>101</v>
      </c>
      <c r="H1258" t="s">
        <v>2984</v>
      </c>
      <c r="K1258" t="s">
        <v>98</v>
      </c>
      <c r="L1258" t="s">
        <v>2154</v>
      </c>
      <c r="M1258" t="s">
        <v>84</v>
      </c>
      <c r="N1258" t="s">
        <v>2160</v>
      </c>
      <c r="O1258" t="s">
        <v>32</v>
      </c>
      <c r="P1258" t="s">
        <v>2985</v>
      </c>
      <c r="Q1258">
        <v>100</v>
      </c>
      <c r="R1258">
        <v>100</v>
      </c>
      <c r="S1258" t="s">
        <v>159</v>
      </c>
      <c r="T1258" t="s">
        <v>159</v>
      </c>
      <c r="U1258" t="s">
        <v>44</v>
      </c>
      <c r="W1258">
        <v>0</v>
      </c>
      <c r="X1258">
        <v>0</v>
      </c>
      <c r="Y1258">
        <v>0</v>
      </c>
      <c r="Z1258">
        <v>0</v>
      </c>
    </row>
    <row r="1259" spans="1:26" hidden="1" x14ac:dyDescent="0.25">
      <c r="A1259" t="s">
        <v>2986</v>
      </c>
      <c r="B1259" t="s">
        <v>38</v>
      </c>
      <c r="C1259" s="4">
        <v>44424</v>
      </c>
      <c r="D1259" s="4">
        <v>44456</v>
      </c>
      <c r="F1259" s="4">
        <v>45550</v>
      </c>
      <c r="G1259" t="s">
        <v>1381</v>
      </c>
      <c r="H1259" t="s">
        <v>2987</v>
      </c>
      <c r="K1259" t="s">
        <v>209</v>
      </c>
      <c r="L1259" t="s">
        <v>2154</v>
      </c>
      <c r="M1259" t="s">
        <v>42</v>
      </c>
      <c r="N1259" t="s">
        <v>2160</v>
      </c>
      <c r="O1259" t="s">
        <v>32</v>
      </c>
      <c r="P1259" t="s">
        <v>2988</v>
      </c>
      <c r="Q1259">
        <v>150</v>
      </c>
      <c r="R1259">
        <v>150</v>
      </c>
      <c r="S1259" t="s">
        <v>56</v>
      </c>
      <c r="T1259" t="s">
        <v>57</v>
      </c>
      <c r="W1259">
        <v>0</v>
      </c>
      <c r="X1259">
        <v>0</v>
      </c>
      <c r="Y1259">
        <v>0</v>
      </c>
      <c r="Z1259">
        <v>0</v>
      </c>
    </row>
    <row r="1260" spans="1:26" hidden="1" x14ac:dyDescent="0.25">
      <c r="A1260" t="s">
        <v>2989</v>
      </c>
      <c r="B1260" t="s">
        <v>38</v>
      </c>
      <c r="C1260" s="4">
        <v>44424</v>
      </c>
      <c r="D1260" s="4">
        <v>45723</v>
      </c>
      <c r="F1260" s="4">
        <v>45352</v>
      </c>
      <c r="G1260" t="s">
        <v>616</v>
      </c>
      <c r="H1260" t="s">
        <v>1792</v>
      </c>
      <c r="K1260" t="s">
        <v>146</v>
      </c>
      <c r="L1260" t="s">
        <v>2154</v>
      </c>
      <c r="M1260" t="s">
        <v>68</v>
      </c>
      <c r="N1260" t="s">
        <v>2155</v>
      </c>
      <c r="O1260" t="s">
        <v>32</v>
      </c>
      <c r="P1260" t="s">
        <v>2990</v>
      </c>
      <c r="Q1260">
        <v>80</v>
      </c>
      <c r="R1260">
        <v>80</v>
      </c>
      <c r="S1260" t="s">
        <v>34</v>
      </c>
      <c r="T1260" t="s">
        <v>35</v>
      </c>
      <c r="U1260" t="s">
        <v>44</v>
      </c>
      <c r="W1260">
        <v>80</v>
      </c>
      <c r="X1260">
        <v>0</v>
      </c>
      <c r="Y1260">
        <v>0</v>
      </c>
      <c r="Z1260">
        <v>0</v>
      </c>
    </row>
    <row r="1261" spans="1:26" hidden="1" x14ac:dyDescent="0.25">
      <c r="A1261" t="s">
        <v>2991</v>
      </c>
      <c r="B1261" t="s">
        <v>2153</v>
      </c>
      <c r="C1261" s="4">
        <v>44648</v>
      </c>
      <c r="F1261" s="4">
        <v>45443</v>
      </c>
      <c r="G1261" t="s">
        <v>117</v>
      </c>
      <c r="H1261" t="s">
        <v>1382</v>
      </c>
      <c r="K1261" t="s">
        <v>83</v>
      </c>
      <c r="L1261" t="s">
        <v>2154</v>
      </c>
      <c r="M1261" t="s">
        <v>84</v>
      </c>
      <c r="N1261" t="s">
        <v>2160</v>
      </c>
      <c r="O1261" t="s">
        <v>32</v>
      </c>
      <c r="P1261" t="s">
        <v>2992</v>
      </c>
      <c r="Q1261">
        <v>175</v>
      </c>
      <c r="R1261">
        <v>175</v>
      </c>
      <c r="S1261" t="s">
        <v>34</v>
      </c>
      <c r="T1261" t="s">
        <v>35</v>
      </c>
      <c r="U1261" t="s">
        <v>44</v>
      </c>
      <c r="W1261">
        <v>175</v>
      </c>
      <c r="X1261">
        <v>175</v>
      </c>
      <c r="Y1261">
        <v>175</v>
      </c>
      <c r="Z1261">
        <v>175</v>
      </c>
    </row>
    <row r="1262" spans="1:26" hidden="1" x14ac:dyDescent="0.25">
      <c r="A1262" t="s">
        <v>2993</v>
      </c>
      <c r="B1262" t="s">
        <v>38</v>
      </c>
      <c r="C1262" s="4">
        <v>44420</v>
      </c>
      <c r="D1262" s="4">
        <v>45573</v>
      </c>
      <c r="F1262" s="4">
        <v>45597</v>
      </c>
      <c r="G1262" t="s">
        <v>1973</v>
      </c>
      <c r="H1262" t="s">
        <v>2994</v>
      </c>
      <c r="K1262" t="s">
        <v>98</v>
      </c>
      <c r="L1262" t="s">
        <v>2154</v>
      </c>
      <c r="M1262" t="s">
        <v>84</v>
      </c>
      <c r="N1262" t="s">
        <v>2160</v>
      </c>
      <c r="O1262" t="s">
        <v>32</v>
      </c>
      <c r="P1262" t="s">
        <v>2995</v>
      </c>
      <c r="Q1262">
        <v>199.99</v>
      </c>
      <c r="R1262">
        <v>199.99</v>
      </c>
      <c r="S1262" t="s">
        <v>34</v>
      </c>
      <c r="T1262" t="s">
        <v>35</v>
      </c>
      <c r="U1262" t="s">
        <v>44</v>
      </c>
      <c r="W1262">
        <v>0</v>
      </c>
      <c r="X1262">
        <v>0</v>
      </c>
      <c r="Y1262">
        <v>0</v>
      </c>
      <c r="Z1262">
        <v>0</v>
      </c>
    </row>
    <row r="1263" spans="1:26" hidden="1" x14ac:dyDescent="0.25">
      <c r="A1263" t="s">
        <v>2996</v>
      </c>
      <c r="B1263" t="s">
        <v>2153</v>
      </c>
      <c r="C1263" s="4">
        <v>44476</v>
      </c>
      <c r="F1263" s="4">
        <v>45138</v>
      </c>
      <c r="G1263" t="s">
        <v>52</v>
      </c>
      <c r="H1263" t="s">
        <v>2298</v>
      </c>
      <c r="K1263" t="s">
        <v>53</v>
      </c>
      <c r="L1263" t="s">
        <v>2154</v>
      </c>
      <c r="M1263" t="s">
        <v>54</v>
      </c>
      <c r="N1263" t="s">
        <v>2155</v>
      </c>
      <c r="O1263" t="s">
        <v>32</v>
      </c>
      <c r="P1263" t="s">
        <v>2997</v>
      </c>
      <c r="Q1263">
        <v>251.5</v>
      </c>
      <c r="R1263">
        <v>251.5</v>
      </c>
      <c r="S1263" t="s">
        <v>56</v>
      </c>
      <c r="T1263" t="s">
        <v>57</v>
      </c>
      <c r="U1263" t="s">
        <v>44</v>
      </c>
      <c r="W1263">
        <v>149.24</v>
      </c>
      <c r="X1263">
        <v>149.24</v>
      </c>
      <c r="Y1263">
        <v>149.24</v>
      </c>
      <c r="Z1263">
        <v>0</v>
      </c>
    </row>
    <row r="1264" spans="1:26" hidden="1" x14ac:dyDescent="0.25">
      <c r="A1264" t="s">
        <v>2998</v>
      </c>
      <c r="B1264" t="s">
        <v>25</v>
      </c>
      <c r="C1264" s="4">
        <v>44480</v>
      </c>
      <c r="F1264" s="4">
        <v>47319</v>
      </c>
      <c r="G1264" t="s">
        <v>1326</v>
      </c>
      <c r="H1264" t="s">
        <v>1437</v>
      </c>
      <c r="K1264" t="s">
        <v>67</v>
      </c>
      <c r="L1264" t="s">
        <v>2154</v>
      </c>
      <c r="M1264" t="s">
        <v>68</v>
      </c>
      <c r="N1264" t="s">
        <v>2155</v>
      </c>
      <c r="O1264" t="s">
        <v>32</v>
      </c>
      <c r="P1264" t="s">
        <v>2999</v>
      </c>
      <c r="Q1264">
        <v>625</v>
      </c>
      <c r="R1264">
        <v>625</v>
      </c>
      <c r="S1264" t="s">
        <v>34</v>
      </c>
      <c r="T1264" t="s">
        <v>35</v>
      </c>
      <c r="U1264" t="s">
        <v>44</v>
      </c>
      <c r="V1264" s="4">
        <v>46997</v>
      </c>
      <c r="W1264">
        <v>652</v>
      </c>
      <c r="X1264">
        <v>652</v>
      </c>
      <c r="Y1264">
        <v>625</v>
      </c>
      <c r="Z1264">
        <v>0</v>
      </c>
    </row>
    <row r="1265" spans="1:26" hidden="1" x14ac:dyDescent="0.25">
      <c r="A1265" t="s">
        <v>3000</v>
      </c>
      <c r="B1265" t="s">
        <v>25</v>
      </c>
      <c r="C1265" s="4">
        <v>44480</v>
      </c>
      <c r="F1265" s="4">
        <v>47319</v>
      </c>
      <c r="G1265" t="s">
        <v>1326</v>
      </c>
      <c r="H1265" t="s">
        <v>1437</v>
      </c>
      <c r="K1265" t="s">
        <v>67</v>
      </c>
      <c r="L1265" t="s">
        <v>2154</v>
      </c>
      <c r="M1265" t="s">
        <v>68</v>
      </c>
      <c r="N1265" t="s">
        <v>2155</v>
      </c>
      <c r="O1265" t="s">
        <v>32</v>
      </c>
      <c r="P1265" t="s">
        <v>2999</v>
      </c>
      <c r="Q1265">
        <v>625</v>
      </c>
      <c r="R1265">
        <v>625</v>
      </c>
      <c r="S1265" t="s">
        <v>34</v>
      </c>
      <c r="T1265" t="s">
        <v>35</v>
      </c>
      <c r="U1265" t="s">
        <v>44</v>
      </c>
      <c r="V1265" s="4">
        <v>47024</v>
      </c>
      <c r="W1265">
        <v>652</v>
      </c>
      <c r="X1265">
        <v>652</v>
      </c>
      <c r="Y1265">
        <v>625</v>
      </c>
      <c r="Z1265">
        <v>0</v>
      </c>
    </row>
    <row r="1266" spans="1:26" hidden="1" x14ac:dyDescent="0.25">
      <c r="A1266" t="s">
        <v>3001</v>
      </c>
      <c r="B1266" t="s">
        <v>38</v>
      </c>
      <c r="C1266" s="4">
        <v>44439</v>
      </c>
      <c r="D1266" s="4">
        <v>45573</v>
      </c>
      <c r="F1266" s="4">
        <v>45535</v>
      </c>
      <c r="G1266" t="s">
        <v>101</v>
      </c>
      <c r="H1266" t="s">
        <v>1387</v>
      </c>
      <c r="K1266" t="s">
        <v>98</v>
      </c>
      <c r="L1266" t="s">
        <v>2154</v>
      </c>
      <c r="M1266" t="s">
        <v>84</v>
      </c>
      <c r="N1266" t="s">
        <v>2160</v>
      </c>
      <c r="O1266" t="s">
        <v>32</v>
      </c>
      <c r="P1266" t="s">
        <v>3002</v>
      </c>
      <c r="Q1266">
        <v>100</v>
      </c>
      <c r="R1266">
        <v>100</v>
      </c>
      <c r="S1266" t="s">
        <v>159</v>
      </c>
      <c r="T1266" t="s">
        <v>159</v>
      </c>
      <c r="U1266" t="s">
        <v>44</v>
      </c>
      <c r="W1266">
        <v>0</v>
      </c>
      <c r="X1266">
        <v>0</v>
      </c>
      <c r="Y1266">
        <v>0</v>
      </c>
      <c r="Z1266">
        <v>0</v>
      </c>
    </row>
    <row r="1267" spans="1:26" hidden="1" x14ac:dyDescent="0.25">
      <c r="A1267" t="s">
        <v>3003</v>
      </c>
      <c r="B1267" t="s">
        <v>38</v>
      </c>
      <c r="C1267" s="4">
        <v>44480</v>
      </c>
      <c r="D1267" s="4">
        <v>45224</v>
      </c>
      <c r="F1267" s="4">
        <v>45324</v>
      </c>
      <c r="G1267" t="s">
        <v>65</v>
      </c>
      <c r="H1267" t="s">
        <v>3004</v>
      </c>
      <c r="K1267" t="s">
        <v>67</v>
      </c>
      <c r="L1267" t="s">
        <v>2154</v>
      </c>
      <c r="M1267" t="s">
        <v>68</v>
      </c>
      <c r="N1267" t="s">
        <v>2155</v>
      </c>
      <c r="O1267" t="s">
        <v>32</v>
      </c>
      <c r="P1267" t="s">
        <v>3005</v>
      </c>
      <c r="Q1267">
        <v>88</v>
      </c>
      <c r="R1267">
        <v>88</v>
      </c>
      <c r="S1267" t="s">
        <v>34</v>
      </c>
      <c r="T1267" t="s">
        <v>35</v>
      </c>
      <c r="U1267" t="s">
        <v>44</v>
      </c>
      <c r="W1267">
        <v>0</v>
      </c>
      <c r="X1267">
        <v>0</v>
      </c>
      <c r="Y1267">
        <v>0</v>
      </c>
      <c r="Z1267">
        <v>0</v>
      </c>
    </row>
    <row r="1268" spans="1:26" hidden="1" x14ac:dyDescent="0.25">
      <c r="A1268" t="s">
        <v>3006</v>
      </c>
      <c r="B1268" t="s">
        <v>2153</v>
      </c>
      <c r="C1268" s="4">
        <v>45854</v>
      </c>
      <c r="F1268" s="4">
        <v>45337</v>
      </c>
      <c r="G1268" t="s">
        <v>1251</v>
      </c>
      <c r="H1268" t="s">
        <v>1341</v>
      </c>
      <c r="K1268" t="s">
        <v>109</v>
      </c>
      <c r="L1268" t="s">
        <v>2154</v>
      </c>
      <c r="M1268" t="s">
        <v>84</v>
      </c>
      <c r="N1268" t="s">
        <v>2160</v>
      </c>
      <c r="O1268" t="s">
        <v>32</v>
      </c>
      <c r="P1268" t="s">
        <v>3007</v>
      </c>
      <c r="Q1268">
        <v>200</v>
      </c>
      <c r="R1268">
        <v>200</v>
      </c>
      <c r="S1268" t="s">
        <v>597</v>
      </c>
      <c r="T1268" t="s">
        <v>598</v>
      </c>
      <c r="U1268" t="s">
        <v>44</v>
      </c>
      <c r="W1268">
        <v>200</v>
      </c>
      <c r="X1268">
        <v>200</v>
      </c>
      <c r="Y1268">
        <v>200</v>
      </c>
      <c r="Z1268">
        <v>200</v>
      </c>
    </row>
    <row r="1269" spans="1:26" hidden="1" x14ac:dyDescent="0.25">
      <c r="A1269" t="s">
        <v>3008</v>
      </c>
      <c r="B1269" t="s">
        <v>2153</v>
      </c>
      <c r="C1269" s="4">
        <v>45817</v>
      </c>
      <c r="F1269" s="4">
        <v>45747</v>
      </c>
      <c r="G1269" t="s">
        <v>117</v>
      </c>
      <c r="H1269" t="s">
        <v>1762</v>
      </c>
      <c r="K1269" t="s">
        <v>83</v>
      </c>
      <c r="L1269" t="s">
        <v>2154</v>
      </c>
      <c r="M1269" t="s">
        <v>84</v>
      </c>
      <c r="N1269" t="s">
        <v>2160</v>
      </c>
      <c r="O1269" t="s">
        <v>32</v>
      </c>
      <c r="P1269" t="s">
        <v>3009</v>
      </c>
      <c r="Q1269">
        <v>175</v>
      </c>
      <c r="R1269">
        <v>175</v>
      </c>
      <c r="S1269" t="s">
        <v>597</v>
      </c>
      <c r="T1269" t="s">
        <v>598</v>
      </c>
      <c r="U1269" t="s">
        <v>44</v>
      </c>
      <c r="W1269">
        <v>175</v>
      </c>
      <c r="X1269">
        <v>175</v>
      </c>
      <c r="Y1269">
        <v>175</v>
      </c>
      <c r="Z1269">
        <v>175</v>
      </c>
    </row>
    <row r="1270" spans="1:26" hidden="1" x14ac:dyDescent="0.25">
      <c r="A1270" t="s">
        <v>3010</v>
      </c>
      <c r="B1270" t="s">
        <v>2153</v>
      </c>
      <c r="C1270" s="4">
        <v>44644</v>
      </c>
      <c r="F1270" s="4">
        <v>45747</v>
      </c>
      <c r="G1270" t="s">
        <v>117</v>
      </c>
      <c r="H1270" t="s">
        <v>3011</v>
      </c>
      <c r="K1270" t="s">
        <v>83</v>
      </c>
      <c r="L1270" t="s">
        <v>2154</v>
      </c>
      <c r="M1270" t="s">
        <v>84</v>
      </c>
      <c r="N1270" t="s">
        <v>2160</v>
      </c>
      <c r="O1270" t="s">
        <v>32</v>
      </c>
      <c r="P1270" t="s">
        <v>3012</v>
      </c>
      <c r="Q1270">
        <v>250</v>
      </c>
      <c r="R1270">
        <v>250</v>
      </c>
      <c r="S1270" t="s">
        <v>597</v>
      </c>
      <c r="T1270" t="s">
        <v>598</v>
      </c>
      <c r="U1270" t="s">
        <v>44</v>
      </c>
      <c r="W1270">
        <v>250</v>
      </c>
      <c r="X1270">
        <v>250</v>
      </c>
      <c r="Y1270">
        <v>225</v>
      </c>
      <c r="Z1270">
        <v>225</v>
      </c>
    </row>
    <row r="1271" spans="1:26" hidden="1" x14ac:dyDescent="0.25">
      <c r="A1271" t="s">
        <v>3013</v>
      </c>
      <c r="B1271" t="s">
        <v>2153</v>
      </c>
      <c r="C1271" s="4">
        <v>44419</v>
      </c>
      <c r="F1271" s="4">
        <v>45595</v>
      </c>
      <c r="G1271" t="s">
        <v>72</v>
      </c>
      <c r="H1271" t="s">
        <v>2246</v>
      </c>
      <c r="K1271" t="s">
        <v>209</v>
      </c>
      <c r="L1271" t="s">
        <v>2154</v>
      </c>
      <c r="M1271" t="s">
        <v>42</v>
      </c>
      <c r="N1271" t="s">
        <v>2160</v>
      </c>
      <c r="O1271" t="s">
        <v>32</v>
      </c>
      <c r="P1271" t="s">
        <v>3014</v>
      </c>
      <c r="Q1271">
        <v>400</v>
      </c>
      <c r="R1271">
        <v>400</v>
      </c>
      <c r="S1271" t="s">
        <v>34</v>
      </c>
      <c r="T1271" t="s">
        <v>35</v>
      </c>
      <c r="U1271" t="s">
        <v>44</v>
      </c>
      <c r="W1271">
        <v>370</v>
      </c>
      <c r="X1271">
        <v>370</v>
      </c>
      <c r="Y1271">
        <v>370</v>
      </c>
      <c r="Z1271">
        <v>370</v>
      </c>
    </row>
    <row r="1272" spans="1:26" hidden="1" x14ac:dyDescent="0.25">
      <c r="A1272" t="s">
        <v>3015</v>
      </c>
      <c r="B1272" t="s">
        <v>38</v>
      </c>
      <c r="C1272" s="4">
        <v>44726</v>
      </c>
      <c r="D1272" s="4">
        <v>45573</v>
      </c>
      <c r="F1272" s="4">
        <v>45505</v>
      </c>
      <c r="G1272" t="s">
        <v>101</v>
      </c>
      <c r="H1272" t="s">
        <v>1583</v>
      </c>
      <c r="K1272" t="s">
        <v>98</v>
      </c>
      <c r="L1272" t="s">
        <v>2154</v>
      </c>
      <c r="M1272" t="s">
        <v>84</v>
      </c>
      <c r="N1272" t="s">
        <v>2160</v>
      </c>
      <c r="O1272" t="s">
        <v>32</v>
      </c>
      <c r="P1272" t="s">
        <v>3016</v>
      </c>
      <c r="Q1272">
        <v>300</v>
      </c>
      <c r="R1272">
        <v>300</v>
      </c>
      <c r="S1272" t="s">
        <v>34</v>
      </c>
      <c r="T1272" t="s">
        <v>35</v>
      </c>
      <c r="U1272" t="s">
        <v>44</v>
      </c>
      <c r="W1272">
        <v>0</v>
      </c>
      <c r="X1272">
        <v>0</v>
      </c>
      <c r="Y1272">
        <v>0</v>
      </c>
      <c r="Z1272">
        <v>0</v>
      </c>
    </row>
    <row r="1273" spans="1:26" hidden="1" x14ac:dyDescent="0.25">
      <c r="A1273" t="s">
        <v>3017</v>
      </c>
      <c r="B1273" t="s">
        <v>2153</v>
      </c>
      <c r="C1273" s="4">
        <v>44424</v>
      </c>
      <c r="F1273" s="4">
        <v>45595</v>
      </c>
      <c r="G1273" t="s">
        <v>138</v>
      </c>
      <c r="H1273" t="s">
        <v>1805</v>
      </c>
      <c r="K1273" t="s">
        <v>98</v>
      </c>
      <c r="L1273" t="s">
        <v>2154</v>
      </c>
      <c r="M1273" t="s">
        <v>84</v>
      </c>
      <c r="N1273" t="s">
        <v>2160</v>
      </c>
      <c r="O1273" t="s">
        <v>32</v>
      </c>
      <c r="P1273" t="s">
        <v>2836</v>
      </c>
      <c r="Q1273">
        <v>300</v>
      </c>
      <c r="R1273">
        <v>300</v>
      </c>
      <c r="S1273" t="s">
        <v>34</v>
      </c>
      <c r="T1273" t="s">
        <v>35</v>
      </c>
      <c r="U1273" t="s">
        <v>44</v>
      </c>
      <c r="W1273">
        <v>300</v>
      </c>
      <c r="X1273">
        <v>0</v>
      </c>
      <c r="Y1273">
        <v>300</v>
      </c>
      <c r="Z1273">
        <v>0</v>
      </c>
    </row>
    <row r="1274" spans="1:26" hidden="1" x14ac:dyDescent="0.25">
      <c r="A1274" t="s">
        <v>3018</v>
      </c>
      <c r="B1274" t="s">
        <v>38</v>
      </c>
      <c r="C1274" s="4">
        <v>44398</v>
      </c>
      <c r="D1274" s="4">
        <v>45566</v>
      </c>
      <c r="F1274" s="4">
        <v>45658</v>
      </c>
      <c r="G1274" t="s">
        <v>1278</v>
      </c>
      <c r="H1274" t="s">
        <v>1645</v>
      </c>
      <c r="K1274" t="s">
        <v>28</v>
      </c>
      <c r="L1274" t="s">
        <v>2154</v>
      </c>
      <c r="M1274" t="s">
        <v>30</v>
      </c>
      <c r="N1274" t="s">
        <v>2155</v>
      </c>
      <c r="O1274" t="s">
        <v>32</v>
      </c>
      <c r="P1274" t="s">
        <v>3019</v>
      </c>
      <c r="Q1274">
        <v>200</v>
      </c>
      <c r="R1274">
        <v>200</v>
      </c>
      <c r="S1274" t="s">
        <v>34</v>
      </c>
      <c r="T1274" t="s">
        <v>35</v>
      </c>
      <c r="U1274" t="s">
        <v>44</v>
      </c>
      <c r="W1274">
        <v>200</v>
      </c>
      <c r="X1274">
        <v>200</v>
      </c>
      <c r="Y1274">
        <v>0</v>
      </c>
      <c r="Z1274">
        <v>0</v>
      </c>
    </row>
    <row r="1275" spans="1:26" hidden="1" x14ac:dyDescent="0.25">
      <c r="A1275" t="s">
        <v>3020</v>
      </c>
      <c r="B1275" t="s">
        <v>2153</v>
      </c>
      <c r="C1275" s="4">
        <v>44399</v>
      </c>
      <c r="F1275" s="4">
        <v>45536</v>
      </c>
      <c r="G1275" t="s">
        <v>72</v>
      </c>
      <c r="H1275" t="s">
        <v>1430</v>
      </c>
      <c r="K1275" t="s">
        <v>209</v>
      </c>
      <c r="L1275" t="s">
        <v>2154</v>
      </c>
      <c r="M1275" t="s">
        <v>42</v>
      </c>
      <c r="N1275" t="s">
        <v>2160</v>
      </c>
      <c r="O1275" t="s">
        <v>32</v>
      </c>
      <c r="P1275" t="s">
        <v>3021</v>
      </c>
      <c r="Q1275">
        <v>250</v>
      </c>
      <c r="R1275">
        <v>250</v>
      </c>
      <c r="S1275" t="s">
        <v>597</v>
      </c>
      <c r="T1275" t="s">
        <v>598</v>
      </c>
      <c r="U1275" t="s">
        <v>44</v>
      </c>
      <c r="V1275" s="4">
        <v>46296</v>
      </c>
      <c r="W1275">
        <v>250</v>
      </c>
      <c r="X1275">
        <v>250</v>
      </c>
      <c r="Y1275">
        <v>250</v>
      </c>
      <c r="Z1275">
        <v>250</v>
      </c>
    </row>
    <row r="1276" spans="1:26" hidden="1" x14ac:dyDescent="0.25">
      <c r="A1276" t="s">
        <v>3022</v>
      </c>
      <c r="B1276" t="s">
        <v>2153</v>
      </c>
      <c r="C1276" s="4">
        <v>45841</v>
      </c>
      <c r="F1276" s="4">
        <v>45382</v>
      </c>
      <c r="G1276" t="s">
        <v>117</v>
      </c>
      <c r="H1276" t="s">
        <v>1430</v>
      </c>
      <c r="K1276" t="s">
        <v>83</v>
      </c>
      <c r="L1276" t="s">
        <v>2154</v>
      </c>
      <c r="M1276" t="s">
        <v>84</v>
      </c>
      <c r="N1276" t="s">
        <v>2160</v>
      </c>
      <c r="O1276" t="s">
        <v>32</v>
      </c>
      <c r="P1276" t="s">
        <v>3023</v>
      </c>
      <c r="Q1276">
        <v>175</v>
      </c>
      <c r="R1276">
        <v>175</v>
      </c>
      <c r="S1276" t="s">
        <v>597</v>
      </c>
      <c r="T1276" t="s">
        <v>598</v>
      </c>
      <c r="U1276" t="s">
        <v>44</v>
      </c>
      <c r="W1276">
        <v>175</v>
      </c>
      <c r="X1276">
        <v>175</v>
      </c>
      <c r="Y1276">
        <v>175</v>
      </c>
      <c r="Z1276">
        <v>175</v>
      </c>
    </row>
    <row r="1277" spans="1:26" hidden="1" x14ac:dyDescent="0.25">
      <c r="A1277" t="s">
        <v>3024</v>
      </c>
      <c r="B1277" t="s">
        <v>38</v>
      </c>
      <c r="C1277" s="4">
        <v>44398</v>
      </c>
      <c r="D1277" s="4">
        <v>46009</v>
      </c>
      <c r="F1277" s="4">
        <v>45566</v>
      </c>
      <c r="G1277" t="s">
        <v>1251</v>
      </c>
      <c r="H1277" t="s">
        <v>3025</v>
      </c>
      <c r="K1277" t="s">
        <v>109</v>
      </c>
      <c r="L1277" t="s">
        <v>2154</v>
      </c>
      <c r="M1277" t="s">
        <v>84</v>
      </c>
      <c r="N1277" t="s">
        <v>2160</v>
      </c>
      <c r="O1277" t="s">
        <v>32</v>
      </c>
      <c r="P1277" t="s">
        <v>3026</v>
      </c>
      <c r="Q1277">
        <v>170</v>
      </c>
      <c r="R1277">
        <v>170</v>
      </c>
      <c r="S1277" t="s">
        <v>597</v>
      </c>
      <c r="T1277" t="s">
        <v>598</v>
      </c>
      <c r="U1277" t="s">
        <v>44</v>
      </c>
      <c r="W1277">
        <v>170</v>
      </c>
      <c r="X1277">
        <v>104</v>
      </c>
      <c r="Y1277">
        <v>0</v>
      </c>
      <c r="Z1277">
        <v>0</v>
      </c>
    </row>
    <row r="1278" spans="1:26" hidden="1" x14ac:dyDescent="0.25">
      <c r="A1278" t="s">
        <v>3027</v>
      </c>
      <c r="B1278" t="s">
        <v>2153</v>
      </c>
      <c r="C1278" s="4">
        <v>44642</v>
      </c>
      <c r="F1278" s="4">
        <v>45961</v>
      </c>
      <c r="G1278" t="s">
        <v>132</v>
      </c>
      <c r="H1278" t="s">
        <v>3028</v>
      </c>
      <c r="K1278" t="s">
        <v>83</v>
      </c>
      <c r="L1278" t="s">
        <v>2154</v>
      </c>
      <c r="M1278" t="s">
        <v>84</v>
      </c>
      <c r="N1278" t="s">
        <v>2160</v>
      </c>
      <c r="O1278" t="s">
        <v>32</v>
      </c>
      <c r="P1278" t="s">
        <v>3029</v>
      </c>
      <c r="Q1278">
        <v>250</v>
      </c>
      <c r="R1278">
        <v>250</v>
      </c>
      <c r="S1278" t="s">
        <v>56</v>
      </c>
      <c r="T1278" t="s">
        <v>57</v>
      </c>
      <c r="U1278" t="s">
        <v>44</v>
      </c>
      <c r="W1278">
        <v>250</v>
      </c>
      <c r="X1278">
        <v>250</v>
      </c>
      <c r="Y1278">
        <v>250</v>
      </c>
      <c r="Z1278">
        <v>250</v>
      </c>
    </row>
    <row r="1279" spans="1:26" hidden="1" x14ac:dyDescent="0.25">
      <c r="A1279" t="s">
        <v>3030</v>
      </c>
      <c r="B1279" t="s">
        <v>2153</v>
      </c>
      <c r="C1279" s="4">
        <v>44662</v>
      </c>
      <c r="F1279" s="4">
        <v>44562</v>
      </c>
      <c r="G1279" t="s">
        <v>3031</v>
      </c>
      <c r="H1279" t="s">
        <v>3032</v>
      </c>
      <c r="K1279" t="s">
        <v>41</v>
      </c>
      <c r="L1279" t="s">
        <v>2154</v>
      </c>
      <c r="M1279" t="s">
        <v>42</v>
      </c>
      <c r="N1279" t="s">
        <v>2160</v>
      </c>
      <c r="O1279" t="s">
        <v>32</v>
      </c>
      <c r="P1279" t="s">
        <v>3033</v>
      </c>
      <c r="Q1279">
        <v>39.5</v>
      </c>
      <c r="R1279">
        <v>39.5</v>
      </c>
      <c r="S1279" t="s">
        <v>34</v>
      </c>
      <c r="T1279" t="s">
        <v>945</v>
      </c>
      <c r="U1279" t="s">
        <v>44</v>
      </c>
      <c r="W1279">
        <v>39.5</v>
      </c>
      <c r="X1279">
        <v>39.5</v>
      </c>
      <c r="Y1279">
        <v>39.5</v>
      </c>
      <c r="Z1279">
        <v>39.5</v>
      </c>
    </row>
    <row r="1280" spans="1:26" hidden="1" x14ac:dyDescent="0.25">
      <c r="A1280" t="s">
        <v>3034</v>
      </c>
      <c r="B1280" t="s">
        <v>38</v>
      </c>
      <c r="C1280" s="4">
        <v>44687</v>
      </c>
      <c r="D1280" s="4">
        <v>45938</v>
      </c>
      <c r="F1280" s="4">
        <v>45139</v>
      </c>
      <c r="G1280" t="s">
        <v>1278</v>
      </c>
      <c r="H1280" t="s">
        <v>1493</v>
      </c>
      <c r="K1280" t="s">
        <v>28</v>
      </c>
      <c r="L1280" t="s">
        <v>2154</v>
      </c>
      <c r="M1280" t="s">
        <v>30</v>
      </c>
      <c r="N1280" t="s">
        <v>2155</v>
      </c>
      <c r="O1280" t="s">
        <v>32</v>
      </c>
      <c r="P1280" t="s">
        <v>3035</v>
      </c>
      <c r="Q1280">
        <v>0</v>
      </c>
      <c r="R1280">
        <v>0</v>
      </c>
      <c r="S1280" t="s">
        <v>159</v>
      </c>
      <c r="T1280" t="s">
        <v>159</v>
      </c>
      <c r="U1280" t="s">
        <v>44</v>
      </c>
      <c r="W1280">
        <v>0</v>
      </c>
      <c r="X1280">
        <v>0</v>
      </c>
      <c r="Y1280">
        <v>0</v>
      </c>
      <c r="Z1280">
        <v>0</v>
      </c>
    </row>
    <row r="1281" spans="1:26" hidden="1" x14ac:dyDescent="0.25">
      <c r="A1281" t="s">
        <v>3036</v>
      </c>
      <c r="B1281" t="s">
        <v>38</v>
      </c>
      <c r="C1281" s="4">
        <v>44648</v>
      </c>
      <c r="D1281" s="4">
        <v>45573</v>
      </c>
      <c r="F1281" s="4">
        <v>45991</v>
      </c>
      <c r="G1281" t="s">
        <v>117</v>
      </c>
      <c r="H1281" t="s">
        <v>1762</v>
      </c>
      <c r="K1281" t="s">
        <v>83</v>
      </c>
      <c r="L1281" t="s">
        <v>2154</v>
      </c>
      <c r="M1281" t="s">
        <v>84</v>
      </c>
      <c r="N1281" t="s">
        <v>2160</v>
      </c>
      <c r="O1281" t="s">
        <v>32</v>
      </c>
      <c r="P1281" t="s">
        <v>1345</v>
      </c>
      <c r="Q1281">
        <v>60</v>
      </c>
      <c r="R1281">
        <v>60</v>
      </c>
      <c r="S1281" t="s">
        <v>597</v>
      </c>
      <c r="T1281" t="s">
        <v>598</v>
      </c>
      <c r="U1281" t="s">
        <v>44</v>
      </c>
      <c r="W1281">
        <v>0</v>
      </c>
      <c r="X1281">
        <v>0</v>
      </c>
      <c r="Y1281">
        <v>0</v>
      </c>
      <c r="Z1281">
        <v>0</v>
      </c>
    </row>
    <row r="1282" spans="1:26" hidden="1" x14ac:dyDescent="0.25">
      <c r="A1282" t="s">
        <v>3037</v>
      </c>
      <c r="B1282" t="s">
        <v>38</v>
      </c>
      <c r="C1282" s="4">
        <v>44398</v>
      </c>
      <c r="D1282" s="4">
        <v>45719</v>
      </c>
      <c r="F1282" s="4">
        <v>45870</v>
      </c>
      <c r="G1282" t="s">
        <v>2735</v>
      </c>
      <c r="H1282" t="s">
        <v>1442</v>
      </c>
      <c r="K1282" t="s">
        <v>53</v>
      </c>
      <c r="L1282" t="s">
        <v>2154</v>
      </c>
      <c r="M1282" t="s">
        <v>54</v>
      </c>
      <c r="N1282" t="s">
        <v>2155</v>
      </c>
      <c r="O1282" t="s">
        <v>32</v>
      </c>
      <c r="P1282" t="s">
        <v>3038</v>
      </c>
      <c r="Q1282">
        <v>150</v>
      </c>
      <c r="R1282">
        <v>150</v>
      </c>
      <c r="S1282" t="s">
        <v>597</v>
      </c>
      <c r="T1282" t="s">
        <v>598</v>
      </c>
      <c r="U1282" t="s">
        <v>44</v>
      </c>
      <c r="W1282">
        <v>150</v>
      </c>
      <c r="X1282">
        <v>150</v>
      </c>
      <c r="Y1282">
        <v>0</v>
      </c>
      <c r="Z1282">
        <v>0</v>
      </c>
    </row>
    <row r="1283" spans="1:26" hidden="1" x14ac:dyDescent="0.25">
      <c r="A1283" t="s">
        <v>3039</v>
      </c>
      <c r="B1283" t="s">
        <v>2153</v>
      </c>
      <c r="C1283" s="4">
        <v>44648</v>
      </c>
      <c r="F1283" s="4">
        <v>45078</v>
      </c>
      <c r="G1283" t="s">
        <v>691</v>
      </c>
      <c r="K1283" t="s">
        <v>98</v>
      </c>
      <c r="L1283" t="s">
        <v>2154</v>
      </c>
      <c r="M1283" t="s">
        <v>84</v>
      </c>
      <c r="N1283" t="s">
        <v>2160</v>
      </c>
      <c r="O1283" t="s">
        <v>32</v>
      </c>
      <c r="P1283" t="s">
        <v>3040</v>
      </c>
      <c r="Q1283">
        <v>198</v>
      </c>
      <c r="R1283">
        <v>198</v>
      </c>
      <c r="S1283" t="s">
        <v>159</v>
      </c>
      <c r="T1283" t="s">
        <v>159</v>
      </c>
      <c r="U1283" t="s">
        <v>44</v>
      </c>
      <c r="W1283">
        <v>198</v>
      </c>
      <c r="X1283">
        <v>198</v>
      </c>
      <c r="Y1283">
        <v>198</v>
      </c>
      <c r="Z1283">
        <v>198</v>
      </c>
    </row>
    <row r="1284" spans="1:26" hidden="1" x14ac:dyDescent="0.25">
      <c r="A1284" t="s">
        <v>3041</v>
      </c>
      <c r="B1284" t="s">
        <v>38</v>
      </c>
      <c r="C1284" s="4">
        <v>44428</v>
      </c>
      <c r="D1284" s="4">
        <v>44538</v>
      </c>
      <c r="F1284" s="4">
        <v>45572</v>
      </c>
      <c r="G1284" t="s">
        <v>254</v>
      </c>
      <c r="H1284" t="s">
        <v>1640</v>
      </c>
      <c r="K1284" t="s">
        <v>98</v>
      </c>
      <c r="L1284" t="s">
        <v>2154</v>
      </c>
      <c r="M1284" t="s">
        <v>84</v>
      </c>
      <c r="N1284" t="s">
        <v>2160</v>
      </c>
      <c r="O1284" t="s">
        <v>32</v>
      </c>
      <c r="P1284" t="s">
        <v>3042</v>
      </c>
      <c r="Q1284">
        <v>100</v>
      </c>
      <c r="R1284">
        <v>100</v>
      </c>
      <c r="S1284" t="s">
        <v>159</v>
      </c>
      <c r="T1284" t="s">
        <v>159</v>
      </c>
      <c r="W1284">
        <v>0</v>
      </c>
      <c r="X1284">
        <v>0</v>
      </c>
      <c r="Y1284">
        <v>0</v>
      </c>
      <c r="Z1284">
        <v>0</v>
      </c>
    </row>
    <row r="1285" spans="1:26" hidden="1" x14ac:dyDescent="0.25">
      <c r="A1285" t="s">
        <v>3043</v>
      </c>
      <c r="B1285" t="s">
        <v>38</v>
      </c>
      <c r="C1285" s="4">
        <v>44648</v>
      </c>
      <c r="D1285" s="4">
        <v>45573</v>
      </c>
      <c r="F1285" s="4">
        <v>45955</v>
      </c>
      <c r="G1285" t="s">
        <v>681</v>
      </c>
      <c r="H1285" t="s">
        <v>2617</v>
      </c>
      <c r="K1285" t="s">
        <v>683</v>
      </c>
      <c r="L1285" t="s">
        <v>2154</v>
      </c>
      <c r="M1285" t="s">
        <v>84</v>
      </c>
      <c r="N1285" t="s">
        <v>2160</v>
      </c>
      <c r="O1285" t="s">
        <v>32</v>
      </c>
      <c r="P1285" t="s">
        <v>3044</v>
      </c>
      <c r="Q1285">
        <v>100</v>
      </c>
      <c r="R1285">
        <v>100</v>
      </c>
      <c r="S1285" t="s">
        <v>597</v>
      </c>
      <c r="T1285" t="s">
        <v>598</v>
      </c>
      <c r="U1285" t="s">
        <v>44</v>
      </c>
      <c r="W1285">
        <v>0</v>
      </c>
      <c r="X1285">
        <v>0</v>
      </c>
      <c r="Y1285">
        <v>0</v>
      </c>
      <c r="Z1285">
        <v>0</v>
      </c>
    </row>
    <row r="1286" spans="1:26" hidden="1" x14ac:dyDescent="0.25">
      <c r="A1286" t="s">
        <v>3045</v>
      </c>
      <c r="B1286" t="s">
        <v>2153</v>
      </c>
      <c r="C1286" s="4">
        <v>44519</v>
      </c>
      <c r="F1286" s="4">
        <v>44105</v>
      </c>
      <c r="G1286" t="s">
        <v>52</v>
      </c>
      <c r="H1286" t="s">
        <v>1445</v>
      </c>
      <c r="K1286" t="s">
        <v>53</v>
      </c>
      <c r="L1286" t="s">
        <v>2154</v>
      </c>
      <c r="M1286" t="s">
        <v>54</v>
      </c>
      <c r="N1286" t="s">
        <v>2155</v>
      </c>
      <c r="O1286" t="s">
        <v>32</v>
      </c>
      <c r="P1286" t="s">
        <v>3046</v>
      </c>
      <c r="Q1286">
        <v>16.100000000000001</v>
      </c>
      <c r="R1286">
        <v>16.100000000000001</v>
      </c>
      <c r="S1286" t="s">
        <v>56</v>
      </c>
      <c r="T1286" t="s">
        <v>57</v>
      </c>
      <c r="U1286" t="s">
        <v>44</v>
      </c>
      <c r="V1286" s="4">
        <v>44105</v>
      </c>
      <c r="W1286">
        <v>16.100000000000001</v>
      </c>
      <c r="X1286">
        <v>16.100000000000001</v>
      </c>
      <c r="Y1286">
        <v>16.100000000000001</v>
      </c>
      <c r="Z1286">
        <v>16.100000000000001</v>
      </c>
    </row>
    <row r="1287" spans="1:26" hidden="1" x14ac:dyDescent="0.25">
      <c r="A1287" t="s">
        <v>3047</v>
      </c>
      <c r="B1287" t="s">
        <v>38</v>
      </c>
      <c r="C1287" s="4">
        <v>44447</v>
      </c>
      <c r="D1287" s="4">
        <v>45224</v>
      </c>
      <c r="F1287" s="4">
        <v>46021</v>
      </c>
      <c r="G1287" t="s">
        <v>1311</v>
      </c>
      <c r="H1287" t="s">
        <v>2389</v>
      </c>
      <c r="K1287" t="s">
        <v>114</v>
      </c>
      <c r="L1287" t="s">
        <v>2154</v>
      </c>
      <c r="M1287" t="s">
        <v>68</v>
      </c>
      <c r="N1287" t="s">
        <v>2155</v>
      </c>
      <c r="O1287" t="s">
        <v>32</v>
      </c>
      <c r="P1287" t="s">
        <v>3048</v>
      </c>
      <c r="Q1287">
        <v>65.97</v>
      </c>
      <c r="R1287">
        <v>65.97</v>
      </c>
      <c r="S1287" t="s">
        <v>34</v>
      </c>
      <c r="T1287" t="s">
        <v>35</v>
      </c>
      <c r="U1287" t="s">
        <v>44</v>
      </c>
      <c r="W1287">
        <v>0</v>
      </c>
      <c r="X1287">
        <v>0</v>
      </c>
      <c r="Y1287">
        <v>0</v>
      </c>
      <c r="Z1287">
        <v>0</v>
      </c>
    </row>
    <row r="1288" spans="1:26" hidden="1" x14ac:dyDescent="0.25">
      <c r="A1288" t="s">
        <v>3049</v>
      </c>
      <c r="B1288" t="s">
        <v>38</v>
      </c>
      <c r="C1288" s="4">
        <v>44391</v>
      </c>
      <c r="D1288" s="4">
        <v>44449</v>
      </c>
      <c r="F1288" s="4">
        <v>46296</v>
      </c>
      <c r="G1288" t="s">
        <v>177</v>
      </c>
      <c r="H1288" t="s">
        <v>2356</v>
      </c>
      <c r="K1288" t="s">
        <v>41</v>
      </c>
      <c r="L1288" t="s">
        <v>2154</v>
      </c>
      <c r="M1288" t="s">
        <v>42</v>
      </c>
      <c r="N1288" t="s">
        <v>2160</v>
      </c>
      <c r="O1288" t="s">
        <v>32</v>
      </c>
      <c r="P1288" t="s">
        <v>3050</v>
      </c>
      <c r="Q1288">
        <v>45</v>
      </c>
      <c r="R1288">
        <v>45</v>
      </c>
      <c r="S1288" t="s">
        <v>159</v>
      </c>
      <c r="T1288" t="s">
        <v>159</v>
      </c>
      <c r="W1288">
        <v>0</v>
      </c>
      <c r="X1288">
        <v>0</v>
      </c>
      <c r="Y1288">
        <v>0</v>
      </c>
      <c r="Z1288">
        <v>0</v>
      </c>
    </row>
    <row r="1289" spans="1:26" hidden="1" x14ac:dyDescent="0.25">
      <c r="A1289" t="s">
        <v>3051</v>
      </c>
      <c r="B1289" t="s">
        <v>38</v>
      </c>
      <c r="C1289" s="4">
        <v>44391</v>
      </c>
      <c r="D1289" s="4">
        <v>44449</v>
      </c>
      <c r="F1289" s="4">
        <v>46296</v>
      </c>
      <c r="G1289" t="s">
        <v>177</v>
      </c>
      <c r="H1289" t="s">
        <v>2356</v>
      </c>
      <c r="K1289" t="s">
        <v>41</v>
      </c>
      <c r="L1289" t="s">
        <v>2154</v>
      </c>
      <c r="M1289" t="s">
        <v>42</v>
      </c>
      <c r="N1289" t="s">
        <v>2160</v>
      </c>
      <c r="O1289" t="s">
        <v>32</v>
      </c>
      <c r="P1289" t="s">
        <v>3052</v>
      </c>
      <c r="Q1289">
        <v>90</v>
      </c>
      <c r="R1289">
        <v>90</v>
      </c>
      <c r="S1289" t="s">
        <v>34</v>
      </c>
      <c r="T1289" t="s">
        <v>35</v>
      </c>
      <c r="W1289">
        <v>0</v>
      </c>
      <c r="X1289">
        <v>0</v>
      </c>
      <c r="Y1289">
        <v>0</v>
      </c>
      <c r="Z1289">
        <v>0</v>
      </c>
    </row>
    <row r="1290" spans="1:26" hidden="1" x14ac:dyDescent="0.25">
      <c r="A1290" t="s">
        <v>3053</v>
      </c>
      <c r="B1290" t="s">
        <v>25</v>
      </c>
      <c r="C1290" s="4">
        <v>44446</v>
      </c>
      <c r="F1290" s="4">
        <v>45627</v>
      </c>
      <c r="G1290" t="s">
        <v>1753</v>
      </c>
      <c r="H1290" t="s">
        <v>3054</v>
      </c>
      <c r="K1290" t="s">
        <v>114</v>
      </c>
      <c r="L1290" t="s">
        <v>2154</v>
      </c>
      <c r="M1290" t="s">
        <v>68</v>
      </c>
      <c r="N1290" t="s">
        <v>2155</v>
      </c>
      <c r="O1290" t="s">
        <v>122</v>
      </c>
      <c r="P1290" t="s">
        <v>3055</v>
      </c>
      <c r="Q1290">
        <v>135</v>
      </c>
      <c r="R1290">
        <v>135</v>
      </c>
      <c r="S1290" t="s">
        <v>34</v>
      </c>
      <c r="T1290" t="s">
        <v>35</v>
      </c>
      <c r="U1290" t="s">
        <v>44</v>
      </c>
      <c r="W1290">
        <v>135</v>
      </c>
      <c r="X1290">
        <v>0</v>
      </c>
      <c r="Y1290">
        <v>122</v>
      </c>
      <c r="Z1290">
        <v>0</v>
      </c>
    </row>
    <row r="1291" spans="1:26" hidden="1" x14ac:dyDescent="0.25">
      <c r="A1291" t="s">
        <v>3056</v>
      </c>
      <c r="B1291" t="s">
        <v>2153</v>
      </c>
      <c r="C1291" s="4">
        <v>45684</v>
      </c>
      <c r="F1291" s="4">
        <v>45809</v>
      </c>
      <c r="G1291" t="s">
        <v>1251</v>
      </c>
      <c r="H1291" t="s">
        <v>3057</v>
      </c>
      <c r="K1291" t="s">
        <v>109</v>
      </c>
      <c r="L1291" t="s">
        <v>2154</v>
      </c>
      <c r="M1291" t="s">
        <v>84</v>
      </c>
      <c r="N1291" t="s">
        <v>2160</v>
      </c>
      <c r="O1291" t="s">
        <v>32</v>
      </c>
      <c r="P1291" t="s">
        <v>3058</v>
      </c>
      <c r="Q1291">
        <v>175</v>
      </c>
      <c r="R1291">
        <v>175</v>
      </c>
      <c r="S1291" t="s">
        <v>34</v>
      </c>
      <c r="T1291" t="s">
        <v>35</v>
      </c>
      <c r="U1291" t="s">
        <v>44</v>
      </c>
      <c r="W1291">
        <v>175</v>
      </c>
      <c r="X1291">
        <v>175</v>
      </c>
      <c r="Y1291">
        <v>175</v>
      </c>
      <c r="Z1291">
        <v>175</v>
      </c>
    </row>
    <row r="1292" spans="1:26" hidden="1" x14ac:dyDescent="0.25">
      <c r="A1292" t="s">
        <v>3059</v>
      </c>
      <c r="B1292" t="s">
        <v>38</v>
      </c>
      <c r="C1292" s="4">
        <v>44448</v>
      </c>
      <c r="D1292" s="4">
        <v>46070</v>
      </c>
      <c r="F1292" s="4">
        <v>45748</v>
      </c>
      <c r="G1292" t="s">
        <v>1753</v>
      </c>
      <c r="H1292" t="s">
        <v>3060</v>
      </c>
      <c r="K1292" t="s">
        <v>114</v>
      </c>
      <c r="L1292" t="s">
        <v>2154</v>
      </c>
      <c r="M1292" t="s">
        <v>68</v>
      </c>
      <c r="N1292" t="s">
        <v>2155</v>
      </c>
      <c r="O1292" t="s">
        <v>122</v>
      </c>
      <c r="P1292" t="s">
        <v>3061</v>
      </c>
      <c r="Q1292">
        <v>200</v>
      </c>
      <c r="R1292">
        <v>200</v>
      </c>
      <c r="S1292" t="s">
        <v>34</v>
      </c>
      <c r="T1292" t="s">
        <v>35</v>
      </c>
      <c r="U1292" t="s">
        <v>44</v>
      </c>
      <c r="V1292" s="4">
        <v>46844</v>
      </c>
      <c r="W1292">
        <v>200</v>
      </c>
      <c r="X1292">
        <v>0</v>
      </c>
      <c r="Y1292">
        <v>200</v>
      </c>
      <c r="Z1292">
        <v>0</v>
      </c>
    </row>
    <row r="1293" spans="1:26" hidden="1" x14ac:dyDescent="0.25">
      <c r="A1293" t="s">
        <v>3062</v>
      </c>
      <c r="B1293" t="s">
        <v>38</v>
      </c>
      <c r="C1293" s="4">
        <v>44609</v>
      </c>
      <c r="D1293" s="4">
        <v>45224</v>
      </c>
      <c r="F1293" s="4">
        <v>45955</v>
      </c>
      <c r="G1293" t="s">
        <v>616</v>
      </c>
      <c r="H1293" t="s">
        <v>3063</v>
      </c>
      <c r="K1293" t="s">
        <v>146</v>
      </c>
      <c r="L1293" t="s">
        <v>2154</v>
      </c>
      <c r="M1293" t="s">
        <v>68</v>
      </c>
      <c r="N1293" t="s">
        <v>2155</v>
      </c>
      <c r="O1293" t="s">
        <v>32</v>
      </c>
      <c r="P1293" t="s">
        <v>3064</v>
      </c>
      <c r="Q1293">
        <v>130</v>
      </c>
      <c r="R1293">
        <v>130</v>
      </c>
      <c r="S1293" t="s">
        <v>597</v>
      </c>
      <c r="T1293" t="s">
        <v>598</v>
      </c>
      <c r="U1293" t="s">
        <v>44</v>
      </c>
      <c r="W1293">
        <v>0</v>
      </c>
      <c r="X1293">
        <v>0</v>
      </c>
      <c r="Y1293">
        <v>0</v>
      </c>
      <c r="Z1293">
        <v>0</v>
      </c>
    </row>
    <row r="1294" spans="1:26" hidden="1" x14ac:dyDescent="0.25">
      <c r="A1294" t="s">
        <v>3065</v>
      </c>
      <c r="B1294" t="s">
        <v>38</v>
      </c>
      <c r="C1294" s="4">
        <v>44446</v>
      </c>
      <c r="D1294" s="4">
        <v>44537</v>
      </c>
      <c r="F1294" s="4">
        <v>45861</v>
      </c>
      <c r="G1294" t="s">
        <v>177</v>
      </c>
      <c r="H1294" t="s">
        <v>2356</v>
      </c>
      <c r="K1294" t="s">
        <v>41</v>
      </c>
      <c r="L1294" t="s">
        <v>2154</v>
      </c>
      <c r="M1294" t="s">
        <v>42</v>
      </c>
      <c r="N1294" t="s">
        <v>2160</v>
      </c>
      <c r="O1294" t="s">
        <v>32</v>
      </c>
      <c r="P1294" t="s">
        <v>3066</v>
      </c>
      <c r="Q1294">
        <v>150</v>
      </c>
      <c r="R1294">
        <v>150</v>
      </c>
      <c r="S1294" t="s">
        <v>34</v>
      </c>
      <c r="T1294" t="s">
        <v>35</v>
      </c>
      <c r="W1294">
        <v>0</v>
      </c>
      <c r="X1294">
        <v>0</v>
      </c>
      <c r="Y1294">
        <v>0</v>
      </c>
      <c r="Z1294">
        <v>0</v>
      </c>
    </row>
    <row r="1295" spans="1:26" hidden="1" x14ac:dyDescent="0.25">
      <c r="A1295" t="s">
        <v>3067</v>
      </c>
      <c r="B1295" t="s">
        <v>25</v>
      </c>
      <c r="C1295" s="4">
        <v>44454</v>
      </c>
      <c r="F1295" s="4">
        <v>45536</v>
      </c>
      <c r="G1295" t="s">
        <v>1408</v>
      </c>
      <c r="H1295" t="s">
        <v>1405</v>
      </c>
      <c r="K1295" t="s">
        <v>146</v>
      </c>
      <c r="L1295" t="s">
        <v>2154</v>
      </c>
      <c r="M1295" t="s">
        <v>68</v>
      </c>
      <c r="N1295" t="s">
        <v>2155</v>
      </c>
      <c r="O1295" t="s">
        <v>32</v>
      </c>
      <c r="P1295" t="s">
        <v>3068</v>
      </c>
      <c r="Q1295">
        <v>50</v>
      </c>
      <c r="R1295">
        <v>50</v>
      </c>
      <c r="S1295" t="s">
        <v>34</v>
      </c>
      <c r="T1295" t="s">
        <v>35</v>
      </c>
      <c r="U1295" t="s">
        <v>44</v>
      </c>
      <c r="V1295" s="4">
        <v>46631</v>
      </c>
      <c r="W1295">
        <v>50</v>
      </c>
      <c r="X1295">
        <v>0</v>
      </c>
      <c r="Y1295">
        <v>50</v>
      </c>
      <c r="Z1295">
        <v>0</v>
      </c>
    </row>
    <row r="1296" spans="1:26" hidden="1" x14ac:dyDescent="0.25">
      <c r="A1296" t="s">
        <v>3069</v>
      </c>
      <c r="B1296" t="s">
        <v>38</v>
      </c>
      <c r="C1296" s="4">
        <v>44530</v>
      </c>
      <c r="D1296" s="4">
        <v>45566</v>
      </c>
      <c r="F1296" s="4">
        <v>45991</v>
      </c>
      <c r="G1296" t="s">
        <v>1278</v>
      </c>
      <c r="H1296" t="s">
        <v>1382</v>
      </c>
      <c r="K1296" t="s">
        <v>28</v>
      </c>
      <c r="L1296" t="s">
        <v>2154</v>
      </c>
      <c r="M1296" t="s">
        <v>30</v>
      </c>
      <c r="N1296" t="s">
        <v>2155</v>
      </c>
      <c r="O1296" t="s">
        <v>32</v>
      </c>
      <c r="P1296" t="s">
        <v>1345</v>
      </c>
      <c r="Q1296">
        <v>50</v>
      </c>
      <c r="R1296">
        <v>50</v>
      </c>
      <c r="S1296" t="s">
        <v>597</v>
      </c>
      <c r="T1296" t="s">
        <v>598</v>
      </c>
      <c r="U1296" t="s">
        <v>44</v>
      </c>
      <c r="W1296">
        <v>50</v>
      </c>
      <c r="X1296">
        <v>50</v>
      </c>
      <c r="Y1296">
        <v>0</v>
      </c>
      <c r="Z1296">
        <v>0</v>
      </c>
    </row>
    <row r="1297" spans="1:26" hidden="1" x14ac:dyDescent="0.25">
      <c r="A1297" t="s">
        <v>3070</v>
      </c>
      <c r="B1297" t="s">
        <v>25</v>
      </c>
      <c r="C1297" s="4">
        <v>44418</v>
      </c>
      <c r="F1297" s="4">
        <v>45413</v>
      </c>
      <c r="G1297" t="s">
        <v>3071</v>
      </c>
      <c r="H1297" t="s">
        <v>1327</v>
      </c>
      <c r="K1297" t="s">
        <v>67</v>
      </c>
      <c r="L1297" t="s">
        <v>2154</v>
      </c>
      <c r="M1297" t="s">
        <v>68</v>
      </c>
      <c r="N1297" t="s">
        <v>2155</v>
      </c>
      <c r="O1297" t="s">
        <v>32</v>
      </c>
      <c r="P1297" t="s">
        <v>3072</v>
      </c>
      <c r="Q1297">
        <v>250</v>
      </c>
      <c r="R1297">
        <v>250</v>
      </c>
      <c r="S1297" t="s">
        <v>34</v>
      </c>
      <c r="T1297" t="s">
        <v>35</v>
      </c>
      <c r="U1297" t="s">
        <v>44</v>
      </c>
      <c r="V1297" s="4">
        <v>46932</v>
      </c>
      <c r="W1297">
        <v>250</v>
      </c>
      <c r="X1297">
        <v>250</v>
      </c>
      <c r="Y1297">
        <v>250</v>
      </c>
      <c r="Z1297">
        <v>0</v>
      </c>
    </row>
    <row r="1298" spans="1:26" hidden="1" x14ac:dyDescent="0.25">
      <c r="A1298" t="s">
        <v>3073</v>
      </c>
      <c r="B1298" t="s">
        <v>38</v>
      </c>
      <c r="C1298" s="4">
        <v>44448</v>
      </c>
      <c r="D1298" s="4">
        <v>45020</v>
      </c>
      <c r="F1298" s="4">
        <v>45748</v>
      </c>
      <c r="G1298" t="s">
        <v>138</v>
      </c>
      <c r="H1298" t="s">
        <v>1805</v>
      </c>
      <c r="K1298" t="s">
        <v>98</v>
      </c>
      <c r="L1298" t="s">
        <v>2154</v>
      </c>
      <c r="M1298" t="s">
        <v>84</v>
      </c>
      <c r="N1298" t="s">
        <v>2160</v>
      </c>
      <c r="O1298" t="s">
        <v>122</v>
      </c>
      <c r="P1298" t="s">
        <v>3074</v>
      </c>
      <c r="Q1298">
        <v>200</v>
      </c>
      <c r="R1298">
        <v>200</v>
      </c>
      <c r="S1298" t="s">
        <v>34</v>
      </c>
      <c r="T1298" t="s">
        <v>35</v>
      </c>
      <c r="W1298">
        <v>0</v>
      </c>
      <c r="X1298">
        <v>0</v>
      </c>
      <c r="Y1298">
        <v>0</v>
      </c>
      <c r="Z1298">
        <v>0</v>
      </c>
    </row>
    <row r="1299" spans="1:26" hidden="1" x14ac:dyDescent="0.25">
      <c r="A1299" t="s">
        <v>3075</v>
      </c>
      <c r="B1299" t="s">
        <v>2153</v>
      </c>
      <c r="C1299" s="4">
        <v>44644</v>
      </c>
      <c r="F1299" s="4">
        <v>45748</v>
      </c>
      <c r="G1299" t="s">
        <v>691</v>
      </c>
      <c r="H1299" t="s">
        <v>1805</v>
      </c>
      <c r="K1299" t="s">
        <v>98</v>
      </c>
      <c r="L1299" t="s">
        <v>2154</v>
      </c>
      <c r="M1299" t="s">
        <v>84</v>
      </c>
      <c r="N1299" t="s">
        <v>2160</v>
      </c>
      <c r="O1299" t="s">
        <v>122</v>
      </c>
      <c r="P1299" t="s">
        <v>3076</v>
      </c>
      <c r="Q1299">
        <v>100</v>
      </c>
      <c r="R1299">
        <v>100</v>
      </c>
      <c r="S1299" t="s">
        <v>34</v>
      </c>
      <c r="T1299" t="s">
        <v>35</v>
      </c>
      <c r="U1299" t="s">
        <v>44</v>
      </c>
      <c r="W1299">
        <v>100</v>
      </c>
      <c r="X1299">
        <v>0</v>
      </c>
      <c r="Y1299">
        <v>100</v>
      </c>
      <c r="Z1299">
        <v>0</v>
      </c>
    </row>
    <row r="1300" spans="1:26" hidden="1" x14ac:dyDescent="0.25">
      <c r="A1300" t="s">
        <v>3077</v>
      </c>
      <c r="B1300" t="s">
        <v>38</v>
      </c>
      <c r="C1300" s="4">
        <v>44448</v>
      </c>
      <c r="D1300" s="4">
        <v>46091</v>
      </c>
      <c r="F1300" s="4">
        <v>45748</v>
      </c>
      <c r="G1300" t="s">
        <v>1311</v>
      </c>
      <c r="H1300" t="s">
        <v>3060</v>
      </c>
      <c r="K1300" t="s">
        <v>114</v>
      </c>
      <c r="L1300" t="s">
        <v>2154</v>
      </c>
      <c r="M1300" t="s">
        <v>68</v>
      </c>
      <c r="N1300" t="s">
        <v>2155</v>
      </c>
      <c r="O1300" t="s">
        <v>122</v>
      </c>
      <c r="P1300" t="s">
        <v>3078</v>
      </c>
      <c r="Q1300">
        <v>100</v>
      </c>
      <c r="R1300">
        <v>100</v>
      </c>
      <c r="S1300" t="s">
        <v>34</v>
      </c>
      <c r="T1300" t="s">
        <v>35</v>
      </c>
      <c r="U1300" t="s">
        <v>44</v>
      </c>
      <c r="V1300" s="4">
        <v>46113</v>
      </c>
      <c r="W1300">
        <v>100</v>
      </c>
      <c r="X1300">
        <v>0</v>
      </c>
      <c r="Y1300">
        <v>100</v>
      </c>
      <c r="Z1300">
        <v>0</v>
      </c>
    </row>
    <row r="1301" spans="1:26" hidden="1" x14ac:dyDescent="0.25">
      <c r="A1301" t="s">
        <v>3079</v>
      </c>
      <c r="B1301" t="s">
        <v>25</v>
      </c>
      <c r="C1301" s="4">
        <v>44530</v>
      </c>
      <c r="F1301" s="4">
        <v>45748</v>
      </c>
      <c r="G1301" t="s">
        <v>3071</v>
      </c>
      <c r="H1301" t="s">
        <v>1676</v>
      </c>
      <c r="K1301" t="s">
        <v>67</v>
      </c>
      <c r="L1301" t="s">
        <v>2154</v>
      </c>
      <c r="M1301" t="s">
        <v>68</v>
      </c>
      <c r="N1301" t="s">
        <v>2155</v>
      </c>
      <c r="O1301" t="s">
        <v>32</v>
      </c>
      <c r="P1301" t="s">
        <v>3080</v>
      </c>
      <c r="Q1301">
        <v>200</v>
      </c>
      <c r="R1301">
        <v>200</v>
      </c>
      <c r="S1301" t="s">
        <v>34</v>
      </c>
      <c r="T1301" t="s">
        <v>35</v>
      </c>
      <c r="U1301" t="s">
        <v>44</v>
      </c>
      <c r="V1301" s="4">
        <v>46844</v>
      </c>
      <c r="W1301">
        <v>200</v>
      </c>
      <c r="X1301">
        <v>200</v>
      </c>
      <c r="Y1301">
        <v>200</v>
      </c>
      <c r="Z1301">
        <v>0</v>
      </c>
    </row>
    <row r="1302" spans="1:26" hidden="1" x14ac:dyDescent="0.25">
      <c r="A1302" t="s">
        <v>3081</v>
      </c>
      <c r="B1302" t="s">
        <v>38</v>
      </c>
      <c r="C1302" s="4">
        <v>44448</v>
      </c>
      <c r="D1302" s="4">
        <v>45020</v>
      </c>
      <c r="F1302" s="4">
        <v>45748</v>
      </c>
      <c r="G1302" t="s">
        <v>65</v>
      </c>
      <c r="H1302" t="s">
        <v>1676</v>
      </c>
      <c r="K1302" t="s">
        <v>67</v>
      </c>
      <c r="L1302" t="s">
        <v>2154</v>
      </c>
      <c r="M1302" t="s">
        <v>68</v>
      </c>
      <c r="N1302" t="s">
        <v>2155</v>
      </c>
      <c r="O1302" t="s">
        <v>32</v>
      </c>
      <c r="P1302" t="s">
        <v>3082</v>
      </c>
      <c r="Q1302">
        <v>100</v>
      </c>
      <c r="R1302">
        <v>100</v>
      </c>
      <c r="S1302" t="s">
        <v>34</v>
      </c>
      <c r="T1302" t="s">
        <v>35</v>
      </c>
      <c r="W1302">
        <v>0</v>
      </c>
      <c r="X1302">
        <v>0</v>
      </c>
      <c r="Y1302">
        <v>0</v>
      </c>
      <c r="Z1302">
        <v>0</v>
      </c>
    </row>
    <row r="1303" spans="1:26" hidden="1" x14ac:dyDescent="0.25">
      <c r="A1303" t="s">
        <v>3083</v>
      </c>
      <c r="B1303" t="s">
        <v>38</v>
      </c>
      <c r="C1303" s="4">
        <v>44530</v>
      </c>
      <c r="D1303" s="4">
        <v>45723</v>
      </c>
      <c r="F1303" s="4">
        <v>45748</v>
      </c>
      <c r="G1303" t="s">
        <v>1136</v>
      </c>
      <c r="H1303" t="s">
        <v>1676</v>
      </c>
      <c r="K1303" t="s">
        <v>67</v>
      </c>
      <c r="L1303" t="s">
        <v>2154</v>
      </c>
      <c r="M1303" t="s">
        <v>68</v>
      </c>
      <c r="N1303" t="s">
        <v>2155</v>
      </c>
      <c r="O1303" t="s">
        <v>32</v>
      </c>
      <c r="P1303" t="s">
        <v>3080</v>
      </c>
      <c r="Q1303">
        <v>50</v>
      </c>
      <c r="R1303">
        <v>50</v>
      </c>
      <c r="S1303" t="s">
        <v>159</v>
      </c>
      <c r="T1303" t="s">
        <v>159</v>
      </c>
      <c r="U1303" t="s">
        <v>44</v>
      </c>
      <c r="W1303">
        <v>50</v>
      </c>
      <c r="X1303">
        <v>50</v>
      </c>
      <c r="Y1303">
        <v>0</v>
      </c>
      <c r="Z1303">
        <v>0</v>
      </c>
    </row>
    <row r="1304" spans="1:26" hidden="1" x14ac:dyDescent="0.25">
      <c r="A1304" t="s">
        <v>3084</v>
      </c>
      <c r="B1304" t="s">
        <v>2153</v>
      </c>
      <c r="C1304" s="4">
        <v>44648</v>
      </c>
      <c r="F1304" s="4">
        <v>45991</v>
      </c>
      <c r="G1304" t="s">
        <v>691</v>
      </c>
      <c r="H1304" t="s">
        <v>1873</v>
      </c>
      <c r="K1304" t="s">
        <v>98</v>
      </c>
      <c r="L1304" t="s">
        <v>2154</v>
      </c>
      <c r="M1304" t="s">
        <v>84</v>
      </c>
      <c r="N1304" t="s">
        <v>2160</v>
      </c>
      <c r="O1304" t="s">
        <v>32</v>
      </c>
      <c r="P1304" t="s">
        <v>1345</v>
      </c>
      <c r="Q1304">
        <v>100</v>
      </c>
      <c r="R1304">
        <v>100</v>
      </c>
      <c r="S1304" t="s">
        <v>597</v>
      </c>
      <c r="T1304" t="s">
        <v>598</v>
      </c>
      <c r="U1304" t="s">
        <v>44</v>
      </c>
      <c r="W1304">
        <v>70</v>
      </c>
      <c r="X1304">
        <v>0</v>
      </c>
      <c r="Y1304">
        <v>70</v>
      </c>
      <c r="Z1304">
        <v>0</v>
      </c>
    </row>
    <row r="1305" spans="1:26" hidden="1" x14ac:dyDescent="0.25">
      <c r="A1305" t="s">
        <v>3085</v>
      </c>
      <c r="B1305" t="s">
        <v>25</v>
      </c>
      <c r="C1305" s="4">
        <v>44510</v>
      </c>
      <c r="F1305" s="4">
        <v>45505</v>
      </c>
      <c r="G1305" t="s">
        <v>1408</v>
      </c>
      <c r="H1305" t="s">
        <v>3086</v>
      </c>
      <c r="K1305" t="s">
        <v>146</v>
      </c>
      <c r="L1305" t="s">
        <v>2154</v>
      </c>
      <c r="M1305" t="s">
        <v>68</v>
      </c>
      <c r="N1305" t="s">
        <v>2155</v>
      </c>
      <c r="O1305" t="s">
        <v>32</v>
      </c>
      <c r="P1305" t="s">
        <v>3087</v>
      </c>
      <c r="Q1305">
        <v>400</v>
      </c>
      <c r="R1305">
        <v>400</v>
      </c>
      <c r="S1305" t="s">
        <v>597</v>
      </c>
      <c r="T1305" t="s">
        <v>598</v>
      </c>
      <c r="U1305" t="s">
        <v>44</v>
      </c>
      <c r="V1305" s="4">
        <v>46671</v>
      </c>
      <c r="W1305">
        <v>400</v>
      </c>
      <c r="X1305">
        <v>400</v>
      </c>
      <c r="Y1305">
        <v>400</v>
      </c>
      <c r="Z1305">
        <v>400</v>
      </c>
    </row>
    <row r="1306" spans="1:26" hidden="1" x14ac:dyDescent="0.25">
      <c r="A1306" t="s">
        <v>3088</v>
      </c>
      <c r="B1306" t="s">
        <v>38</v>
      </c>
      <c r="C1306" s="4">
        <v>44396</v>
      </c>
      <c r="D1306" s="4">
        <v>44539</v>
      </c>
      <c r="F1306" s="4">
        <v>45626</v>
      </c>
      <c r="G1306" t="s">
        <v>1278</v>
      </c>
      <c r="H1306" t="s">
        <v>1556</v>
      </c>
      <c r="K1306" t="s">
        <v>28</v>
      </c>
      <c r="L1306" t="s">
        <v>2154</v>
      </c>
      <c r="M1306" t="s">
        <v>30</v>
      </c>
      <c r="N1306" t="s">
        <v>2155</v>
      </c>
      <c r="O1306" t="s">
        <v>32</v>
      </c>
      <c r="P1306" t="s">
        <v>1869</v>
      </c>
      <c r="Q1306">
        <v>100</v>
      </c>
      <c r="R1306">
        <v>100</v>
      </c>
      <c r="S1306" t="s">
        <v>34</v>
      </c>
      <c r="T1306" t="s">
        <v>35</v>
      </c>
      <c r="W1306">
        <v>0</v>
      </c>
      <c r="X1306">
        <v>0</v>
      </c>
      <c r="Y1306">
        <v>0</v>
      </c>
      <c r="Z1306">
        <v>0</v>
      </c>
    </row>
    <row r="1307" spans="1:26" hidden="1" x14ac:dyDescent="0.25">
      <c r="A1307" t="s">
        <v>3089</v>
      </c>
      <c r="B1307" t="s">
        <v>2153</v>
      </c>
      <c r="C1307" s="4">
        <v>44532</v>
      </c>
      <c r="F1307" s="4">
        <v>45397</v>
      </c>
      <c r="G1307" t="s">
        <v>1278</v>
      </c>
      <c r="H1307" t="s">
        <v>1645</v>
      </c>
      <c r="K1307" t="s">
        <v>28</v>
      </c>
      <c r="L1307" t="s">
        <v>2154</v>
      </c>
      <c r="M1307" t="s">
        <v>30</v>
      </c>
      <c r="N1307" t="s">
        <v>2155</v>
      </c>
      <c r="O1307" t="s">
        <v>32</v>
      </c>
      <c r="P1307" t="s">
        <v>3090</v>
      </c>
      <c r="Q1307">
        <v>400</v>
      </c>
      <c r="R1307">
        <v>400</v>
      </c>
      <c r="S1307" t="s">
        <v>159</v>
      </c>
      <c r="T1307" t="s">
        <v>159</v>
      </c>
      <c r="U1307" t="s">
        <v>44</v>
      </c>
      <c r="V1307" s="4">
        <v>47118</v>
      </c>
      <c r="W1307">
        <v>400</v>
      </c>
      <c r="X1307">
        <v>400</v>
      </c>
      <c r="Y1307">
        <v>400</v>
      </c>
      <c r="Z1307">
        <v>400</v>
      </c>
    </row>
    <row r="1308" spans="1:26" hidden="1" x14ac:dyDescent="0.25">
      <c r="A1308" t="s">
        <v>3091</v>
      </c>
      <c r="B1308" t="s">
        <v>38</v>
      </c>
      <c r="C1308" s="4">
        <v>44425</v>
      </c>
      <c r="D1308" s="4">
        <v>44538</v>
      </c>
      <c r="F1308" s="4">
        <v>45748</v>
      </c>
      <c r="G1308" t="s">
        <v>681</v>
      </c>
      <c r="H1308" t="s">
        <v>1578</v>
      </c>
      <c r="K1308" t="s">
        <v>683</v>
      </c>
      <c r="L1308" t="s">
        <v>2154</v>
      </c>
      <c r="M1308" t="s">
        <v>84</v>
      </c>
      <c r="N1308" t="s">
        <v>2160</v>
      </c>
      <c r="O1308" t="s">
        <v>32</v>
      </c>
      <c r="P1308" t="s">
        <v>3092</v>
      </c>
      <c r="Q1308">
        <v>139</v>
      </c>
      <c r="R1308">
        <v>139</v>
      </c>
      <c r="S1308" t="s">
        <v>34</v>
      </c>
      <c r="T1308" t="s">
        <v>35</v>
      </c>
      <c r="U1308" t="s">
        <v>44</v>
      </c>
      <c r="W1308">
        <v>0</v>
      </c>
      <c r="X1308">
        <v>0</v>
      </c>
      <c r="Y1308">
        <v>0</v>
      </c>
      <c r="Z1308">
        <v>0</v>
      </c>
    </row>
    <row r="1309" spans="1:26" hidden="1" x14ac:dyDescent="0.25">
      <c r="A1309" t="s">
        <v>3093</v>
      </c>
      <c r="B1309" t="s">
        <v>38</v>
      </c>
      <c r="C1309" s="4">
        <v>44398</v>
      </c>
      <c r="D1309" s="4">
        <v>44538</v>
      </c>
      <c r="F1309" s="4">
        <v>45597</v>
      </c>
      <c r="G1309" t="s">
        <v>117</v>
      </c>
      <c r="H1309" t="s">
        <v>1813</v>
      </c>
      <c r="K1309" t="s">
        <v>83</v>
      </c>
      <c r="L1309" t="s">
        <v>2154</v>
      </c>
      <c r="M1309" t="s">
        <v>84</v>
      </c>
      <c r="N1309" t="s">
        <v>2160</v>
      </c>
      <c r="O1309" t="s">
        <v>32</v>
      </c>
      <c r="P1309" t="s">
        <v>3094</v>
      </c>
      <c r="Q1309">
        <v>150</v>
      </c>
      <c r="R1309">
        <v>150</v>
      </c>
      <c r="S1309" t="s">
        <v>597</v>
      </c>
      <c r="T1309" t="s">
        <v>35</v>
      </c>
      <c r="W1309">
        <v>0</v>
      </c>
      <c r="X1309">
        <v>0</v>
      </c>
      <c r="Y1309">
        <v>0</v>
      </c>
      <c r="Z1309">
        <v>0</v>
      </c>
    </row>
    <row r="1310" spans="1:26" hidden="1" x14ac:dyDescent="0.25">
      <c r="A1310" t="s">
        <v>3095</v>
      </c>
      <c r="B1310" t="s">
        <v>2153</v>
      </c>
      <c r="C1310" s="4">
        <v>44643</v>
      </c>
      <c r="F1310" s="4">
        <v>45931</v>
      </c>
      <c r="G1310" t="s">
        <v>691</v>
      </c>
      <c r="H1310" t="s">
        <v>1771</v>
      </c>
      <c r="K1310" t="s">
        <v>98</v>
      </c>
      <c r="L1310" t="s">
        <v>2154</v>
      </c>
      <c r="M1310" t="s">
        <v>84</v>
      </c>
      <c r="N1310" t="s">
        <v>2160</v>
      </c>
      <c r="O1310" t="s">
        <v>32</v>
      </c>
      <c r="P1310" t="s">
        <v>3096</v>
      </c>
      <c r="Q1310">
        <v>130</v>
      </c>
      <c r="R1310">
        <v>130</v>
      </c>
      <c r="S1310" t="s">
        <v>34</v>
      </c>
      <c r="T1310" t="s">
        <v>35</v>
      </c>
      <c r="U1310" t="s">
        <v>44</v>
      </c>
      <c r="W1310">
        <v>130</v>
      </c>
      <c r="X1310">
        <v>130</v>
      </c>
      <c r="Y1310">
        <v>130</v>
      </c>
      <c r="Z1310">
        <v>130</v>
      </c>
    </row>
    <row r="1311" spans="1:26" hidden="1" x14ac:dyDescent="0.25">
      <c r="A1311" t="s">
        <v>3097</v>
      </c>
      <c r="B1311" t="s">
        <v>38</v>
      </c>
      <c r="C1311" s="4">
        <v>44643</v>
      </c>
      <c r="D1311" s="4">
        <v>46009</v>
      </c>
      <c r="F1311" s="4">
        <v>45931</v>
      </c>
      <c r="G1311" t="s">
        <v>101</v>
      </c>
      <c r="H1311" t="s">
        <v>1771</v>
      </c>
      <c r="K1311" t="s">
        <v>98</v>
      </c>
      <c r="L1311" t="s">
        <v>2154</v>
      </c>
      <c r="M1311" t="s">
        <v>84</v>
      </c>
      <c r="N1311" t="s">
        <v>2160</v>
      </c>
      <c r="O1311" t="s">
        <v>32</v>
      </c>
      <c r="P1311" t="s">
        <v>3096</v>
      </c>
      <c r="Q1311">
        <v>35</v>
      </c>
      <c r="R1311">
        <v>35</v>
      </c>
      <c r="S1311" t="s">
        <v>159</v>
      </c>
      <c r="T1311" t="s">
        <v>159</v>
      </c>
      <c r="U1311" t="s">
        <v>44</v>
      </c>
      <c r="W1311">
        <v>35</v>
      </c>
      <c r="X1311">
        <v>35</v>
      </c>
      <c r="Y1311">
        <v>0</v>
      </c>
      <c r="Z1311">
        <v>0</v>
      </c>
    </row>
    <row r="1312" spans="1:26" hidden="1" x14ac:dyDescent="0.25">
      <c r="A1312" t="s">
        <v>3098</v>
      </c>
      <c r="B1312" t="s">
        <v>2153</v>
      </c>
      <c r="C1312" s="4">
        <v>44446</v>
      </c>
      <c r="F1312" s="4">
        <v>45595</v>
      </c>
      <c r="G1312" t="s">
        <v>39</v>
      </c>
      <c r="H1312" t="s">
        <v>1282</v>
      </c>
      <c r="K1312" t="s">
        <v>41</v>
      </c>
      <c r="L1312" t="s">
        <v>2154</v>
      </c>
      <c r="M1312" t="s">
        <v>42</v>
      </c>
      <c r="N1312" t="s">
        <v>2160</v>
      </c>
      <c r="O1312" t="s">
        <v>32</v>
      </c>
      <c r="P1312" t="s">
        <v>3099</v>
      </c>
      <c r="Q1312">
        <v>100</v>
      </c>
      <c r="R1312">
        <v>100</v>
      </c>
      <c r="S1312" t="s">
        <v>34</v>
      </c>
      <c r="T1312" t="s">
        <v>35</v>
      </c>
      <c r="U1312" t="s">
        <v>44</v>
      </c>
      <c r="W1312">
        <v>100</v>
      </c>
      <c r="X1312">
        <v>100</v>
      </c>
      <c r="Y1312">
        <v>100</v>
      </c>
      <c r="Z1312">
        <v>100</v>
      </c>
    </row>
    <row r="1313" spans="1:26" hidden="1" x14ac:dyDescent="0.25">
      <c r="A1313" t="s">
        <v>3100</v>
      </c>
      <c r="B1313" t="s">
        <v>38</v>
      </c>
      <c r="C1313" s="4">
        <v>44448</v>
      </c>
      <c r="D1313" s="4">
        <v>45224</v>
      </c>
      <c r="F1313" s="4">
        <v>45412</v>
      </c>
      <c r="G1313" t="s">
        <v>144</v>
      </c>
      <c r="H1313" t="s">
        <v>1656</v>
      </c>
      <c r="K1313" t="s">
        <v>146</v>
      </c>
      <c r="L1313" t="s">
        <v>2154</v>
      </c>
      <c r="M1313" t="s">
        <v>68</v>
      </c>
      <c r="N1313" t="s">
        <v>2155</v>
      </c>
      <c r="O1313" t="s">
        <v>32</v>
      </c>
      <c r="P1313" t="s">
        <v>3101</v>
      </c>
      <c r="Q1313">
        <v>300</v>
      </c>
      <c r="R1313">
        <v>300</v>
      </c>
      <c r="S1313" t="s">
        <v>34</v>
      </c>
      <c r="T1313" t="s">
        <v>35</v>
      </c>
      <c r="U1313" t="s">
        <v>44</v>
      </c>
      <c r="W1313">
        <v>0</v>
      </c>
      <c r="X1313">
        <v>0</v>
      </c>
      <c r="Y1313">
        <v>0</v>
      </c>
      <c r="Z1313">
        <v>0</v>
      </c>
    </row>
    <row r="1314" spans="1:26" hidden="1" x14ac:dyDescent="0.25">
      <c r="A1314" t="s">
        <v>3102</v>
      </c>
      <c r="B1314" t="s">
        <v>2153</v>
      </c>
      <c r="C1314" s="4">
        <v>45583</v>
      </c>
      <c r="F1314" s="4">
        <v>45331</v>
      </c>
      <c r="G1314" t="s">
        <v>117</v>
      </c>
      <c r="H1314" t="s">
        <v>1427</v>
      </c>
      <c r="K1314" t="s">
        <v>83</v>
      </c>
      <c r="L1314" t="s">
        <v>2154</v>
      </c>
      <c r="M1314" t="s">
        <v>84</v>
      </c>
      <c r="N1314" t="s">
        <v>2160</v>
      </c>
      <c r="O1314" t="s">
        <v>32</v>
      </c>
      <c r="P1314" t="s">
        <v>1427</v>
      </c>
      <c r="Q1314">
        <v>145</v>
      </c>
      <c r="R1314">
        <v>145</v>
      </c>
      <c r="S1314" t="s">
        <v>56</v>
      </c>
      <c r="T1314" t="s">
        <v>57</v>
      </c>
      <c r="U1314" t="s">
        <v>44</v>
      </c>
      <c r="W1314">
        <v>145</v>
      </c>
      <c r="X1314">
        <v>145</v>
      </c>
      <c r="Y1314">
        <v>145</v>
      </c>
      <c r="Z1314">
        <v>145</v>
      </c>
    </row>
    <row r="1315" spans="1:26" hidden="1" x14ac:dyDescent="0.25">
      <c r="A1315" t="s">
        <v>3103</v>
      </c>
      <c r="B1315" t="s">
        <v>2153</v>
      </c>
      <c r="C1315" s="4">
        <v>45583</v>
      </c>
      <c r="F1315" s="4">
        <v>45331</v>
      </c>
      <c r="G1315" t="s">
        <v>117</v>
      </c>
      <c r="H1315" t="s">
        <v>1427</v>
      </c>
      <c r="K1315" t="s">
        <v>83</v>
      </c>
      <c r="L1315" t="s">
        <v>2154</v>
      </c>
      <c r="M1315" t="s">
        <v>84</v>
      </c>
      <c r="N1315" t="s">
        <v>2160</v>
      </c>
      <c r="O1315" t="s">
        <v>32</v>
      </c>
      <c r="P1315" t="s">
        <v>1427</v>
      </c>
      <c r="Q1315">
        <v>47.9</v>
      </c>
      <c r="R1315">
        <v>47.9</v>
      </c>
      <c r="S1315" t="s">
        <v>56</v>
      </c>
      <c r="T1315" t="s">
        <v>57</v>
      </c>
      <c r="U1315" t="s">
        <v>44</v>
      </c>
      <c r="W1315">
        <v>47.9</v>
      </c>
      <c r="X1315">
        <v>47.9</v>
      </c>
      <c r="Y1315">
        <v>47.9</v>
      </c>
      <c r="Z1315">
        <v>47.9</v>
      </c>
    </row>
    <row r="1316" spans="1:26" hidden="1" x14ac:dyDescent="0.25">
      <c r="A1316" t="s">
        <v>3104</v>
      </c>
      <c r="B1316" t="s">
        <v>38</v>
      </c>
      <c r="C1316" s="4">
        <v>44449</v>
      </c>
      <c r="D1316" s="4">
        <v>45723</v>
      </c>
      <c r="F1316" s="4">
        <v>45291</v>
      </c>
      <c r="G1316" t="s">
        <v>1311</v>
      </c>
      <c r="H1316" t="s">
        <v>3060</v>
      </c>
      <c r="K1316" t="s">
        <v>114</v>
      </c>
      <c r="L1316" t="s">
        <v>2154</v>
      </c>
      <c r="M1316" t="s">
        <v>68</v>
      </c>
      <c r="N1316" t="s">
        <v>2155</v>
      </c>
      <c r="O1316" t="s">
        <v>32</v>
      </c>
      <c r="P1316" t="s">
        <v>1345</v>
      </c>
      <c r="Q1316">
        <v>80</v>
      </c>
      <c r="R1316">
        <v>80</v>
      </c>
      <c r="S1316" t="s">
        <v>34</v>
      </c>
      <c r="T1316" t="s">
        <v>35</v>
      </c>
      <c r="U1316" t="s">
        <v>44</v>
      </c>
      <c r="W1316">
        <v>80</v>
      </c>
      <c r="X1316">
        <v>80</v>
      </c>
      <c r="Y1316">
        <v>0</v>
      </c>
      <c r="Z1316">
        <v>0</v>
      </c>
    </row>
    <row r="1317" spans="1:26" hidden="1" x14ac:dyDescent="0.25">
      <c r="A1317" t="s">
        <v>3105</v>
      </c>
      <c r="B1317" t="s">
        <v>25</v>
      </c>
      <c r="C1317" s="4">
        <v>44449</v>
      </c>
      <c r="F1317" s="4">
        <v>45291</v>
      </c>
      <c r="G1317" t="s">
        <v>1749</v>
      </c>
      <c r="H1317" t="s">
        <v>1962</v>
      </c>
      <c r="K1317" t="s">
        <v>151</v>
      </c>
      <c r="L1317" t="s">
        <v>2154</v>
      </c>
      <c r="M1317" t="s">
        <v>68</v>
      </c>
      <c r="N1317" t="s">
        <v>2155</v>
      </c>
      <c r="O1317" t="s">
        <v>32</v>
      </c>
      <c r="P1317" t="s">
        <v>3106</v>
      </c>
      <c r="Q1317">
        <v>150</v>
      </c>
      <c r="R1317">
        <v>150</v>
      </c>
      <c r="S1317" t="s">
        <v>34</v>
      </c>
      <c r="T1317" t="s">
        <v>35</v>
      </c>
      <c r="U1317" t="s">
        <v>44</v>
      </c>
      <c r="W1317">
        <v>150</v>
      </c>
      <c r="X1317">
        <v>150</v>
      </c>
      <c r="Y1317">
        <v>150</v>
      </c>
      <c r="Z1317">
        <v>0</v>
      </c>
    </row>
    <row r="1318" spans="1:26" hidden="1" x14ac:dyDescent="0.25">
      <c r="A1318" t="s">
        <v>3107</v>
      </c>
      <c r="B1318" t="s">
        <v>38</v>
      </c>
      <c r="C1318" s="4">
        <v>44449</v>
      </c>
      <c r="D1318" s="4">
        <v>45224</v>
      </c>
      <c r="F1318" s="4">
        <v>45291</v>
      </c>
      <c r="G1318" t="s">
        <v>149</v>
      </c>
      <c r="H1318" t="s">
        <v>1962</v>
      </c>
      <c r="K1318" t="s">
        <v>151</v>
      </c>
      <c r="L1318" t="s">
        <v>2154</v>
      </c>
      <c r="M1318" t="s">
        <v>68</v>
      </c>
      <c r="N1318" t="s">
        <v>2155</v>
      </c>
      <c r="O1318" t="s">
        <v>32</v>
      </c>
      <c r="P1318" t="s">
        <v>3108</v>
      </c>
      <c r="Q1318">
        <v>75.3</v>
      </c>
      <c r="R1318">
        <v>75.3</v>
      </c>
      <c r="S1318" t="s">
        <v>159</v>
      </c>
      <c r="T1318" t="s">
        <v>159</v>
      </c>
      <c r="U1318" t="s">
        <v>44</v>
      </c>
      <c r="W1318">
        <v>0</v>
      </c>
      <c r="X1318">
        <v>0</v>
      </c>
      <c r="Y1318">
        <v>0</v>
      </c>
      <c r="Z1318">
        <v>0</v>
      </c>
    </row>
    <row r="1319" spans="1:26" hidden="1" x14ac:dyDescent="0.25">
      <c r="A1319" t="s">
        <v>3109</v>
      </c>
      <c r="B1319" t="s">
        <v>2153</v>
      </c>
      <c r="C1319" s="4">
        <v>44455</v>
      </c>
      <c r="F1319" s="4">
        <v>45184</v>
      </c>
      <c r="G1319" t="s">
        <v>1278</v>
      </c>
      <c r="H1319" t="s">
        <v>2087</v>
      </c>
      <c r="K1319" t="s">
        <v>53</v>
      </c>
      <c r="L1319" t="s">
        <v>2154</v>
      </c>
      <c r="M1319" t="s">
        <v>30</v>
      </c>
      <c r="N1319" t="s">
        <v>2155</v>
      </c>
      <c r="O1319" t="s">
        <v>32</v>
      </c>
      <c r="P1319" t="s">
        <v>3110</v>
      </c>
      <c r="Q1319">
        <v>77.5</v>
      </c>
      <c r="R1319">
        <v>77.5</v>
      </c>
      <c r="S1319" t="s">
        <v>34</v>
      </c>
      <c r="T1319" t="s">
        <v>35</v>
      </c>
      <c r="U1319" t="s">
        <v>44</v>
      </c>
      <c r="V1319" s="4">
        <v>46601</v>
      </c>
      <c r="W1319">
        <v>77.5</v>
      </c>
      <c r="X1319">
        <v>77.5</v>
      </c>
      <c r="Y1319">
        <v>77.5</v>
      </c>
      <c r="Z1319">
        <v>71.5</v>
      </c>
    </row>
    <row r="1320" spans="1:26" hidden="1" x14ac:dyDescent="0.25">
      <c r="A1320" t="s">
        <v>3111</v>
      </c>
      <c r="B1320" t="s">
        <v>25</v>
      </c>
      <c r="C1320" s="4">
        <v>44551</v>
      </c>
      <c r="F1320" s="4">
        <v>45596</v>
      </c>
      <c r="G1320" t="s">
        <v>1408</v>
      </c>
      <c r="H1320" t="s">
        <v>1571</v>
      </c>
      <c r="K1320" t="s">
        <v>146</v>
      </c>
      <c r="L1320" t="s">
        <v>2154</v>
      </c>
      <c r="M1320" t="s">
        <v>68</v>
      </c>
      <c r="N1320" t="s">
        <v>2155</v>
      </c>
      <c r="O1320" t="s">
        <v>32</v>
      </c>
      <c r="P1320" t="s">
        <v>3112</v>
      </c>
      <c r="Q1320">
        <v>225</v>
      </c>
      <c r="R1320">
        <v>225</v>
      </c>
      <c r="S1320" t="s">
        <v>34</v>
      </c>
      <c r="T1320" t="s">
        <v>35</v>
      </c>
      <c r="U1320" t="s">
        <v>44</v>
      </c>
      <c r="V1320" s="4">
        <v>46722</v>
      </c>
      <c r="W1320">
        <v>225</v>
      </c>
      <c r="X1320">
        <v>225</v>
      </c>
      <c r="Y1320">
        <v>202.5</v>
      </c>
      <c r="Z1320">
        <v>0</v>
      </c>
    </row>
    <row r="1321" spans="1:26" hidden="1" x14ac:dyDescent="0.25">
      <c r="A1321" t="s">
        <v>3113</v>
      </c>
      <c r="B1321" t="s">
        <v>38</v>
      </c>
      <c r="C1321" s="4">
        <v>44648</v>
      </c>
      <c r="D1321" s="4">
        <v>45573</v>
      </c>
      <c r="F1321" s="4">
        <v>45955</v>
      </c>
      <c r="G1321" t="s">
        <v>1679</v>
      </c>
      <c r="H1321" t="s">
        <v>1996</v>
      </c>
      <c r="K1321" t="s">
        <v>98</v>
      </c>
      <c r="L1321" t="s">
        <v>2154</v>
      </c>
      <c r="M1321" t="s">
        <v>84</v>
      </c>
      <c r="N1321" t="s">
        <v>2160</v>
      </c>
      <c r="O1321" t="s">
        <v>32</v>
      </c>
      <c r="P1321" t="s">
        <v>3114</v>
      </c>
      <c r="Q1321">
        <v>75</v>
      </c>
      <c r="R1321">
        <v>75</v>
      </c>
      <c r="S1321" t="s">
        <v>597</v>
      </c>
      <c r="T1321" t="s">
        <v>598</v>
      </c>
      <c r="U1321" t="s">
        <v>44</v>
      </c>
      <c r="W1321">
        <v>0</v>
      </c>
      <c r="X1321">
        <v>0</v>
      </c>
      <c r="Y1321">
        <v>0</v>
      </c>
      <c r="Z1321">
        <v>0</v>
      </c>
    </row>
    <row r="1322" spans="1:26" hidden="1" x14ac:dyDescent="0.25">
      <c r="A1322" t="s">
        <v>3115</v>
      </c>
      <c r="B1322" t="s">
        <v>38</v>
      </c>
      <c r="C1322" s="4">
        <v>44432</v>
      </c>
      <c r="D1322" s="4">
        <v>44552</v>
      </c>
      <c r="F1322" s="4">
        <v>45231</v>
      </c>
      <c r="G1322" t="s">
        <v>907</v>
      </c>
      <c r="H1322" t="s">
        <v>1357</v>
      </c>
      <c r="K1322" t="s">
        <v>53</v>
      </c>
      <c r="L1322" t="s">
        <v>2154</v>
      </c>
      <c r="M1322" t="s">
        <v>54</v>
      </c>
      <c r="N1322" t="s">
        <v>2155</v>
      </c>
      <c r="O1322" t="s">
        <v>32</v>
      </c>
      <c r="P1322" t="s">
        <v>3116</v>
      </c>
      <c r="Q1322">
        <v>200</v>
      </c>
      <c r="R1322">
        <v>200</v>
      </c>
      <c r="S1322" t="s">
        <v>34</v>
      </c>
      <c r="T1322" t="s">
        <v>35</v>
      </c>
      <c r="U1322" t="s">
        <v>44</v>
      </c>
      <c r="W1322">
        <v>0</v>
      </c>
      <c r="X1322">
        <v>0</v>
      </c>
      <c r="Y1322">
        <v>0</v>
      </c>
      <c r="Z1322">
        <v>0</v>
      </c>
    </row>
    <row r="1323" spans="1:26" hidden="1" x14ac:dyDescent="0.25">
      <c r="A1323" t="s">
        <v>3117</v>
      </c>
      <c r="B1323" t="s">
        <v>38</v>
      </c>
      <c r="C1323" s="4">
        <v>44449</v>
      </c>
      <c r="D1323" s="4">
        <v>45224</v>
      </c>
      <c r="F1323" s="4">
        <v>45291</v>
      </c>
      <c r="G1323" t="s">
        <v>1311</v>
      </c>
      <c r="H1323" t="s">
        <v>3060</v>
      </c>
      <c r="K1323" t="s">
        <v>114</v>
      </c>
      <c r="L1323" t="s">
        <v>2154</v>
      </c>
      <c r="M1323" t="s">
        <v>68</v>
      </c>
      <c r="N1323" t="s">
        <v>2155</v>
      </c>
      <c r="O1323" t="s">
        <v>32</v>
      </c>
      <c r="P1323" t="s">
        <v>3118</v>
      </c>
      <c r="Q1323">
        <v>40</v>
      </c>
      <c r="R1323">
        <v>40</v>
      </c>
      <c r="S1323" t="s">
        <v>159</v>
      </c>
      <c r="T1323" t="s">
        <v>159</v>
      </c>
      <c r="U1323" t="s">
        <v>44</v>
      </c>
      <c r="W1323">
        <v>0</v>
      </c>
      <c r="X1323">
        <v>0</v>
      </c>
      <c r="Y1323">
        <v>0</v>
      </c>
      <c r="Z1323">
        <v>0</v>
      </c>
    </row>
    <row r="1324" spans="1:26" hidden="1" x14ac:dyDescent="0.25">
      <c r="A1324" t="s">
        <v>3119</v>
      </c>
      <c r="B1324" t="s">
        <v>38</v>
      </c>
      <c r="C1324" s="4">
        <v>44697</v>
      </c>
      <c r="D1324" s="4">
        <v>45010</v>
      </c>
      <c r="F1324" s="4">
        <v>45777</v>
      </c>
      <c r="G1324" t="s">
        <v>112</v>
      </c>
      <c r="H1324" t="s">
        <v>3120</v>
      </c>
      <c r="K1324" t="s">
        <v>114</v>
      </c>
      <c r="L1324" t="s">
        <v>3121</v>
      </c>
      <c r="M1324" t="s">
        <v>68</v>
      </c>
      <c r="N1324" t="s">
        <v>3122</v>
      </c>
      <c r="O1324" t="s">
        <v>32</v>
      </c>
      <c r="P1324" t="s">
        <v>3123</v>
      </c>
      <c r="Q1324">
        <v>180</v>
      </c>
      <c r="R1324">
        <v>180</v>
      </c>
      <c r="S1324" t="s">
        <v>597</v>
      </c>
      <c r="T1324" t="s">
        <v>598</v>
      </c>
      <c r="U1324" t="s">
        <v>44</v>
      </c>
      <c r="W1324">
        <v>0</v>
      </c>
      <c r="X1324">
        <v>0</v>
      </c>
      <c r="Y1324">
        <v>0</v>
      </c>
      <c r="Z1324">
        <v>0</v>
      </c>
    </row>
    <row r="1325" spans="1:26" hidden="1" x14ac:dyDescent="0.25">
      <c r="A1325" t="s">
        <v>3124</v>
      </c>
      <c r="B1325" t="s">
        <v>2153</v>
      </c>
      <c r="C1325" s="4">
        <v>45981</v>
      </c>
      <c r="F1325" s="4">
        <v>45840</v>
      </c>
      <c r="G1325" t="s">
        <v>1108</v>
      </c>
      <c r="H1325" t="s">
        <v>1792</v>
      </c>
      <c r="K1325" t="s">
        <v>146</v>
      </c>
      <c r="L1325" t="s">
        <v>3121</v>
      </c>
      <c r="M1325" t="s">
        <v>68</v>
      </c>
      <c r="N1325" t="s">
        <v>3122</v>
      </c>
      <c r="O1325" t="s">
        <v>122</v>
      </c>
      <c r="P1325" t="s">
        <v>3125</v>
      </c>
      <c r="Q1325">
        <v>200</v>
      </c>
      <c r="R1325">
        <v>200</v>
      </c>
      <c r="S1325" t="s">
        <v>34</v>
      </c>
      <c r="T1325" t="s">
        <v>35</v>
      </c>
      <c r="U1325" t="s">
        <v>44</v>
      </c>
      <c r="W1325">
        <v>200</v>
      </c>
      <c r="X1325">
        <v>0</v>
      </c>
      <c r="Y1325">
        <v>0</v>
      </c>
      <c r="Z1325">
        <v>0</v>
      </c>
    </row>
    <row r="1326" spans="1:26" hidden="1" x14ac:dyDescent="0.25">
      <c r="A1326" t="s">
        <v>3126</v>
      </c>
      <c r="B1326" t="s">
        <v>38</v>
      </c>
      <c r="C1326" s="4">
        <v>44817</v>
      </c>
      <c r="D1326" s="4">
        <v>45957</v>
      </c>
      <c r="F1326" s="4">
        <v>46661</v>
      </c>
      <c r="G1326" t="s">
        <v>1381</v>
      </c>
      <c r="H1326" t="s">
        <v>1618</v>
      </c>
      <c r="K1326" t="s">
        <v>209</v>
      </c>
      <c r="L1326" t="s">
        <v>3121</v>
      </c>
      <c r="M1326" t="s">
        <v>42</v>
      </c>
      <c r="N1326" t="s">
        <v>3122</v>
      </c>
      <c r="O1326" t="s">
        <v>32</v>
      </c>
      <c r="P1326" t="s">
        <v>3127</v>
      </c>
      <c r="Q1326">
        <v>145</v>
      </c>
      <c r="R1326">
        <v>145</v>
      </c>
      <c r="S1326" t="s">
        <v>56</v>
      </c>
      <c r="T1326" t="s">
        <v>57</v>
      </c>
      <c r="U1326" t="s">
        <v>44</v>
      </c>
      <c r="W1326">
        <v>0</v>
      </c>
      <c r="X1326">
        <v>0</v>
      </c>
      <c r="Y1326">
        <v>0</v>
      </c>
      <c r="Z1326">
        <v>0</v>
      </c>
    </row>
    <row r="1327" spans="1:26" hidden="1" x14ac:dyDescent="0.25">
      <c r="A1327" t="s">
        <v>3128</v>
      </c>
      <c r="B1327" t="s">
        <v>38</v>
      </c>
      <c r="C1327" s="4">
        <v>44812</v>
      </c>
      <c r="D1327" s="4">
        <v>45868</v>
      </c>
      <c r="F1327" s="4">
        <v>46442</v>
      </c>
      <c r="G1327" t="s">
        <v>1278</v>
      </c>
      <c r="H1327" t="s">
        <v>1926</v>
      </c>
      <c r="K1327" t="s">
        <v>83</v>
      </c>
      <c r="L1327" t="s">
        <v>3121</v>
      </c>
      <c r="M1327" t="s">
        <v>30</v>
      </c>
      <c r="N1327" t="s">
        <v>3122</v>
      </c>
      <c r="O1327" t="s">
        <v>32</v>
      </c>
      <c r="P1327" t="s">
        <v>3129</v>
      </c>
      <c r="Q1327">
        <v>35</v>
      </c>
      <c r="R1327">
        <v>35</v>
      </c>
      <c r="S1327" t="s">
        <v>597</v>
      </c>
      <c r="T1327" t="s">
        <v>598</v>
      </c>
      <c r="U1327" t="s">
        <v>44</v>
      </c>
      <c r="W1327">
        <v>0</v>
      </c>
      <c r="X1327">
        <v>0</v>
      </c>
      <c r="Y1327">
        <v>0</v>
      </c>
      <c r="Z1327">
        <v>0</v>
      </c>
    </row>
    <row r="1328" spans="1:26" hidden="1" x14ac:dyDescent="0.25">
      <c r="A1328" t="s">
        <v>3130</v>
      </c>
      <c r="B1328" t="s">
        <v>38</v>
      </c>
      <c r="C1328" s="4">
        <v>44817</v>
      </c>
      <c r="D1328" s="4">
        <v>45010</v>
      </c>
      <c r="F1328" s="4">
        <v>45870</v>
      </c>
      <c r="G1328" t="s">
        <v>144</v>
      </c>
      <c r="H1328" t="s">
        <v>1418</v>
      </c>
      <c r="K1328" t="s">
        <v>146</v>
      </c>
      <c r="L1328" t="s">
        <v>3121</v>
      </c>
      <c r="M1328" t="s">
        <v>68</v>
      </c>
      <c r="N1328" t="s">
        <v>3122</v>
      </c>
      <c r="O1328" t="s">
        <v>32</v>
      </c>
      <c r="P1328" t="s">
        <v>3131</v>
      </c>
      <c r="Q1328">
        <v>175</v>
      </c>
      <c r="R1328">
        <v>175</v>
      </c>
      <c r="S1328" t="s">
        <v>159</v>
      </c>
      <c r="T1328" t="s">
        <v>159</v>
      </c>
      <c r="U1328" t="s">
        <v>44</v>
      </c>
      <c r="W1328">
        <v>0</v>
      </c>
      <c r="X1328">
        <v>0</v>
      </c>
      <c r="Y1328">
        <v>0</v>
      </c>
      <c r="Z1328">
        <v>0</v>
      </c>
    </row>
    <row r="1329" spans="1:26" hidden="1" x14ac:dyDescent="0.25">
      <c r="A1329" t="s">
        <v>3132</v>
      </c>
      <c r="B1329" t="s">
        <v>2153</v>
      </c>
      <c r="C1329" s="4">
        <v>44817</v>
      </c>
      <c r="F1329" s="4">
        <v>45958</v>
      </c>
      <c r="G1329" t="s">
        <v>1278</v>
      </c>
      <c r="H1329" t="s">
        <v>1476</v>
      </c>
      <c r="K1329" t="s">
        <v>28</v>
      </c>
      <c r="L1329" t="s">
        <v>3121</v>
      </c>
      <c r="M1329" t="s">
        <v>30</v>
      </c>
      <c r="N1329" t="s">
        <v>3122</v>
      </c>
      <c r="O1329" t="s">
        <v>32</v>
      </c>
      <c r="P1329" t="s">
        <v>3133</v>
      </c>
      <c r="Q1329">
        <v>150</v>
      </c>
      <c r="R1329">
        <v>150</v>
      </c>
      <c r="S1329" t="s">
        <v>159</v>
      </c>
      <c r="T1329" t="s">
        <v>159</v>
      </c>
      <c r="U1329" t="s">
        <v>44</v>
      </c>
      <c r="W1329">
        <v>150</v>
      </c>
      <c r="X1329">
        <v>150</v>
      </c>
      <c r="Y1329">
        <v>0</v>
      </c>
      <c r="Z1329">
        <v>0</v>
      </c>
    </row>
    <row r="1330" spans="1:26" hidden="1" x14ac:dyDescent="0.25">
      <c r="A1330" t="s">
        <v>3134</v>
      </c>
      <c r="B1330" t="s">
        <v>38</v>
      </c>
      <c r="C1330" s="4">
        <v>44817</v>
      </c>
      <c r="D1330" s="4">
        <v>45937</v>
      </c>
      <c r="F1330" s="4">
        <v>46327</v>
      </c>
      <c r="G1330" t="s">
        <v>183</v>
      </c>
      <c r="H1330" t="s">
        <v>3135</v>
      </c>
      <c r="K1330" t="s">
        <v>185</v>
      </c>
      <c r="L1330" t="s">
        <v>3121</v>
      </c>
      <c r="M1330" t="s">
        <v>42</v>
      </c>
      <c r="N1330" t="s">
        <v>3122</v>
      </c>
      <c r="O1330" t="s">
        <v>32</v>
      </c>
      <c r="P1330" t="s">
        <v>3136</v>
      </c>
      <c r="Q1330">
        <v>300</v>
      </c>
      <c r="R1330">
        <v>300</v>
      </c>
      <c r="S1330" t="s">
        <v>56</v>
      </c>
      <c r="T1330" t="s">
        <v>57</v>
      </c>
      <c r="U1330" t="s">
        <v>44</v>
      </c>
      <c r="W1330">
        <v>0</v>
      </c>
      <c r="X1330">
        <v>0</v>
      </c>
      <c r="Y1330">
        <v>0</v>
      </c>
      <c r="Z1330">
        <v>0</v>
      </c>
    </row>
    <row r="1331" spans="1:26" hidden="1" x14ac:dyDescent="0.25">
      <c r="A1331" t="s">
        <v>3137</v>
      </c>
      <c r="B1331" t="s">
        <v>38</v>
      </c>
      <c r="C1331" s="4">
        <v>44816</v>
      </c>
      <c r="D1331" s="4">
        <v>45868</v>
      </c>
      <c r="F1331" s="4">
        <v>46661</v>
      </c>
      <c r="G1331" t="s">
        <v>65</v>
      </c>
      <c r="H1331" t="s">
        <v>1876</v>
      </c>
      <c r="K1331" t="s">
        <v>67</v>
      </c>
      <c r="L1331" t="s">
        <v>3121</v>
      </c>
      <c r="M1331" t="s">
        <v>68</v>
      </c>
      <c r="N1331" t="s">
        <v>3122</v>
      </c>
      <c r="O1331" t="s">
        <v>32</v>
      </c>
      <c r="P1331" t="s">
        <v>3138</v>
      </c>
      <c r="Q1331">
        <v>150</v>
      </c>
      <c r="R1331">
        <v>150</v>
      </c>
      <c r="S1331" t="s">
        <v>34</v>
      </c>
      <c r="T1331" t="s">
        <v>35</v>
      </c>
      <c r="U1331" t="s">
        <v>44</v>
      </c>
      <c r="W1331">
        <v>0</v>
      </c>
      <c r="X1331">
        <v>0</v>
      </c>
      <c r="Y1331">
        <v>0</v>
      </c>
      <c r="Z1331">
        <v>0</v>
      </c>
    </row>
    <row r="1332" spans="1:26" hidden="1" x14ac:dyDescent="0.25">
      <c r="A1332" t="s">
        <v>3139</v>
      </c>
      <c r="B1332" t="s">
        <v>38</v>
      </c>
      <c r="C1332" s="4">
        <v>44818</v>
      </c>
      <c r="D1332" s="4">
        <v>45957</v>
      </c>
      <c r="F1332" s="4">
        <v>45961</v>
      </c>
      <c r="G1332" t="s">
        <v>101</v>
      </c>
      <c r="H1332" t="s">
        <v>1873</v>
      </c>
      <c r="K1332" t="s">
        <v>98</v>
      </c>
      <c r="L1332" t="s">
        <v>3121</v>
      </c>
      <c r="M1332" t="s">
        <v>84</v>
      </c>
      <c r="N1332" t="s">
        <v>2160</v>
      </c>
      <c r="O1332" t="s">
        <v>32</v>
      </c>
      <c r="P1332" t="s">
        <v>3140</v>
      </c>
      <c r="Q1332">
        <v>100</v>
      </c>
      <c r="R1332">
        <v>100</v>
      </c>
      <c r="S1332" t="s">
        <v>159</v>
      </c>
      <c r="T1332" t="s">
        <v>159</v>
      </c>
      <c r="U1332" t="s">
        <v>44</v>
      </c>
      <c r="W1332">
        <v>0</v>
      </c>
      <c r="X1332">
        <v>0</v>
      </c>
      <c r="Y1332">
        <v>0</v>
      </c>
      <c r="Z1332">
        <v>0</v>
      </c>
    </row>
    <row r="1333" spans="1:26" hidden="1" x14ac:dyDescent="0.25">
      <c r="A1333" t="s">
        <v>3141</v>
      </c>
      <c r="B1333" t="s">
        <v>2153</v>
      </c>
      <c r="C1333" s="4">
        <v>44819</v>
      </c>
      <c r="F1333" s="4">
        <v>46326</v>
      </c>
      <c r="H1333" t="s">
        <v>1312</v>
      </c>
      <c r="K1333" t="s">
        <v>114</v>
      </c>
      <c r="L1333" t="s">
        <v>3121</v>
      </c>
      <c r="M1333" t="s">
        <v>68</v>
      </c>
      <c r="N1333" t="s">
        <v>3122</v>
      </c>
      <c r="O1333" t="s">
        <v>122</v>
      </c>
      <c r="P1333" t="s">
        <v>3142</v>
      </c>
      <c r="Q1333">
        <v>200</v>
      </c>
      <c r="R1333">
        <v>200</v>
      </c>
      <c r="S1333" t="s">
        <v>34</v>
      </c>
      <c r="T1333" t="s">
        <v>35</v>
      </c>
      <c r="U1333" t="s">
        <v>44</v>
      </c>
      <c r="W1333">
        <v>200</v>
      </c>
      <c r="X1333">
        <v>0</v>
      </c>
      <c r="Y1333">
        <v>0</v>
      </c>
      <c r="Z1333">
        <v>0</v>
      </c>
    </row>
    <row r="1334" spans="1:26" hidden="1" x14ac:dyDescent="0.25">
      <c r="A1334" t="s">
        <v>3143</v>
      </c>
      <c r="B1334" t="s">
        <v>38</v>
      </c>
      <c r="C1334" s="4">
        <v>44819</v>
      </c>
      <c r="D1334" s="4">
        <v>45009</v>
      </c>
      <c r="F1334" s="4">
        <v>46280</v>
      </c>
      <c r="G1334" t="s">
        <v>117</v>
      </c>
      <c r="H1334" t="s">
        <v>1424</v>
      </c>
      <c r="K1334" t="s">
        <v>83</v>
      </c>
      <c r="L1334" t="s">
        <v>3121</v>
      </c>
      <c r="M1334" t="s">
        <v>84</v>
      </c>
      <c r="N1334" t="s">
        <v>2160</v>
      </c>
      <c r="O1334" t="s">
        <v>32</v>
      </c>
      <c r="P1334" t="s">
        <v>3144</v>
      </c>
      <c r="Q1334">
        <v>127</v>
      </c>
      <c r="R1334">
        <v>127</v>
      </c>
      <c r="S1334" t="s">
        <v>34</v>
      </c>
      <c r="T1334" t="s">
        <v>35</v>
      </c>
      <c r="U1334" t="s">
        <v>44</v>
      </c>
      <c r="W1334">
        <v>0</v>
      </c>
      <c r="X1334">
        <v>0</v>
      </c>
      <c r="Y1334">
        <v>0</v>
      </c>
      <c r="Z1334">
        <v>0</v>
      </c>
    </row>
    <row r="1335" spans="1:26" hidden="1" x14ac:dyDescent="0.25">
      <c r="A1335" t="s">
        <v>3145</v>
      </c>
      <c r="B1335" t="s">
        <v>2153</v>
      </c>
      <c r="C1335" s="4">
        <v>44819</v>
      </c>
      <c r="F1335" s="4">
        <v>46631</v>
      </c>
      <c r="G1335" t="s">
        <v>39</v>
      </c>
      <c r="H1335" t="s">
        <v>3146</v>
      </c>
      <c r="K1335" t="s">
        <v>41</v>
      </c>
      <c r="L1335" t="s">
        <v>3121</v>
      </c>
      <c r="M1335" t="s">
        <v>42</v>
      </c>
      <c r="N1335" t="s">
        <v>3122</v>
      </c>
      <c r="O1335" t="s">
        <v>32</v>
      </c>
      <c r="P1335" t="s">
        <v>3147</v>
      </c>
      <c r="Q1335">
        <v>200</v>
      </c>
      <c r="R1335">
        <v>200</v>
      </c>
      <c r="S1335" t="s">
        <v>56</v>
      </c>
      <c r="T1335" t="s">
        <v>57</v>
      </c>
      <c r="U1335" t="s">
        <v>44</v>
      </c>
      <c r="W1335">
        <v>200</v>
      </c>
      <c r="X1335">
        <v>200</v>
      </c>
      <c r="Y1335">
        <v>0</v>
      </c>
      <c r="Z1335">
        <v>0</v>
      </c>
    </row>
    <row r="1336" spans="1:26" hidden="1" x14ac:dyDescent="0.25">
      <c r="A1336" t="s">
        <v>3148</v>
      </c>
      <c r="B1336" t="s">
        <v>38</v>
      </c>
      <c r="C1336" s="4">
        <v>44819</v>
      </c>
      <c r="D1336" s="4">
        <v>45937</v>
      </c>
      <c r="F1336" s="4">
        <v>46631</v>
      </c>
      <c r="G1336" t="s">
        <v>177</v>
      </c>
      <c r="H1336" t="s">
        <v>1623</v>
      </c>
      <c r="K1336" t="s">
        <v>62</v>
      </c>
      <c r="L1336" t="s">
        <v>3121</v>
      </c>
      <c r="M1336" t="s">
        <v>42</v>
      </c>
      <c r="N1336" t="s">
        <v>3122</v>
      </c>
      <c r="O1336" t="s">
        <v>32</v>
      </c>
      <c r="P1336" t="s">
        <v>3149</v>
      </c>
      <c r="Q1336">
        <v>200</v>
      </c>
      <c r="R1336">
        <v>200</v>
      </c>
      <c r="S1336" t="s">
        <v>56</v>
      </c>
      <c r="T1336" t="s">
        <v>57</v>
      </c>
      <c r="U1336" t="s">
        <v>44</v>
      </c>
      <c r="W1336">
        <v>0</v>
      </c>
      <c r="X1336">
        <v>0</v>
      </c>
      <c r="Y1336">
        <v>0</v>
      </c>
      <c r="Z1336">
        <v>0</v>
      </c>
    </row>
    <row r="1337" spans="1:26" hidden="1" x14ac:dyDescent="0.25">
      <c r="A1337" t="s">
        <v>3150</v>
      </c>
      <c r="B1337" t="s">
        <v>2153</v>
      </c>
      <c r="C1337" s="4">
        <v>44818</v>
      </c>
      <c r="F1337" s="4">
        <v>46631</v>
      </c>
      <c r="G1337" t="s">
        <v>117</v>
      </c>
      <c r="H1337" t="s">
        <v>2013</v>
      </c>
      <c r="K1337" t="s">
        <v>83</v>
      </c>
      <c r="L1337" t="s">
        <v>3121</v>
      </c>
      <c r="M1337" t="s">
        <v>84</v>
      </c>
      <c r="N1337" t="s">
        <v>2160</v>
      </c>
      <c r="O1337" t="s">
        <v>32</v>
      </c>
      <c r="P1337" t="s">
        <v>3151</v>
      </c>
      <c r="Q1337">
        <v>195</v>
      </c>
      <c r="R1337">
        <v>195</v>
      </c>
      <c r="S1337" t="s">
        <v>34</v>
      </c>
      <c r="T1337" t="s">
        <v>35</v>
      </c>
      <c r="U1337" t="s">
        <v>44</v>
      </c>
      <c r="W1337">
        <v>195</v>
      </c>
      <c r="X1337">
        <v>195</v>
      </c>
      <c r="Y1337">
        <v>0</v>
      </c>
      <c r="Z1337">
        <v>0</v>
      </c>
    </row>
    <row r="1338" spans="1:26" hidden="1" x14ac:dyDescent="0.25">
      <c r="A1338" t="s">
        <v>3152</v>
      </c>
      <c r="B1338" t="s">
        <v>38</v>
      </c>
      <c r="C1338" s="4">
        <v>44818</v>
      </c>
      <c r="D1338" s="4">
        <v>45868</v>
      </c>
      <c r="F1338" s="4">
        <v>45901</v>
      </c>
      <c r="G1338" t="s">
        <v>1278</v>
      </c>
      <c r="H1338" t="s">
        <v>1493</v>
      </c>
      <c r="K1338" t="s">
        <v>28</v>
      </c>
      <c r="L1338" t="s">
        <v>3121</v>
      </c>
      <c r="M1338" t="s">
        <v>30</v>
      </c>
      <c r="N1338" t="s">
        <v>3122</v>
      </c>
      <c r="O1338" t="s">
        <v>32</v>
      </c>
      <c r="P1338" t="s">
        <v>3153</v>
      </c>
      <c r="Q1338">
        <v>200</v>
      </c>
      <c r="R1338">
        <v>200</v>
      </c>
      <c r="S1338" t="s">
        <v>159</v>
      </c>
      <c r="T1338" t="s">
        <v>159</v>
      </c>
      <c r="U1338" t="s">
        <v>44</v>
      </c>
      <c r="W1338">
        <v>0</v>
      </c>
      <c r="X1338">
        <v>0</v>
      </c>
      <c r="Y1338">
        <v>0</v>
      </c>
      <c r="Z1338">
        <v>0</v>
      </c>
    </row>
    <row r="1339" spans="1:26" hidden="1" x14ac:dyDescent="0.25">
      <c r="A1339" t="s">
        <v>3154</v>
      </c>
      <c r="B1339" t="s">
        <v>38</v>
      </c>
      <c r="C1339" s="4">
        <v>44817</v>
      </c>
      <c r="D1339" s="4">
        <v>45868</v>
      </c>
      <c r="F1339" s="4">
        <v>45898</v>
      </c>
      <c r="G1339" t="s">
        <v>144</v>
      </c>
      <c r="H1339" t="s">
        <v>1285</v>
      </c>
      <c r="K1339" t="s">
        <v>146</v>
      </c>
      <c r="L1339" t="s">
        <v>3121</v>
      </c>
      <c r="M1339" t="s">
        <v>68</v>
      </c>
      <c r="N1339" t="s">
        <v>3122</v>
      </c>
      <c r="O1339" t="s">
        <v>32</v>
      </c>
      <c r="P1339" t="s">
        <v>3155</v>
      </c>
      <c r="Q1339">
        <v>125</v>
      </c>
      <c r="R1339">
        <v>125</v>
      </c>
      <c r="S1339" t="s">
        <v>597</v>
      </c>
      <c r="T1339" t="s">
        <v>598</v>
      </c>
      <c r="U1339" t="s">
        <v>44</v>
      </c>
      <c r="W1339">
        <v>0</v>
      </c>
      <c r="X1339">
        <v>0</v>
      </c>
      <c r="Y1339">
        <v>0</v>
      </c>
      <c r="Z1339">
        <v>0</v>
      </c>
    </row>
    <row r="1340" spans="1:26" hidden="1" x14ac:dyDescent="0.25">
      <c r="A1340" t="s">
        <v>3156</v>
      </c>
      <c r="B1340" t="s">
        <v>38</v>
      </c>
      <c r="C1340" s="4">
        <v>44819</v>
      </c>
      <c r="D1340" s="4">
        <v>45866</v>
      </c>
      <c r="F1340" s="4">
        <v>46203</v>
      </c>
      <c r="G1340" t="s">
        <v>1251</v>
      </c>
      <c r="H1340" t="s">
        <v>3157</v>
      </c>
      <c r="K1340" t="s">
        <v>109</v>
      </c>
      <c r="L1340" t="s">
        <v>3121</v>
      </c>
      <c r="M1340" t="s">
        <v>84</v>
      </c>
      <c r="N1340" t="s">
        <v>2160</v>
      </c>
      <c r="O1340" t="s">
        <v>32</v>
      </c>
      <c r="P1340" t="s">
        <v>3158</v>
      </c>
      <c r="Q1340">
        <v>100</v>
      </c>
      <c r="R1340">
        <v>100</v>
      </c>
      <c r="S1340" t="s">
        <v>159</v>
      </c>
      <c r="T1340" t="s">
        <v>159</v>
      </c>
      <c r="U1340" t="s">
        <v>44</v>
      </c>
      <c r="W1340">
        <v>0</v>
      </c>
      <c r="X1340">
        <v>0</v>
      </c>
      <c r="Y1340">
        <v>0</v>
      </c>
      <c r="Z1340">
        <v>0</v>
      </c>
    </row>
    <row r="1341" spans="1:26" hidden="1" x14ac:dyDescent="0.25">
      <c r="A1341" t="s">
        <v>3159</v>
      </c>
      <c r="B1341" t="s">
        <v>38</v>
      </c>
      <c r="C1341" s="4">
        <v>44819</v>
      </c>
      <c r="D1341" s="4">
        <v>45937</v>
      </c>
      <c r="F1341" s="4">
        <v>46631</v>
      </c>
      <c r="G1341" t="s">
        <v>177</v>
      </c>
      <c r="H1341" t="s">
        <v>1623</v>
      </c>
      <c r="K1341" t="s">
        <v>62</v>
      </c>
      <c r="L1341" t="s">
        <v>3121</v>
      </c>
      <c r="M1341" t="s">
        <v>42</v>
      </c>
      <c r="N1341" t="s">
        <v>3122</v>
      </c>
      <c r="O1341" t="s">
        <v>32</v>
      </c>
      <c r="P1341" t="s">
        <v>3149</v>
      </c>
      <c r="Q1341">
        <v>200</v>
      </c>
      <c r="R1341">
        <v>200</v>
      </c>
      <c r="S1341" t="s">
        <v>56</v>
      </c>
      <c r="T1341" t="s">
        <v>57</v>
      </c>
      <c r="U1341" t="s">
        <v>44</v>
      </c>
      <c r="W1341">
        <v>0</v>
      </c>
      <c r="X1341">
        <v>0</v>
      </c>
      <c r="Y1341">
        <v>0</v>
      </c>
      <c r="Z1341">
        <v>0</v>
      </c>
    </row>
    <row r="1342" spans="1:26" hidden="1" x14ac:dyDescent="0.25">
      <c r="A1342" t="s">
        <v>3160</v>
      </c>
      <c r="B1342" t="s">
        <v>38</v>
      </c>
      <c r="C1342" s="4">
        <v>44819</v>
      </c>
      <c r="D1342" s="4">
        <v>45868</v>
      </c>
      <c r="F1342" s="4">
        <v>46296</v>
      </c>
      <c r="G1342" t="s">
        <v>616</v>
      </c>
      <c r="H1342" t="s">
        <v>2467</v>
      </c>
      <c r="K1342" t="s">
        <v>146</v>
      </c>
      <c r="L1342" t="s">
        <v>3121</v>
      </c>
      <c r="M1342" t="s">
        <v>68</v>
      </c>
      <c r="N1342" t="s">
        <v>3122</v>
      </c>
      <c r="O1342" t="s">
        <v>32</v>
      </c>
      <c r="P1342" t="s">
        <v>3161</v>
      </c>
      <c r="Q1342">
        <v>125</v>
      </c>
      <c r="R1342">
        <v>125</v>
      </c>
      <c r="S1342" t="s">
        <v>34</v>
      </c>
      <c r="T1342" t="s">
        <v>35</v>
      </c>
      <c r="U1342" t="s">
        <v>44</v>
      </c>
      <c r="W1342">
        <v>0</v>
      </c>
      <c r="X1342">
        <v>0</v>
      </c>
      <c r="Y1342">
        <v>0</v>
      </c>
      <c r="Z1342">
        <v>0</v>
      </c>
    </row>
    <row r="1343" spans="1:26" hidden="1" x14ac:dyDescent="0.25">
      <c r="A1343" t="s">
        <v>3162</v>
      </c>
      <c r="B1343" t="s">
        <v>38</v>
      </c>
      <c r="C1343" s="4">
        <v>44818</v>
      </c>
      <c r="D1343" s="4">
        <v>45957</v>
      </c>
      <c r="F1343" s="4">
        <v>46600</v>
      </c>
      <c r="G1343" t="s">
        <v>101</v>
      </c>
      <c r="H1343" t="s">
        <v>1547</v>
      </c>
      <c r="K1343" t="s">
        <v>98</v>
      </c>
      <c r="L1343" t="s">
        <v>3121</v>
      </c>
      <c r="M1343" t="s">
        <v>84</v>
      </c>
      <c r="N1343" t="s">
        <v>2160</v>
      </c>
      <c r="O1343" t="s">
        <v>32</v>
      </c>
      <c r="P1343" t="s">
        <v>3163</v>
      </c>
      <c r="Q1343">
        <v>43</v>
      </c>
      <c r="R1343">
        <v>43</v>
      </c>
      <c r="S1343" t="s">
        <v>34</v>
      </c>
      <c r="T1343" t="s">
        <v>35</v>
      </c>
      <c r="U1343" t="s">
        <v>44</v>
      </c>
      <c r="W1343">
        <v>0</v>
      </c>
      <c r="X1343">
        <v>0</v>
      </c>
      <c r="Y1343">
        <v>0</v>
      </c>
      <c r="Z1343">
        <v>0</v>
      </c>
    </row>
    <row r="1344" spans="1:26" hidden="1" x14ac:dyDescent="0.25">
      <c r="A1344" t="s">
        <v>3164</v>
      </c>
      <c r="B1344" t="s">
        <v>38</v>
      </c>
      <c r="C1344" s="4">
        <v>44817</v>
      </c>
      <c r="D1344" s="4">
        <v>45868</v>
      </c>
      <c r="F1344" s="4">
        <v>46296</v>
      </c>
      <c r="G1344" t="s">
        <v>65</v>
      </c>
      <c r="H1344" t="s">
        <v>2482</v>
      </c>
      <c r="K1344" t="s">
        <v>67</v>
      </c>
      <c r="L1344" t="s">
        <v>3121</v>
      </c>
      <c r="M1344" t="s">
        <v>68</v>
      </c>
      <c r="N1344" t="s">
        <v>3122</v>
      </c>
      <c r="O1344" t="s">
        <v>32</v>
      </c>
      <c r="P1344" t="s">
        <v>3165</v>
      </c>
      <c r="Q1344">
        <v>75</v>
      </c>
      <c r="R1344">
        <v>75</v>
      </c>
      <c r="S1344" t="s">
        <v>34</v>
      </c>
      <c r="T1344" t="s">
        <v>35</v>
      </c>
      <c r="U1344" t="s">
        <v>44</v>
      </c>
      <c r="W1344">
        <v>0</v>
      </c>
      <c r="X1344">
        <v>0</v>
      </c>
      <c r="Y1344">
        <v>0</v>
      </c>
      <c r="Z1344">
        <v>0</v>
      </c>
    </row>
    <row r="1345" spans="1:26" hidden="1" x14ac:dyDescent="0.25">
      <c r="A1345" t="s">
        <v>3166</v>
      </c>
      <c r="B1345" t="s">
        <v>2153</v>
      </c>
      <c r="C1345" s="4">
        <v>44819</v>
      </c>
      <c r="F1345" s="4">
        <v>46522</v>
      </c>
      <c r="G1345" t="s">
        <v>72</v>
      </c>
      <c r="H1345" t="s">
        <v>1344</v>
      </c>
      <c r="K1345" t="s">
        <v>209</v>
      </c>
      <c r="L1345" t="s">
        <v>3121</v>
      </c>
      <c r="M1345" t="s">
        <v>42</v>
      </c>
      <c r="N1345" t="s">
        <v>3122</v>
      </c>
      <c r="O1345" t="s">
        <v>32</v>
      </c>
      <c r="P1345" t="s">
        <v>531</v>
      </c>
      <c r="Q1345">
        <v>230</v>
      </c>
      <c r="R1345">
        <v>230</v>
      </c>
      <c r="S1345" t="s">
        <v>56</v>
      </c>
      <c r="T1345" t="s">
        <v>57</v>
      </c>
      <c r="U1345" t="s">
        <v>44</v>
      </c>
      <c r="W1345">
        <v>150</v>
      </c>
      <c r="X1345">
        <v>141</v>
      </c>
      <c r="Y1345">
        <v>0</v>
      </c>
      <c r="Z1345">
        <v>0</v>
      </c>
    </row>
    <row r="1346" spans="1:26" hidden="1" x14ac:dyDescent="0.25">
      <c r="A1346" t="s">
        <v>3167</v>
      </c>
      <c r="B1346" t="s">
        <v>2153</v>
      </c>
      <c r="C1346" s="4">
        <v>44818</v>
      </c>
      <c r="F1346" s="4">
        <v>46143</v>
      </c>
      <c r="G1346" t="s">
        <v>1257</v>
      </c>
      <c r="H1346" t="s">
        <v>1258</v>
      </c>
      <c r="K1346" t="s">
        <v>98</v>
      </c>
      <c r="L1346" t="s">
        <v>3121</v>
      </c>
      <c r="M1346" t="s">
        <v>84</v>
      </c>
      <c r="N1346" t="s">
        <v>2160</v>
      </c>
      <c r="O1346" t="s">
        <v>32</v>
      </c>
      <c r="P1346" t="s">
        <v>3168</v>
      </c>
      <c r="Q1346">
        <v>130</v>
      </c>
      <c r="R1346">
        <v>130</v>
      </c>
      <c r="S1346" t="s">
        <v>159</v>
      </c>
      <c r="T1346" t="s">
        <v>159</v>
      </c>
      <c r="U1346" t="s">
        <v>44</v>
      </c>
      <c r="W1346">
        <v>130</v>
      </c>
      <c r="X1346">
        <v>130</v>
      </c>
      <c r="Y1346">
        <v>0</v>
      </c>
      <c r="Z1346">
        <v>0</v>
      </c>
    </row>
    <row r="1347" spans="1:26" hidden="1" x14ac:dyDescent="0.25">
      <c r="A1347" t="s">
        <v>3169</v>
      </c>
      <c r="B1347" t="s">
        <v>38</v>
      </c>
      <c r="C1347" s="4">
        <v>44817</v>
      </c>
      <c r="D1347" s="4">
        <v>45937</v>
      </c>
      <c r="F1347" s="4">
        <v>46327</v>
      </c>
      <c r="G1347" t="s">
        <v>177</v>
      </c>
      <c r="H1347" t="s">
        <v>2447</v>
      </c>
      <c r="K1347" t="s">
        <v>185</v>
      </c>
      <c r="L1347" t="s">
        <v>3121</v>
      </c>
      <c r="M1347" t="s">
        <v>42</v>
      </c>
      <c r="N1347" t="s">
        <v>3122</v>
      </c>
      <c r="O1347" t="s">
        <v>32</v>
      </c>
      <c r="P1347" t="s">
        <v>3170</v>
      </c>
      <c r="Q1347">
        <v>200</v>
      </c>
      <c r="R1347">
        <v>200</v>
      </c>
      <c r="S1347" t="s">
        <v>56</v>
      </c>
      <c r="T1347" t="s">
        <v>57</v>
      </c>
      <c r="U1347" t="s">
        <v>44</v>
      </c>
      <c r="W1347">
        <v>0</v>
      </c>
      <c r="X1347">
        <v>0</v>
      </c>
      <c r="Y1347">
        <v>0</v>
      </c>
      <c r="Z1347">
        <v>0</v>
      </c>
    </row>
    <row r="1348" spans="1:26" hidden="1" x14ac:dyDescent="0.25">
      <c r="A1348" t="s">
        <v>3171</v>
      </c>
      <c r="B1348" t="s">
        <v>38</v>
      </c>
      <c r="C1348" s="4">
        <v>44816</v>
      </c>
      <c r="D1348" s="4">
        <v>45868</v>
      </c>
      <c r="F1348" s="4">
        <v>47027</v>
      </c>
      <c r="G1348" t="s">
        <v>1278</v>
      </c>
      <c r="H1348" t="s">
        <v>1308</v>
      </c>
      <c r="K1348" t="s">
        <v>28</v>
      </c>
      <c r="L1348" t="s">
        <v>3121</v>
      </c>
      <c r="M1348" t="s">
        <v>30</v>
      </c>
      <c r="N1348" t="s">
        <v>3122</v>
      </c>
      <c r="O1348" t="s">
        <v>32</v>
      </c>
      <c r="P1348" t="s">
        <v>3172</v>
      </c>
      <c r="Q1348">
        <v>150</v>
      </c>
      <c r="R1348">
        <v>150</v>
      </c>
      <c r="S1348" t="s">
        <v>56</v>
      </c>
      <c r="T1348" t="s">
        <v>57</v>
      </c>
      <c r="U1348" t="s">
        <v>44</v>
      </c>
      <c r="W1348">
        <v>0</v>
      </c>
      <c r="X1348">
        <v>0</v>
      </c>
      <c r="Y1348">
        <v>0</v>
      </c>
      <c r="Z1348">
        <v>0</v>
      </c>
    </row>
    <row r="1349" spans="1:26" hidden="1" x14ac:dyDescent="0.25">
      <c r="A1349" t="s">
        <v>3173</v>
      </c>
      <c r="B1349" t="s">
        <v>2153</v>
      </c>
      <c r="C1349" s="4">
        <v>44819</v>
      </c>
      <c r="F1349" s="4">
        <v>46631</v>
      </c>
      <c r="G1349" t="s">
        <v>39</v>
      </c>
      <c r="H1349" t="s">
        <v>1282</v>
      </c>
      <c r="K1349" t="s">
        <v>41</v>
      </c>
      <c r="L1349" t="s">
        <v>3121</v>
      </c>
      <c r="M1349" t="s">
        <v>42</v>
      </c>
      <c r="N1349" t="s">
        <v>3122</v>
      </c>
      <c r="O1349" t="s">
        <v>32</v>
      </c>
      <c r="P1349" t="s">
        <v>3147</v>
      </c>
      <c r="Q1349">
        <v>200</v>
      </c>
      <c r="R1349">
        <v>200</v>
      </c>
      <c r="S1349" t="s">
        <v>56</v>
      </c>
      <c r="T1349" t="s">
        <v>57</v>
      </c>
      <c r="U1349" t="s">
        <v>44</v>
      </c>
      <c r="W1349">
        <v>200</v>
      </c>
      <c r="X1349">
        <v>200</v>
      </c>
      <c r="Y1349">
        <v>0</v>
      </c>
      <c r="Z1349">
        <v>0</v>
      </c>
    </row>
    <row r="1350" spans="1:26" hidden="1" x14ac:dyDescent="0.25">
      <c r="A1350" t="s">
        <v>3174</v>
      </c>
      <c r="B1350" t="s">
        <v>38</v>
      </c>
      <c r="C1350" s="4">
        <v>44818</v>
      </c>
      <c r="D1350" s="4">
        <v>45870</v>
      </c>
      <c r="F1350" s="4">
        <v>45915</v>
      </c>
      <c r="G1350" t="s">
        <v>52</v>
      </c>
      <c r="H1350" t="s">
        <v>3175</v>
      </c>
      <c r="K1350" t="s">
        <v>53</v>
      </c>
      <c r="L1350" t="s">
        <v>3121</v>
      </c>
      <c r="M1350" t="s">
        <v>54</v>
      </c>
      <c r="N1350" t="s">
        <v>3122</v>
      </c>
      <c r="O1350" t="s">
        <v>32</v>
      </c>
      <c r="P1350" t="s">
        <v>3176</v>
      </c>
      <c r="Q1350">
        <v>40</v>
      </c>
      <c r="R1350">
        <v>40</v>
      </c>
      <c r="S1350" t="s">
        <v>34</v>
      </c>
      <c r="T1350" t="s">
        <v>35</v>
      </c>
      <c r="U1350" t="s">
        <v>44</v>
      </c>
      <c r="W1350">
        <v>0</v>
      </c>
      <c r="X1350">
        <v>0</v>
      </c>
      <c r="Y1350">
        <v>0</v>
      </c>
      <c r="Z1350">
        <v>0</v>
      </c>
    </row>
    <row r="1351" spans="1:26" hidden="1" x14ac:dyDescent="0.25">
      <c r="A1351" t="s">
        <v>3177</v>
      </c>
      <c r="B1351" t="s">
        <v>38</v>
      </c>
      <c r="C1351" s="4">
        <v>44818</v>
      </c>
      <c r="D1351" s="4">
        <v>45868</v>
      </c>
      <c r="F1351" s="4">
        <v>46326</v>
      </c>
      <c r="G1351" t="s">
        <v>144</v>
      </c>
      <c r="H1351" t="s">
        <v>1618</v>
      </c>
      <c r="K1351" t="s">
        <v>146</v>
      </c>
      <c r="L1351" t="s">
        <v>3121</v>
      </c>
      <c r="M1351" t="s">
        <v>68</v>
      </c>
      <c r="N1351" t="s">
        <v>3122</v>
      </c>
      <c r="O1351" t="s">
        <v>32</v>
      </c>
      <c r="P1351" t="s">
        <v>3178</v>
      </c>
      <c r="Q1351">
        <v>225</v>
      </c>
      <c r="R1351">
        <v>225</v>
      </c>
      <c r="S1351" t="s">
        <v>34</v>
      </c>
      <c r="T1351" t="s">
        <v>35</v>
      </c>
      <c r="U1351" t="s">
        <v>44</v>
      </c>
      <c r="W1351">
        <v>0</v>
      </c>
      <c r="X1351">
        <v>0</v>
      </c>
      <c r="Y1351">
        <v>0</v>
      </c>
      <c r="Z1351">
        <v>0</v>
      </c>
    </row>
    <row r="1352" spans="1:26" hidden="1" x14ac:dyDescent="0.25">
      <c r="A1352" t="s">
        <v>3179</v>
      </c>
      <c r="B1352" t="s">
        <v>38</v>
      </c>
      <c r="C1352" s="4">
        <v>44819</v>
      </c>
      <c r="D1352" s="4">
        <v>45957</v>
      </c>
      <c r="F1352" s="4">
        <v>46234</v>
      </c>
      <c r="G1352" t="s">
        <v>365</v>
      </c>
      <c r="H1352" t="s">
        <v>1437</v>
      </c>
      <c r="K1352" t="s">
        <v>83</v>
      </c>
      <c r="L1352" t="s">
        <v>3121</v>
      </c>
      <c r="M1352" t="s">
        <v>84</v>
      </c>
      <c r="N1352" t="s">
        <v>2160</v>
      </c>
      <c r="O1352" t="s">
        <v>32</v>
      </c>
      <c r="P1352" t="s">
        <v>3180</v>
      </c>
      <c r="Q1352">
        <v>200</v>
      </c>
      <c r="R1352">
        <v>200</v>
      </c>
      <c r="S1352" t="s">
        <v>34</v>
      </c>
      <c r="T1352" t="s">
        <v>35</v>
      </c>
      <c r="U1352" t="s">
        <v>44</v>
      </c>
      <c r="W1352">
        <v>0</v>
      </c>
      <c r="X1352">
        <v>0</v>
      </c>
      <c r="Y1352">
        <v>0</v>
      </c>
      <c r="Z1352">
        <v>0</v>
      </c>
    </row>
    <row r="1353" spans="1:26" hidden="1" x14ac:dyDescent="0.25">
      <c r="A1353" t="s">
        <v>3181</v>
      </c>
      <c r="B1353" t="s">
        <v>2153</v>
      </c>
      <c r="C1353" s="4">
        <v>44819</v>
      </c>
      <c r="F1353" s="4">
        <v>45915</v>
      </c>
      <c r="G1353" t="s">
        <v>1326</v>
      </c>
      <c r="H1353" t="s">
        <v>1887</v>
      </c>
      <c r="K1353" t="s">
        <v>67</v>
      </c>
      <c r="L1353" t="s">
        <v>3121</v>
      </c>
      <c r="M1353" t="s">
        <v>68</v>
      </c>
      <c r="N1353" t="s">
        <v>3122</v>
      </c>
      <c r="O1353" t="s">
        <v>122</v>
      </c>
      <c r="P1353" t="s">
        <v>2747</v>
      </c>
      <c r="Q1353">
        <v>115.5</v>
      </c>
      <c r="R1353">
        <v>115.5</v>
      </c>
      <c r="S1353" t="s">
        <v>34</v>
      </c>
      <c r="T1353" t="s">
        <v>35</v>
      </c>
      <c r="U1353" t="s">
        <v>44</v>
      </c>
      <c r="W1353">
        <v>115.5</v>
      </c>
      <c r="X1353">
        <v>0</v>
      </c>
      <c r="Y1353">
        <v>0</v>
      </c>
      <c r="Z1353">
        <v>0</v>
      </c>
    </row>
    <row r="1354" spans="1:26" hidden="1" x14ac:dyDescent="0.25">
      <c r="A1354" t="s">
        <v>3182</v>
      </c>
      <c r="B1354" t="s">
        <v>2153</v>
      </c>
      <c r="C1354" s="4">
        <v>44819</v>
      </c>
      <c r="F1354" s="4">
        <v>46235</v>
      </c>
      <c r="H1354" t="s">
        <v>1542</v>
      </c>
      <c r="K1354" t="s">
        <v>67</v>
      </c>
      <c r="L1354" t="s">
        <v>3121</v>
      </c>
      <c r="M1354" t="s">
        <v>68</v>
      </c>
      <c r="N1354" t="s">
        <v>3122</v>
      </c>
      <c r="O1354" t="s">
        <v>32</v>
      </c>
      <c r="P1354" t="s">
        <v>3183</v>
      </c>
      <c r="Q1354">
        <v>200</v>
      </c>
      <c r="R1354">
        <v>200</v>
      </c>
      <c r="S1354" t="s">
        <v>34</v>
      </c>
      <c r="T1354" t="s">
        <v>35</v>
      </c>
      <c r="U1354" t="s">
        <v>44</v>
      </c>
      <c r="W1354">
        <v>200</v>
      </c>
      <c r="X1354">
        <v>200</v>
      </c>
      <c r="Y1354">
        <v>0</v>
      </c>
      <c r="Z1354">
        <v>0</v>
      </c>
    </row>
    <row r="1355" spans="1:26" hidden="1" x14ac:dyDescent="0.25">
      <c r="A1355" t="s">
        <v>3184</v>
      </c>
      <c r="B1355" t="s">
        <v>38</v>
      </c>
      <c r="C1355" s="4">
        <v>44819</v>
      </c>
      <c r="D1355" s="4">
        <v>45937</v>
      </c>
      <c r="F1355" s="4">
        <v>46327</v>
      </c>
      <c r="G1355" t="s">
        <v>1381</v>
      </c>
      <c r="H1355" t="s">
        <v>3185</v>
      </c>
      <c r="K1355" t="s">
        <v>209</v>
      </c>
      <c r="L1355" t="s">
        <v>3121</v>
      </c>
      <c r="M1355" t="s">
        <v>42</v>
      </c>
      <c r="N1355" t="s">
        <v>3122</v>
      </c>
      <c r="O1355" t="s">
        <v>32</v>
      </c>
      <c r="P1355" t="s">
        <v>3186</v>
      </c>
      <c r="Q1355">
        <v>118</v>
      </c>
      <c r="R1355">
        <v>118</v>
      </c>
      <c r="S1355" t="s">
        <v>56</v>
      </c>
      <c r="T1355" t="s">
        <v>57</v>
      </c>
      <c r="U1355" t="s">
        <v>44</v>
      </c>
      <c r="W1355">
        <v>0</v>
      </c>
      <c r="X1355">
        <v>0</v>
      </c>
      <c r="Y1355">
        <v>0</v>
      </c>
      <c r="Z1355">
        <v>0</v>
      </c>
    </row>
    <row r="1356" spans="1:26" hidden="1" x14ac:dyDescent="0.25">
      <c r="A1356" t="s">
        <v>3187</v>
      </c>
      <c r="B1356" t="s">
        <v>2153</v>
      </c>
      <c r="C1356" s="4">
        <v>44819</v>
      </c>
      <c r="F1356" s="4">
        <v>46143</v>
      </c>
      <c r="G1356" t="s">
        <v>1690</v>
      </c>
      <c r="H1356" t="s">
        <v>1640</v>
      </c>
      <c r="K1356" t="s">
        <v>98</v>
      </c>
      <c r="L1356" t="s">
        <v>3121</v>
      </c>
      <c r="M1356" t="s">
        <v>84</v>
      </c>
      <c r="N1356" t="s">
        <v>2160</v>
      </c>
      <c r="O1356" t="s">
        <v>32</v>
      </c>
      <c r="P1356" t="s">
        <v>3188</v>
      </c>
      <c r="Q1356">
        <v>190</v>
      </c>
      <c r="R1356">
        <v>190</v>
      </c>
      <c r="S1356" t="s">
        <v>34</v>
      </c>
      <c r="T1356" t="s">
        <v>35</v>
      </c>
      <c r="U1356" t="s">
        <v>44</v>
      </c>
      <c r="W1356">
        <v>190</v>
      </c>
      <c r="X1356">
        <v>190</v>
      </c>
      <c r="Y1356">
        <v>0</v>
      </c>
      <c r="Z1356">
        <v>0</v>
      </c>
    </row>
    <row r="1357" spans="1:26" hidden="1" x14ac:dyDescent="0.25">
      <c r="A1357" t="s">
        <v>3189</v>
      </c>
      <c r="B1357" t="s">
        <v>38</v>
      </c>
      <c r="C1357" s="4">
        <v>44819</v>
      </c>
      <c r="D1357" s="4">
        <v>45868</v>
      </c>
      <c r="F1357" s="4">
        <v>45627</v>
      </c>
      <c r="G1357" t="s">
        <v>1278</v>
      </c>
      <c r="H1357" t="s">
        <v>3190</v>
      </c>
      <c r="K1357" t="s">
        <v>28</v>
      </c>
      <c r="L1357" t="s">
        <v>3121</v>
      </c>
      <c r="M1357" t="s">
        <v>30</v>
      </c>
      <c r="N1357" t="s">
        <v>3122</v>
      </c>
      <c r="O1357" t="s">
        <v>32</v>
      </c>
      <c r="P1357" t="s">
        <v>3191</v>
      </c>
      <c r="Q1357">
        <v>65</v>
      </c>
      <c r="R1357">
        <v>65</v>
      </c>
      <c r="S1357" t="s">
        <v>34</v>
      </c>
      <c r="T1357" t="s">
        <v>35</v>
      </c>
      <c r="U1357" t="s">
        <v>44</v>
      </c>
      <c r="W1357">
        <v>0</v>
      </c>
      <c r="X1357">
        <v>0</v>
      </c>
      <c r="Y1357">
        <v>0</v>
      </c>
      <c r="Z1357">
        <v>0</v>
      </c>
    </row>
    <row r="1358" spans="1:26" hidden="1" x14ac:dyDescent="0.25">
      <c r="A1358" t="s">
        <v>3192</v>
      </c>
      <c r="B1358" t="s">
        <v>38</v>
      </c>
      <c r="C1358" s="4">
        <v>44818</v>
      </c>
      <c r="D1358" s="4">
        <v>45957</v>
      </c>
      <c r="F1358" s="4">
        <v>46721</v>
      </c>
      <c r="G1358" t="s">
        <v>117</v>
      </c>
      <c r="H1358" t="s">
        <v>1676</v>
      </c>
      <c r="K1358" t="s">
        <v>83</v>
      </c>
      <c r="L1358" t="s">
        <v>3121</v>
      </c>
      <c r="M1358" t="s">
        <v>84</v>
      </c>
      <c r="N1358" t="s">
        <v>2160</v>
      </c>
      <c r="O1358" t="s">
        <v>32</v>
      </c>
      <c r="P1358" t="s">
        <v>3193</v>
      </c>
      <c r="Q1358">
        <v>70</v>
      </c>
      <c r="R1358">
        <v>70</v>
      </c>
      <c r="S1358" t="s">
        <v>34</v>
      </c>
      <c r="T1358" t="s">
        <v>35</v>
      </c>
      <c r="U1358" t="s">
        <v>44</v>
      </c>
      <c r="W1358">
        <v>0</v>
      </c>
      <c r="X1358">
        <v>0</v>
      </c>
      <c r="Y1358">
        <v>0</v>
      </c>
      <c r="Z1358">
        <v>0</v>
      </c>
    </row>
    <row r="1359" spans="1:26" hidden="1" x14ac:dyDescent="0.25">
      <c r="A1359" t="s">
        <v>3194</v>
      </c>
      <c r="B1359" t="s">
        <v>38</v>
      </c>
      <c r="C1359" s="4">
        <v>44819</v>
      </c>
      <c r="D1359" s="4">
        <v>45009</v>
      </c>
      <c r="F1359" s="4">
        <v>46295</v>
      </c>
      <c r="G1359" t="s">
        <v>65</v>
      </c>
      <c r="H1359" t="s">
        <v>3195</v>
      </c>
      <c r="K1359" t="s">
        <v>67</v>
      </c>
      <c r="L1359" t="s">
        <v>3121</v>
      </c>
      <c r="M1359" t="s">
        <v>68</v>
      </c>
      <c r="N1359" t="s">
        <v>3122</v>
      </c>
      <c r="O1359" t="s">
        <v>32</v>
      </c>
      <c r="P1359" t="s">
        <v>3196</v>
      </c>
      <c r="Q1359">
        <v>200</v>
      </c>
      <c r="R1359">
        <v>200</v>
      </c>
      <c r="S1359" t="s">
        <v>597</v>
      </c>
      <c r="T1359" t="s">
        <v>598</v>
      </c>
      <c r="U1359" t="s">
        <v>44</v>
      </c>
      <c r="W1359">
        <v>0</v>
      </c>
      <c r="X1359">
        <v>0</v>
      </c>
      <c r="Y1359">
        <v>0</v>
      </c>
      <c r="Z1359">
        <v>0</v>
      </c>
    </row>
    <row r="1360" spans="1:26" hidden="1" x14ac:dyDescent="0.25">
      <c r="A1360" t="s">
        <v>3197</v>
      </c>
      <c r="B1360" t="s">
        <v>38</v>
      </c>
      <c r="C1360" s="4">
        <v>44819</v>
      </c>
      <c r="D1360" s="4">
        <v>45868</v>
      </c>
      <c r="F1360" s="4">
        <v>46508</v>
      </c>
      <c r="G1360" t="s">
        <v>144</v>
      </c>
      <c r="H1360" t="s">
        <v>2127</v>
      </c>
      <c r="K1360" t="s">
        <v>146</v>
      </c>
      <c r="L1360" t="s">
        <v>3121</v>
      </c>
      <c r="M1360" t="s">
        <v>68</v>
      </c>
      <c r="N1360" t="s">
        <v>3122</v>
      </c>
      <c r="O1360" t="s">
        <v>32</v>
      </c>
      <c r="P1360" t="s">
        <v>3198</v>
      </c>
      <c r="Q1360">
        <v>200</v>
      </c>
      <c r="R1360">
        <v>200</v>
      </c>
      <c r="S1360" t="s">
        <v>159</v>
      </c>
      <c r="T1360" t="s">
        <v>159</v>
      </c>
      <c r="U1360" t="s">
        <v>44</v>
      </c>
      <c r="W1360">
        <v>0</v>
      </c>
      <c r="X1360">
        <v>0</v>
      </c>
      <c r="Y1360">
        <v>0</v>
      </c>
      <c r="Z1360">
        <v>0</v>
      </c>
    </row>
    <row r="1361" spans="1:26" hidden="1" x14ac:dyDescent="0.25">
      <c r="A1361" t="s">
        <v>3199</v>
      </c>
      <c r="B1361" t="s">
        <v>38</v>
      </c>
      <c r="C1361" s="4">
        <v>44819</v>
      </c>
      <c r="D1361" s="4">
        <v>45868</v>
      </c>
      <c r="F1361" s="4">
        <v>45627</v>
      </c>
      <c r="G1361" t="s">
        <v>1311</v>
      </c>
      <c r="H1361" t="s">
        <v>1648</v>
      </c>
      <c r="K1361" t="s">
        <v>114</v>
      </c>
      <c r="L1361" t="s">
        <v>3121</v>
      </c>
      <c r="M1361" t="s">
        <v>68</v>
      </c>
      <c r="N1361" t="s">
        <v>3122</v>
      </c>
      <c r="O1361" t="s">
        <v>32</v>
      </c>
      <c r="P1361" t="s">
        <v>1345</v>
      </c>
      <c r="Q1361">
        <v>113.98</v>
      </c>
      <c r="R1361">
        <v>113.98</v>
      </c>
      <c r="S1361" t="s">
        <v>34</v>
      </c>
      <c r="T1361" t="s">
        <v>35</v>
      </c>
      <c r="U1361" t="s">
        <v>44</v>
      </c>
      <c r="W1361">
        <v>0</v>
      </c>
      <c r="X1361">
        <v>0</v>
      </c>
      <c r="Y1361">
        <v>0</v>
      </c>
      <c r="Z1361">
        <v>0</v>
      </c>
    </row>
    <row r="1362" spans="1:26" hidden="1" x14ac:dyDescent="0.25">
      <c r="A1362" t="s">
        <v>3200</v>
      </c>
      <c r="B1362" t="s">
        <v>38</v>
      </c>
      <c r="C1362" s="4">
        <v>44819</v>
      </c>
      <c r="D1362" s="4">
        <v>45868</v>
      </c>
      <c r="F1362" s="4">
        <v>45627</v>
      </c>
      <c r="G1362" t="s">
        <v>1311</v>
      </c>
      <c r="H1362" t="s">
        <v>1648</v>
      </c>
      <c r="K1362" t="s">
        <v>114</v>
      </c>
      <c r="L1362" t="s">
        <v>3121</v>
      </c>
      <c r="M1362" t="s">
        <v>68</v>
      </c>
      <c r="N1362" t="s">
        <v>3122</v>
      </c>
      <c r="O1362" t="s">
        <v>32</v>
      </c>
      <c r="P1362" t="s">
        <v>1345</v>
      </c>
      <c r="Q1362">
        <v>58.5</v>
      </c>
      <c r="R1362">
        <v>58.5</v>
      </c>
      <c r="S1362" t="s">
        <v>159</v>
      </c>
      <c r="T1362" t="s">
        <v>159</v>
      </c>
      <c r="U1362" t="s">
        <v>44</v>
      </c>
      <c r="W1362">
        <v>0</v>
      </c>
      <c r="X1362">
        <v>0</v>
      </c>
      <c r="Y1362">
        <v>0</v>
      </c>
      <c r="Z1362">
        <v>0</v>
      </c>
    </row>
    <row r="1363" spans="1:26" hidden="1" x14ac:dyDescent="0.25">
      <c r="A1363" t="s">
        <v>3201</v>
      </c>
      <c r="B1363" t="s">
        <v>38</v>
      </c>
      <c r="C1363" s="4">
        <v>44817</v>
      </c>
      <c r="D1363" s="4">
        <v>45957</v>
      </c>
      <c r="F1363" s="4">
        <v>46514</v>
      </c>
      <c r="G1363" t="s">
        <v>101</v>
      </c>
      <c r="H1363" t="s">
        <v>1873</v>
      </c>
      <c r="K1363" t="s">
        <v>98</v>
      </c>
      <c r="L1363" t="s">
        <v>3121</v>
      </c>
      <c r="M1363" t="s">
        <v>84</v>
      </c>
      <c r="N1363" t="s">
        <v>2160</v>
      </c>
      <c r="O1363" t="s">
        <v>32</v>
      </c>
      <c r="P1363" t="s">
        <v>1874</v>
      </c>
      <c r="Q1363">
        <v>90</v>
      </c>
      <c r="R1363">
        <v>90</v>
      </c>
      <c r="S1363" t="s">
        <v>159</v>
      </c>
      <c r="T1363" t="s">
        <v>159</v>
      </c>
      <c r="U1363" t="s">
        <v>44</v>
      </c>
      <c r="W1363">
        <v>0</v>
      </c>
      <c r="X1363">
        <v>0</v>
      </c>
      <c r="Y1363">
        <v>0</v>
      </c>
      <c r="Z1363">
        <v>0</v>
      </c>
    </row>
    <row r="1364" spans="1:26" hidden="1" x14ac:dyDescent="0.25">
      <c r="A1364" t="s">
        <v>3202</v>
      </c>
      <c r="B1364" t="s">
        <v>38</v>
      </c>
      <c r="C1364" s="4">
        <v>44819</v>
      </c>
      <c r="D1364" s="4">
        <v>45007</v>
      </c>
      <c r="F1364" s="4">
        <v>46143</v>
      </c>
      <c r="G1364" t="s">
        <v>65</v>
      </c>
      <c r="H1364" t="s">
        <v>1813</v>
      </c>
      <c r="K1364" t="s">
        <v>67</v>
      </c>
      <c r="L1364" t="s">
        <v>3121</v>
      </c>
      <c r="M1364" t="s">
        <v>68</v>
      </c>
      <c r="N1364" t="s">
        <v>3122</v>
      </c>
      <c r="O1364" t="s">
        <v>32</v>
      </c>
      <c r="P1364" t="s">
        <v>3203</v>
      </c>
      <c r="Q1364">
        <v>105</v>
      </c>
      <c r="R1364">
        <v>105</v>
      </c>
      <c r="S1364" t="s">
        <v>34</v>
      </c>
      <c r="T1364" t="s">
        <v>35</v>
      </c>
      <c r="U1364" t="s">
        <v>44</v>
      </c>
      <c r="W1364">
        <v>0</v>
      </c>
      <c r="X1364">
        <v>0</v>
      </c>
      <c r="Y1364">
        <v>0</v>
      </c>
      <c r="Z1364">
        <v>0</v>
      </c>
    </row>
    <row r="1365" spans="1:26" hidden="1" x14ac:dyDescent="0.25">
      <c r="A1365" t="s">
        <v>3204</v>
      </c>
      <c r="B1365" t="s">
        <v>38</v>
      </c>
      <c r="C1365" s="4">
        <v>44817</v>
      </c>
      <c r="D1365" s="4">
        <v>45957</v>
      </c>
      <c r="F1365" s="4">
        <v>46266</v>
      </c>
      <c r="G1365" t="s">
        <v>101</v>
      </c>
      <c r="H1365" t="s">
        <v>1583</v>
      </c>
      <c r="K1365" t="s">
        <v>98</v>
      </c>
      <c r="L1365" t="s">
        <v>3121</v>
      </c>
      <c r="M1365" t="s">
        <v>84</v>
      </c>
      <c r="N1365" t="s">
        <v>2160</v>
      </c>
      <c r="O1365" t="s">
        <v>32</v>
      </c>
      <c r="P1365" t="s">
        <v>3205</v>
      </c>
      <c r="Q1365">
        <v>100</v>
      </c>
      <c r="R1365">
        <v>100</v>
      </c>
      <c r="S1365" t="s">
        <v>159</v>
      </c>
      <c r="T1365" t="s">
        <v>159</v>
      </c>
      <c r="U1365" t="s">
        <v>44</v>
      </c>
      <c r="W1365">
        <v>0</v>
      </c>
      <c r="X1365">
        <v>0</v>
      </c>
      <c r="Y1365">
        <v>0</v>
      </c>
      <c r="Z1365">
        <v>0</v>
      </c>
    </row>
    <row r="1366" spans="1:26" hidden="1" x14ac:dyDescent="0.25">
      <c r="A1366" t="s">
        <v>3206</v>
      </c>
      <c r="B1366" t="s">
        <v>38</v>
      </c>
      <c r="C1366" s="4">
        <v>44816</v>
      </c>
      <c r="D1366" s="4">
        <v>45957</v>
      </c>
      <c r="F1366" s="4">
        <v>47757</v>
      </c>
      <c r="G1366" t="s">
        <v>72</v>
      </c>
      <c r="H1366" t="s">
        <v>1302</v>
      </c>
      <c r="K1366" t="s">
        <v>209</v>
      </c>
      <c r="L1366" t="s">
        <v>3121</v>
      </c>
      <c r="M1366" t="s">
        <v>42</v>
      </c>
      <c r="N1366" t="s">
        <v>3122</v>
      </c>
      <c r="O1366" t="s">
        <v>32</v>
      </c>
      <c r="P1366" t="s">
        <v>3207</v>
      </c>
      <c r="Q1366">
        <v>226</v>
      </c>
      <c r="R1366">
        <v>226</v>
      </c>
      <c r="S1366" t="s">
        <v>56</v>
      </c>
      <c r="T1366" t="s">
        <v>57</v>
      </c>
      <c r="U1366" t="s">
        <v>44</v>
      </c>
      <c r="W1366">
        <v>0</v>
      </c>
      <c r="X1366">
        <v>0</v>
      </c>
      <c r="Y1366">
        <v>0</v>
      </c>
      <c r="Z1366">
        <v>0</v>
      </c>
    </row>
    <row r="1367" spans="1:26" hidden="1" x14ac:dyDescent="0.25">
      <c r="A1367" t="s">
        <v>3208</v>
      </c>
      <c r="B1367" t="s">
        <v>38</v>
      </c>
      <c r="C1367" s="4">
        <v>44818</v>
      </c>
      <c r="D1367" s="4">
        <v>45009</v>
      </c>
      <c r="F1367" s="4">
        <v>47757</v>
      </c>
      <c r="G1367" t="s">
        <v>1368</v>
      </c>
      <c r="H1367" t="s">
        <v>1378</v>
      </c>
      <c r="K1367" t="s">
        <v>209</v>
      </c>
      <c r="L1367" t="s">
        <v>3121</v>
      </c>
      <c r="M1367" t="s">
        <v>42</v>
      </c>
      <c r="N1367" t="s">
        <v>3122</v>
      </c>
      <c r="O1367" t="s">
        <v>32</v>
      </c>
      <c r="P1367" t="s">
        <v>3209</v>
      </c>
      <c r="Q1367">
        <v>175</v>
      </c>
      <c r="R1367">
        <v>175</v>
      </c>
      <c r="S1367" t="s">
        <v>56</v>
      </c>
      <c r="T1367" t="s">
        <v>57</v>
      </c>
      <c r="U1367" t="s">
        <v>44</v>
      </c>
      <c r="W1367">
        <v>0</v>
      </c>
      <c r="X1367">
        <v>0</v>
      </c>
      <c r="Y1367">
        <v>0</v>
      </c>
      <c r="Z1367">
        <v>0</v>
      </c>
    </row>
    <row r="1368" spans="1:26" hidden="1" x14ac:dyDescent="0.25">
      <c r="A1368" t="s">
        <v>3210</v>
      </c>
      <c r="B1368" t="s">
        <v>38</v>
      </c>
      <c r="C1368" s="4">
        <v>44816</v>
      </c>
      <c r="D1368" s="4">
        <v>45868</v>
      </c>
      <c r="F1368" s="4">
        <v>47757</v>
      </c>
      <c r="G1368" t="s">
        <v>1278</v>
      </c>
      <c r="H1368" t="s">
        <v>1493</v>
      </c>
      <c r="K1368" t="s">
        <v>28</v>
      </c>
      <c r="L1368" t="s">
        <v>3121</v>
      </c>
      <c r="M1368" t="s">
        <v>30</v>
      </c>
      <c r="N1368" t="s">
        <v>3122</v>
      </c>
      <c r="O1368" t="s">
        <v>32</v>
      </c>
      <c r="P1368" t="s">
        <v>2347</v>
      </c>
      <c r="Q1368">
        <v>115</v>
      </c>
      <c r="R1368">
        <v>115</v>
      </c>
      <c r="S1368" t="s">
        <v>159</v>
      </c>
      <c r="T1368" t="s">
        <v>159</v>
      </c>
      <c r="U1368" t="s">
        <v>44</v>
      </c>
      <c r="W1368">
        <v>0</v>
      </c>
      <c r="X1368">
        <v>0</v>
      </c>
      <c r="Y1368">
        <v>0</v>
      </c>
      <c r="Z1368">
        <v>0</v>
      </c>
    </row>
    <row r="1369" spans="1:26" hidden="1" x14ac:dyDescent="0.25">
      <c r="A1369" t="s">
        <v>3211</v>
      </c>
      <c r="B1369" t="s">
        <v>38</v>
      </c>
      <c r="C1369" s="4">
        <v>44816</v>
      </c>
      <c r="D1369" s="4">
        <v>45868</v>
      </c>
      <c r="F1369" s="4">
        <v>47757</v>
      </c>
      <c r="G1369" t="s">
        <v>1278</v>
      </c>
      <c r="H1369" t="s">
        <v>1493</v>
      </c>
      <c r="K1369" t="s">
        <v>28</v>
      </c>
      <c r="L1369" t="s">
        <v>3121</v>
      </c>
      <c r="M1369" t="s">
        <v>30</v>
      </c>
      <c r="N1369" t="s">
        <v>3122</v>
      </c>
      <c r="O1369" t="s">
        <v>32</v>
      </c>
      <c r="P1369" t="s">
        <v>2347</v>
      </c>
      <c r="Q1369">
        <v>160</v>
      </c>
      <c r="R1369">
        <v>160</v>
      </c>
      <c r="S1369" t="s">
        <v>34</v>
      </c>
      <c r="T1369" t="s">
        <v>35</v>
      </c>
      <c r="U1369" t="s">
        <v>44</v>
      </c>
      <c r="W1369">
        <v>0</v>
      </c>
      <c r="X1369">
        <v>0</v>
      </c>
      <c r="Y1369">
        <v>0</v>
      </c>
      <c r="Z1369">
        <v>0</v>
      </c>
    </row>
    <row r="1370" spans="1:26" hidden="1" x14ac:dyDescent="0.25">
      <c r="A1370" t="s">
        <v>3212</v>
      </c>
      <c r="B1370" t="s">
        <v>38</v>
      </c>
      <c r="C1370" s="4">
        <v>44818</v>
      </c>
      <c r="D1370" s="4">
        <v>45957</v>
      </c>
      <c r="F1370" s="4">
        <v>47757</v>
      </c>
      <c r="G1370" t="s">
        <v>183</v>
      </c>
      <c r="H1370" t="s">
        <v>3135</v>
      </c>
      <c r="K1370" t="s">
        <v>185</v>
      </c>
      <c r="L1370" t="s">
        <v>3121</v>
      </c>
      <c r="M1370" t="s">
        <v>42</v>
      </c>
      <c r="N1370" t="s">
        <v>3122</v>
      </c>
      <c r="O1370" t="s">
        <v>32</v>
      </c>
      <c r="P1370" t="s">
        <v>3213</v>
      </c>
      <c r="Q1370">
        <v>250</v>
      </c>
      <c r="R1370">
        <v>250</v>
      </c>
      <c r="S1370" t="s">
        <v>56</v>
      </c>
      <c r="T1370" t="s">
        <v>57</v>
      </c>
      <c r="U1370" t="s">
        <v>44</v>
      </c>
      <c r="W1370">
        <v>0</v>
      </c>
      <c r="X1370">
        <v>0</v>
      </c>
      <c r="Y1370">
        <v>0</v>
      </c>
      <c r="Z1370">
        <v>0</v>
      </c>
    </row>
    <row r="1371" spans="1:26" hidden="1" x14ac:dyDescent="0.25">
      <c r="A1371" t="s">
        <v>3214</v>
      </c>
      <c r="B1371" t="s">
        <v>38</v>
      </c>
      <c r="C1371" s="4">
        <v>44818</v>
      </c>
      <c r="D1371" s="4">
        <v>45957</v>
      </c>
      <c r="F1371" s="4">
        <v>47757</v>
      </c>
      <c r="G1371" t="s">
        <v>183</v>
      </c>
      <c r="H1371" t="s">
        <v>3135</v>
      </c>
      <c r="K1371" t="s">
        <v>185</v>
      </c>
      <c r="L1371" t="s">
        <v>3121</v>
      </c>
      <c r="M1371" t="s">
        <v>42</v>
      </c>
      <c r="N1371" t="s">
        <v>3122</v>
      </c>
      <c r="O1371" t="s">
        <v>32</v>
      </c>
      <c r="P1371" t="s">
        <v>3213</v>
      </c>
      <c r="Q1371">
        <v>250</v>
      </c>
      <c r="R1371">
        <v>250</v>
      </c>
      <c r="S1371" t="s">
        <v>56</v>
      </c>
      <c r="T1371" t="s">
        <v>57</v>
      </c>
      <c r="U1371" t="s">
        <v>44</v>
      </c>
      <c r="W1371">
        <v>0</v>
      </c>
      <c r="X1371">
        <v>0</v>
      </c>
      <c r="Y1371">
        <v>0</v>
      </c>
      <c r="Z1371">
        <v>0</v>
      </c>
    </row>
    <row r="1372" spans="1:26" hidden="1" x14ac:dyDescent="0.25">
      <c r="A1372" t="s">
        <v>3215</v>
      </c>
      <c r="B1372" t="s">
        <v>2153</v>
      </c>
      <c r="C1372" s="4">
        <v>44818</v>
      </c>
      <c r="F1372" s="4">
        <v>47757</v>
      </c>
      <c r="G1372" t="s">
        <v>1368</v>
      </c>
      <c r="H1372" t="s">
        <v>2811</v>
      </c>
      <c r="K1372" t="s">
        <v>209</v>
      </c>
      <c r="L1372" t="s">
        <v>3121</v>
      </c>
      <c r="M1372" t="s">
        <v>42</v>
      </c>
      <c r="N1372" t="s">
        <v>3122</v>
      </c>
      <c r="O1372" t="s">
        <v>32</v>
      </c>
      <c r="P1372" t="s">
        <v>3209</v>
      </c>
      <c r="Q1372">
        <v>300</v>
      </c>
      <c r="R1372">
        <v>300</v>
      </c>
      <c r="S1372" t="s">
        <v>56</v>
      </c>
      <c r="T1372" t="s">
        <v>57</v>
      </c>
      <c r="U1372" t="s">
        <v>44</v>
      </c>
      <c r="W1372">
        <v>300</v>
      </c>
      <c r="X1372">
        <v>300</v>
      </c>
      <c r="Y1372">
        <v>0</v>
      </c>
      <c r="Z1372">
        <v>0</v>
      </c>
    </row>
    <row r="1373" spans="1:26" hidden="1" x14ac:dyDescent="0.25">
      <c r="A1373" t="s">
        <v>3216</v>
      </c>
      <c r="B1373" t="s">
        <v>38</v>
      </c>
      <c r="C1373" s="4">
        <v>44819</v>
      </c>
      <c r="D1373" s="4">
        <v>45868</v>
      </c>
      <c r="F1373" s="4">
        <v>45627</v>
      </c>
      <c r="G1373" t="s">
        <v>1311</v>
      </c>
      <c r="H1373" t="s">
        <v>1673</v>
      </c>
      <c r="K1373" t="s">
        <v>114</v>
      </c>
      <c r="L1373" t="s">
        <v>3121</v>
      </c>
      <c r="M1373" t="s">
        <v>68</v>
      </c>
      <c r="N1373" t="s">
        <v>3122</v>
      </c>
      <c r="O1373" t="s">
        <v>32</v>
      </c>
      <c r="P1373" t="s">
        <v>3217</v>
      </c>
      <c r="Q1373">
        <v>100</v>
      </c>
      <c r="R1373">
        <v>100</v>
      </c>
      <c r="S1373" t="s">
        <v>34</v>
      </c>
      <c r="T1373" t="s">
        <v>35</v>
      </c>
      <c r="U1373" t="s">
        <v>44</v>
      </c>
      <c r="W1373">
        <v>0</v>
      </c>
      <c r="X1373">
        <v>0</v>
      </c>
      <c r="Y1373">
        <v>0</v>
      </c>
      <c r="Z1373">
        <v>0</v>
      </c>
    </row>
    <row r="1374" spans="1:26" hidden="1" x14ac:dyDescent="0.25">
      <c r="A1374" t="s">
        <v>3218</v>
      </c>
      <c r="B1374" t="s">
        <v>2153</v>
      </c>
      <c r="C1374" s="4">
        <v>44818</v>
      </c>
      <c r="F1374" s="4">
        <v>46326</v>
      </c>
      <c r="H1374" t="s">
        <v>1418</v>
      </c>
      <c r="K1374" t="s">
        <v>146</v>
      </c>
      <c r="L1374" t="s">
        <v>3121</v>
      </c>
      <c r="M1374" t="s">
        <v>68</v>
      </c>
      <c r="N1374" t="s">
        <v>3122</v>
      </c>
      <c r="O1374" t="s">
        <v>122</v>
      </c>
      <c r="P1374" t="s">
        <v>2458</v>
      </c>
      <c r="Q1374">
        <v>250</v>
      </c>
      <c r="R1374">
        <v>250</v>
      </c>
      <c r="S1374" t="s">
        <v>34</v>
      </c>
      <c r="T1374" t="s">
        <v>35</v>
      </c>
      <c r="U1374" t="s">
        <v>44</v>
      </c>
      <c r="W1374">
        <v>250</v>
      </c>
      <c r="X1374">
        <v>0</v>
      </c>
      <c r="Y1374">
        <v>0</v>
      </c>
      <c r="Z1374">
        <v>0</v>
      </c>
    </row>
    <row r="1375" spans="1:26" hidden="1" x14ac:dyDescent="0.25">
      <c r="A1375" t="s">
        <v>3219</v>
      </c>
      <c r="B1375" t="s">
        <v>38</v>
      </c>
      <c r="C1375" s="4">
        <v>44819</v>
      </c>
      <c r="D1375" s="4">
        <v>45009</v>
      </c>
      <c r="F1375" s="4">
        <v>46082</v>
      </c>
      <c r="G1375" t="s">
        <v>117</v>
      </c>
      <c r="H1375" t="s">
        <v>1765</v>
      </c>
      <c r="K1375" t="s">
        <v>83</v>
      </c>
      <c r="L1375" t="s">
        <v>3121</v>
      </c>
      <c r="M1375" t="s">
        <v>84</v>
      </c>
      <c r="N1375" t="s">
        <v>2160</v>
      </c>
      <c r="O1375" t="s">
        <v>32</v>
      </c>
      <c r="P1375" t="s">
        <v>3220</v>
      </c>
      <c r="Q1375">
        <v>200</v>
      </c>
      <c r="R1375">
        <v>200</v>
      </c>
      <c r="S1375" t="s">
        <v>159</v>
      </c>
      <c r="T1375" t="s">
        <v>159</v>
      </c>
      <c r="U1375" t="s">
        <v>44</v>
      </c>
      <c r="W1375">
        <v>0</v>
      </c>
      <c r="X1375">
        <v>0</v>
      </c>
      <c r="Y1375">
        <v>0</v>
      </c>
      <c r="Z1375">
        <v>0</v>
      </c>
    </row>
    <row r="1376" spans="1:26" hidden="1" x14ac:dyDescent="0.25">
      <c r="A1376" t="s">
        <v>3221</v>
      </c>
      <c r="B1376" t="s">
        <v>38</v>
      </c>
      <c r="C1376" s="4">
        <v>44819</v>
      </c>
      <c r="D1376" s="4">
        <v>44951</v>
      </c>
      <c r="F1376" s="4">
        <v>45663</v>
      </c>
      <c r="G1376" t="s">
        <v>144</v>
      </c>
      <c r="H1376" t="s">
        <v>1405</v>
      </c>
      <c r="K1376" t="s">
        <v>146</v>
      </c>
      <c r="L1376" t="s">
        <v>3121</v>
      </c>
      <c r="M1376" t="s">
        <v>68</v>
      </c>
      <c r="N1376" t="s">
        <v>3122</v>
      </c>
      <c r="O1376" t="s">
        <v>32</v>
      </c>
      <c r="P1376" t="s">
        <v>3222</v>
      </c>
      <c r="Q1376">
        <v>40</v>
      </c>
      <c r="R1376">
        <v>40</v>
      </c>
      <c r="S1376" t="s">
        <v>719</v>
      </c>
      <c r="T1376" t="s">
        <v>2635</v>
      </c>
      <c r="U1376" t="s">
        <v>44</v>
      </c>
      <c r="W1376">
        <v>0</v>
      </c>
      <c r="X1376">
        <v>0</v>
      </c>
      <c r="Y1376">
        <v>0</v>
      </c>
      <c r="Z1376">
        <v>0</v>
      </c>
    </row>
    <row r="1377" spans="1:26" hidden="1" x14ac:dyDescent="0.25">
      <c r="A1377" t="s">
        <v>3223</v>
      </c>
      <c r="B1377" t="s">
        <v>2153</v>
      </c>
      <c r="C1377" s="4">
        <v>44819</v>
      </c>
      <c r="F1377" s="4">
        <v>45838</v>
      </c>
      <c r="G1377" t="s">
        <v>907</v>
      </c>
      <c r="H1377" t="s">
        <v>1450</v>
      </c>
      <c r="K1377" t="s">
        <v>53</v>
      </c>
      <c r="L1377" t="s">
        <v>3121</v>
      </c>
      <c r="M1377" t="s">
        <v>54</v>
      </c>
      <c r="N1377" t="s">
        <v>3122</v>
      </c>
      <c r="O1377" t="s">
        <v>32</v>
      </c>
      <c r="P1377" t="s">
        <v>3224</v>
      </c>
      <c r="Q1377">
        <v>200</v>
      </c>
      <c r="R1377">
        <v>200</v>
      </c>
      <c r="S1377" t="s">
        <v>34</v>
      </c>
      <c r="T1377" t="s">
        <v>35</v>
      </c>
      <c r="U1377" t="s">
        <v>44</v>
      </c>
      <c r="W1377">
        <v>200</v>
      </c>
      <c r="X1377">
        <v>200</v>
      </c>
      <c r="Y1377">
        <v>0</v>
      </c>
      <c r="Z1377">
        <v>0</v>
      </c>
    </row>
    <row r="1378" spans="1:26" hidden="1" x14ac:dyDescent="0.25">
      <c r="A1378" t="s">
        <v>3225</v>
      </c>
      <c r="B1378" t="s">
        <v>2153</v>
      </c>
      <c r="C1378" s="4">
        <v>44819</v>
      </c>
      <c r="F1378" s="4">
        <v>46514</v>
      </c>
      <c r="G1378" t="s">
        <v>132</v>
      </c>
      <c r="H1378" t="s">
        <v>1768</v>
      </c>
      <c r="K1378" t="s">
        <v>83</v>
      </c>
      <c r="L1378" t="s">
        <v>3121</v>
      </c>
      <c r="M1378" t="s">
        <v>84</v>
      </c>
      <c r="N1378" t="s">
        <v>2160</v>
      </c>
      <c r="O1378" t="s">
        <v>32</v>
      </c>
      <c r="P1378" t="s">
        <v>3226</v>
      </c>
      <c r="Q1378">
        <v>100</v>
      </c>
      <c r="R1378">
        <v>100</v>
      </c>
      <c r="S1378" t="s">
        <v>159</v>
      </c>
      <c r="T1378" t="s">
        <v>159</v>
      </c>
      <c r="U1378" t="s">
        <v>44</v>
      </c>
      <c r="W1378">
        <v>100</v>
      </c>
      <c r="X1378">
        <v>100</v>
      </c>
      <c r="Y1378">
        <v>0</v>
      </c>
      <c r="Z1378">
        <v>0</v>
      </c>
    </row>
    <row r="1379" spans="1:26" hidden="1" x14ac:dyDescent="0.25">
      <c r="A1379" t="s">
        <v>3227</v>
      </c>
      <c r="B1379" t="s">
        <v>2153</v>
      </c>
      <c r="C1379" s="4">
        <v>44819</v>
      </c>
      <c r="F1379" s="4">
        <v>45627</v>
      </c>
      <c r="G1379" t="s">
        <v>117</v>
      </c>
      <c r="H1379" t="s">
        <v>1821</v>
      </c>
      <c r="K1379" t="s">
        <v>83</v>
      </c>
      <c r="L1379" t="s">
        <v>3121</v>
      </c>
      <c r="M1379" t="s">
        <v>84</v>
      </c>
      <c r="N1379" t="s">
        <v>2160</v>
      </c>
      <c r="O1379" t="s">
        <v>122</v>
      </c>
      <c r="P1379" t="s">
        <v>3228</v>
      </c>
      <c r="Q1379">
        <v>60</v>
      </c>
      <c r="R1379">
        <v>60</v>
      </c>
      <c r="S1379" t="s">
        <v>159</v>
      </c>
      <c r="T1379" t="s">
        <v>159</v>
      </c>
      <c r="U1379" t="s">
        <v>44</v>
      </c>
      <c r="W1379">
        <v>60</v>
      </c>
      <c r="X1379">
        <v>0</v>
      </c>
      <c r="Y1379">
        <v>0</v>
      </c>
      <c r="Z1379">
        <v>0</v>
      </c>
    </row>
    <row r="1380" spans="1:26" hidden="1" x14ac:dyDescent="0.25">
      <c r="A1380" t="s">
        <v>3229</v>
      </c>
      <c r="B1380" t="s">
        <v>2153</v>
      </c>
      <c r="C1380" s="4">
        <v>45603</v>
      </c>
      <c r="F1380" s="4">
        <v>46844</v>
      </c>
      <c r="G1380" t="s">
        <v>117</v>
      </c>
      <c r="H1380" t="s">
        <v>3028</v>
      </c>
      <c r="K1380" t="s">
        <v>83</v>
      </c>
      <c r="L1380" t="s">
        <v>3121</v>
      </c>
      <c r="M1380" t="s">
        <v>84</v>
      </c>
      <c r="N1380" t="s">
        <v>2160</v>
      </c>
      <c r="O1380" t="s">
        <v>32</v>
      </c>
      <c r="P1380" t="s">
        <v>3230</v>
      </c>
      <c r="Q1380">
        <v>300</v>
      </c>
      <c r="R1380">
        <v>300</v>
      </c>
      <c r="S1380" t="s">
        <v>159</v>
      </c>
      <c r="T1380" t="s">
        <v>159</v>
      </c>
      <c r="U1380" t="s">
        <v>44</v>
      </c>
      <c r="W1380">
        <v>300</v>
      </c>
      <c r="X1380">
        <v>300</v>
      </c>
      <c r="Y1380">
        <v>0</v>
      </c>
      <c r="Z1380">
        <v>0</v>
      </c>
    </row>
    <row r="1381" spans="1:26" hidden="1" x14ac:dyDescent="0.25">
      <c r="A1381" t="s">
        <v>3231</v>
      </c>
      <c r="B1381" t="s">
        <v>2153</v>
      </c>
      <c r="C1381" s="4">
        <v>44819</v>
      </c>
      <c r="F1381" s="4">
        <v>46143</v>
      </c>
      <c r="G1381" t="s">
        <v>907</v>
      </c>
      <c r="H1381" t="s">
        <v>3232</v>
      </c>
      <c r="K1381" t="s">
        <v>53</v>
      </c>
      <c r="L1381" t="s">
        <v>3121</v>
      </c>
      <c r="M1381" t="s">
        <v>54</v>
      </c>
      <c r="N1381" t="s">
        <v>3122</v>
      </c>
      <c r="O1381" t="s">
        <v>32</v>
      </c>
      <c r="P1381" t="s">
        <v>3233</v>
      </c>
      <c r="Q1381">
        <v>152</v>
      </c>
      <c r="R1381">
        <v>152</v>
      </c>
      <c r="S1381" t="s">
        <v>159</v>
      </c>
      <c r="T1381" t="s">
        <v>159</v>
      </c>
      <c r="U1381" t="s">
        <v>44</v>
      </c>
      <c r="W1381">
        <v>152</v>
      </c>
      <c r="X1381">
        <v>152</v>
      </c>
      <c r="Y1381">
        <v>0</v>
      </c>
      <c r="Z1381">
        <v>0</v>
      </c>
    </row>
    <row r="1382" spans="1:26" hidden="1" x14ac:dyDescent="0.25">
      <c r="A1382" t="s">
        <v>3234</v>
      </c>
      <c r="B1382" t="s">
        <v>2153</v>
      </c>
      <c r="C1382" s="4">
        <v>44818</v>
      </c>
      <c r="F1382" s="4">
        <v>46327</v>
      </c>
      <c r="H1382" t="s">
        <v>1542</v>
      </c>
      <c r="K1382" t="s">
        <v>83</v>
      </c>
      <c r="L1382" t="s">
        <v>3121</v>
      </c>
      <c r="M1382" t="s">
        <v>84</v>
      </c>
      <c r="N1382" t="s">
        <v>2160</v>
      </c>
      <c r="O1382" t="s">
        <v>122</v>
      </c>
      <c r="P1382" t="s">
        <v>2871</v>
      </c>
      <c r="Q1382">
        <v>200</v>
      </c>
      <c r="R1382">
        <v>200</v>
      </c>
      <c r="S1382" t="s">
        <v>159</v>
      </c>
      <c r="T1382" t="s">
        <v>159</v>
      </c>
      <c r="U1382" t="s">
        <v>44</v>
      </c>
      <c r="W1382">
        <v>200</v>
      </c>
      <c r="X1382">
        <v>0</v>
      </c>
      <c r="Y1382">
        <v>0</v>
      </c>
      <c r="Z1382">
        <v>0</v>
      </c>
    </row>
    <row r="1383" spans="1:26" hidden="1" x14ac:dyDescent="0.25">
      <c r="A1383" t="s">
        <v>3235</v>
      </c>
      <c r="B1383" t="s">
        <v>38</v>
      </c>
      <c r="C1383" s="4">
        <v>44818</v>
      </c>
      <c r="D1383" s="4">
        <v>45957</v>
      </c>
      <c r="F1383" s="4">
        <v>46692</v>
      </c>
      <c r="G1383" t="s">
        <v>681</v>
      </c>
      <c r="H1383" t="s">
        <v>1566</v>
      </c>
      <c r="K1383" t="s">
        <v>683</v>
      </c>
      <c r="L1383" t="s">
        <v>3121</v>
      </c>
      <c r="M1383" t="s">
        <v>84</v>
      </c>
      <c r="N1383" t="s">
        <v>2160</v>
      </c>
      <c r="O1383" t="s">
        <v>32</v>
      </c>
      <c r="P1383" t="s">
        <v>3236</v>
      </c>
      <c r="Q1383">
        <v>100</v>
      </c>
      <c r="R1383">
        <v>100</v>
      </c>
      <c r="S1383" t="s">
        <v>159</v>
      </c>
      <c r="T1383" t="s">
        <v>159</v>
      </c>
      <c r="U1383" t="s">
        <v>44</v>
      </c>
      <c r="W1383">
        <v>0</v>
      </c>
      <c r="X1383">
        <v>0</v>
      </c>
      <c r="Y1383">
        <v>0</v>
      </c>
      <c r="Z1383">
        <v>0</v>
      </c>
    </row>
    <row r="1384" spans="1:26" hidden="1" x14ac:dyDescent="0.25">
      <c r="A1384" t="s">
        <v>3237</v>
      </c>
      <c r="B1384" t="s">
        <v>38</v>
      </c>
      <c r="C1384" s="4">
        <v>44818</v>
      </c>
      <c r="D1384" s="4">
        <v>45868</v>
      </c>
      <c r="F1384" s="4">
        <v>46326</v>
      </c>
      <c r="G1384" t="s">
        <v>144</v>
      </c>
      <c r="H1384" t="s">
        <v>1285</v>
      </c>
      <c r="K1384" t="s">
        <v>146</v>
      </c>
      <c r="L1384" t="s">
        <v>3121</v>
      </c>
      <c r="M1384" t="s">
        <v>68</v>
      </c>
      <c r="N1384" t="s">
        <v>3122</v>
      </c>
      <c r="O1384" t="s">
        <v>32</v>
      </c>
      <c r="P1384" t="s">
        <v>3238</v>
      </c>
      <c r="Q1384">
        <v>200</v>
      </c>
      <c r="R1384">
        <v>200</v>
      </c>
      <c r="S1384" t="s">
        <v>34</v>
      </c>
      <c r="T1384" t="s">
        <v>35</v>
      </c>
      <c r="U1384" t="s">
        <v>44</v>
      </c>
      <c r="W1384">
        <v>0</v>
      </c>
      <c r="X1384">
        <v>0</v>
      </c>
      <c r="Y1384">
        <v>0</v>
      </c>
      <c r="Z1384">
        <v>0</v>
      </c>
    </row>
    <row r="1385" spans="1:26" hidden="1" x14ac:dyDescent="0.25">
      <c r="A1385" t="s">
        <v>3239</v>
      </c>
      <c r="B1385" t="s">
        <v>2153</v>
      </c>
      <c r="C1385" s="4">
        <v>44818</v>
      </c>
      <c r="F1385" s="4">
        <v>46136</v>
      </c>
      <c r="G1385" t="s">
        <v>1251</v>
      </c>
      <c r="H1385" t="s">
        <v>3240</v>
      </c>
      <c r="K1385" t="s">
        <v>109</v>
      </c>
      <c r="L1385" t="s">
        <v>3121</v>
      </c>
      <c r="M1385" t="s">
        <v>84</v>
      </c>
      <c r="N1385" t="s">
        <v>2160</v>
      </c>
      <c r="O1385" t="s">
        <v>32</v>
      </c>
      <c r="P1385" t="s">
        <v>3241</v>
      </c>
      <c r="Q1385">
        <v>115</v>
      </c>
      <c r="R1385">
        <v>115</v>
      </c>
      <c r="S1385" t="s">
        <v>597</v>
      </c>
      <c r="T1385" t="s">
        <v>598</v>
      </c>
      <c r="U1385" t="s">
        <v>44</v>
      </c>
      <c r="W1385">
        <v>115</v>
      </c>
      <c r="X1385">
        <v>115</v>
      </c>
      <c r="Y1385">
        <v>0</v>
      </c>
      <c r="Z1385">
        <v>0</v>
      </c>
    </row>
    <row r="1386" spans="1:26" hidden="1" x14ac:dyDescent="0.25">
      <c r="A1386" t="s">
        <v>3242</v>
      </c>
      <c r="B1386" t="s">
        <v>2153</v>
      </c>
      <c r="C1386" s="4">
        <v>44819</v>
      </c>
      <c r="F1386" s="4">
        <v>46514</v>
      </c>
      <c r="G1386" t="s">
        <v>132</v>
      </c>
      <c r="H1386" t="s">
        <v>1768</v>
      </c>
      <c r="K1386" t="s">
        <v>83</v>
      </c>
      <c r="L1386" t="s">
        <v>3121</v>
      </c>
      <c r="M1386" t="s">
        <v>84</v>
      </c>
      <c r="N1386" t="s">
        <v>2160</v>
      </c>
      <c r="O1386" t="s">
        <v>32</v>
      </c>
      <c r="P1386" t="s">
        <v>3226</v>
      </c>
      <c r="Q1386">
        <v>100</v>
      </c>
      <c r="R1386">
        <v>100</v>
      </c>
      <c r="S1386" t="s">
        <v>159</v>
      </c>
      <c r="T1386" t="s">
        <v>159</v>
      </c>
      <c r="U1386" t="s">
        <v>44</v>
      </c>
      <c r="W1386">
        <v>100</v>
      </c>
      <c r="X1386">
        <v>100</v>
      </c>
      <c r="Y1386">
        <v>0</v>
      </c>
      <c r="Z1386">
        <v>0</v>
      </c>
    </row>
    <row r="1387" spans="1:26" hidden="1" x14ac:dyDescent="0.25">
      <c r="A1387" t="s">
        <v>3243</v>
      </c>
      <c r="B1387" t="s">
        <v>2153</v>
      </c>
      <c r="C1387" s="4">
        <v>44819</v>
      </c>
      <c r="F1387" s="4">
        <v>45627</v>
      </c>
      <c r="H1387" t="s">
        <v>1821</v>
      </c>
      <c r="K1387" t="s">
        <v>83</v>
      </c>
      <c r="L1387" t="s">
        <v>3121</v>
      </c>
      <c r="M1387" t="s">
        <v>84</v>
      </c>
      <c r="N1387" t="s">
        <v>2160</v>
      </c>
      <c r="O1387" t="s">
        <v>122</v>
      </c>
      <c r="P1387" t="s">
        <v>3228</v>
      </c>
      <c r="Q1387">
        <v>125</v>
      </c>
      <c r="R1387">
        <v>125</v>
      </c>
      <c r="S1387" t="s">
        <v>34</v>
      </c>
      <c r="T1387" t="s">
        <v>35</v>
      </c>
      <c r="U1387" t="s">
        <v>44</v>
      </c>
      <c r="W1387">
        <v>125</v>
      </c>
      <c r="X1387">
        <v>0</v>
      </c>
      <c r="Y1387">
        <v>0</v>
      </c>
      <c r="Z1387">
        <v>0</v>
      </c>
    </row>
    <row r="1388" spans="1:26" hidden="1" x14ac:dyDescent="0.25">
      <c r="A1388" t="s">
        <v>3244</v>
      </c>
      <c r="B1388" t="s">
        <v>38</v>
      </c>
      <c r="C1388" s="4">
        <v>44818</v>
      </c>
      <c r="D1388" s="4">
        <v>45868</v>
      </c>
      <c r="F1388" s="4">
        <v>46492</v>
      </c>
      <c r="G1388" t="s">
        <v>144</v>
      </c>
      <c r="H1388" t="s">
        <v>1424</v>
      </c>
      <c r="K1388" t="s">
        <v>146</v>
      </c>
      <c r="L1388" t="s">
        <v>3121</v>
      </c>
      <c r="M1388" t="s">
        <v>68</v>
      </c>
      <c r="N1388" t="s">
        <v>3122</v>
      </c>
      <c r="O1388" t="s">
        <v>32</v>
      </c>
      <c r="P1388" t="s">
        <v>3245</v>
      </c>
      <c r="Q1388">
        <v>179</v>
      </c>
      <c r="R1388">
        <v>179</v>
      </c>
      <c r="S1388" t="s">
        <v>34</v>
      </c>
      <c r="T1388" t="s">
        <v>35</v>
      </c>
      <c r="U1388" t="s">
        <v>44</v>
      </c>
      <c r="W1388">
        <v>0</v>
      </c>
      <c r="X1388">
        <v>0</v>
      </c>
      <c r="Y1388">
        <v>0</v>
      </c>
      <c r="Z1388">
        <v>0</v>
      </c>
    </row>
    <row r="1389" spans="1:26" hidden="1" x14ac:dyDescent="0.25">
      <c r="A1389" t="s">
        <v>3246</v>
      </c>
      <c r="B1389" t="s">
        <v>38</v>
      </c>
      <c r="C1389" s="4">
        <v>44817</v>
      </c>
      <c r="D1389" s="4">
        <v>45868</v>
      </c>
      <c r="F1389" s="4">
        <v>46326</v>
      </c>
      <c r="G1389" t="s">
        <v>65</v>
      </c>
      <c r="H1389" t="s">
        <v>3247</v>
      </c>
      <c r="K1389" t="s">
        <v>67</v>
      </c>
      <c r="L1389" t="s">
        <v>3121</v>
      </c>
      <c r="M1389" t="s">
        <v>68</v>
      </c>
      <c r="N1389" t="s">
        <v>3122</v>
      </c>
      <c r="O1389" t="s">
        <v>32</v>
      </c>
      <c r="P1389" t="s">
        <v>3248</v>
      </c>
      <c r="Q1389">
        <v>300</v>
      </c>
      <c r="R1389">
        <v>300</v>
      </c>
      <c r="S1389" t="s">
        <v>34</v>
      </c>
      <c r="T1389" t="s">
        <v>35</v>
      </c>
      <c r="U1389" t="s">
        <v>44</v>
      </c>
      <c r="W1389">
        <v>0</v>
      </c>
      <c r="X1389">
        <v>0</v>
      </c>
      <c r="Y1389">
        <v>0</v>
      </c>
      <c r="Z1389">
        <v>0</v>
      </c>
    </row>
    <row r="1390" spans="1:26" hidden="1" x14ac:dyDescent="0.25">
      <c r="A1390" t="s">
        <v>3249</v>
      </c>
      <c r="B1390" t="s">
        <v>38</v>
      </c>
      <c r="C1390" s="4">
        <v>44819</v>
      </c>
      <c r="D1390" s="4">
        <v>45957</v>
      </c>
      <c r="F1390" s="4">
        <v>46022</v>
      </c>
      <c r="G1390" t="s">
        <v>1251</v>
      </c>
      <c r="H1390" t="s">
        <v>3250</v>
      </c>
      <c r="K1390" t="s">
        <v>109</v>
      </c>
      <c r="L1390" t="s">
        <v>3121</v>
      </c>
      <c r="M1390" t="s">
        <v>84</v>
      </c>
      <c r="N1390" t="s">
        <v>2160</v>
      </c>
      <c r="O1390" t="s">
        <v>32</v>
      </c>
      <c r="P1390" t="s">
        <v>3251</v>
      </c>
      <c r="Q1390">
        <v>50</v>
      </c>
      <c r="R1390">
        <v>50</v>
      </c>
      <c r="S1390" t="s">
        <v>34</v>
      </c>
      <c r="T1390" t="s">
        <v>35</v>
      </c>
      <c r="U1390" t="s">
        <v>44</v>
      </c>
      <c r="W1390">
        <v>0</v>
      </c>
      <c r="X1390">
        <v>0</v>
      </c>
      <c r="Y1390">
        <v>0</v>
      </c>
      <c r="Z1390">
        <v>0</v>
      </c>
    </row>
    <row r="1391" spans="1:26" hidden="1" x14ac:dyDescent="0.25">
      <c r="A1391" t="s">
        <v>3252</v>
      </c>
      <c r="B1391" t="s">
        <v>2153</v>
      </c>
      <c r="C1391" s="4">
        <v>44819</v>
      </c>
      <c r="F1391" s="4">
        <v>47026</v>
      </c>
      <c r="G1391" t="s">
        <v>132</v>
      </c>
      <c r="H1391" t="s">
        <v>1768</v>
      </c>
      <c r="K1391" t="s">
        <v>83</v>
      </c>
      <c r="L1391" t="s">
        <v>3121</v>
      </c>
      <c r="M1391" t="s">
        <v>84</v>
      </c>
      <c r="N1391" t="s">
        <v>2160</v>
      </c>
      <c r="O1391" t="s">
        <v>122</v>
      </c>
      <c r="P1391" t="s">
        <v>3226</v>
      </c>
      <c r="Q1391">
        <v>200</v>
      </c>
      <c r="R1391">
        <v>200</v>
      </c>
      <c r="S1391" t="s">
        <v>597</v>
      </c>
      <c r="T1391" t="s">
        <v>598</v>
      </c>
      <c r="U1391" t="s">
        <v>44</v>
      </c>
      <c r="W1391">
        <v>200</v>
      </c>
      <c r="X1391">
        <v>0</v>
      </c>
      <c r="Y1391">
        <v>0</v>
      </c>
      <c r="Z1391">
        <v>0</v>
      </c>
    </row>
    <row r="1392" spans="1:26" hidden="1" x14ac:dyDescent="0.25">
      <c r="A1392" t="s">
        <v>3253</v>
      </c>
      <c r="B1392" t="s">
        <v>2153</v>
      </c>
      <c r="C1392" s="4">
        <v>44819</v>
      </c>
      <c r="F1392" s="4">
        <v>47026</v>
      </c>
      <c r="G1392" t="s">
        <v>117</v>
      </c>
      <c r="H1392" t="s">
        <v>1382</v>
      </c>
      <c r="K1392" t="s">
        <v>83</v>
      </c>
      <c r="L1392" t="s">
        <v>3121</v>
      </c>
      <c r="M1392" t="s">
        <v>84</v>
      </c>
      <c r="N1392" t="s">
        <v>2160</v>
      </c>
      <c r="O1392" t="s">
        <v>122</v>
      </c>
      <c r="P1392" t="s">
        <v>3254</v>
      </c>
      <c r="Q1392">
        <v>150</v>
      </c>
      <c r="R1392">
        <v>150</v>
      </c>
      <c r="S1392" t="s">
        <v>597</v>
      </c>
      <c r="T1392" t="s">
        <v>598</v>
      </c>
      <c r="U1392" t="s">
        <v>44</v>
      </c>
      <c r="W1392">
        <v>150</v>
      </c>
      <c r="X1392">
        <v>0</v>
      </c>
      <c r="Y1392">
        <v>0</v>
      </c>
      <c r="Z1392">
        <v>0</v>
      </c>
    </row>
    <row r="1393" spans="1:26" hidden="1" x14ac:dyDescent="0.25">
      <c r="A1393" t="s">
        <v>3255</v>
      </c>
      <c r="B1393" t="s">
        <v>2153</v>
      </c>
      <c r="C1393" s="4">
        <v>44819</v>
      </c>
      <c r="F1393" s="4">
        <v>47026</v>
      </c>
      <c r="G1393" t="s">
        <v>132</v>
      </c>
      <c r="H1393" t="s">
        <v>2800</v>
      </c>
      <c r="K1393" t="s">
        <v>83</v>
      </c>
      <c r="L1393" t="s">
        <v>3121</v>
      </c>
      <c r="M1393" t="s">
        <v>84</v>
      </c>
      <c r="N1393" t="s">
        <v>2160</v>
      </c>
      <c r="O1393" t="s">
        <v>122</v>
      </c>
      <c r="P1393" t="s">
        <v>3256</v>
      </c>
      <c r="Q1393">
        <v>350</v>
      </c>
      <c r="R1393">
        <v>350</v>
      </c>
      <c r="S1393" t="s">
        <v>597</v>
      </c>
      <c r="T1393" t="s">
        <v>598</v>
      </c>
      <c r="U1393" t="s">
        <v>44</v>
      </c>
      <c r="W1393">
        <v>350</v>
      </c>
      <c r="X1393">
        <v>0</v>
      </c>
      <c r="Y1393">
        <v>0</v>
      </c>
      <c r="Z1393">
        <v>0</v>
      </c>
    </row>
    <row r="1394" spans="1:26" hidden="1" x14ac:dyDescent="0.25">
      <c r="A1394" t="s">
        <v>3257</v>
      </c>
      <c r="B1394" t="s">
        <v>38</v>
      </c>
      <c r="C1394" s="4">
        <v>44818</v>
      </c>
      <c r="D1394" s="4">
        <v>45868</v>
      </c>
      <c r="F1394" s="4">
        <v>46326</v>
      </c>
      <c r="G1394" t="s">
        <v>1311</v>
      </c>
      <c r="H1394" t="s">
        <v>2843</v>
      </c>
      <c r="K1394" t="s">
        <v>114</v>
      </c>
      <c r="L1394" t="s">
        <v>3121</v>
      </c>
      <c r="M1394" t="s">
        <v>68</v>
      </c>
      <c r="N1394" t="s">
        <v>3122</v>
      </c>
      <c r="O1394" t="s">
        <v>32</v>
      </c>
      <c r="P1394" t="s">
        <v>3258</v>
      </c>
      <c r="Q1394">
        <v>100</v>
      </c>
      <c r="R1394">
        <v>100</v>
      </c>
      <c r="S1394" t="s">
        <v>34</v>
      </c>
      <c r="T1394" t="s">
        <v>35</v>
      </c>
      <c r="U1394" t="s">
        <v>44</v>
      </c>
      <c r="W1394">
        <v>0</v>
      </c>
      <c r="X1394">
        <v>0</v>
      </c>
      <c r="Y1394">
        <v>0</v>
      </c>
      <c r="Z1394">
        <v>0</v>
      </c>
    </row>
    <row r="1395" spans="1:26" hidden="1" x14ac:dyDescent="0.25">
      <c r="A1395" t="s">
        <v>3259</v>
      </c>
      <c r="B1395" t="s">
        <v>2153</v>
      </c>
      <c r="C1395" s="4">
        <v>44819</v>
      </c>
      <c r="F1395" s="4">
        <v>46326</v>
      </c>
      <c r="G1395" t="s">
        <v>52</v>
      </c>
      <c r="H1395" t="s">
        <v>3260</v>
      </c>
      <c r="K1395" t="s">
        <v>53</v>
      </c>
      <c r="L1395" t="s">
        <v>3121</v>
      </c>
      <c r="M1395" t="s">
        <v>54</v>
      </c>
      <c r="N1395" t="s">
        <v>3122</v>
      </c>
      <c r="O1395" t="s">
        <v>32</v>
      </c>
      <c r="P1395" t="s">
        <v>3261</v>
      </c>
      <c r="Q1395">
        <v>100</v>
      </c>
      <c r="R1395">
        <v>100</v>
      </c>
      <c r="S1395" t="s">
        <v>159</v>
      </c>
      <c r="T1395" t="s">
        <v>159</v>
      </c>
      <c r="U1395" t="s">
        <v>44</v>
      </c>
      <c r="W1395">
        <v>100</v>
      </c>
      <c r="X1395">
        <v>100</v>
      </c>
      <c r="Y1395">
        <v>0</v>
      </c>
      <c r="Z1395">
        <v>0</v>
      </c>
    </row>
    <row r="1396" spans="1:26" hidden="1" x14ac:dyDescent="0.25">
      <c r="A1396" t="s">
        <v>3262</v>
      </c>
      <c r="B1396" t="s">
        <v>38</v>
      </c>
      <c r="C1396" s="4">
        <v>45163</v>
      </c>
      <c r="D1396" s="4">
        <v>45957</v>
      </c>
      <c r="F1396" s="4">
        <v>46631</v>
      </c>
      <c r="G1396" t="s">
        <v>117</v>
      </c>
      <c r="H1396" t="s">
        <v>1954</v>
      </c>
      <c r="K1396" t="s">
        <v>83</v>
      </c>
      <c r="L1396" t="s">
        <v>3121</v>
      </c>
      <c r="M1396" t="s">
        <v>84</v>
      </c>
      <c r="N1396" t="s">
        <v>2160</v>
      </c>
      <c r="O1396" t="s">
        <v>32</v>
      </c>
      <c r="P1396" t="s">
        <v>3263</v>
      </c>
      <c r="Q1396">
        <v>164</v>
      </c>
      <c r="R1396">
        <v>164</v>
      </c>
      <c r="S1396" t="s">
        <v>34</v>
      </c>
      <c r="T1396" t="s">
        <v>35</v>
      </c>
      <c r="U1396" t="s">
        <v>44</v>
      </c>
      <c r="W1396">
        <v>0</v>
      </c>
      <c r="X1396">
        <v>0</v>
      </c>
      <c r="Y1396">
        <v>0</v>
      </c>
      <c r="Z1396">
        <v>0</v>
      </c>
    </row>
    <row r="1397" spans="1:26" hidden="1" x14ac:dyDescent="0.25">
      <c r="A1397" t="s">
        <v>3264</v>
      </c>
      <c r="B1397" t="s">
        <v>38</v>
      </c>
      <c r="C1397" s="4">
        <v>44819</v>
      </c>
      <c r="D1397" s="4">
        <v>45009</v>
      </c>
      <c r="F1397" s="4">
        <v>45808</v>
      </c>
      <c r="G1397" t="s">
        <v>65</v>
      </c>
      <c r="H1397" t="s">
        <v>3195</v>
      </c>
      <c r="K1397" t="s">
        <v>67</v>
      </c>
      <c r="L1397" t="s">
        <v>3121</v>
      </c>
      <c r="M1397" t="s">
        <v>68</v>
      </c>
      <c r="N1397" t="s">
        <v>3122</v>
      </c>
      <c r="O1397" t="s">
        <v>122</v>
      </c>
      <c r="P1397" t="s">
        <v>3265</v>
      </c>
      <c r="Q1397">
        <v>200</v>
      </c>
      <c r="R1397">
        <v>200</v>
      </c>
      <c r="S1397" t="s">
        <v>597</v>
      </c>
      <c r="T1397" t="s">
        <v>598</v>
      </c>
      <c r="U1397" t="s">
        <v>44</v>
      </c>
      <c r="W1397">
        <v>0</v>
      </c>
      <c r="X1397">
        <v>0</v>
      </c>
      <c r="Y1397">
        <v>0</v>
      </c>
      <c r="Z1397">
        <v>0</v>
      </c>
    </row>
    <row r="1398" spans="1:26" hidden="1" x14ac:dyDescent="0.25">
      <c r="A1398" t="s">
        <v>3266</v>
      </c>
      <c r="B1398" t="s">
        <v>2153</v>
      </c>
      <c r="C1398" s="4">
        <v>44818</v>
      </c>
      <c r="F1398" s="4">
        <v>45808</v>
      </c>
      <c r="G1398" t="s">
        <v>1326</v>
      </c>
      <c r="H1398" t="s">
        <v>1530</v>
      </c>
      <c r="K1398" t="s">
        <v>67</v>
      </c>
      <c r="L1398" t="s">
        <v>3121</v>
      </c>
      <c r="M1398" t="s">
        <v>68</v>
      </c>
      <c r="N1398" t="s">
        <v>3122</v>
      </c>
      <c r="O1398" t="s">
        <v>122</v>
      </c>
      <c r="P1398" t="s">
        <v>3267</v>
      </c>
      <c r="Q1398">
        <v>500</v>
      </c>
      <c r="R1398">
        <v>500</v>
      </c>
      <c r="S1398" t="s">
        <v>34</v>
      </c>
      <c r="T1398" t="s">
        <v>35</v>
      </c>
      <c r="U1398" t="s">
        <v>44</v>
      </c>
      <c r="W1398">
        <v>500</v>
      </c>
      <c r="X1398">
        <v>0</v>
      </c>
      <c r="Y1398">
        <v>0</v>
      </c>
      <c r="Z1398">
        <v>0</v>
      </c>
    </row>
    <row r="1399" spans="1:26" hidden="1" x14ac:dyDescent="0.25">
      <c r="A1399" t="s">
        <v>3268</v>
      </c>
      <c r="B1399" t="s">
        <v>2153</v>
      </c>
      <c r="C1399" s="4">
        <v>44819</v>
      </c>
      <c r="F1399" s="4">
        <v>45808</v>
      </c>
      <c r="G1399" t="s">
        <v>1326</v>
      </c>
      <c r="H1399" t="s">
        <v>1530</v>
      </c>
      <c r="K1399" t="s">
        <v>67</v>
      </c>
      <c r="L1399" t="s">
        <v>3121</v>
      </c>
      <c r="M1399" t="s">
        <v>68</v>
      </c>
      <c r="N1399" t="s">
        <v>3122</v>
      </c>
      <c r="O1399" t="s">
        <v>122</v>
      </c>
      <c r="P1399" t="s">
        <v>3267</v>
      </c>
      <c r="Q1399">
        <v>400</v>
      </c>
      <c r="R1399">
        <v>400</v>
      </c>
      <c r="S1399" t="s">
        <v>34</v>
      </c>
      <c r="T1399" t="s">
        <v>35</v>
      </c>
      <c r="U1399" t="s">
        <v>44</v>
      </c>
      <c r="W1399">
        <v>400</v>
      </c>
      <c r="X1399">
        <v>0</v>
      </c>
      <c r="Y1399">
        <v>0</v>
      </c>
      <c r="Z1399">
        <v>0</v>
      </c>
    </row>
    <row r="1400" spans="1:26" hidden="1" x14ac:dyDescent="0.25">
      <c r="A1400" t="s">
        <v>3269</v>
      </c>
      <c r="B1400" t="s">
        <v>2153</v>
      </c>
      <c r="C1400" s="4">
        <v>44819</v>
      </c>
      <c r="F1400" s="4">
        <v>45808</v>
      </c>
      <c r="G1400" t="s">
        <v>1326</v>
      </c>
      <c r="H1400" t="s">
        <v>1530</v>
      </c>
      <c r="K1400" t="s">
        <v>67</v>
      </c>
      <c r="L1400" t="s">
        <v>3121</v>
      </c>
      <c r="M1400" t="s">
        <v>68</v>
      </c>
      <c r="N1400" t="s">
        <v>3122</v>
      </c>
      <c r="O1400" t="s">
        <v>122</v>
      </c>
      <c r="P1400" t="s">
        <v>3267</v>
      </c>
      <c r="Q1400">
        <v>160</v>
      </c>
      <c r="R1400">
        <v>160</v>
      </c>
      <c r="S1400" t="s">
        <v>597</v>
      </c>
      <c r="T1400" t="s">
        <v>598</v>
      </c>
      <c r="U1400" t="s">
        <v>44</v>
      </c>
      <c r="W1400">
        <v>160</v>
      </c>
      <c r="X1400">
        <v>0</v>
      </c>
      <c r="Y1400">
        <v>0</v>
      </c>
      <c r="Z1400">
        <v>0</v>
      </c>
    </row>
    <row r="1401" spans="1:26" hidden="1" x14ac:dyDescent="0.25">
      <c r="A1401" t="s">
        <v>3270</v>
      </c>
      <c r="B1401" t="s">
        <v>38</v>
      </c>
      <c r="C1401" s="4">
        <v>44819</v>
      </c>
      <c r="D1401" s="4">
        <v>45009</v>
      </c>
      <c r="F1401" s="4">
        <v>45808</v>
      </c>
      <c r="G1401" t="s">
        <v>65</v>
      </c>
      <c r="H1401" t="s">
        <v>3195</v>
      </c>
      <c r="K1401" t="s">
        <v>67</v>
      </c>
      <c r="L1401" t="s">
        <v>3121</v>
      </c>
      <c r="M1401" t="s">
        <v>68</v>
      </c>
      <c r="N1401" t="s">
        <v>3122</v>
      </c>
      <c r="O1401" t="s">
        <v>122</v>
      </c>
      <c r="P1401" t="s">
        <v>3265</v>
      </c>
      <c r="Q1401">
        <v>160</v>
      </c>
      <c r="R1401">
        <v>160</v>
      </c>
      <c r="S1401" t="s">
        <v>597</v>
      </c>
      <c r="T1401" t="s">
        <v>598</v>
      </c>
      <c r="U1401" t="s">
        <v>44</v>
      </c>
      <c r="W1401">
        <v>0</v>
      </c>
      <c r="X1401">
        <v>0</v>
      </c>
      <c r="Y1401">
        <v>0</v>
      </c>
      <c r="Z1401">
        <v>0</v>
      </c>
    </row>
    <row r="1402" spans="1:26" hidden="1" x14ac:dyDescent="0.25">
      <c r="A1402" t="s">
        <v>3271</v>
      </c>
      <c r="B1402" t="s">
        <v>38</v>
      </c>
      <c r="C1402" s="4">
        <v>44819</v>
      </c>
      <c r="D1402" s="4">
        <v>45009</v>
      </c>
      <c r="F1402" s="4">
        <v>45808</v>
      </c>
      <c r="G1402" t="s">
        <v>65</v>
      </c>
      <c r="H1402" t="s">
        <v>3195</v>
      </c>
      <c r="K1402" t="s">
        <v>67</v>
      </c>
      <c r="L1402" t="s">
        <v>3121</v>
      </c>
      <c r="M1402" t="s">
        <v>68</v>
      </c>
      <c r="N1402" t="s">
        <v>3122</v>
      </c>
      <c r="O1402" t="s">
        <v>122</v>
      </c>
      <c r="P1402" t="s">
        <v>3265</v>
      </c>
      <c r="Q1402">
        <v>500</v>
      </c>
      <c r="R1402">
        <v>500</v>
      </c>
      <c r="S1402" t="s">
        <v>34</v>
      </c>
      <c r="T1402" t="s">
        <v>35</v>
      </c>
      <c r="U1402" t="s">
        <v>44</v>
      </c>
      <c r="W1402">
        <v>0</v>
      </c>
      <c r="X1402">
        <v>0</v>
      </c>
      <c r="Y1402">
        <v>0</v>
      </c>
      <c r="Z1402">
        <v>0</v>
      </c>
    </row>
    <row r="1403" spans="1:26" hidden="1" x14ac:dyDescent="0.25">
      <c r="A1403" t="s">
        <v>3272</v>
      </c>
      <c r="B1403" t="s">
        <v>38</v>
      </c>
      <c r="C1403" s="4">
        <v>44819</v>
      </c>
      <c r="D1403" s="4">
        <v>45868</v>
      </c>
      <c r="F1403" s="4">
        <v>45808</v>
      </c>
      <c r="G1403" t="s">
        <v>144</v>
      </c>
      <c r="H1403" t="s">
        <v>3273</v>
      </c>
      <c r="K1403" t="s">
        <v>146</v>
      </c>
      <c r="L1403" t="s">
        <v>3121</v>
      </c>
      <c r="M1403" t="s">
        <v>68</v>
      </c>
      <c r="N1403" t="s">
        <v>3122</v>
      </c>
      <c r="O1403" t="s">
        <v>122</v>
      </c>
      <c r="P1403" t="s">
        <v>3274</v>
      </c>
      <c r="Q1403">
        <v>120</v>
      </c>
      <c r="R1403">
        <v>120</v>
      </c>
      <c r="S1403" t="s">
        <v>34</v>
      </c>
      <c r="T1403" t="s">
        <v>35</v>
      </c>
      <c r="U1403" t="s">
        <v>44</v>
      </c>
      <c r="W1403">
        <v>0</v>
      </c>
      <c r="X1403">
        <v>0</v>
      </c>
      <c r="Y1403">
        <v>0</v>
      </c>
      <c r="Z1403">
        <v>0</v>
      </c>
    </row>
    <row r="1404" spans="1:26" hidden="1" x14ac:dyDescent="0.25">
      <c r="A1404" t="s">
        <v>3275</v>
      </c>
      <c r="B1404" t="s">
        <v>2153</v>
      </c>
      <c r="C1404" s="4">
        <v>44819</v>
      </c>
      <c r="F1404" s="4">
        <v>45808</v>
      </c>
      <c r="H1404" t="s">
        <v>1824</v>
      </c>
      <c r="K1404" t="s">
        <v>83</v>
      </c>
      <c r="L1404" t="s">
        <v>3121</v>
      </c>
      <c r="M1404" t="s">
        <v>84</v>
      </c>
      <c r="N1404" t="s">
        <v>2160</v>
      </c>
      <c r="O1404" t="s">
        <v>122</v>
      </c>
      <c r="P1404" t="s">
        <v>3276</v>
      </c>
      <c r="Q1404">
        <v>150</v>
      </c>
      <c r="R1404">
        <v>150</v>
      </c>
      <c r="S1404" t="s">
        <v>34</v>
      </c>
      <c r="T1404" t="s">
        <v>35</v>
      </c>
      <c r="U1404" t="s">
        <v>44</v>
      </c>
      <c r="W1404">
        <v>150</v>
      </c>
      <c r="X1404">
        <v>0</v>
      </c>
      <c r="Y1404">
        <v>0</v>
      </c>
      <c r="Z1404">
        <v>0</v>
      </c>
    </row>
    <row r="1405" spans="1:26" hidden="1" x14ac:dyDescent="0.25">
      <c r="A1405" t="s">
        <v>3277</v>
      </c>
      <c r="B1405" t="s">
        <v>2153</v>
      </c>
      <c r="C1405" s="4">
        <v>44819</v>
      </c>
      <c r="F1405" s="4">
        <v>45808</v>
      </c>
      <c r="H1405" t="s">
        <v>1824</v>
      </c>
      <c r="K1405" t="s">
        <v>83</v>
      </c>
      <c r="L1405" t="s">
        <v>3121</v>
      </c>
      <c r="M1405" t="s">
        <v>84</v>
      </c>
      <c r="N1405" t="s">
        <v>2160</v>
      </c>
      <c r="O1405" t="s">
        <v>122</v>
      </c>
      <c r="P1405" t="s">
        <v>3276</v>
      </c>
      <c r="Q1405">
        <v>200</v>
      </c>
      <c r="R1405">
        <v>200</v>
      </c>
      <c r="S1405" t="s">
        <v>159</v>
      </c>
      <c r="T1405" t="s">
        <v>159</v>
      </c>
      <c r="U1405" t="s">
        <v>44</v>
      </c>
      <c r="W1405">
        <v>200</v>
      </c>
      <c r="X1405">
        <v>0</v>
      </c>
      <c r="Y1405">
        <v>0</v>
      </c>
      <c r="Z1405">
        <v>0</v>
      </c>
    </row>
    <row r="1406" spans="1:26" hidden="1" x14ac:dyDescent="0.25">
      <c r="A1406" t="s">
        <v>3278</v>
      </c>
      <c r="B1406" t="s">
        <v>2153</v>
      </c>
      <c r="C1406" s="4">
        <v>44819</v>
      </c>
      <c r="F1406" s="4">
        <v>45808</v>
      </c>
      <c r="H1406" t="s">
        <v>1824</v>
      </c>
      <c r="K1406" t="s">
        <v>83</v>
      </c>
      <c r="L1406" t="s">
        <v>3121</v>
      </c>
      <c r="M1406" t="s">
        <v>84</v>
      </c>
      <c r="N1406" t="s">
        <v>2160</v>
      </c>
      <c r="O1406" t="s">
        <v>122</v>
      </c>
      <c r="P1406" t="s">
        <v>3279</v>
      </c>
      <c r="Q1406">
        <v>200</v>
      </c>
      <c r="R1406">
        <v>200</v>
      </c>
      <c r="S1406" t="s">
        <v>34</v>
      </c>
      <c r="T1406" t="s">
        <v>35</v>
      </c>
      <c r="U1406" t="s">
        <v>44</v>
      </c>
      <c r="W1406">
        <v>200</v>
      </c>
      <c r="X1406">
        <v>0</v>
      </c>
      <c r="Y1406">
        <v>0</v>
      </c>
      <c r="Z1406">
        <v>0</v>
      </c>
    </row>
    <row r="1407" spans="1:26" hidden="1" x14ac:dyDescent="0.25">
      <c r="A1407" t="s">
        <v>3280</v>
      </c>
      <c r="B1407" t="s">
        <v>2153</v>
      </c>
      <c r="C1407" s="4">
        <v>44819</v>
      </c>
      <c r="F1407" s="4">
        <v>45962</v>
      </c>
      <c r="G1407" t="s">
        <v>1408</v>
      </c>
      <c r="H1407" t="s">
        <v>3281</v>
      </c>
      <c r="K1407" t="s">
        <v>146</v>
      </c>
      <c r="L1407" t="s">
        <v>3121</v>
      </c>
      <c r="M1407" t="s">
        <v>68</v>
      </c>
      <c r="N1407" t="s">
        <v>3122</v>
      </c>
      <c r="O1407" t="s">
        <v>32</v>
      </c>
      <c r="P1407" t="s">
        <v>3282</v>
      </c>
      <c r="Q1407">
        <v>38.81</v>
      </c>
      <c r="R1407">
        <v>38.81</v>
      </c>
      <c r="S1407" t="s">
        <v>159</v>
      </c>
      <c r="T1407" t="s">
        <v>159</v>
      </c>
      <c r="U1407" t="s">
        <v>44</v>
      </c>
      <c r="W1407">
        <v>38.799999999999997</v>
      </c>
      <c r="X1407">
        <v>38.799999999999997</v>
      </c>
      <c r="Y1407">
        <v>0</v>
      </c>
      <c r="Z1407">
        <v>0</v>
      </c>
    </row>
    <row r="1408" spans="1:26" hidden="1" x14ac:dyDescent="0.25">
      <c r="A1408" t="s">
        <v>3283</v>
      </c>
      <c r="B1408" t="s">
        <v>38</v>
      </c>
      <c r="C1408" s="4">
        <v>44817</v>
      </c>
      <c r="D1408" s="4">
        <v>45852</v>
      </c>
      <c r="F1408" s="4">
        <v>46234</v>
      </c>
      <c r="G1408" t="s">
        <v>144</v>
      </c>
      <c r="H1408" t="s">
        <v>1279</v>
      </c>
      <c r="K1408" t="s">
        <v>146</v>
      </c>
      <c r="L1408" t="s">
        <v>3121</v>
      </c>
      <c r="M1408" t="s">
        <v>68</v>
      </c>
      <c r="N1408" t="s">
        <v>3122</v>
      </c>
      <c r="O1408" t="s">
        <v>32</v>
      </c>
      <c r="P1408" t="s">
        <v>3284</v>
      </c>
      <c r="Q1408">
        <v>200</v>
      </c>
      <c r="R1408">
        <v>200</v>
      </c>
      <c r="S1408" t="s">
        <v>159</v>
      </c>
      <c r="T1408" t="s">
        <v>159</v>
      </c>
      <c r="U1408" t="s">
        <v>44</v>
      </c>
      <c r="W1408">
        <v>0</v>
      </c>
      <c r="X1408">
        <v>0</v>
      </c>
      <c r="Y1408">
        <v>0</v>
      </c>
      <c r="Z1408">
        <v>0</v>
      </c>
    </row>
    <row r="1409" spans="1:26" hidden="1" x14ac:dyDescent="0.25">
      <c r="A1409" t="s">
        <v>3285</v>
      </c>
      <c r="B1409" t="s">
        <v>38</v>
      </c>
      <c r="C1409" s="4">
        <v>44818</v>
      </c>
      <c r="D1409" s="4">
        <v>45868</v>
      </c>
      <c r="F1409" s="4">
        <v>46266</v>
      </c>
      <c r="G1409" t="s">
        <v>1311</v>
      </c>
      <c r="H1409" t="s">
        <v>1648</v>
      </c>
      <c r="K1409" t="s">
        <v>114</v>
      </c>
      <c r="L1409" t="s">
        <v>3121</v>
      </c>
      <c r="M1409" t="s">
        <v>68</v>
      </c>
      <c r="N1409" t="s">
        <v>3122</v>
      </c>
      <c r="O1409" t="s">
        <v>32</v>
      </c>
      <c r="P1409" t="s">
        <v>3286</v>
      </c>
      <c r="Q1409">
        <v>200</v>
      </c>
      <c r="R1409">
        <v>200</v>
      </c>
      <c r="S1409" t="s">
        <v>34</v>
      </c>
      <c r="T1409" t="s">
        <v>35</v>
      </c>
      <c r="U1409" t="s">
        <v>44</v>
      </c>
      <c r="W1409">
        <v>0</v>
      </c>
      <c r="X1409">
        <v>0</v>
      </c>
      <c r="Y1409">
        <v>0</v>
      </c>
      <c r="Z1409">
        <v>0</v>
      </c>
    </row>
    <row r="1410" spans="1:26" hidden="1" x14ac:dyDescent="0.25">
      <c r="A1410" t="s">
        <v>3287</v>
      </c>
      <c r="B1410" t="s">
        <v>38</v>
      </c>
      <c r="C1410" s="4">
        <v>44818</v>
      </c>
      <c r="D1410" s="4">
        <v>45957</v>
      </c>
      <c r="F1410" s="4">
        <v>46661</v>
      </c>
      <c r="G1410" t="s">
        <v>101</v>
      </c>
      <c r="H1410" t="s">
        <v>1805</v>
      </c>
      <c r="K1410" t="s">
        <v>98</v>
      </c>
      <c r="L1410" t="s">
        <v>3121</v>
      </c>
      <c r="M1410" t="s">
        <v>84</v>
      </c>
      <c r="N1410" t="s">
        <v>2160</v>
      </c>
      <c r="O1410" t="s">
        <v>32</v>
      </c>
      <c r="P1410" t="s">
        <v>3288</v>
      </c>
      <c r="Q1410">
        <v>198</v>
      </c>
      <c r="R1410">
        <v>198</v>
      </c>
      <c r="S1410" t="s">
        <v>34</v>
      </c>
      <c r="T1410" t="s">
        <v>35</v>
      </c>
      <c r="U1410" t="s">
        <v>44</v>
      </c>
      <c r="W1410">
        <v>0</v>
      </c>
      <c r="X1410">
        <v>0</v>
      </c>
      <c r="Y1410">
        <v>0</v>
      </c>
      <c r="Z1410">
        <v>0</v>
      </c>
    </row>
    <row r="1411" spans="1:26" hidden="1" x14ac:dyDescent="0.25">
      <c r="A1411" t="s">
        <v>3289</v>
      </c>
      <c r="B1411" t="s">
        <v>38</v>
      </c>
      <c r="C1411" s="4">
        <v>44816</v>
      </c>
      <c r="D1411" s="4">
        <v>45009</v>
      </c>
      <c r="F1411" s="4">
        <v>46088</v>
      </c>
      <c r="G1411" t="s">
        <v>101</v>
      </c>
      <c r="H1411" t="s">
        <v>3290</v>
      </c>
      <c r="K1411" t="s">
        <v>98</v>
      </c>
      <c r="L1411" t="s">
        <v>3121</v>
      </c>
      <c r="M1411" t="s">
        <v>84</v>
      </c>
      <c r="N1411" t="s">
        <v>2160</v>
      </c>
      <c r="O1411" t="s">
        <v>32</v>
      </c>
      <c r="P1411" t="s">
        <v>3291</v>
      </c>
      <c r="Q1411">
        <v>100</v>
      </c>
      <c r="R1411">
        <v>100</v>
      </c>
      <c r="S1411" t="s">
        <v>159</v>
      </c>
      <c r="T1411" t="s">
        <v>159</v>
      </c>
      <c r="U1411" t="s">
        <v>44</v>
      </c>
      <c r="W1411">
        <v>0</v>
      </c>
      <c r="X1411">
        <v>0</v>
      </c>
      <c r="Y1411">
        <v>0</v>
      </c>
      <c r="Z1411">
        <v>0</v>
      </c>
    </row>
    <row r="1412" spans="1:26" hidden="1" x14ac:dyDescent="0.25">
      <c r="A1412" t="s">
        <v>3292</v>
      </c>
      <c r="B1412" t="s">
        <v>38</v>
      </c>
      <c r="C1412" s="4">
        <v>44818</v>
      </c>
      <c r="D1412" s="4">
        <v>45868</v>
      </c>
      <c r="F1412" s="4">
        <v>46327</v>
      </c>
      <c r="G1412" t="s">
        <v>65</v>
      </c>
      <c r="H1412" t="s">
        <v>2079</v>
      </c>
      <c r="K1412" t="s">
        <v>67</v>
      </c>
      <c r="L1412" t="s">
        <v>3121</v>
      </c>
      <c r="M1412" t="s">
        <v>68</v>
      </c>
      <c r="N1412" t="s">
        <v>3122</v>
      </c>
      <c r="O1412" t="s">
        <v>32</v>
      </c>
      <c r="P1412" t="s">
        <v>3293</v>
      </c>
      <c r="Q1412">
        <v>150</v>
      </c>
      <c r="R1412">
        <v>150</v>
      </c>
      <c r="S1412" t="s">
        <v>159</v>
      </c>
      <c r="T1412" t="s">
        <v>159</v>
      </c>
      <c r="U1412" t="s">
        <v>44</v>
      </c>
      <c r="W1412">
        <v>0</v>
      </c>
      <c r="X1412">
        <v>0</v>
      </c>
      <c r="Y1412">
        <v>0</v>
      </c>
      <c r="Z1412">
        <v>0</v>
      </c>
    </row>
    <row r="1413" spans="1:26" hidden="1" x14ac:dyDescent="0.25">
      <c r="A1413" t="s">
        <v>3294</v>
      </c>
      <c r="B1413" t="s">
        <v>38</v>
      </c>
      <c r="C1413" s="4">
        <v>44819</v>
      </c>
      <c r="D1413" s="4">
        <v>45957</v>
      </c>
      <c r="F1413" s="4">
        <v>46661</v>
      </c>
      <c r="G1413" t="s">
        <v>1381</v>
      </c>
      <c r="H1413" t="s">
        <v>2191</v>
      </c>
      <c r="K1413" t="s">
        <v>209</v>
      </c>
      <c r="L1413" t="s">
        <v>3121</v>
      </c>
      <c r="M1413" t="s">
        <v>42</v>
      </c>
      <c r="N1413" t="s">
        <v>3122</v>
      </c>
      <c r="O1413" t="s">
        <v>32</v>
      </c>
      <c r="P1413" t="s">
        <v>3295</v>
      </c>
      <c r="Q1413">
        <v>300</v>
      </c>
      <c r="R1413">
        <v>300</v>
      </c>
      <c r="S1413" t="s">
        <v>56</v>
      </c>
      <c r="T1413" t="s">
        <v>57</v>
      </c>
      <c r="U1413" t="s">
        <v>44</v>
      </c>
      <c r="W1413">
        <v>0</v>
      </c>
      <c r="X1413">
        <v>0</v>
      </c>
      <c r="Y1413">
        <v>0</v>
      </c>
      <c r="Z1413">
        <v>0</v>
      </c>
    </row>
    <row r="1414" spans="1:26" hidden="1" x14ac:dyDescent="0.25">
      <c r="A1414" t="s">
        <v>3296</v>
      </c>
      <c r="B1414" t="s">
        <v>38</v>
      </c>
      <c r="C1414" s="4">
        <v>44817</v>
      </c>
      <c r="D1414" s="4">
        <v>45868</v>
      </c>
      <c r="F1414" s="4">
        <v>46296</v>
      </c>
      <c r="G1414" t="s">
        <v>616</v>
      </c>
      <c r="H1414" t="s">
        <v>2895</v>
      </c>
      <c r="K1414" t="s">
        <v>146</v>
      </c>
      <c r="L1414" t="s">
        <v>3121</v>
      </c>
      <c r="M1414" t="s">
        <v>68</v>
      </c>
      <c r="N1414" t="s">
        <v>3122</v>
      </c>
      <c r="O1414" t="s">
        <v>32</v>
      </c>
      <c r="P1414" t="s">
        <v>3297</v>
      </c>
      <c r="Q1414">
        <v>80</v>
      </c>
      <c r="R1414">
        <v>80</v>
      </c>
      <c r="S1414" t="s">
        <v>34</v>
      </c>
      <c r="T1414" t="s">
        <v>35</v>
      </c>
      <c r="U1414" t="s">
        <v>44</v>
      </c>
      <c r="W1414">
        <v>0</v>
      </c>
      <c r="X1414">
        <v>0</v>
      </c>
      <c r="Y1414">
        <v>0</v>
      </c>
      <c r="Z1414">
        <v>0</v>
      </c>
    </row>
    <row r="1415" spans="1:26" hidden="1" x14ac:dyDescent="0.25">
      <c r="A1415" t="s">
        <v>3298</v>
      </c>
      <c r="B1415" t="s">
        <v>38</v>
      </c>
      <c r="C1415" s="4">
        <v>44819</v>
      </c>
      <c r="D1415" s="4">
        <v>45009</v>
      </c>
      <c r="F1415" s="4">
        <v>46296</v>
      </c>
      <c r="G1415" t="s">
        <v>65</v>
      </c>
      <c r="H1415" t="s">
        <v>1887</v>
      </c>
      <c r="K1415" t="s">
        <v>67</v>
      </c>
      <c r="L1415" t="s">
        <v>3121</v>
      </c>
      <c r="M1415" t="s">
        <v>68</v>
      </c>
      <c r="N1415" t="s">
        <v>3122</v>
      </c>
      <c r="O1415" t="s">
        <v>32</v>
      </c>
      <c r="P1415" t="s">
        <v>3299</v>
      </c>
      <c r="Q1415">
        <v>100</v>
      </c>
      <c r="R1415">
        <v>100</v>
      </c>
      <c r="S1415" t="s">
        <v>159</v>
      </c>
      <c r="T1415" t="s">
        <v>159</v>
      </c>
      <c r="U1415" t="s">
        <v>44</v>
      </c>
      <c r="W1415">
        <v>0</v>
      </c>
      <c r="X1415">
        <v>0</v>
      </c>
      <c r="Y1415">
        <v>0</v>
      </c>
      <c r="Z1415">
        <v>0</v>
      </c>
    </row>
    <row r="1416" spans="1:26" hidden="1" x14ac:dyDescent="0.25">
      <c r="A1416" t="s">
        <v>3300</v>
      </c>
      <c r="B1416" t="s">
        <v>38</v>
      </c>
      <c r="C1416" s="4">
        <v>44817</v>
      </c>
      <c r="D1416" s="4">
        <v>45957</v>
      </c>
      <c r="F1416" s="4">
        <v>46661</v>
      </c>
      <c r="G1416" t="s">
        <v>117</v>
      </c>
      <c r="H1416" t="s">
        <v>1765</v>
      </c>
      <c r="K1416" t="s">
        <v>83</v>
      </c>
      <c r="L1416" t="s">
        <v>3121</v>
      </c>
      <c r="M1416" t="s">
        <v>84</v>
      </c>
      <c r="N1416" t="s">
        <v>2160</v>
      </c>
      <c r="O1416" t="s">
        <v>32</v>
      </c>
      <c r="P1416" t="s">
        <v>3301</v>
      </c>
      <c r="Q1416">
        <v>150</v>
      </c>
      <c r="R1416">
        <v>150</v>
      </c>
      <c r="S1416" t="s">
        <v>159</v>
      </c>
      <c r="T1416" t="s">
        <v>159</v>
      </c>
      <c r="U1416" t="s">
        <v>44</v>
      </c>
      <c r="W1416">
        <v>0</v>
      </c>
      <c r="X1416">
        <v>0</v>
      </c>
      <c r="Y1416">
        <v>0</v>
      </c>
      <c r="Z1416">
        <v>0</v>
      </c>
    </row>
    <row r="1417" spans="1:26" hidden="1" x14ac:dyDescent="0.25">
      <c r="A1417" t="s">
        <v>3302</v>
      </c>
      <c r="B1417" t="s">
        <v>38</v>
      </c>
      <c r="C1417" s="4">
        <v>44817</v>
      </c>
      <c r="D1417" s="4">
        <v>45957</v>
      </c>
      <c r="F1417" s="4">
        <v>46661</v>
      </c>
      <c r="G1417" t="s">
        <v>117</v>
      </c>
      <c r="H1417" t="s">
        <v>1611</v>
      </c>
      <c r="K1417" t="s">
        <v>83</v>
      </c>
      <c r="L1417" t="s">
        <v>3121</v>
      </c>
      <c r="M1417" t="s">
        <v>84</v>
      </c>
      <c r="N1417" t="s">
        <v>2160</v>
      </c>
      <c r="O1417" t="s">
        <v>32</v>
      </c>
      <c r="P1417" t="s">
        <v>3303</v>
      </c>
      <c r="Q1417">
        <v>150</v>
      </c>
      <c r="R1417">
        <v>150</v>
      </c>
      <c r="S1417" t="s">
        <v>34</v>
      </c>
      <c r="T1417" t="s">
        <v>35</v>
      </c>
      <c r="U1417" t="s">
        <v>44</v>
      </c>
      <c r="W1417">
        <v>0</v>
      </c>
      <c r="X1417">
        <v>0</v>
      </c>
      <c r="Y1417">
        <v>0</v>
      </c>
      <c r="Z1417">
        <v>0</v>
      </c>
    </row>
    <row r="1418" spans="1:26" hidden="1" x14ac:dyDescent="0.25">
      <c r="A1418" t="s">
        <v>3304</v>
      </c>
      <c r="B1418" t="s">
        <v>38</v>
      </c>
      <c r="C1418" s="4">
        <v>44817</v>
      </c>
      <c r="D1418" s="4">
        <v>45868</v>
      </c>
      <c r="F1418" s="4">
        <v>46296</v>
      </c>
      <c r="G1418" t="s">
        <v>144</v>
      </c>
      <c r="H1418" t="s">
        <v>1462</v>
      </c>
      <c r="K1418" t="s">
        <v>146</v>
      </c>
      <c r="L1418" t="s">
        <v>3121</v>
      </c>
      <c r="M1418" t="s">
        <v>68</v>
      </c>
      <c r="N1418" t="s">
        <v>3122</v>
      </c>
      <c r="O1418" t="s">
        <v>32</v>
      </c>
      <c r="P1418" t="s">
        <v>1463</v>
      </c>
      <c r="Q1418">
        <v>75</v>
      </c>
      <c r="R1418">
        <v>75</v>
      </c>
      <c r="S1418" t="s">
        <v>159</v>
      </c>
      <c r="T1418" t="s">
        <v>159</v>
      </c>
      <c r="U1418" t="s">
        <v>44</v>
      </c>
      <c r="W1418">
        <v>0</v>
      </c>
      <c r="X1418">
        <v>0</v>
      </c>
      <c r="Y1418">
        <v>0</v>
      </c>
      <c r="Z1418">
        <v>0</v>
      </c>
    </row>
    <row r="1419" spans="1:26" hidden="1" x14ac:dyDescent="0.25">
      <c r="A1419" t="s">
        <v>3305</v>
      </c>
      <c r="B1419" t="s">
        <v>38</v>
      </c>
      <c r="C1419" s="4">
        <v>44816</v>
      </c>
      <c r="D1419" s="4">
        <v>45957</v>
      </c>
      <c r="F1419" s="4">
        <v>46661</v>
      </c>
      <c r="G1419" t="s">
        <v>39</v>
      </c>
      <c r="H1419" t="s">
        <v>2510</v>
      </c>
      <c r="K1419" t="s">
        <v>28</v>
      </c>
      <c r="L1419" t="s">
        <v>3121</v>
      </c>
      <c r="M1419" t="s">
        <v>42</v>
      </c>
      <c r="N1419" t="s">
        <v>3122</v>
      </c>
      <c r="O1419" t="s">
        <v>32</v>
      </c>
      <c r="P1419" t="s">
        <v>3306</v>
      </c>
      <c r="Q1419">
        <v>125</v>
      </c>
      <c r="R1419">
        <v>125</v>
      </c>
      <c r="S1419" t="s">
        <v>159</v>
      </c>
      <c r="T1419" t="s">
        <v>159</v>
      </c>
      <c r="U1419" t="s">
        <v>44</v>
      </c>
      <c r="W1419">
        <v>0</v>
      </c>
      <c r="X1419">
        <v>0</v>
      </c>
      <c r="Y1419">
        <v>0</v>
      </c>
      <c r="Z1419">
        <v>0</v>
      </c>
    </row>
    <row r="1420" spans="1:26" hidden="1" x14ac:dyDescent="0.25">
      <c r="A1420" t="s">
        <v>3307</v>
      </c>
      <c r="B1420" t="s">
        <v>38</v>
      </c>
      <c r="C1420" s="4">
        <v>44816</v>
      </c>
      <c r="D1420" s="4">
        <v>45957</v>
      </c>
      <c r="F1420" s="4">
        <v>46661</v>
      </c>
      <c r="G1420" t="s">
        <v>39</v>
      </c>
      <c r="H1420" t="s">
        <v>2510</v>
      </c>
      <c r="K1420" t="s">
        <v>28</v>
      </c>
      <c r="L1420" t="s">
        <v>3121</v>
      </c>
      <c r="M1420" t="s">
        <v>42</v>
      </c>
      <c r="N1420" t="s">
        <v>3122</v>
      </c>
      <c r="O1420" t="s">
        <v>32</v>
      </c>
      <c r="P1420" t="s">
        <v>3306</v>
      </c>
      <c r="Q1420">
        <v>300</v>
      </c>
      <c r="R1420">
        <v>300</v>
      </c>
      <c r="S1420" t="s">
        <v>34</v>
      </c>
      <c r="T1420" t="s">
        <v>35</v>
      </c>
      <c r="U1420" t="s">
        <v>44</v>
      </c>
      <c r="W1420">
        <v>0</v>
      </c>
      <c r="X1420">
        <v>0</v>
      </c>
      <c r="Y1420">
        <v>0</v>
      </c>
      <c r="Z1420">
        <v>0</v>
      </c>
    </row>
    <row r="1421" spans="1:26" hidden="1" x14ac:dyDescent="0.25">
      <c r="A1421" t="s">
        <v>3308</v>
      </c>
      <c r="B1421" t="s">
        <v>38</v>
      </c>
      <c r="C1421" s="4">
        <v>44818</v>
      </c>
      <c r="D1421" s="4">
        <v>45957</v>
      </c>
      <c r="F1421" s="4">
        <v>45931</v>
      </c>
      <c r="G1421" t="s">
        <v>254</v>
      </c>
      <c r="H1421" t="s">
        <v>1500</v>
      </c>
      <c r="K1421" t="s">
        <v>98</v>
      </c>
      <c r="L1421" t="s">
        <v>3121</v>
      </c>
      <c r="M1421" t="s">
        <v>84</v>
      </c>
      <c r="N1421" t="s">
        <v>2160</v>
      </c>
      <c r="O1421" t="s">
        <v>32</v>
      </c>
      <c r="P1421" t="s">
        <v>2061</v>
      </c>
      <c r="Q1421">
        <v>140</v>
      </c>
      <c r="R1421">
        <v>140</v>
      </c>
      <c r="S1421" t="s">
        <v>159</v>
      </c>
      <c r="T1421" t="s">
        <v>159</v>
      </c>
      <c r="U1421" t="s">
        <v>44</v>
      </c>
      <c r="W1421">
        <v>0</v>
      </c>
      <c r="X1421">
        <v>0</v>
      </c>
      <c r="Y1421">
        <v>0</v>
      </c>
      <c r="Z1421">
        <v>0</v>
      </c>
    </row>
    <row r="1422" spans="1:26" hidden="1" x14ac:dyDescent="0.25">
      <c r="A1422" t="s">
        <v>3309</v>
      </c>
      <c r="B1422" t="s">
        <v>38</v>
      </c>
      <c r="C1422" s="4">
        <v>44816</v>
      </c>
      <c r="D1422" s="4">
        <v>45957</v>
      </c>
      <c r="F1422" s="4">
        <v>46661</v>
      </c>
      <c r="G1422" t="s">
        <v>72</v>
      </c>
      <c r="H1422" t="s">
        <v>1298</v>
      </c>
      <c r="K1422" t="s">
        <v>41</v>
      </c>
      <c r="L1422" t="s">
        <v>3121</v>
      </c>
      <c r="M1422" t="s">
        <v>42</v>
      </c>
      <c r="N1422" t="s">
        <v>3122</v>
      </c>
      <c r="O1422" t="s">
        <v>32</v>
      </c>
      <c r="P1422" t="s">
        <v>3310</v>
      </c>
      <c r="Q1422">
        <v>300</v>
      </c>
      <c r="R1422">
        <v>300</v>
      </c>
      <c r="S1422" t="s">
        <v>159</v>
      </c>
      <c r="T1422" t="s">
        <v>159</v>
      </c>
      <c r="U1422" t="s">
        <v>44</v>
      </c>
      <c r="W1422">
        <v>0</v>
      </c>
      <c r="X1422">
        <v>0</v>
      </c>
      <c r="Y1422">
        <v>0</v>
      </c>
      <c r="Z1422">
        <v>0</v>
      </c>
    </row>
    <row r="1423" spans="1:26" hidden="1" x14ac:dyDescent="0.25">
      <c r="A1423" t="s">
        <v>3311</v>
      </c>
      <c r="B1423" t="s">
        <v>38</v>
      </c>
      <c r="C1423" s="4">
        <v>44816</v>
      </c>
      <c r="D1423" s="4">
        <v>45957</v>
      </c>
      <c r="F1423" s="4">
        <v>46661</v>
      </c>
      <c r="G1423" t="s">
        <v>72</v>
      </c>
      <c r="H1423" t="s">
        <v>1298</v>
      </c>
      <c r="K1423" t="s">
        <v>41</v>
      </c>
      <c r="L1423" t="s">
        <v>3121</v>
      </c>
      <c r="M1423" t="s">
        <v>42</v>
      </c>
      <c r="N1423" t="s">
        <v>3122</v>
      </c>
      <c r="O1423" t="s">
        <v>32</v>
      </c>
      <c r="P1423" t="s">
        <v>3310</v>
      </c>
      <c r="Q1423">
        <v>95</v>
      </c>
      <c r="R1423">
        <v>95</v>
      </c>
      <c r="S1423" t="s">
        <v>34</v>
      </c>
      <c r="T1423" t="s">
        <v>35</v>
      </c>
      <c r="U1423" t="s">
        <v>44</v>
      </c>
      <c r="W1423">
        <v>0</v>
      </c>
      <c r="X1423">
        <v>0</v>
      </c>
      <c r="Y1423">
        <v>0</v>
      </c>
      <c r="Z1423">
        <v>0</v>
      </c>
    </row>
    <row r="1424" spans="1:26" hidden="1" x14ac:dyDescent="0.25">
      <c r="A1424" t="s">
        <v>3312</v>
      </c>
      <c r="B1424" t="s">
        <v>38</v>
      </c>
      <c r="C1424" s="4">
        <v>44818</v>
      </c>
      <c r="D1424" s="4">
        <v>45957</v>
      </c>
      <c r="F1424" s="4">
        <v>45931</v>
      </c>
      <c r="G1424" t="s">
        <v>101</v>
      </c>
      <c r="H1424" t="s">
        <v>1547</v>
      </c>
      <c r="K1424" t="s">
        <v>98</v>
      </c>
      <c r="L1424" t="s">
        <v>3121</v>
      </c>
      <c r="M1424" t="s">
        <v>84</v>
      </c>
      <c r="N1424" t="s">
        <v>2160</v>
      </c>
      <c r="O1424" t="s">
        <v>32</v>
      </c>
      <c r="P1424" t="s">
        <v>1548</v>
      </c>
      <c r="Q1424">
        <v>200</v>
      </c>
      <c r="R1424">
        <v>200</v>
      </c>
      <c r="S1424" t="s">
        <v>159</v>
      </c>
      <c r="T1424" t="s">
        <v>159</v>
      </c>
      <c r="U1424" t="s">
        <v>44</v>
      </c>
      <c r="W1424">
        <v>0</v>
      </c>
      <c r="X1424">
        <v>0</v>
      </c>
      <c r="Y1424">
        <v>0</v>
      </c>
      <c r="Z1424">
        <v>0</v>
      </c>
    </row>
    <row r="1425" spans="1:26" hidden="1" x14ac:dyDescent="0.25">
      <c r="A1425" t="s">
        <v>3313</v>
      </c>
      <c r="B1425" t="s">
        <v>38</v>
      </c>
      <c r="C1425" s="4">
        <v>44816</v>
      </c>
      <c r="D1425" s="4">
        <v>45009</v>
      </c>
      <c r="F1425" s="4">
        <v>46661</v>
      </c>
      <c r="G1425" t="s">
        <v>132</v>
      </c>
      <c r="H1425" t="s">
        <v>1302</v>
      </c>
      <c r="K1425" t="s">
        <v>83</v>
      </c>
      <c r="L1425" t="s">
        <v>3121</v>
      </c>
      <c r="M1425" t="s">
        <v>84</v>
      </c>
      <c r="N1425" t="s">
        <v>2160</v>
      </c>
      <c r="O1425" t="s">
        <v>32</v>
      </c>
      <c r="P1425" t="s">
        <v>3314</v>
      </c>
      <c r="Q1425">
        <v>200</v>
      </c>
      <c r="R1425">
        <v>200</v>
      </c>
      <c r="S1425" t="s">
        <v>159</v>
      </c>
      <c r="T1425" t="s">
        <v>159</v>
      </c>
      <c r="U1425" t="s">
        <v>44</v>
      </c>
      <c r="W1425">
        <v>0</v>
      </c>
      <c r="X1425">
        <v>0</v>
      </c>
      <c r="Y1425">
        <v>0</v>
      </c>
      <c r="Z1425">
        <v>0</v>
      </c>
    </row>
    <row r="1426" spans="1:26" hidden="1" x14ac:dyDescent="0.25">
      <c r="A1426" t="s">
        <v>3315</v>
      </c>
      <c r="B1426" t="s">
        <v>2153</v>
      </c>
      <c r="C1426" s="4">
        <v>44817</v>
      </c>
      <c r="F1426" s="4">
        <v>46661</v>
      </c>
      <c r="H1426" t="s">
        <v>1645</v>
      </c>
      <c r="K1426" t="s">
        <v>28</v>
      </c>
      <c r="L1426" t="s">
        <v>3121</v>
      </c>
      <c r="M1426" t="s">
        <v>30</v>
      </c>
      <c r="N1426" t="s">
        <v>3122</v>
      </c>
      <c r="O1426" t="s">
        <v>32</v>
      </c>
      <c r="P1426" t="s">
        <v>3316</v>
      </c>
      <c r="Q1426">
        <v>300</v>
      </c>
      <c r="R1426">
        <v>300</v>
      </c>
      <c r="S1426" t="s">
        <v>159</v>
      </c>
      <c r="T1426" t="s">
        <v>159</v>
      </c>
      <c r="U1426" t="s">
        <v>44</v>
      </c>
      <c r="W1426">
        <v>300</v>
      </c>
      <c r="X1426">
        <v>300</v>
      </c>
      <c r="Y1426">
        <v>0</v>
      </c>
      <c r="Z1426">
        <v>0</v>
      </c>
    </row>
    <row r="1427" spans="1:26" hidden="1" x14ac:dyDescent="0.25">
      <c r="A1427" t="s">
        <v>3317</v>
      </c>
      <c r="B1427" t="s">
        <v>38</v>
      </c>
      <c r="C1427" s="4">
        <v>44817</v>
      </c>
      <c r="D1427" s="4">
        <v>45868</v>
      </c>
      <c r="F1427" s="4">
        <v>46296</v>
      </c>
      <c r="G1427" t="s">
        <v>616</v>
      </c>
      <c r="H1427" t="s">
        <v>1792</v>
      </c>
      <c r="K1427" t="s">
        <v>146</v>
      </c>
      <c r="L1427" t="s">
        <v>3121</v>
      </c>
      <c r="M1427" t="s">
        <v>68</v>
      </c>
      <c r="N1427" t="s">
        <v>3122</v>
      </c>
      <c r="O1427" t="s">
        <v>32</v>
      </c>
      <c r="P1427" t="s">
        <v>3318</v>
      </c>
      <c r="Q1427">
        <v>100</v>
      </c>
      <c r="R1427">
        <v>100</v>
      </c>
      <c r="S1427" t="s">
        <v>159</v>
      </c>
      <c r="T1427" t="s">
        <v>159</v>
      </c>
      <c r="U1427" t="s">
        <v>44</v>
      </c>
      <c r="W1427">
        <v>0</v>
      </c>
      <c r="X1427">
        <v>0</v>
      </c>
      <c r="Y1427">
        <v>0</v>
      </c>
      <c r="Z1427">
        <v>0</v>
      </c>
    </row>
    <row r="1428" spans="1:26" hidden="1" x14ac:dyDescent="0.25">
      <c r="A1428" t="s">
        <v>3319</v>
      </c>
      <c r="B1428" t="s">
        <v>38</v>
      </c>
      <c r="C1428" s="4">
        <v>44817</v>
      </c>
      <c r="D1428" s="4">
        <v>45957</v>
      </c>
      <c r="F1428" s="4">
        <v>46661</v>
      </c>
      <c r="G1428" t="s">
        <v>1251</v>
      </c>
      <c r="H1428" t="s">
        <v>2013</v>
      </c>
      <c r="K1428" t="s">
        <v>109</v>
      </c>
      <c r="L1428" t="s">
        <v>3121</v>
      </c>
      <c r="M1428" t="s">
        <v>84</v>
      </c>
      <c r="N1428" t="s">
        <v>2160</v>
      </c>
      <c r="O1428" t="s">
        <v>32</v>
      </c>
      <c r="P1428" t="s">
        <v>3320</v>
      </c>
      <c r="Q1428">
        <v>150</v>
      </c>
      <c r="R1428">
        <v>150</v>
      </c>
      <c r="S1428" t="s">
        <v>34</v>
      </c>
      <c r="T1428" t="s">
        <v>35</v>
      </c>
      <c r="U1428" t="s">
        <v>44</v>
      </c>
      <c r="W1428">
        <v>0</v>
      </c>
      <c r="X1428">
        <v>0</v>
      </c>
      <c r="Y1428">
        <v>0</v>
      </c>
      <c r="Z1428">
        <v>0</v>
      </c>
    </row>
    <row r="1429" spans="1:26" hidden="1" x14ac:dyDescent="0.25">
      <c r="A1429" t="s">
        <v>3321</v>
      </c>
      <c r="B1429" t="s">
        <v>38</v>
      </c>
      <c r="C1429" s="4">
        <v>44816</v>
      </c>
      <c r="D1429" s="4">
        <v>45957</v>
      </c>
      <c r="F1429" s="4">
        <v>46661</v>
      </c>
      <c r="G1429" t="s">
        <v>117</v>
      </c>
      <c r="H1429" t="s">
        <v>1258</v>
      </c>
      <c r="K1429" t="s">
        <v>83</v>
      </c>
      <c r="L1429" t="s">
        <v>3121</v>
      </c>
      <c r="M1429" t="s">
        <v>84</v>
      </c>
      <c r="N1429" t="s">
        <v>2160</v>
      </c>
      <c r="O1429" t="s">
        <v>32</v>
      </c>
      <c r="P1429" t="s">
        <v>3322</v>
      </c>
      <c r="Q1429">
        <v>200</v>
      </c>
      <c r="R1429">
        <v>200</v>
      </c>
      <c r="S1429" t="s">
        <v>159</v>
      </c>
      <c r="T1429" t="s">
        <v>159</v>
      </c>
      <c r="U1429" t="s">
        <v>44</v>
      </c>
      <c r="W1429">
        <v>0</v>
      </c>
      <c r="X1429">
        <v>0</v>
      </c>
      <c r="Y1429">
        <v>0</v>
      </c>
      <c r="Z1429">
        <v>0</v>
      </c>
    </row>
    <row r="1430" spans="1:26" hidden="1" x14ac:dyDescent="0.25">
      <c r="A1430" t="s">
        <v>3323</v>
      </c>
      <c r="B1430" t="s">
        <v>38</v>
      </c>
      <c r="C1430" s="4">
        <v>44816</v>
      </c>
      <c r="D1430" s="4">
        <v>45957</v>
      </c>
      <c r="F1430" s="4">
        <v>46661</v>
      </c>
      <c r="G1430" t="s">
        <v>117</v>
      </c>
      <c r="H1430" t="s">
        <v>1258</v>
      </c>
      <c r="K1430" t="s">
        <v>83</v>
      </c>
      <c r="L1430" t="s">
        <v>3121</v>
      </c>
      <c r="M1430" t="s">
        <v>84</v>
      </c>
      <c r="N1430" t="s">
        <v>2160</v>
      </c>
      <c r="O1430" t="s">
        <v>32</v>
      </c>
      <c r="P1430" t="s">
        <v>3322</v>
      </c>
      <c r="Q1430">
        <v>200</v>
      </c>
      <c r="R1430">
        <v>200</v>
      </c>
      <c r="S1430" t="s">
        <v>34</v>
      </c>
      <c r="T1430" t="s">
        <v>35</v>
      </c>
      <c r="U1430" t="s">
        <v>44</v>
      </c>
      <c r="W1430">
        <v>0</v>
      </c>
      <c r="X1430">
        <v>0</v>
      </c>
      <c r="Y1430">
        <v>0</v>
      </c>
      <c r="Z1430">
        <v>0</v>
      </c>
    </row>
    <row r="1431" spans="1:26" hidden="1" x14ac:dyDescent="0.25">
      <c r="A1431" t="s">
        <v>3324</v>
      </c>
      <c r="B1431" t="s">
        <v>38</v>
      </c>
      <c r="C1431" s="4">
        <v>44816</v>
      </c>
      <c r="D1431" s="4">
        <v>45009</v>
      </c>
      <c r="F1431" s="4">
        <v>46296</v>
      </c>
      <c r="G1431" t="s">
        <v>1311</v>
      </c>
      <c r="H1431" t="s">
        <v>2389</v>
      </c>
      <c r="K1431" t="s">
        <v>114</v>
      </c>
      <c r="L1431" t="s">
        <v>3121</v>
      </c>
      <c r="M1431" t="s">
        <v>68</v>
      </c>
      <c r="N1431" t="s">
        <v>3122</v>
      </c>
      <c r="O1431" t="s">
        <v>32</v>
      </c>
      <c r="P1431" t="s">
        <v>3325</v>
      </c>
      <c r="Q1431">
        <v>100</v>
      </c>
      <c r="R1431">
        <v>100</v>
      </c>
      <c r="S1431" t="s">
        <v>34</v>
      </c>
      <c r="T1431" t="s">
        <v>35</v>
      </c>
      <c r="U1431" t="s">
        <v>44</v>
      </c>
      <c r="W1431">
        <v>0</v>
      </c>
      <c r="X1431">
        <v>0</v>
      </c>
      <c r="Y1431">
        <v>0</v>
      </c>
      <c r="Z1431">
        <v>0</v>
      </c>
    </row>
    <row r="1432" spans="1:26" hidden="1" x14ac:dyDescent="0.25">
      <c r="A1432" t="s">
        <v>3326</v>
      </c>
      <c r="B1432" t="s">
        <v>2153</v>
      </c>
      <c r="C1432" s="4">
        <v>44816</v>
      </c>
      <c r="F1432" s="4">
        <v>46661</v>
      </c>
      <c r="G1432" t="s">
        <v>1278</v>
      </c>
      <c r="H1432" t="s">
        <v>2010</v>
      </c>
      <c r="K1432" t="s">
        <v>28</v>
      </c>
      <c r="L1432" t="s">
        <v>3121</v>
      </c>
      <c r="M1432" t="s">
        <v>30</v>
      </c>
      <c r="N1432" t="s">
        <v>3122</v>
      </c>
      <c r="O1432" t="s">
        <v>32</v>
      </c>
      <c r="P1432" t="s">
        <v>3327</v>
      </c>
      <c r="Q1432">
        <v>50</v>
      </c>
      <c r="R1432">
        <v>50</v>
      </c>
      <c r="S1432" t="s">
        <v>34</v>
      </c>
      <c r="T1432" t="s">
        <v>35</v>
      </c>
      <c r="U1432" t="s">
        <v>44</v>
      </c>
      <c r="W1432">
        <v>50</v>
      </c>
      <c r="X1432">
        <v>50</v>
      </c>
      <c r="Y1432">
        <v>0</v>
      </c>
      <c r="Z1432">
        <v>0</v>
      </c>
    </row>
    <row r="1433" spans="1:26" hidden="1" x14ac:dyDescent="0.25">
      <c r="A1433" t="s">
        <v>3328</v>
      </c>
      <c r="B1433" t="s">
        <v>38</v>
      </c>
      <c r="C1433" s="4">
        <v>44817</v>
      </c>
      <c r="D1433" s="4">
        <v>45009</v>
      </c>
      <c r="F1433" s="4">
        <v>46296</v>
      </c>
      <c r="G1433" t="s">
        <v>144</v>
      </c>
      <c r="H1433" t="s">
        <v>2382</v>
      </c>
      <c r="K1433" t="s">
        <v>146</v>
      </c>
      <c r="L1433" t="s">
        <v>3121</v>
      </c>
      <c r="M1433" t="s">
        <v>68</v>
      </c>
      <c r="N1433" t="s">
        <v>3122</v>
      </c>
      <c r="O1433" t="s">
        <v>32</v>
      </c>
      <c r="P1433" t="s">
        <v>2383</v>
      </c>
      <c r="Q1433">
        <v>80</v>
      </c>
      <c r="R1433">
        <v>80</v>
      </c>
      <c r="S1433" t="s">
        <v>34</v>
      </c>
      <c r="T1433" t="s">
        <v>35</v>
      </c>
      <c r="U1433" t="s">
        <v>44</v>
      </c>
      <c r="W1433">
        <v>0</v>
      </c>
      <c r="X1433">
        <v>0</v>
      </c>
      <c r="Y1433">
        <v>0</v>
      </c>
      <c r="Z1433">
        <v>0</v>
      </c>
    </row>
    <row r="1434" spans="1:26" hidden="1" x14ac:dyDescent="0.25">
      <c r="A1434" t="s">
        <v>3329</v>
      </c>
      <c r="B1434" t="s">
        <v>38</v>
      </c>
      <c r="C1434" s="4">
        <v>44817</v>
      </c>
      <c r="D1434" s="4">
        <v>45868</v>
      </c>
      <c r="F1434" s="4">
        <v>46296</v>
      </c>
      <c r="G1434" t="s">
        <v>65</v>
      </c>
      <c r="H1434" t="s">
        <v>3330</v>
      </c>
      <c r="K1434" t="s">
        <v>67</v>
      </c>
      <c r="L1434" t="s">
        <v>3121</v>
      </c>
      <c r="M1434" t="s">
        <v>68</v>
      </c>
      <c r="N1434" t="s">
        <v>3122</v>
      </c>
      <c r="O1434" t="s">
        <v>32</v>
      </c>
      <c r="P1434" t="s">
        <v>3331</v>
      </c>
      <c r="Q1434">
        <v>150</v>
      </c>
      <c r="R1434">
        <v>150</v>
      </c>
      <c r="S1434" t="s">
        <v>159</v>
      </c>
      <c r="T1434" t="s">
        <v>159</v>
      </c>
      <c r="U1434" t="s">
        <v>44</v>
      </c>
      <c r="W1434">
        <v>0</v>
      </c>
      <c r="X1434">
        <v>0</v>
      </c>
      <c r="Y1434">
        <v>0</v>
      </c>
      <c r="Z1434">
        <v>0</v>
      </c>
    </row>
    <row r="1435" spans="1:26" hidden="1" x14ac:dyDescent="0.25">
      <c r="A1435" t="s">
        <v>3332</v>
      </c>
      <c r="B1435" t="s">
        <v>38</v>
      </c>
      <c r="C1435" s="4">
        <v>44816</v>
      </c>
      <c r="D1435" s="4">
        <v>45868</v>
      </c>
      <c r="F1435" s="4">
        <v>46296</v>
      </c>
      <c r="G1435" t="s">
        <v>1311</v>
      </c>
      <c r="H1435" t="s">
        <v>2496</v>
      </c>
      <c r="K1435" t="s">
        <v>114</v>
      </c>
      <c r="L1435" t="s">
        <v>3121</v>
      </c>
      <c r="M1435" t="s">
        <v>68</v>
      </c>
      <c r="N1435" t="s">
        <v>3122</v>
      </c>
      <c r="O1435" t="s">
        <v>32</v>
      </c>
      <c r="P1435" t="s">
        <v>3333</v>
      </c>
      <c r="Q1435">
        <v>150</v>
      </c>
      <c r="R1435">
        <v>150</v>
      </c>
      <c r="S1435" t="s">
        <v>34</v>
      </c>
      <c r="T1435" t="s">
        <v>35</v>
      </c>
      <c r="U1435" t="s">
        <v>44</v>
      </c>
      <c r="W1435">
        <v>0</v>
      </c>
      <c r="X1435">
        <v>0</v>
      </c>
      <c r="Y1435">
        <v>0</v>
      </c>
      <c r="Z1435">
        <v>0</v>
      </c>
    </row>
    <row r="1436" spans="1:26" hidden="1" x14ac:dyDescent="0.25">
      <c r="A1436" t="s">
        <v>3334</v>
      </c>
      <c r="B1436" t="s">
        <v>38</v>
      </c>
      <c r="C1436" s="4">
        <v>44818</v>
      </c>
      <c r="D1436" s="4">
        <v>45009</v>
      </c>
      <c r="F1436" s="4">
        <v>46661</v>
      </c>
      <c r="G1436" t="s">
        <v>173</v>
      </c>
      <c r="H1436" t="s">
        <v>1559</v>
      </c>
      <c r="K1436" t="s">
        <v>41</v>
      </c>
      <c r="L1436" t="s">
        <v>3121</v>
      </c>
      <c r="M1436" t="s">
        <v>42</v>
      </c>
      <c r="N1436" t="s">
        <v>3122</v>
      </c>
      <c r="O1436" t="s">
        <v>32</v>
      </c>
      <c r="P1436" t="s">
        <v>3335</v>
      </c>
      <c r="Q1436">
        <v>150</v>
      </c>
      <c r="R1436">
        <v>150</v>
      </c>
      <c r="S1436" t="s">
        <v>34</v>
      </c>
      <c r="T1436" t="s">
        <v>35</v>
      </c>
      <c r="U1436" t="s">
        <v>44</v>
      </c>
      <c r="W1436">
        <v>0</v>
      </c>
      <c r="X1436">
        <v>0</v>
      </c>
      <c r="Y1436">
        <v>0</v>
      </c>
      <c r="Z1436">
        <v>0</v>
      </c>
    </row>
    <row r="1437" spans="1:26" hidden="1" x14ac:dyDescent="0.25">
      <c r="A1437" t="s">
        <v>3336</v>
      </c>
      <c r="B1437" t="s">
        <v>38</v>
      </c>
      <c r="C1437" s="4">
        <v>44817</v>
      </c>
      <c r="D1437" s="4">
        <v>45957</v>
      </c>
      <c r="F1437" s="4">
        <v>47027</v>
      </c>
      <c r="G1437" t="s">
        <v>117</v>
      </c>
      <c r="H1437" t="s">
        <v>1611</v>
      </c>
      <c r="K1437" t="s">
        <v>83</v>
      </c>
      <c r="L1437" t="s">
        <v>3121</v>
      </c>
      <c r="M1437" t="s">
        <v>84</v>
      </c>
      <c r="N1437" t="s">
        <v>2160</v>
      </c>
      <c r="O1437" t="s">
        <v>32</v>
      </c>
      <c r="P1437" t="s">
        <v>3301</v>
      </c>
      <c r="Q1437">
        <v>150</v>
      </c>
      <c r="R1437">
        <v>150</v>
      </c>
      <c r="S1437" t="s">
        <v>56</v>
      </c>
      <c r="T1437" t="s">
        <v>57</v>
      </c>
      <c r="U1437" t="s">
        <v>44</v>
      </c>
      <c r="W1437">
        <v>0</v>
      </c>
      <c r="X1437">
        <v>0</v>
      </c>
      <c r="Y1437">
        <v>0</v>
      </c>
      <c r="Z1437">
        <v>0</v>
      </c>
    </row>
    <row r="1438" spans="1:26" hidden="1" x14ac:dyDescent="0.25">
      <c r="A1438" t="s">
        <v>3337</v>
      </c>
      <c r="B1438" t="s">
        <v>38</v>
      </c>
      <c r="C1438" s="4">
        <v>44817</v>
      </c>
      <c r="D1438" s="4">
        <v>45957</v>
      </c>
      <c r="F1438" s="4">
        <v>47757</v>
      </c>
      <c r="G1438" t="s">
        <v>1381</v>
      </c>
      <c r="H1438" t="s">
        <v>1618</v>
      </c>
      <c r="K1438" t="s">
        <v>209</v>
      </c>
      <c r="L1438" t="s">
        <v>3121</v>
      </c>
      <c r="M1438" t="s">
        <v>42</v>
      </c>
      <c r="N1438" t="s">
        <v>3122</v>
      </c>
      <c r="O1438" t="s">
        <v>32</v>
      </c>
      <c r="P1438" t="s">
        <v>3338</v>
      </c>
      <c r="Q1438">
        <v>150</v>
      </c>
      <c r="R1438">
        <v>150</v>
      </c>
      <c r="S1438" t="s">
        <v>56</v>
      </c>
      <c r="T1438" t="s">
        <v>57</v>
      </c>
      <c r="U1438" t="s">
        <v>44</v>
      </c>
      <c r="W1438">
        <v>0</v>
      </c>
      <c r="X1438">
        <v>0</v>
      </c>
      <c r="Y1438">
        <v>0</v>
      </c>
      <c r="Z1438">
        <v>0</v>
      </c>
    </row>
    <row r="1439" spans="1:26" hidden="1" x14ac:dyDescent="0.25">
      <c r="A1439" t="s">
        <v>3339</v>
      </c>
      <c r="B1439" t="s">
        <v>2153</v>
      </c>
      <c r="C1439" s="4">
        <v>44816</v>
      </c>
      <c r="F1439" s="4">
        <v>47757</v>
      </c>
      <c r="G1439" t="s">
        <v>1368</v>
      </c>
      <c r="H1439" t="s">
        <v>1618</v>
      </c>
      <c r="K1439" t="s">
        <v>209</v>
      </c>
      <c r="L1439" t="s">
        <v>3121</v>
      </c>
      <c r="M1439" t="s">
        <v>42</v>
      </c>
      <c r="N1439" t="s">
        <v>3122</v>
      </c>
      <c r="O1439" t="s">
        <v>32</v>
      </c>
      <c r="P1439" t="s">
        <v>3127</v>
      </c>
      <c r="Q1439">
        <v>300</v>
      </c>
      <c r="R1439">
        <v>300</v>
      </c>
      <c r="S1439" t="s">
        <v>56</v>
      </c>
      <c r="T1439" t="s">
        <v>57</v>
      </c>
      <c r="U1439" t="s">
        <v>44</v>
      </c>
      <c r="W1439">
        <v>300</v>
      </c>
      <c r="X1439">
        <v>300</v>
      </c>
      <c r="Y1439">
        <v>0</v>
      </c>
      <c r="Z1439">
        <v>0</v>
      </c>
    </row>
    <row r="1440" spans="1:26" hidden="1" x14ac:dyDescent="0.25">
      <c r="A1440" t="s">
        <v>3340</v>
      </c>
      <c r="B1440" t="s">
        <v>2153</v>
      </c>
      <c r="C1440" s="4">
        <v>44819</v>
      </c>
      <c r="F1440" s="4">
        <v>46631</v>
      </c>
      <c r="G1440" t="s">
        <v>1326</v>
      </c>
      <c r="H1440" t="s">
        <v>1849</v>
      </c>
      <c r="K1440" t="s">
        <v>67</v>
      </c>
      <c r="L1440" t="s">
        <v>3121</v>
      </c>
      <c r="M1440" t="s">
        <v>68</v>
      </c>
      <c r="N1440" t="s">
        <v>3122</v>
      </c>
      <c r="O1440" t="s">
        <v>122</v>
      </c>
      <c r="P1440" t="s">
        <v>3341</v>
      </c>
      <c r="Q1440">
        <v>175</v>
      </c>
      <c r="R1440">
        <v>175</v>
      </c>
      <c r="S1440" t="s">
        <v>56</v>
      </c>
      <c r="T1440" t="s">
        <v>57</v>
      </c>
      <c r="U1440" t="s">
        <v>44</v>
      </c>
      <c r="W1440">
        <v>175</v>
      </c>
      <c r="X1440">
        <v>0</v>
      </c>
      <c r="Y1440">
        <v>0</v>
      </c>
      <c r="Z1440">
        <v>0</v>
      </c>
    </row>
    <row r="1441" spans="1:26" hidden="1" x14ac:dyDescent="0.25">
      <c r="A1441" t="s">
        <v>3342</v>
      </c>
      <c r="B1441" t="s">
        <v>38</v>
      </c>
      <c r="C1441" s="4">
        <v>44817</v>
      </c>
      <c r="D1441" s="4">
        <v>45009</v>
      </c>
      <c r="F1441" s="4">
        <v>46661</v>
      </c>
      <c r="G1441" t="s">
        <v>1251</v>
      </c>
      <c r="H1441" t="s">
        <v>2013</v>
      </c>
      <c r="K1441" t="s">
        <v>109</v>
      </c>
      <c r="L1441" t="s">
        <v>3121</v>
      </c>
      <c r="M1441" t="s">
        <v>84</v>
      </c>
      <c r="N1441" t="s">
        <v>2160</v>
      </c>
      <c r="O1441" t="s">
        <v>32</v>
      </c>
      <c r="P1441" t="s">
        <v>3343</v>
      </c>
      <c r="Q1441">
        <v>150</v>
      </c>
      <c r="R1441">
        <v>150</v>
      </c>
      <c r="S1441" t="s">
        <v>159</v>
      </c>
      <c r="T1441" t="s">
        <v>159</v>
      </c>
      <c r="U1441" t="s">
        <v>44</v>
      </c>
      <c r="W1441">
        <v>0</v>
      </c>
      <c r="X1441">
        <v>0</v>
      </c>
      <c r="Y1441">
        <v>0</v>
      </c>
      <c r="Z1441">
        <v>0</v>
      </c>
    </row>
    <row r="1442" spans="1:26" hidden="1" x14ac:dyDescent="0.25">
      <c r="A1442" t="s">
        <v>3344</v>
      </c>
      <c r="B1442" t="s">
        <v>38</v>
      </c>
      <c r="C1442" s="4">
        <v>44816</v>
      </c>
      <c r="D1442" s="4">
        <v>45868</v>
      </c>
      <c r="F1442" s="4">
        <v>47027</v>
      </c>
      <c r="G1442" t="s">
        <v>1278</v>
      </c>
      <c r="H1442" t="s">
        <v>1308</v>
      </c>
      <c r="K1442" t="s">
        <v>28</v>
      </c>
      <c r="L1442" t="s">
        <v>3121</v>
      </c>
      <c r="M1442" t="s">
        <v>30</v>
      </c>
      <c r="N1442" t="s">
        <v>3122</v>
      </c>
      <c r="O1442" t="s">
        <v>32</v>
      </c>
      <c r="P1442" t="s">
        <v>3172</v>
      </c>
      <c r="Q1442">
        <v>50</v>
      </c>
      <c r="R1442">
        <v>50</v>
      </c>
      <c r="S1442" t="s">
        <v>159</v>
      </c>
      <c r="T1442" t="s">
        <v>159</v>
      </c>
      <c r="U1442" t="s">
        <v>44</v>
      </c>
      <c r="W1442">
        <v>0</v>
      </c>
      <c r="X1442">
        <v>0</v>
      </c>
      <c r="Y1442">
        <v>0</v>
      </c>
      <c r="Z1442">
        <v>0</v>
      </c>
    </row>
    <row r="1443" spans="1:26" hidden="1" x14ac:dyDescent="0.25">
      <c r="A1443" t="s">
        <v>3345</v>
      </c>
      <c r="B1443" t="s">
        <v>2153</v>
      </c>
      <c r="C1443" s="4">
        <v>44819</v>
      </c>
      <c r="F1443" s="4">
        <v>46599</v>
      </c>
      <c r="G1443" t="s">
        <v>1690</v>
      </c>
      <c r="H1443" t="s">
        <v>2569</v>
      </c>
      <c r="K1443" t="s">
        <v>98</v>
      </c>
      <c r="L1443" t="s">
        <v>3121</v>
      </c>
      <c r="M1443" t="s">
        <v>84</v>
      </c>
      <c r="N1443" t="s">
        <v>2160</v>
      </c>
      <c r="O1443" t="s">
        <v>122</v>
      </c>
      <c r="P1443" t="s">
        <v>2570</v>
      </c>
      <c r="Q1443">
        <v>100</v>
      </c>
      <c r="R1443">
        <v>100</v>
      </c>
      <c r="S1443" t="s">
        <v>56</v>
      </c>
      <c r="T1443" t="s">
        <v>57</v>
      </c>
      <c r="U1443" t="s">
        <v>44</v>
      </c>
      <c r="W1443">
        <v>100</v>
      </c>
      <c r="X1443">
        <v>0</v>
      </c>
      <c r="Y1443">
        <v>0</v>
      </c>
      <c r="Z1443">
        <v>0</v>
      </c>
    </row>
    <row r="1444" spans="1:26" hidden="1" x14ac:dyDescent="0.25">
      <c r="A1444" t="s">
        <v>3346</v>
      </c>
      <c r="B1444" t="s">
        <v>38</v>
      </c>
      <c r="C1444" s="4">
        <v>44819</v>
      </c>
      <c r="D1444" s="4">
        <v>45868</v>
      </c>
      <c r="F1444" s="4">
        <v>46326</v>
      </c>
      <c r="G1444" t="s">
        <v>616</v>
      </c>
      <c r="H1444" t="s">
        <v>1656</v>
      </c>
      <c r="K1444" t="s">
        <v>146</v>
      </c>
      <c r="L1444" t="s">
        <v>3121</v>
      </c>
      <c r="M1444" t="s">
        <v>68</v>
      </c>
      <c r="N1444" t="s">
        <v>3122</v>
      </c>
      <c r="O1444" t="s">
        <v>32</v>
      </c>
      <c r="P1444" t="s">
        <v>3347</v>
      </c>
      <c r="Q1444">
        <v>250</v>
      </c>
      <c r="R1444">
        <v>250</v>
      </c>
      <c r="S1444" t="s">
        <v>34</v>
      </c>
      <c r="T1444" t="s">
        <v>35</v>
      </c>
      <c r="U1444" t="s">
        <v>44</v>
      </c>
      <c r="W1444">
        <v>0</v>
      </c>
      <c r="X1444">
        <v>0</v>
      </c>
      <c r="Y1444">
        <v>0</v>
      </c>
      <c r="Z1444">
        <v>0</v>
      </c>
    </row>
    <row r="1445" spans="1:26" hidden="1" x14ac:dyDescent="0.25">
      <c r="A1445" t="s">
        <v>3348</v>
      </c>
      <c r="B1445" t="s">
        <v>38</v>
      </c>
      <c r="C1445" s="4">
        <v>44819</v>
      </c>
      <c r="D1445" s="4">
        <v>45957</v>
      </c>
      <c r="F1445" s="4">
        <v>45961</v>
      </c>
      <c r="G1445" t="s">
        <v>101</v>
      </c>
      <c r="H1445" t="s">
        <v>2984</v>
      </c>
      <c r="K1445" t="s">
        <v>98</v>
      </c>
      <c r="L1445" t="s">
        <v>3121</v>
      </c>
      <c r="M1445" t="s">
        <v>84</v>
      </c>
      <c r="N1445" t="s">
        <v>2160</v>
      </c>
      <c r="O1445" t="s">
        <v>32</v>
      </c>
      <c r="P1445" t="s">
        <v>3349</v>
      </c>
      <c r="Q1445">
        <v>84</v>
      </c>
      <c r="R1445">
        <v>84</v>
      </c>
      <c r="S1445" t="s">
        <v>34</v>
      </c>
      <c r="T1445" t="s">
        <v>35</v>
      </c>
      <c r="U1445" t="s">
        <v>44</v>
      </c>
      <c r="W1445">
        <v>0</v>
      </c>
      <c r="X1445">
        <v>0</v>
      </c>
      <c r="Y1445">
        <v>0</v>
      </c>
      <c r="Z1445">
        <v>0</v>
      </c>
    </row>
    <row r="1446" spans="1:26" hidden="1" x14ac:dyDescent="0.25">
      <c r="A1446" t="s">
        <v>3350</v>
      </c>
      <c r="B1446" t="s">
        <v>38</v>
      </c>
      <c r="C1446" s="4">
        <v>44818</v>
      </c>
      <c r="D1446" s="4">
        <v>45957</v>
      </c>
      <c r="F1446" s="4">
        <v>45961</v>
      </c>
      <c r="G1446" t="s">
        <v>254</v>
      </c>
      <c r="H1446" t="s">
        <v>3351</v>
      </c>
      <c r="K1446" t="s">
        <v>98</v>
      </c>
      <c r="L1446" t="s">
        <v>3121</v>
      </c>
      <c r="M1446" t="s">
        <v>84</v>
      </c>
      <c r="N1446" t="s">
        <v>2160</v>
      </c>
      <c r="O1446" t="s">
        <v>32</v>
      </c>
      <c r="P1446" t="s">
        <v>3352</v>
      </c>
      <c r="Q1446">
        <v>500</v>
      </c>
      <c r="R1446">
        <v>500</v>
      </c>
      <c r="S1446" t="s">
        <v>159</v>
      </c>
      <c r="T1446" t="s">
        <v>159</v>
      </c>
      <c r="U1446" t="s">
        <v>44</v>
      </c>
      <c r="W1446">
        <v>0</v>
      </c>
      <c r="X1446">
        <v>0</v>
      </c>
      <c r="Y1446">
        <v>0</v>
      </c>
      <c r="Z1446">
        <v>0</v>
      </c>
    </row>
    <row r="1447" spans="1:26" hidden="1" x14ac:dyDescent="0.25">
      <c r="A1447" t="s">
        <v>3353</v>
      </c>
      <c r="B1447" t="s">
        <v>2153</v>
      </c>
      <c r="C1447" s="4">
        <v>44818</v>
      </c>
      <c r="F1447" s="4">
        <v>46235</v>
      </c>
      <c r="G1447" t="s">
        <v>52</v>
      </c>
      <c r="H1447" t="s">
        <v>2165</v>
      </c>
      <c r="K1447" t="s">
        <v>53</v>
      </c>
      <c r="L1447" t="s">
        <v>3121</v>
      </c>
      <c r="M1447" t="s">
        <v>54</v>
      </c>
      <c r="N1447" t="s">
        <v>3122</v>
      </c>
      <c r="O1447" t="s">
        <v>32</v>
      </c>
      <c r="P1447" t="s">
        <v>3354</v>
      </c>
      <c r="Q1447">
        <v>220</v>
      </c>
      <c r="R1447">
        <v>220</v>
      </c>
      <c r="S1447" t="s">
        <v>34</v>
      </c>
      <c r="T1447" t="s">
        <v>35</v>
      </c>
      <c r="U1447" t="s">
        <v>44</v>
      </c>
      <c r="W1447">
        <v>220</v>
      </c>
      <c r="X1447">
        <v>220</v>
      </c>
      <c r="Y1447">
        <v>0</v>
      </c>
      <c r="Z1447">
        <v>0</v>
      </c>
    </row>
    <row r="1448" spans="1:26" hidden="1" x14ac:dyDescent="0.25">
      <c r="A1448" t="s">
        <v>3355</v>
      </c>
      <c r="B1448" t="s">
        <v>38</v>
      </c>
      <c r="C1448" s="4">
        <v>44819</v>
      </c>
      <c r="D1448" s="4">
        <v>45009</v>
      </c>
      <c r="F1448" s="4">
        <v>45901</v>
      </c>
      <c r="G1448" t="s">
        <v>72</v>
      </c>
      <c r="H1448" t="s">
        <v>1676</v>
      </c>
      <c r="K1448" t="s">
        <v>209</v>
      </c>
      <c r="L1448" t="s">
        <v>3121</v>
      </c>
      <c r="M1448" t="s">
        <v>42</v>
      </c>
      <c r="N1448" t="s">
        <v>3122</v>
      </c>
      <c r="O1448" t="s">
        <v>32</v>
      </c>
      <c r="P1448" t="s">
        <v>3356</v>
      </c>
      <c r="Q1448">
        <v>50</v>
      </c>
      <c r="R1448">
        <v>50</v>
      </c>
      <c r="S1448" t="s">
        <v>34</v>
      </c>
      <c r="T1448" t="s">
        <v>35</v>
      </c>
      <c r="U1448" t="s">
        <v>44</v>
      </c>
      <c r="W1448">
        <v>0</v>
      </c>
      <c r="X1448">
        <v>0</v>
      </c>
      <c r="Y1448">
        <v>0</v>
      </c>
      <c r="Z1448">
        <v>0</v>
      </c>
    </row>
    <row r="1449" spans="1:26" hidden="1" x14ac:dyDescent="0.25">
      <c r="A1449" t="s">
        <v>3357</v>
      </c>
      <c r="B1449" t="s">
        <v>2153</v>
      </c>
      <c r="C1449" s="4">
        <v>44816</v>
      </c>
      <c r="F1449" s="4">
        <v>46631</v>
      </c>
      <c r="G1449" t="s">
        <v>39</v>
      </c>
      <c r="H1449" t="s">
        <v>1365</v>
      </c>
      <c r="K1449" t="s">
        <v>28</v>
      </c>
      <c r="L1449" t="s">
        <v>3121</v>
      </c>
      <c r="M1449" t="s">
        <v>42</v>
      </c>
      <c r="N1449" t="s">
        <v>3122</v>
      </c>
      <c r="O1449" t="s">
        <v>32</v>
      </c>
      <c r="P1449" t="s">
        <v>3358</v>
      </c>
      <c r="Q1449">
        <v>300</v>
      </c>
      <c r="R1449">
        <v>300</v>
      </c>
      <c r="S1449" t="s">
        <v>34</v>
      </c>
      <c r="T1449" t="s">
        <v>35</v>
      </c>
      <c r="U1449" t="s">
        <v>44</v>
      </c>
      <c r="W1449">
        <v>300</v>
      </c>
      <c r="X1449">
        <v>300</v>
      </c>
      <c r="Y1449">
        <v>0</v>
      </c>
      <c r="Z1449">
        <v>0</v>
      </c>
    </row>
    <row r="1450" spans="1:26" hidden="1" x14ac:dyDescent="0.25">
      <c r="A1450" t="s">
        <v>3359</v>
      </c>
      <c r="B1450" t="s">
        <v>2153</v>
      </c>
      <c r="C1450" s="4">
        <v>45952</v>
      </c>
      <c r="F1450" s="4">
        <v>46631</v>
      </c>
      <c r="G1450" t="s">
        <v>39</v>
      </c>
      <c r="H1450" t="s">
        <v>1282</v>
      </c>
      <c r="K1450" t="s">
        <v>41</v>
      </c>
      <c r="L1450" t="s">
        <v>3121</v>
      </c>
      <c r="M1450" t="s">
        <v>42</v>
      </c>
      <c r="N1450" t="s">
        <v>3122</v>
      </c>
      <c r="O1450" t="s">
        <v>32</v>
      </c>
      <c r="P1450" t="s">
        <v>2579</v>
      </c>
      <c r="Q1450">
        <v>200</v>
      </c>
      <c r="R1450">
        <v>200</v>
      </c>
      <c r="S1450" t="s">
        <v>56</v>
      </c>
      <c r="T1450" t="s">
        <v>57</v>
      </c>
      <c r="U1450" t="s">
        <v>44</v>
      </c>
      <c r="W1450">
        <v>200</v>
      </c>
      <c r="X1450">
        <v>200</v>
      </c>
      <c r="Y1450">
        <v>0</v>
      </c>
      <c r="Z1450">
        <v>0</v>
      </c>
    </row>
    <row r="1451" spans="1:26" hidden="1" x14ac:dyDescent="0.25">
      <c r="A1451" t="s">
        <v>3360</v>
      </c>
      <c r="B1451" t="s">
        <v>38</v>
      </c>
      <c r="C1451" s="4">
        <v>44819</v>
      </c>
      <c r="D1451" s="4">
        <v>45868</v>
      </c>
      <c r="F1451" s="4">
        <v>46326</v>
      </c>
      <c r="G1451" t="s">
        <v>144</v>
      </c>
      <c r="H1451" t="s">
        <v>1618</v>
      </c>
      <c r="K1451" t="s">
        <v>146</v>
      </c>
      <c r="L1451" t="s">
        <v>3121</v>
      </c>
      <c r="M1451" t="s">
        <v>68</v>
      </c>
      <c r="N1451" t="s">
        <v>3122</v>
      </c>
      <c r="O1451" t="s">
        <v>32</v>
      </c>
      <c r="P1451" t="s">
        <v>3361</v>
      </c>
      <c r="Q1451">
        <v>100</v>
      </c>
      <c r="R1451">
        <v>100</v>
      </c>
      <c r="S1451" t="s">
        <v>34</v>
      </c>
      <c r="T1451" t="s">
        <v>35</v>
      </c>
      <c r="U1451" t="s">
        <v>44</v>
      </c>
      <c r="W1451">
        <v>0</v>
      </c>
      <c r="X1451">
        <v>0</v>
      </c>
      <c r="Y1451">
        <v>0</v>
      </c>
      <c r="Z1451">
        <v>0</v>
      </c>
    </row>
    <row r="1452" spans="1:26" hidden="1" x14ac:dyDescent="0.25">
      <c r="A1452" t="s">
        <v>3362</v>
      </c>
      <c r="B1452" t="s">
        <v>38</v>
      </c>
      <c r="C1452" s="4">
        <v>44819</v>
      </c>
      <c r="D1452" s="4">
        <v>45869</v>
      </c>
      <c r="F1452" s="4">
        <v>46326</v>
      </c>
      <c r="G1452" t="s">
        <v>65</v>
      </c>
      <c r="H1452" t="s">
        <v>3363</v>
      </c>
      <c r="K1452" t="s">
        <v>67</v>
      </c>
      <c r="L1452" t="s">
        <v>3121</v>
      </c>
      <c r="M1452" t="s">
        <v>68</v>
      </c>
      <c r="N1452" t="s">
        <v>3122</v>
      </c>
      <c r="O1452" t="s">
        <v>32</v>
      </c>
      <c r="P1452" t="s">
        <v>3364</v>
      </c>
      <c r="Q1452">
        <v>200</v>
      </c>
      <c r="R1452">
        <v>200</v>
      </c>
      <c r="S1452" t="s">
        <v>159</v>
      </c>
      <c r="T1452" t="s">
        <v>159</v>
      </c>
      <c r="U1452" t="s">
        <v>44</v>
      </c>
      <c r="W1452">
        <v>0</v>
      </c>
      <c r="X1452">
        <v>0</v>
      </c>
      <c r="Y1452">
        <v>0</v>
      </c>
      <c r="Z1452">
        <v>0</v>
      </c>
    </row>
    <row r="1453" spans="1:26" hidden="1" x14ac:dyDescent="0.25">
      <c r="A1453" t="s">
        <v>3365</v>
      </c>
      <c r="B1453" t="s">
        <v>2153</v>
      </c>
      <c r="C1453" s="4">
        <v>44819</v>
      </c>
      <c r="F1453" s="4">
        <v>46326</v>
      </c>
      <c r="G1453" t="s">
        <v>691</v>
      </c>
      <c r="H1453" t="s">
        <v>2591</v>
      </c>
      <c r="K1453" t="s">
        <v>98</v>
      </c>
      <c r="L1453" t="s">
        <v>3121</v>
      </c>
      <c r="M1453" t="s">
        <v>84</v>
      </c>
      <c r="N1453" t="s">
        <v>2160</v>
      </c>
      <c r="O1453" t="s">
        <v>32</v>
      </c>
      <c r="P1453" t="s">
        <v>3366</v>
      </c>
      <c r="Q1453">
        <v>100</v>
      </c>
      <c r="R1453">
        <v>100</v>
      </c>
      <c r="S1453" t="s">
        <v>159</v>
      </c>
      <c r="T1453" t="s">
        <v>159</v>
      </c>
      <c r="U1453" t="s">
        <v>44</v>
      </c>
      <c r="W1453">
        <v>100</v>
      </c>
      <c r="X1453">
        <v>100</v>
      </c>
      <c r="Y1453">
        <v>0</v>
      </c>
      <c r="Z1453">
        <v>0</v>
      </c>
    </row>
    <row r="1454" spans="1:26" hidden="1" x14ac:dyDescent="0.25">
      <c r="A1454" t="s">
        <v>3367</v>
      </c>
      <c r="B1454" t="s">
        <v>38</v>
      </c>
      <c r="C1454" s="4">
        <v>44819</v>
      </c>
      <c r="D1454" s="4">
        <v>45869</v>
      </c>
      <c r="F1454" s="4">
        <v>46296</v>
      </c>
      <c r="G1454" t="s">
        <v>65</v>
      </c>
      <c r="H1454" t="s">
        <v>2764</v>
      </c>
      <c r="K1454" t="s">
        <v>67</v>
      </c>
      <c r="L1454" t="s">
        <v>3121</v>
      </c>
      <c r="M1454" t="s">
        <v>68</v>
      </c>
      <c r="N1454" t="s">
        <v>3122</v>
      </c>
      <c r="O1454" t="s">
        <v>32</v>
      </c>
      <c r="P1454" t="s">
        <v>3368</v>
      </c>
      <c r="Q1454">
        <v>200</v>
      </c>
      <c r="R1454">
        <v>200</v>
      </c>
      <c r="S1454" t="s">
        <v>34</v>
      </c>
      <c r="T1454" t="s">
        <v>35</v>
      </c>
      <c r="U1454" t="s">
        <v>44</v>
      </c>
      <c r="W1454">
        <v>0</v>
      </c>
      <c r="X1454">
        <v>0</v>
      </c>
      <c r="Y1454">
        <v>0</v>
      </c>
      <c r="Z1454">
        <v>0</v>
      </c>
    </row>
    <row r="1455" spans="1:26" hidden="1" x14ac:dyDescent="0.25">
      <c r="A1455" t="s">
        <v>3369</v>
      </c>
      <c r="B1455" t="s">
        <v>38</v>
      </c>
      <c r="C1455" s="4">
        <v>44819</v>
      </c>
      <c r="D1455" s="4">
        <v>45869</v>
      </c>
      <c r="F1455" s="4">
        <v>46280</v>
      </c>
      <c r="G1455" t="s">
        <v>65</v>
      </c>
      <c r="H1455" t="s">
        <v>3370</v>
      </c>
      <c r="K1455" t="s">
        <v>67</v>
      </c>
      <c r="L1455" t="s">
        <v>3121</v>
      </c>
      <c r="M1455" t="s">
        <v>68</v>
      </c>
      <c r="N1455" t="s">
        <v>3122</v>
      </c>
      <c r="O1455" t="s">
        <v>32</v>
      </c>
      <c r="P1455" t="s">
        <v>3371</v>
      </c>
      <c r="Q1455">
        <v>500</v>
      </c>
      <c r="R1455">
        <v>500</v>
      </c>
      <c r="S1455" t="s">
        <v>34</v>
      </c>
      <c r="T1455" t="s">
        <v>35</v>
      </c>
      <c r="U1455" t="s">
        <v>44</v>
      </c>
      <c r="W1455">
        <v>0</v>
      </c>
      <c r="X1455">
        <v>0</v>
      </c>
      <c r="Y1455">
        <v>0</v>
      </c>
      <c r="Z1455">
        <v>0</v>
      </c>
    </row>
    <row r="1456" spans="1:26" hidden="1" x14ac:dyDescent="0.25">
      <c r="A1456" t="s">
        <v>3372</v>
      </c>
      <c r="B1456" t="s">
        <v>38</v>
      </c>
      <c r="C1456" s="4">
        <v>44819</v>
      </c>
      <c r="D1456" s="4">
        <v>45957</v>
      </c>
      <c r="F1456" s="4">
        <v>46539</v>
      </c>
      <c r="G1456" t="s">
        <v>117</v>
      </c>
      <c r="H1456" t="s">
        <v>1923</v>
      </c>
      <c r="K1456" t="s">
        <v>83</v>
      </c>
      <c r="L1456" t="s">
        <v>3121</v>
      </c>
      <c r="M1456" t="s">
        <v>84</v>
      </c>
      <c r="N1456" t="s">
        <v>2160</v>
      </c>
      <c r="O1456" t="s">
        <v>32</v>
      </c>
      <c r="P1456" t="s">
        <v>3373</v>
      </c>
      <c r="Q1456">
        <v>100</v>
      </c>
      <c r="R1456">
        <v>100</v>
      </c>
      <c r="S1456" t="s">
        <v>34</v>
      </c>
      <c r="T1456" t="s">
        <v>35</v>
      </c>
      <c r="U1456" t="s">
        <v>44</v>
      </c>
      <c r="W1456">
        <v>0</v>
      </c>
      <c r="X1456">
        <v>0</v>
      </c>
      <c r="Y1456">
        <v>0</v>
      </c>
      <c r="Z1456">
        <v>0</v>
      </c>
    </row>
    <row r="1457" spans="1:26" hidden="1" x14ac:dyDescent="0.25">
      <c r="A1457" t="s">
        <v>3374</v>
      </c>
      <c r="B1457" t="s">
        <v>2153</v>
      </c>
      <c r="C1457" s="4">
        <v>44818</v>
      </c>
      <c r="F1457" s="4">
        <v>45973</v>
      </c>
      <c r="G1457" t="s">
        <v>907</v>
      </c>
      <c r="H1457" t="s">
        <v>2308</v>
      </c>
      <c r="K1457" t="s">
        <v>53</v>
      </c>
      <c r="L1457" t="s">
        <v>3121</v>
      </c>
      <c r="M1457" t="s">
        <v>54</v>
      </c>
      <c r="N1457" t="s">
        <v>3122</v>
      </c>
      <c r="O1457" t="s">
        <v>32</v>
      </c>
      <c r="P1457" t="s">
        <v>3375</v>
      </c>
      <c r="Q1457">
        <v>150</v>
      </c>
      <c r="R1457">
        <v>150</v>
      </c>
      <c r="S1457" t="s">
        <v>159</v>
      </c>
      <c r="T1457" t="s">
        <v>159</v>
      </c>
      <c r="U1457" t="s">
        <v>44</v>
      </c>
      <c r="W1457">
        <v>150</v>
      </c>
      <c r="X1457">
        <v>150</v>
      </c>
      <c r="Y1457">
        <v>0</v>
      </c>
      <c r="Z1457">
        <v>0</v>
      </c>
    </row>
    <row r="1458" spans="1:26" hidden="1" x14ac:dyDescent="0.25">
      <c r="A1458" t="s">
        <v>3376</v>
      </c>
      <c r="B1458" t="s">
        <v>2153</v>
      </c>
      <c r="C1458" s="4">
        <v>44819</v>
      </c>
      <c r="F1458" s="4">
        <v>46280</v>
      </c>
      <c r="H1458" t="s">
        <v>3377</v>
      </c>
      <c r="K1458" t="s">
        <v>28</v>
      </c>
      <c r="L1458" t="s">
        <v>3121</v>
      </c>
      <c r="M1458" t="s">
        <v>42</v>
      </c>
      <c r="N1458" t="s">
        <v>3122</v>
      </c>
      <c r="O1458" t="s">
        <v>32</v>
      </c>
      <c r="P1458" t="s">
        <v>3378</v>
      </c>
      <c r="Q1458">
        <v>92</v>
      </c>
      <c r="R1458">
        <v>92</v>
      </c>
      <c r="S1458" t="s">
        <v>159</v>
      </c>
      <c r="T1458" t="s">
        <v>159</v>
      </c>
      <c r="U1458" t="s">
        <v>44</v>
      </c>
      <c r="W1458">
        <v>92</v>
      </c>
      <c r="X1458">
        <v>92</v>
      </c>
      <c r="Y1458">
        <v>0</v>
      </c>
      <c r="Z1458">
        <v>0</v>
      </c>
    </row>
    <row r="1459" spans="1:26" hidden="1" x14ac:dyDescent="0.25">
      <c r="A1459" t="s">
        <v>3379</v>
      </c>
      <c r="B1459" t="s">
        <v>2338</v>
      </c>
      <c r="C1459" s="4">
        <v>44818</v>
      </c>
      <c r="F1459" s="4">
        <v>46447</v>
      </c>
      <c r="H1459" t="s">
        <v>3380</v>
      </c>
      <c r="K1459" t="s">
        <v>67</v>
      </c>
      <c r="L1459" t="s">
        <v>3121</v>
      </c>
      <c r="M1459" t="s">
        <v>68</v>
      </c>
      <c r="N1459" t="s">
        <v>3122</v>
      </c>
      <c r="O1459" t="s">
        <v>32</v>
      </c>
      <c r="P1459" t="s">
        <v>3381</v>
      </c>
      <c r="Q1459">
        <v>100</v>
      </c>
      <c r="R1459">
        <v>100</v>
      </c>
      <c r="S1459" t="s">
        <v>597</v>
      </c>
      <c r="T1459" t="s">
        <v>598</v>
      </c>
      <c r="U1459" t="s">
        <v>44</v>
      </c>
      <c r="W1459">
        <v>100</v>
      </c>
      <c r="X1459">
        <v>100</v>
      </c>
      <c r="Y1459">
        <v>0</v>
      </c>
      <c r="Z1459">
        <v>0</v>
      </c>
    </row>
    <row r="1460" spans="1:26" hidden="1" x14ac:dyDescent="0.25">
      <c r="A1460" t="s">
        <v>3382</v>
      </c>
      <c r="B1460" t="s">
        <v>2153</v>
      </c>
      <c r="C1460" s="4">
        <v>44819</v>
      </c>
      <c r="F1460" s="4">
        <v>45962</v>
      </c>
      <c r="G1460" t="s">
        <v>3383</v>
      </c>
      <c r="H1460" t="s">
        <v>3384</v>
      </c>
      <c r="K1460" t="s">
        <v>146</v>
      </c>
      <c r="L1460" t="s">
        <v>3121</v>
      </c>
      <c r="M1460" t="s">
        <v>68</v>
      </c>
      <c r="N1460" t="s">
        <v>3122</v>
      </c>
      <c r="O1460" t="s">
        <v>32</v>
      </c>
      <c r="P1460" t="s">
        <v>3385</v>
      </c>
      <c r="Q1460">
        <v>40</v>
      </c>
      <c r="R1460">
        <v>40</v>
      </c>
      <c r="S1460" t="s">
        <v>159</v>
      </c>
      <c r="T1460" t="s">
        <v>159</v>
      </c>
      <c r="U1460" t="s">
        <v>44</v>
      </c>
      <c r="W1460">
        <v>40</v>
      </c>
      <c r="X1460">
        <v>40</v>
      </c>
      <c r="Y1460">
        <v>0</v>
      </c>
      <c r="Z1460">
        <v>0</v>
      </c>
    </row>
    <row r="1461" spans="1:26" hidden="1" x14ac:dyDescent="0.25">
      <c r="A1461" t="s">
        <v>3386</v>
      </c>
      <c r="B1461" t="s">
        <v>38</v>
      </c>
      <c r="C1461" s="4">
        <v>44818</v>
      </c>
      <c r="D1461" s="4">
        <v>45869</v>
      </c>
      <c r="F1461" s="4">
        <v>46327</v>
      </c>
      <c r="G1461" t="s">
        <v>65</v>
      </c>
      <c r="H1461" t="s">
        <v>1456</v>
      </c>
      <c r="K1461" t="s">
        <v>67</v>
      </c>
      <c r="L1461" t="s">
        <v>3121</v>
      </c>
      <c r="M1461" t="s">
        <v>68</v>
      </c>
      <c r="N1461" t="s">
        <v>3122</v>
      </c>
      <c r="O1461" t="s">
        <v>32</v>
      </c>
      <c r="P1461" t="s">
        <v>3387</v>
      </c>
      <c r="Q1461">
        <v>100</v>
      </c>
      <c r="R1461">
        <v>100</v>
      </c>
      <c r="S1461" t="s">
        <v>159</v>
      </c>
      <c r="T1461" t="s">
        <v>159</v>
      </c>
      <c r="U1461" t="s">
        <v>44</v>
      </c>
      <c r="W1461">
        <v>0</v>
      </c>
      <c r="X1461">
        <v>0</v>
      </c>
      <c r="Y1461">
        <v>0</v>
      </c>
      <c r="Z1461">
        <v>0</v>
      </c>
    </row>
    <row r="1462" spans="1:26" hidden="1" x14ac:dyDescent="0.25">
      <c r="A1462" t="s">
        <v>3388</v>
      </c>
      <c r="B1462" t="s">
        <v>38</v>
      </c>
      <c r="C1462" s="4">
        <v>44818</v>
      </c>
      <c r="D1462" s="4">
        <v>45869</v>
      </c>
      <c r="F1462" s="4">
        <v>46327</v>
      </c>
      <c r="G1462" t="s">
        <v>65</v>
      </c>
      <c r="H1462" t="s">
        <v>1279</v>
      </c>
      <c r="K1462" t="s">
        <v>67</v>
      </c>
      <c r="L1462" t="s">
        <v>3121</v>
      </c>
      <c r="M1462" t="s">
        <v>68</v>
      </c>
      <c r="N1462" t="s">
        <v>3122</v>
      </c>
      <c r="O1462" t="s">
        <v>32</v>
      </c>
      <c r="P1462" t="s">
        <v>3389</v>
      </c>
      <c r="Q1462">
        <v>100</v>
      </c>
      <c r="R1462">
        <v>100</v>
      </c>
      <c r="S1462" t="s">
        <v>159</v>
      </c>
      <c r="T1462" t="s">
        <v>159</v>
      </c>
      <c r="U1462" t="s">
        <v>44</v>
      </c>
      <c r="W1462">
        <v>0</v>
      </c>
      <c r="X1462">
        <v>0</v>
      </c>
      <c r="Y1462">
        <v>0</v>
      </c>
      <c r="Z1462">
        <v>0</v>
      </c>
    </row>
    <row r="1463" spans="1:26" hidden="1" x14ac:dyDescent="0.25">
      <c r="A1463" t="s">
        <v>3390</v>
      </c>
      <c r="B1463" t="s">
        <v>38</v>
      </c>
      <c r="C1463" s="4">
        <v>44818</v>
      </c>
      <c r="D1463" s="4">
        <v>45869</v>
      </c>
      <c r="F1463" s="4">
        <v>46327</v>
      </c>
      <c r="G1463" t="s">
        <v>65</v>
      </c>
      <c r="H1463" t="s">
        <v>1279</v>
      </c>
      <c r="K1463" t="s">
        <v>67</v>
      </c>
      <c r="L1463" t="s">
        <v>3121</v>
      </c>
      <c r="M1463" t="s">
        <v>68</v>
      </c>
      <c r="N1463" t="s">
        <v>3122</v>
      </c>
      <c r="O1463" t="s">
        <v>32</v>
      </c>
      <c r="P1463" t="s">
        <v>3389</v>
      </c>
      <c r="Q1463">
        <v>100</v>
      </c>
      <c r="R1463">
        <v>100</v>
      </c>
      <c r="S1463" t="s">
        <v>159</v>
      </c>
      <c r="T1463" t="s">
        <v>159</v>
      </c>
      <c r="U1463" t="s">
        <v>44</v>
      </c>
      <c r="W1463">
        <v>0</v>
      </c>
      <c r="X1463">
        <v>0</v>
      </c>
      <c r="Y1463">
        <v>0</v>
      </c>
      <c r="Z1463">
        <v>0</v>
      </c>
    </row>
    <row r="1464" spans="1:26" hidden="1" x14ac:dyDescent="0.25">
      <c r="A1464" t="s">
        <v>3391</v>
      </c>
      <c r="B1464" t="s">
        <v>38</v>
      </c>
      <c r="C1464" s="4">
        <v>44818</v>
      </c>
      <c r="D1464" s="4">
        <v>44895</v>
      </c>
      <c r="F1464" s="4">
        <v>46327</v>
      </c>
      <c r="G1464" t="s">
        <v>132</v>
      </c>
      <c r="H1464" t="s">
        <v>3392</v>
      </c>
      <c r="K1464" t="s">
        <v>83</v>
      </c>
      <c r="L1464" t="s">
        <v>3121</v>
      </c>
      <c r="M1464" t="s">
        <v>84</v>
      </c>
      <c r="N1464" t="s">
        <v>2160</v>
      </c>
      <c r="O1464" t="s">
        <v>32</v>
      </c>
      <c r="P1464" t="s">
        <v>3393</v>
      </c>
      <c r="Q1464">
        <v>100</v>
      </c>
      <c r="R1464">
        <v>100</v>
      </c>
      <c r="S1464" t="s">
        <v>159</v>
      </c>
      <c r="T1464" t="s">
        <v>159</v>
      </c>
      <c r="U1464" t="s">
        <v>44</v>
      </c>
      <c r="W1464">
        <v>0</v>
      </c>
      <c r="X1464">
        <v>0</v>
      </c>
      <c r="Y1464">
        <v>0</v>
      </c>
      <c r="Z1464">
        <v>0</v>
      </c>
    </row>
    <row r="1465" spans="1:26" hidden="1" x14ac:dyDescent="0.25">
      <c r="A1465" t="s">
        <v>3394</v>
      </c>
      <c r="B1465" t="s">
        <v>38</v>
      </c>
      <c r="C1465" s="4">
        <v>44817</v>
      </c>
      <c r="D1465" s="4">
        <v>45957</v>
      </c>
      <c r="F1465" s="4">
        <v>46661</v>
      </c>
      <c r="G1465" t="s">
        <v>72</v>
      </c>
      <c r="H1465" t="s">
        <v>1344</v>
      </c>
      <c r="K1465" t="s">
        <v>209</v>
      </c>
      <c r="L1465" t="s">
        <v>3121</v>
      </c>
      <c r="M1465" t="s">
        <v>42</v>
      </c>
      <c r="N1465" t="s">
        <v>3122</v>
      </c>
      <c r="O1465" t="s">
        <v>32</v>
      </c>
      <c r="P1465" t="s">
        <v>3395</v>
      </c>
      <c r="Q1465">
        <v>200</v>
      </c>
      <c r="R1465">
        <v>200</v>
      </c>
      <c r="S1465" t="s">
        <v>159</v>
      </c>
      <c r="T1465" t="s">
        <v>159</v>
      </c>
      <c r="U1465" t="s">
        <v>44</v>
      </c>
      <c r="W1465">
        <v>0</v>
      </c>
      <c r="X1465">
        <v>0</v>
      </c>
      <c r="Y1465">
        <v>0</v>
      </c>
      <c r="Z1465">
        <v>0</v>
      </c>
    </row>
    <row r="1466" spans="1:26" hidden="1" x14ac:dyDescent="0.25">
      <c r="A1466" t="s">
        <v>3396</v>
      </c>
      <c r="B1466" t="s">
        <v>38</v>
      </c>
      <c r="C1466" s="4">
        <v>44817</v>
      </c>
      <c r="D1466" s="4">
        <v>45957</v>
      </c>
      <c r="F1466" s="4">
        <v>46661</v>
      </c>
      <c r="G1466" t="s">
        <v>117</v>
      </c>
      <c r="H1466" t="s">
        <v>1302</v>
      </c>
      <c r="K1466" t="s">
        <v>83</v>
      </c>
      <c r="L1466" t="s">
        <v>3121</v>
      </c>
      <c r="M1466" t="s">
        <v>84</v>
      </c>
      <c r="N1466" t="s">
        <v>2160</v>
      </c>
      <c r="O1466" t="s">
        <v>32</v>
      </c>
      <c r="P1466" t="s">
        <v>3314</v>
      </c>
      <c r="Q1466">
        <v>200</v>
      </c>
      <c r="R1466">
        <v>200</v>
      </c>
      <c r="S1466" t="s">
        <v>34</v>
      </c>
      <c r="T1466" t="s">
        <v>35</v>
      </c>
      <c r="U1466" t="s">
        <v>44</v>
      </c>
      <c r="W1466">
        <v>0</v>
      </c>
      <c r="X1466">
        <v>0</v>
      </c>
      <c r="Y1466">
        <v>0</v>
      </c>
      <c r="Z1466">
        <v>0</v>
      </c>
    </row>
    <row r="1467" spans="1:26" hidden="1" x14ac:dyDescent="0.25">
      <c r="A1467" t="s">
        <v>3397</v>
      </c>
      <c r="B1467" t="s">
        <v>38</v>
      </c>
      <c r="C1467" s="4">
        <v>44816</v>
      </c>
      <c r="D1467" s="4">
        <v>45957</v>
      </c>
      <c r="F1467" s="4">
        <v>46661</v>
      </c>
      <c r="G1467" t="s">
        <v>72</v>
      </c>
      <c r="H1467" t="s">
        <v>1344</v>
      </c>
      <c r="K1467" t="s">
        <v>209</v>
      </c>
      <c r="L1467" t="s">
        <v>3121</v>
      </c>
      <c r="M1467" t="s">
        <v>42</v>
      </c>
      <c r="N1467" t="s">
        <v>3122</v>
      </c>
      <c r="O1467" t="s">
        <v>32</v>
      </c>
      <c r="P1467" t="s">
        <v>3395</v>
      </c>
      <c r="Q1467">
        <v>200</v>
      </c>
      <c r="R1467">
        <v>200</v>
      </c>
      <c r="S1467" t="s">
        <v>34</v>
      </c>
      <c r="T1467" t="s">
        <v>35</v>
      </c>
      <c r="U1467" t="s">
        <v>44</v>
      </c>
      <c r="W1467">
        <v>0</v>
      </c>
      <c r="X1467">
        <v>0</v>
      </c>
      <c r="Y1467">
        <v>0</v>
      </c>
      <c r="Z1467">
        <v>0</v>
      </c>
    </row>
    <row r="1468" spans="1:26" hidden="1" x14ac:dyDescent="0.25">
      <c r="A1468" t="s">
        <v>3398</v>
      </c>
      <c r="B1468" t="s">
        <v>38</v>
      </c>
      <c r="C1468" s="4">
        <v>44816</v>
      </c>
      <c r="D1468" s="4">
        <v>45957</v>
      </c>
      <c r="F1468" s="4">
        <v>47027</v>
      </c>
      <c r="G1468" t="s">
        <v>117</v>
      </c>
      <c r="H1468" t="s">
        <v>1703</v>
      </c>
      <c r="K1468" t="s">
        <v>83</v>
      </c>
      <c r="L1468" t="s">
        <v>3121</v>
      </c>
      <c r="M1468" t="s">
        <v>84</v>
      </c>
      <c r="N1468" t="s">
        <v>2160</v>
      </c>
      <c r="O1468" t="s">
        <v>32</v>
      </c>
      <c r="P1468" t="s">
        <v>3399</v>
      </c>
      <c r="Q1468">
        <v>200</v>
      </c>
      <c r="R1468">
        <v>200</v>
      </c>
      <c r="S1468" t="s">
        <v>56</v>
      </c>
      <c r="T1468" t="s">
        <v>57</v>
      </c>
      <c r="U1468" t="s">
        <v>44</v>
      </c>
      <c r="W1468">
        <v>0</v>
      </c>
      <c r="X1468">
        <v>0</v>
      </c>
      <c r="Y1468">
        <v>0</v>
      </c>
      <c r="Z1468">
        <v>0</v>
      </c>
    </row>
    <row r="1469" spans="1:26" hidden="1" x14ac:dyDescent="0.25">
      <c r="A1469" t="s">
        <v>3400</v>
      </c>
      <c r="B1469" t="s">
        <v>38</v>
      </c>
      <c r="C1469" s="4">
        <v>44816</v>
      </c>
      <c r="D1469" s="4">
        <v>45957</v>
      </c>
      <c r="F1469" s="4">
        <v>46661</v>
      </c>
      <c r="G1469" t="s">
        <v>72</v>
      </c>
      <c r="H1469" t="s">
        <v>1986</v>
      </c>
      <c r="K1469" t="s">
        <v>209</v>
      </c>
      <c r="L1469" t="s">
        <v>3121</v>
      </c>
      <c r="M1469" t="s">
        <v>42</v>
      </c>
      <c r="N1469" t="s">
        <v>3122</v>
      </c>
      <c r="O1469" t="s">
        <v>32</v>
      </c>
      <c r="P1469" t="s">
        <v>2426</v>
      </c>
      <c r="Q1469">
        <v>130</v>
      </c>
      <c r="R1469">
        <v>130</v>
      </c>
      <c r="S1469" t="s">
        <v>56</v>
      </c>
      <c r="T1469" t="s">
        <v>57</v>
      </c>
      <c r="U1469" t="s">
        <v>44</v>
      </c>
      <c r="W1469">
        <v>0</v>
      </c>
      <c r="X1469">
        <v>0</v>
      </c>
      <c r="Y1469">
        <v>0</v>
      </c>
      <c r="Z1469">
        <v>0</v>
      </c>
    </row>
    <row r="1470" spans="1:26" hidden="1" x14ac:dyDescent="0.25">
      <c r="A1470" t="s">
        <v>3401</v>
      </c>
      <c r="B1470" t="s">
        <v>38</v>
      </c>
      <c r="C1470" s="4">
        <v>44817</v>
      </c>
      <c r="D1470" s="4">
        <v>45869</v>
      </c>
      <c r="F1470" s="4">
        <v>46296</v>
      </c>
      <c r="G1470" t="s">
        <v>616</v>
      </c>
      <c r="H1470" t="s">
        <v>1792</v>
      </c>
      <c r="K1470" t="s">
        <v>146</v>
      </c>
      <c r="L1470" t="s">
        <v>3121</v>
      </c>
      <c r="M1470" t="s">
        <v>68</v>
      </c>
      <c r="N1470" t="s">
        <v>3122</v>
      </c>
      <c r="O1470" t="s">
        <v>32</v>
      </c>
      <c r="P1470" t="s">
        <v>3318</v>
      </c>
      <c r="Q1470">
        <v>105</v>
      </c>
      <c r="R1470">
        <v>105</v>
      </c>
      <c r="S1470" t="s">
        <v>34</v>
      </c>
      <c r="T1470" t="s">
        <v>35</v>
      </c>
      <c r="U1470" t="s">
        <v>44</v>
      </c>
      <c r="W1470">
        <v>0</v>
      </c>
      <c r="X1470">
        <v>0</v>
      </c>
      <c r="Y1470">
        <v>0</v>
      </c>
      <c r="Z1470">
        <v>0</v>
      </c>
    </row>
    <row r="1471" spans="1:26" hidden="1" x14ac:dyDescent="0.25">
      <c r="A1471" t="s">
        <v>3402</v>
      </c>
      <c r="B1471" t="s">
        <v>38</v>
      </c>
      <c r="C1471" s="4">
        <v>44819</v>
      </c>
      <c r="D1471" s="4">
        <v>45009</v>
      </c>
      <c r="F1471" s="4">
        <v>46296</v>
      </c>
      <c r="G1471" t="s">
        <v>65</v>
      </c>
      <c r="H1471" t="s">
        <v>1285</v>
      </c>
      <c r="K1471" t="s">
        <v>67</v>
      </c>
      <c r="L1471" t="s">
        <v>3121</v>
      </c>
      <c r="M1471" t="s">
        <v>68</v>
      </c>
      <c r="N1471" t="s">
        <v>3122</v>
      </c>
      <c r="O1471" t="s">
        <v>32</v>
      </c>
      <c r="P1471" t="s">
        <v>3403</v>
      </c>
      <c r="Q1471">
        <v>130</v>
      </c>
      <c r="R1471">
        <v>130</v>
      </c>
      <c r="S1471" t="s">
        <v>159</v>
      </c>
      <c r="T1471" t="s">
        <v>159</v>
      </c>
      <c r="U1471" t="s">
        <v>44</v>
      </c>
      <c r="W1471">
        <v>0</v>
      </c>
      <c r="X1471">
        <v>0</v>
      </c>
      <c r="Y1471">
        <v>0</v>
      </c>
      <c r="Z1471">
        <v>0</v>
      </c>
    </row>
    <row r="1472" spans="1:26" hidden="1" x14ac:dyDescent="0.25">
      <c r="A1472" t="s">
        <v>3404</v>
      </c>
      <c r="B1472" t="s">
        <v>2153</v>
      </c>
      <c r="C1472" s="4">
        <v>44816</v>
      </c>
      <c r="F1472" s="4">
        <v>46661</v>
      </c>
      <c r="G1472" t="s">
        <v>72</v>
      </c>
      <c r="H1472" t="s">
        <v>2246</v>
      </c>
      <c r="K1472" t="s">
        <v>209</v>
      </c>
      <c r="L1472" t="s">
        <v>3121</v>
      </c>
      <c r="M1472" t="s">
        <v>42</v>
      </c>
      <c r="N1472" t="s">
        <v>3122</v>
      </c>
      <c r="O1472" t="s">
        <v>32</v>
      </c>
      <c r="P1472" t="s">
        <v>3405</v>
      </c>
      <c r="Q1472">
        <v>300</v>
      </c>
      <c r="R1472">
        <v>300</v>
      </c>
      <c r="S1472" t="s">
        <v>159</v>
      </c>
      <c r="T1472" t="s">
        <v>159</v>
      </c>
      <c r="U1472" t="s">
        <v>44</v>
      </c>
      <c r="W1472">
        <v>300</v>
      </c>
      <c r="X1472">
        <v>300</v>
      </c>
      <c r="Y1472">
        <v>0</v>
      </c>
      <c r="Z1472">
        <v>0</v>
      </c>
    </row>
    <row r="1473" spans="1:26" hidden="1" x14ac:dyDescent="0.25">
      <c r="A1473" t="s">
        <v>3406</v>
      </c>
      <c r="B1473" t="s">
        <v>38</v>
      </c>
      <c r="C1473" s="4">
        <v>44817</v>
      </c>
      <c r="D1473" s="4">
        <v>45869</v>
      </c>
      <c r="F1473" s="4">
        <v>46296</v>
      </c>
      <c r="G1473" t="s">
        <v>616</v>
      </c>
      <c r="H1473" t="s">
        <v>2467</v>
      </c>
      <c r="K1473" t="s">
        <v>146</v>
      </c>
      <c r="L1473" t="s">
        <v>3121</v>
      </c>
      <c r="M1473" t="s">
        <v>68</v>
      </c>
      <c r="N1473" t="s">
        <v>3122</v>
      </c>
      <c r="O1473" t="s">
        <v>32</v>
      </c>
      <c r="P1473" t="s">
        <v>3407</v>
      </c>
      <c r="Q1473">
        <v>100</v>
      </c>
      <c r="R1473">
        <v>100</v>
      </c>
      <c r="S1473" t="s">
        <v>34</v>
      </c>
      <c r="T1473" t="s">
        <v>35</v>
      </c>
      <c r="U1473" t="s">
        <v>44</v>
      </c>
      <c r="W1473">
        <v>0</v>
      </c>
      <c r="X1473">
        <v>0</v>
      </c>
      <c r="Y1473">
        <v>0</v>
      </c>
      <c r="Z1473">
        <v>0</v>
      </c>
    </row>
    <row r="1474" spans="1:26" hidden="1" x14ac:dyDescent="0.25">
      <c r="A1474" t="s">
        <v>3408</v>
      </c>
      <c r="B1474" t="s">
        <v>38</v>
      </c>
      <c r="C1474" s="4">
        <v>44818</v>
      </c>
      <c r="D1474" s="4">
        <v>45870</v>
      </c>
      <c r="F1474" s="4">
        <v>46296</v>
      </c>
      <c r="G1474" t="s">
        <v>907</v>
      </c>
      <c r="H1474" t="s">
        <v>1488</v>
      </c>
      <c r="K1474" t="s">
        <v>53</v>
      </c>
      <c r="L1474" t="s">
        <v>3121</v>
      </c>
      <c r="M1474" t="s">
        <v>54</v>
      </c>
      <c r="N1474" t="s">
        <v>3122</v>
      </c>
      <c r="O1474" t="s">
        <v>32</v>
      </c>
      <c r="P1474" t="s">
        <v>3409</v>
      </c>
      <c r="Q1474">
        <v>100</v>
      </c>
      <c r="R1474">
        <v>100</v>
      </c>
      <c r="S1474" t="s">
        <v>34</v>
      </c>
      <c r="T1474" t="s">
        <v>35</v>
      </c>
      <c r="U1474" t="s">
        <v>44</v>
      </c>
      <c r="W1474">
        <v>0</v>
      </c>
      <c r="X1474">
        <v>0</v>
      </c>
      <c r="Y1474">
        <v>0</v>
      </c>
      <c r="Z1474">
        <v>0</v>
      </c>
    </row>
    <row r="1475" spans="1:26" hidden="1" x14ac:dyDescent="0.25">
      <c r="A1475" t="s">
        <v>3410</v>
      </c>
      <c r="B1475" t="s">
        <v>2153</v>
      </c>
      <c r="C1475" s="4">
        <v>44819</v>
      </c>
      <c r="F1475" s="4">
        <v>46514</v>
      </c>
      <c r="G1475" t="s">
        <v>691</v>
      </c>
      <c r="H1475" t="s">
        <v>1805</v>
      </c>
      <c r="K1475" t="s">
        <v>98</v>
      </c>
      <c r="L1475" t="s">
        <v>3121</v>
      </c>
      <c r="M1475" t="s">
        <v>84</v>
      </c>
      <c r="N1475" t="s">
        <v>2160</v>
      </c>
      <c r="O1475" t="s">
        <v>32</v>
      </c>
      <c r="P1475" t="s">
        <v>1806</v>
      </c>
      <c r="Q1475">
        <v>200</v>
      </c>
      <c r="R1475">
        <v>200</v>
      </c>
      <c r="S1475" t="s">
        <v>159</v>
      </c>
      <c r="T1475" t="s">
        <v>159</v>
      </c>
      <c r="U1475" t="s">
        <v>44</v>
      </c>
      <c r="W1475">
        <v>200</v>
      </c>
      <c r="X1475">
        <v>200</v>
      </c>
      <c r="Y1475">
        <v>0</v>
      </c>
      <c r="Z1475">
        <v>0</v>
      </c>
    </row>
    <row r="1476" spans="1:26" hidden="1" x14ac:dyDescent="0.25">
      <c r="A1476" t="s">
        <v>3411</v>
      </c>
      <c r="B1476" t="s">
        <v>2153</v>
      </c>
      <c r="C1476" s="4">
        <v>44819</v>
      </c>
      <c r="F1476" s="4">
        <v>46660</v>
      </c>
      <c r="G1476" t="s">
        <v>1257</v>
      </c>
      <c r="H1476" t="s">
        <v>1258</v>
      </c>
      <c r="K1476" t="s">
        <v>98</v>
      </c>
      <c r="L1476" t="s">
        <v>3121</v>
      </c>
      <c r="M1476" t="s">
        <v>84</v>
      </c>
      <c r="N1476" t="s">
        <v>2160</v>
      </c>
      <c r="O1476" t="s">
        <v>32</v>
      </c>
      <c r="P1476" t="s">
        <v>3412</v>
      </c>
      <c r="Q1476">
        <v>150</v>
      </c>
      <c r="R1476">
        <v>150</v>
      </c>
      <c r="S1476" t="s">
        <v>159</v>
      </c>
      <c r="T1476" t="s">
        <v>159</v>
      </c>
      <c r="U1476" t="s">
        <v>44</v>
      </c>
      <c r="W1476">
        <v>150</v>
      </c>
      <c r="X1476">
        <v>150</v>
      </c>
      <c r="Y1476">
        <v>0</v>
      </c>
      <c r="Z1476">
        <v>0</v>
      </c>
    </row>
    <row r="1477" spans="1:26" hidden="1" x14ac:dyDescent="0.25">
      <c r="A1477" t="s">
        <v>3413</v>
      </c>
      <c r="B1477" t="s">
        <v>2153</v>
      </c>
      <c r="C1477" s="4">
        <v>44819</v>
      </c>
      <c r="F1477" s="4">
        <v>47026</v>
      </c>
      <c r="G1477" t="s">
        <v>117</v>
      </c>
      <c r="H1477" t="s">
        <v>1291</v>
      </c>
      <c r="K1477" t="s">
        <v>83</v>
      </c>
      <c r="L1477" t="s">
        <v>3121</v>
      </c>
      <c r="M1477" t="s">
        <v>84</v>
      </c>
      <c r="N1477" t="s">
        <v>2160</v>
      </c>
      <c r="O1477" t="s">
        <v>122</v>
      </c>
      <c r="P1477" t="s">
        <v>3414</v>
      </c>
      <c r="Q1477">
        <v>100</v>
      </c>
      <c r="R1477">
        <v>100</v>
      </c>
      <c r="S1477" t="s">
        <v>597</v>
      </c>
      <c r="T1477" t="s">
        <v>598</v>
      </c>
      <c r="U1477" t="s">
        <v>44</v>
      </c>
      <c r="W1477">
        <v>100</v>
      </c>
      <c r="X1477">
        <v>0</v>
      </c>
      <c r="Y1477">
        <v>0</v>
      </c>
      <c r="Z1477">
        <v>0</v>
      </c>
    </row>
    <row r="1478" spans="1:26" hidden="1" x14ac:dyDescent="0.25">
      <c r="A1478" t="s">
        <v>3415</v>
      </c>
      <c r="B1478" t="s">
        <v>2153</v>
      </c>
      <c r="C1478" s="4">
        <v>44819</v>
      </c>
      <c r="F1478" s="4">
        <v>46660</v>
      </c>
      <c r="G1478" t="s">
        <v>907</v>
      </c>
      <c r="H1478" t="s">
        <v>1421</v>
      </c>
      <c r="K1478" t="s">
        <v>53</v>
      </c>
      <c r="L1478" t="s">
        <v>3121</v>
      </c>
      <c r="M1478" t="s">
        <v>54</v>
      </c>
      <c r="N1478" t="s">
        <v>3122</v>
      </c>
      <c r="O1478" t="s">
        <v>32</v>
      </c>
      <c r="P1478" t="s">
        <v>3416</v>
      </c>
      <c r="Q1478">
        <v>200</v>
      </c>
      <c r="R1478">
        <v>200</v>
      </c>
      <c r="S1478" t="s">
        <v>159</v>
      </c>
      <c r="T1478" t="s">
        <v>159</v>
      </c>
      <c r="U1478" t="s">
        <v>44</v>
      </c>
      <c r="W1478">
        <v>200</v>
      </c>
      <c r="X1478">
        <v>200</v>
      </c>
      <c r="Y1478">
        <v>0</v>
      </c>
      <c r="Z1478">
        <v>0</v>
      </c>
    </row>
    <row r="1479" spans="1:26" hidden="1" x14ac:dyDescent="0.25">
      <c r="A1479" t="s">
        <v>3417</v>
      </c>
      <c r="B1479" t="s">
        <v>38</v>
      </c>
      <c r="C1479" s="4">
        <v>44819</v>
      </c>
      <c r="D1479" s="4">
        <v>45957</v>
      </c>
      <c r="F1479" s="4">
        <v>46295</v>
      </c>
      <c r="G1479" t="s">
        <v>117</v>
      </c>
      <c r="H1479" t="s">
        <v>1637</v>
      </c>
      <c r="K1479" t="s">
        <v>83</v>
      </c>
      <c r="L1479" t="s">
        <v>3121</v>
      </c>
      <c r="M1479" t="s">
        <v>84</v>
      </c>
      <c r="N1479" t="s">
        <v>2160</v>
      </c>
      <c r="O1479" t="s">
        <v>32</v>
      </c>
      <c r="P1479" t="s">
        <v>3418</v>
      </c>
      <c r="Q1479">
        <v>150</v>
      </c>
      <c r="R1479">
        <v>150</v>
      </c>
      <c r="S1479" t="s">
        <v>597</v>
      </c>
      <c r="T1479" t="s">
        <v>598</v>
      </c>
      <c r="U1479" t="s">
        <v>44</v>
      </c>
      <c r="W1479">
        <v>0</v>
      </c>
      <c r="X1479">
        <v>0</v>
      </c>
      <c r="Y1479">
        <v>0</v>
      </c>
      <c r="Z1479">
        <v>0</v>
      </c>
    </row>
    <row r="1480" spans="1:26" hidden="1" x14ac:dyDescent="0.25">
      <c r="A1480" t="s">
        <v>3419</v>
      </c>
      <c r="B1480" t="s">
        <v>2153</v>
      </c>
      <c r="C1480" s="4">
        <v>44817</v>
      </c>
      <c r="F1480" s="4">
        <v>46326</v>
      </c>
      <c r="G1480" t="s">
        <v>1326</v>
      </c>
      <c r="H1480" t="s">
        <v>2526</v>
      </c>
      <c r="K1480" t="s">
        <v>67</v>
      </c>
      <c r="L1480" t="s">
        <v>3121</v>
      </c>
      <c r="M1480" t="s">
        <v>68</v>
      </c>
      <c r="N1480" t="s">
        <v>3122</v>
      </c>
      <c r="O1480" t="s">
        <v>122</v>
      </c>
      <c r="P1480" t="s">
        <v>2099</v>
      </c>
      <c r="Q1480">
        <v>600</v>
      </c>
      <c r="R1480">
        <v>600</v>
      </c>
      <c r="S1480" t="s">
        <v>34</v>
      </c>
      <c r="T1480" t="s">
        <v>35</v>
      </c>
      <c r="U1480" t="s">
        <v>44</v>
      </c>
      <c r="W1480">
        <v>600</v>
      </c>
      <c r="X1480">
        <v>0</v>
      </c>
      <c r="Y1480">
        <v>0</v>
      </c>
      <c r="Z1480">
        <v>0</v>
      </c>
    </row>
    <row r="1481" spans="1:26" hidden="1" x14ac:dyDescent="0.25">
      <c r="A1481" t="s">
        <v>3420</v>
      </c>
      <c r="B1481" t="s">
        <v>2153</v>
      </c>
      <c r="C1481" s="4">
        <v>44818</v>
      </c>
      <c r="F1481" s="4">
        <v>46326</v>
      </c>
      <c r="G1481" t="s">
        <v>1326</v>
      </c>
      <c r="H1481" t="s">
        <v>3195</v>
      </c>
      <c r="K1481" t="s">
        <v>67</v>
      </c>
      <c r="L1481" t="s">
        <v>3121</v>
      </c>
      <c r="M1481" t="s">
        <v>68</v>
      </c>
      <c r="N1481" t="s">
        <v>3122</v>
      </c>
      <c r="O1481" t="s">
        <v>122</v>
      </c>
      <c r="P1481" t="s">
        <v>2999</v>
      </c>
      <c r="Q1481">
        <v>550</v>
      </c>
      <c r="R1481">
        <v>550</v>
      </c>
      <c r="S1481" t="s">
        <v>34</v>
      </c>
      <c r="T1481" t="s">
        <v>35</v>
      </c>
      <c r="U1481" t="s">
        <v>44</v>
      </c>
      <c r="W1481">
        <v>550</v>
      </c>
      <c r="X1481">
        <v>0</v>
      </c>
      <c r="Y1481">
        <v>0</v>
      </c>
      <c r="Z1481">
        <v>0</v>
      </c>
    </row>
    <row r="1482" spans="1:26" hidden="1" x14ac:dyDescent="0.25">
      <c r="A1482" t="s">
        <v>3421</v>
      </c>
      <c r="B1482" t="s">
        <v>38</v>
      </c>
      <c r="C1482" s="4">
        <v>44817</v>
      </c>
      <c r="D1482" s="4">
        <v>45010</v>
      </c>
      <c r="F1482" s="4">
        <v>45961</v>
      </c>
      <c r="G1482" t="s">
        <v>144</v>
      </c>
      <c r="H1482" t="s">
        <v>2382</v>
      </c>
      <c r="K1482" t="s">
        <v>146</v>
      </c>
      <c r="L1482" t="s">
        <v>3121</v>
      </c>
      <c r="M1482" t="s">
        <v>68</v>
      </c>
      <c r="N1482" t="s">
        <v>3122</v>
      </c>
      <c r="O1482" t="s">
        <v>32</v>
      </c>
      <c r="P1482" t="s">
        <v>3422</v>
      </c>
      <c r="Q1482">
        <v>140</v>
      </c>
      <c r="R1482">
        <v>140</v>
      </c>
      <c r="S1482" t="s">
        <v>159</v>
      </c>
      <c r="T1482" t="s">
        <v>159</v>
      </c>
      <c r="U1482" t="s">
        <v>44</v>
      </c>
      <c r="W1482">
        <v>0</v>
      </c>
      <c r="X1482">
        <v>0</v>
      </c>
      <c r="Y1482">
        <v>0</v>
      </c>
      <c r="Z1482">
        <v>0</v>
      </c>
    </row>
    <row r="1483" spans="1:26" hidden="1" x14ac:dyDescent="0.25">
      <c r="A1483" t="s">
        <v>3423</v>
      </c>
      <c r="B1483" t="s">
        <v>38</v>
      </c>
      <c r="C1483" s="4">
        <v>44817</v>
      </c>
      <c r="D1483" s="4">
        <v>45957</v>
      </c>
      <c r="F1483" s="4">
        <v>46326</v>
      </c>
      <c r="G1483" t="s">
        <v>681</v>
      </c>
      <c r="H1483" t="s">
        <v>2499</v>
      </c>
      <c r="K1483" t="s">
        <v>683</v>
      </c>
      <c r="L1483" t="s">
        <v>3121</v>
      </c>
      <c r="M1483" t="s">
        <v>84</v>
      </c>
      <c r="N1483" t="s">
        <v>2160</v>
      </c>
      <c r="O1483" t="s">
        <v>32</v>
      </c>
      <c r="P1483" t="s">
        <v>3424</v>
      </c>
      <c r="Q1483">
        <v>75</v>
      </c>
      <c r="R1483">
        <v>75</v>
      </c>
      <c r="S1483" t="s">
        <v>159</v>
      </c>
      <c r="T1483" t="s">
        <v>159</v>
      </c>
      <c r="U1483" t="s">
        <v>44</v>
      </c>
      <c r="W1483">
        <v>0</v>
      </c>
      <c r="X1483">
        <v>0</v>
      </c>
      <c r="Y1483">
        <v>0</v>
      </c>
      <c r="Z1483">
        <v>0</v>
      </c>
    </row>
    <row r="1484" spans="1:26" hidden="1" x14ac:dyDescent="0.25">
      <c r="A1484" t="s">
        <v>3425</v>
      </c>
      <c r="B1484" t="s">
        <v>38</v>
      </c>
      <c r="C1484" s="4">
        <v>44816</v>
      </c>
      <c r="D1484" s="4">
        <v>45957</v>
      </c>
      <c r="F1484" s="4">
        <v>47757</v>
      </c>
      <c r="G1484" t="s">
        <v>1381</v>
      </c>
      <c r="H1484" t="s">
        <v>2423</v>
      </c>
      <c r="K1484" t="s">
        <v>209</v>
      </c>
      <c r="L1484" t="s">
        <v>3121</v>
      </c>
      <c r="M1484" t="s">
        <v>42</v>
      </c>
      <c r="N1484" t="s">
        <v>3122</v>
      </c>
      <c r="O1484" t="s">
        <v>32</v>
      </c>
      <c r="P1484" t="s">
        <v>3426</v>
      </c>
      <c r="Q1484">
        <v>300</v>
      </c>
      <c r="R1484">
        <v>300</v>
      </c>
      <c r="S1484" t="s">
        <v>56</v>
      </c>
      <c r="T1484" t="s">
        <v>57</v>
      </c>
      <c r="U1484" t="s">
        <v>44</v>
      </c>
      <c r="W1484">
        <v>0</v>
      </c>
      <c r="X1484">
        <v>0</v>
      </c>
      <c r="Y1484">
        <v>0</v>
      </c>
      <c r="Z1484">
        <v>0</v>
      </c>
    </row>
    <row r="1485" spans="1:26" hidden="1" x14ac:dyDescent="0.25">
      <c r="A1485" t="s">
        <v>3427</v>
      </c>
      <c r="B1485" t="s">
        <v>2153</v>
      </c>
      <c r="C1485" s="4">
        <v>44818</v>
      </c>
      <c r="F1485" s="4">
        <v>46326</v>
      </c>
      <c r="G1485" t="s">
        <v>1326</v>
      </c>
      <c r="H1485" t="s">
        <v>2526</v>
      </c>
      <c r="K1485" t="s">
        <v>67</v>
      </c>
      <c r="L1485" t="s">
        <v>3121</v>
      </c>
      <c r="M1485" t="s">
        <v>68</v>
      </c>
      <c r="N1485" t="s">
        <v>3122</v>
      </c>
      <c r="O1485" t="s">
        <v>122</v>
      </c>
      <c r="P1485" t="s">
        <v>2099</v>
      </c>
      <c r="Q1485">
        <v>300</v>
      </c>
      <c r="R1485">
        <v>300</v>
      </c>
      <c r="S1485" t="s">
        <v>34</v>
      </c>
      <c r="T1485" t="s">
        <v>35</v>
      </c>
      <c r="U1485" t="s">
        <v>44</v>
      </c>
      <c r="W1485">
        <v>300</v>
      </c>
      <c r="X1485">
        <v>0</v>
      </c>
      <c r="Y1485">
        <v>0</v>
      </c>
      <c r="Z1485">
        <v>0</v>
      </c>
    </row>
    <row r="1486" spans="1:26" hidden="1" x14ac:dyDescent="0.25">
      <c r="A1486" t="s">
        <v>3428</v>
      </c>
      <c r="B1486" t="s">
        <v>38</v>
      </c>
      <c r="C1486" s="4">
        <v>44813</v>
      </c>
      <c r="D1486" s="4">
        <v>45006</v>
      </c>
      <c r="F1486" s="4">
        <v>45962</v>
      </c>
      <c r="G1486" t="s">
        <v>1311</v>
      </c>
      <c r="H1486" t="s">
        <v>2515</v>
      </c>
      <c r="K1486" t="s">
        <v>114</v>
      </c>
      <c r="L1486" t="s">
        <v>3121</v>
      </c>
      <c r="M1486" t="s">
        <v>68</v>
      </c>
      <c r="N1486" t="s">
        <v>3122</v>
      </c>
      <c r="O1486" t="s">
        <v>32</v>
      </c>
      <c r="P1486" t="s">
        <v>3429</v>
      </c>
      <c r="Q1486">
        <v>105</v>
      </c>
      <c r="R1486">
        <v>105</v>
      </c>
      <c r="S1486" t="s">
        <v>34</v>
      </c>
      <c r="T1486" t="s">
        <v>35</v>
      </c>
      <c r="U1486" t="s">
        <v>44</v>
      </c>
      <c r="W1486">
        <v>0</v>
      </c>
      <c r="X1486">
        <v>0</v>
      </c>
      <c r="Y1486">
        <v>0</v>
      </c>
      <c r="Z1486">
        <v>0</v>
      </c>
    </row>
    <row r="1487" spans="1:26" hidden="1" x14ac:dyDescent="0.25">
      <c r="A1487" t="s">
        <v>3430</v>
      </c>
      <c r="B1487" t="s">
        <v>2338</v>
      </c>
      <c r="C1487" s="4">
        <v>44818</v>
      </c>
      <c r="F1487" s="4">
        <v>45962</v>
      </c>
      <c r="G1487" t="s">
        <v>907</v>
      </c>
      <c r="H1487" t="s">
        <v>1421</v>
      </c>
      <c r="K1487" t="s">
        <v>53</v>
      </c>
      <c r="L1487" t="s">
        <v>3121</v>
      </c>
      <c r="M1487" t="s">
        <v>54</v>
      </c>
      <c r="N1487" t="s">
        <v>3122</v>
      </c>
      <c r="O1487" t="s">
        <v>32</v>
      </c>
      <c r="P1487" t="s">
        <v>1345</v>
      </c>
      <c r="Q1487">
        <v>100</v>
      </c>
      <c r="R1487">
        <v>100</v>
      </c>
      <c r="S1487" t="s">
        <v>34</v>
      </c>
      <c r="T1487" t="s">
        <v>35</v>
      </c>
      <c r="U1487" t="s">
        <v>44</v>
      </c>
      <c r="W1487">
        <v>100</v>
      </c>
      <c r="X1487">
        <v>100</v>
      </c>
      <c r="Y1487">
        <v>0</v>
      </c>
      <c r="Z1487">
        <v>0</v>
      </c>
    </row>
    <row r="1488" spans="1:26" hidden="1" x14ac:dyDescent="0.25">
      <c r="A1488" t="s">
        <v>3431</v>
      </c>
      <c r="B1488" t="s">
        <v>2153</v>
      </c>
      <c r="C1488" s="4">
        <v>44818</v>
      </c>
      <c r="F1488" s="4">
        <v>45962</v>
      </c>
      <c r="G1488" t="s">
        <v>907</v>
      </c>
      <c r="H1488" t="s">
        <v>1396</v>
      </c>
      <c r="K1488" t="s">
        <v>53</v>
      </c>
      <c r="L1488" t="s">
        <v>3121</v>
      </c>
      <c r="M1488" t="s">
        <v>54</v>
      </c>
      <c r="N1488" t="s">
        <v>3122</v>
      </c>
      <c r="O1488" t="s">
        <v>32</v>
      </c>
      <c r="P1488" t="s">
        <v>2757</v>
      </c>
      <c r="Q1488">
        <v>180</v>
      </c>
      <c r="R1488">
        <v>180</v>
      </c>
      <c r="S1488" t="s">
        <v>34</v>
      </c>
      <c r="T1488" t="s">
        <v>35</v>
      </c>
      <c r="U1488" t="s">
        <v>44</v>
      </c>
      <c r="W1488">
        <v>180</v>
      </c>
      <c r="X1488">
        <v>180</v>
      </c>
      <c r="Y1488">
        <v>0</v>
      </c>
      <c r="Z1488">
        <v>0</v>
      </c>
    </row>
    <row r="1489" spans="1:26" hidden="1" x14ac:dyDescent="0.25">
      <c r="A1489" t="s">
        <v>3432</v>
      </c>
      <c r="B1489" t="s">
        <v>2153</v>
      </c>
      <c r="C1489" s="4">
        <v>44818</v>
      </c>
      <c r="F1489" s="4">
        <v>45962</v>
      </c>
      <c r="G1489" t="s">
        <v>907</v>
      </c>
      <c r="H1489" t="s">
        <v>1421</v>
      </c>
      <c r="K1489" t="s">
        <v>53</v>
      </c>
      <c r="L1489" t="s">
        <v>3121</v>
      </c>
      <c r="M1489" t="s">
        <v>54</v>
      </c>
      <c r="N1489" t="s">
        <v>3122</v>
      </c>
      <c r="O1489" t="s">
        <v>32</v>
      </c>
      <c r="P1489" t="s">
        <v>3433</v>
      </c>
      <c r="Q1489">
        <v>85</v>
      </c>
      <c r="R1489">
        <v>85</v>
      </c>
      <c r="S1489" t="s">
        <v>34</v>
      </c>
      <c r="T1489" t="s">
        <v>35</v>
      </c>
      <c r="U1489" t="s">
        <v>44</v>
      </c>
      <c r="W1489">
        <v>85</v>
      </c>
      <c r="X1489">
        <v>85</v>
      </c>
      <c r="Y1489">
        <v>0</v>
      </c>
      <c r="Z1489">
        <v>0</v>
      </c>
    </row>
    <row r="1490" spans="1:26" hidden="1" x14ac:dyDescent="0.25">
      <c r="A1490" t="s">
        <v>3434</v>
      </c>
      <c r="B1490" t="s">
        <v>38</v>
      </c>
      <c r="C1490" s="4">
        <v>44818</v>
      </c>
      <c r="D1490" s="4">
        <v>45009</v>
      </c>
      <c r="F1490" s="4">
        <v>45962</v>
      </c>
      <c r="G1490" t="s">
        <v>52</v>
      </c>
      <c r="H1490" t="s">
        <v>2288</v>
      </c>
      <c r="K1490" t="s">
        <v>53</v>
      </c>
      <c r="L1490" t="s">
        <v>3121</v>
      </c>
      <c r="M1490" t="s">
        <v>54</v>
      </c>
      <c r="N1490" t="s">
        <v>3122</v>
      </c>
      <c r="O1490" t="s">
        <v>32</v>
      </c>
      <c r="P1490" t="s">
        <v>2289</v>
      </c>
      <c r="Q1490">
        <v>200</v>
      </c>
      <c r="R1490">
        <v>200</v>
      </c>
      <c r="S1490" t="s">
        <v>34</v>
      </c>
      <c r="T1490" t="s">
        <v>35</v>
      </c>
      <c r="U1490" t="s">
        <v>44</v>
      </c>
      <c r="W1490">
        <v>0</v>
      </c>
      <c r="X1490">
        <v>0</v>
      </c>
      <c r="Y1490">
        <v>0</v>
      </c>
      <c r="Z1490">
        <v>0</v>
      </c>
    </row>
    <row r="1491" spans="1:26" hidden="1" x14ac:dyDescent="0.25">
      <c r="A1491" t="s">
        <v>3435</v>
      </c>
      <c r="B1491" t="s">
        <v>38</v>
      </c>
      <c r="C1491" s="4">
        <v>44818</v>
      </c>
      <c r="D1491" s="4">
        <v>45009</v>
      </c>
      <c r="F1491" s="4">
        <v>45962</v>
      </c>
      <c r="G1491" t="s">
        <v>52</v>
      </c>
      <c r="H1491" t="s">
        <v>2288</v>
      </c>
      <c r="K1491" t="s">
        <v>53</v>
      </c>
      <c r="L1491" t="s">
        <v>3121</v>
      </c>
      <c r="M1491" t="s">
        <v>54</v>
      </c>
      <c r="N1491" t="s">
        <v>3122</v>
      </c>
      <c r="O1491" t="s">
        <v>32</v>
      </c>
      <c r="P1491" t="s">
        <v>3436</v>
      </c>
      <c r="Q1491">
        <v>150</v>
      </c>
      <c r="R1491">
        <v>150</v>
      </c>
      <c r="S1491" t="s">
        <v>34</v>
      </c>
      <c r="T1491" t="s">
        <v>35</v>
      </c>
      <c r="U1491" t="s">
        <v>44</v>
      </c>
      <c r="W1491">
        <v>0</v>
      </c>
      <c r="X1491">
        <v>0</v>
      </c>
      <c r="Y1491">
        <v>0</v>
      </c>
      <c r="Z1491">
        <v>0</v>
      </c>
    </row>
    <row r="1492" spans="1:26" hidden="1" x14ac:dyDescent="0.25">
      <c r="A1492" t="s">
        <v>3437</v>
      </c>
      <c r="B1492" t="s">
        <v>38</v>
      </c>
      <c r="C1492" s="4">
        <v>44818</v>
      </c>
      <c r="D1492" s="4">
        <v>45010</v>
      </c>
      <c r="F1492" s="4">
        <v>46326</v>
      </c>
      <c r="G1492" t="s">
        <v>616</v>
      </c>
      <c r="H1492" t="s">
        <v>3438</v>
      </c>
      <c r="K1492" t="s">
        <v>146</v>
      </c>
      <c r="L1492" t="s">
        <v>3121</v>
      </c>
      <c r="M1492" t="s">
        <v>68</v>
      </c>
      <c r="N1492" t="s">
        <v>3122</v>
      </c>
      <c r="O1492" t="s">
        <v>32</v>
      </c>
      <c r="P1492" t="s">
        <v>3439</v>
      </c>
      <c r="Q1492">
        <v>140</v>
      </c>
      <c r="R1492">
        <v>140</v>
      </c>
      <c r="S1492" t="s">
        <v>159</v>
      </c>
      <c r="T1492" t="s">
        <v>159</v>
      </c>
      <c r="U1492" t="s">
        <v>44</v>
      </c>
      <c r="W1492">
        <v>0</v>
      </c>
      <c r="X1492">
        <v>0</v>
      </c>
      <c r="Y1492">
        <v>0</v>
      </c>
      <c r="Z1492">
        <v>0</v>
      </c>
    </row>
    <row r="1493" spans="1:26" hidden="1" x14ac:dyDescent="0.25">
      <c r="A1493" t="s">
        <v>3440</v>
      </c>
      <c r="B1493" t="s">
        <v>2153</v>
      </c>
      <c r="C1493" s="4">
        <v>44818</v>
      </c>
      <c r="F1493" s="4">
        <v>45962</v>
      </c>
      <c r="G1493" t="s">
        <v>907</v>
      </c>
      <c r="H1493" t="s">
        <v>3441</v>
      </c>
      <c r="K1493" t="s">
        <v>53</v>
      </c>
      <c r="L1493" t="s">
        <v>3121</v>
      </c>
      <c r="M1493" t="s">
        <v>54</v>
      </c>
      <c r="N1493" t="s">
        <v>3122</v>
      </c>
      <c r="O1493" t="s">
        <v>32</v>
      </c>
      <c r="P1493" t="s">
        <v>2314</v>
      </c>
      <c r="Q1493">
        <v>125</v>
      </c>
      <c r="R1493">
        <v>125</v>
      </c>
      <c r="S1493" t="s">
        <v>34</v>
      </c>
      <c r="T1493" t="s">
        <v>35</v>
      </c>
      <c r="U1493" t="s">
        <v>44</v>
      </c>
      <c r="W1493">
        <v>125</v>
      </c>
      <c r="X1493">
        <v>125</v>
      </c>
      <c r="Y1493">
        <v>0</v>
      </c>
      <c r="Z1493">
        <v>0</v>
      </c>
    </row>
    <row r="1494" spans="1:26" hidden="1" x14ac:dyDescent="0.25">
      <c r="A1494" t="s">
        <v>3442</v>
      </c>
      <c r="B1494" t="s">
        <v>38</v>
      </c>
      <c r="C1494" s="4">
        <v>44818</v>
      </c>
      <c r="D1494" s="4">
        <v>45870</v>
      </c>
      <c r="F1494" s="4">
        <v>45962</v>
      </c>
      <c r="G1494" t="s">
        <v>52</v>
      </c>
      <c r="H1494" t="s">
        <v>1330</v>
      </c>
      <c r="K1494" t="s">
        <v>53</v>
      </c>
      <c r="L1494" t="s">
        <v>3121</v>
      </c>
      <c r="M1494" t="s">
        <v>54</v>
      </c>
      <c r="N1494" t="s">
        <v>3122</v>
      </c>
      <c r="O1494" t="s">
        <v>32</v>
      </c>
      <c r="P1494" t="s">
        <v>3443</v>
      </c>
      <c r="Q1494">
        <v>100</v>
      </c>
      <c r="R1494">
        <v>100</v>
      </c>
      <c r="S1494" t="s">
        <v>34</v>
      </c>
      <c r="T1494" t="s">
        <v>35</v>
      </c>
      <c r="U1494" t="s">
        <v>44</v>
      </c>
      <c r="W1494">
        <v>0</v>
      </c>
      <c r="X1494">
        <v>0</v>
      </c>
      <c r="Y1494">
        <v>0</v>
      </c>
      <c r="Z1494">
        <v>0</v>
      </c>
    </row>
    <row r="1495" spans="1:26" hidden="1" x14ac:dyDescent="0.25">
      <c r="A1495" t="s">
        <v>3444</v>
      </c>
      <c r="B1495" t="s">
        <v>38</v>
      </c>
      <c r="C1495" s="4">
        <v>44819</v>
      </c>
      <c r="D1495" s="4">
        <v>45937</v>
      </c>
      <c r="F1495" s="4">
        <v>45596</v>
      </c>
      <c r="G1495" t="s">
        <v>177</v>
      </c>
      <c r="H1495" t="s">
        <v>3445</v>
      </c>
      <c r="K1495" t="s">
        <v>41</v>
      </c>
      <c r="L1495" t="s">
        <v>3121</v>
      </c>
      <c r="M1495" t="s">
        <v>42</v>
      </c>
      <c r="N1495" t="s">
        <v>3122</v>
      </c>
      <c r="O1495" t="s">
        <v>32</v>
      </c>
      <c r="P1495" t="s">
        <v>3446</v>
      </c>
      <c r="Q1495">
        <v>300</v>
      </c>
      <c r="R1495">
        <v>300</v>
      </c>
      <c r="S1495" t="s">
        <v>159</v>
      </c>
      <c r="T1495" t="s">
        <v>159</v>
      </c>
      <c r="U1495" t="s">
        <v>44</v>
      </c>
      <c r="W1495">
        <v>0</v>
      </c>
      <c r="X1495">
        <v>0</v>
      </c>
      <c r="Y1495">
        <v>0</v>
      </c>
      <c r="Z1495">
        <v>0</v>
      </c>
    </row>
    <row r="1496" spans="1:26" hidden="1" x14ac:dyDescent="0.25">
      <c r="A1496" t="s">
        <v>3447</v>
      </c>
      <c r="B1496" t="s">
        <v>38</v>
      </c>
      <c r="C1496" s="4">
        <v>44818</v>
      </c>
      <c r="D1496" s="4">
        <v>45870</v>
      </c>
      <c r="F1496" s="4">
        <v>45962</v>
      </c>
      <c r="G1496" t="s">
        <v>52</v>
      </c>
      <c r="H1496" t="s">
        <v>3448</v>
      </c>
      <c r="K1496" t="s">
        <v>53</v>
      </c>
      <c r="L1496" t="s">
        <v>3121</v>
      </c>
      <c r="M1496" t="s">
        <v>54</v>
      </c>
      <c r="N1496" t="s">
        <v>3122</v>
      </c>
      <c r="O1496" t="s">
        <v>32</v>
      </c>
      <c r="P1496" t="s">
        <v>3449</v>
      </c>
      <c r="Q1496">
        <v>184</v>
      </c>
      <c r="R1496">
        <v>184</v>
      </c>
      <c r="S1496" t="s">
        <v>34</v>
      </c>
      <c r="T1496" t="s">
        <v>35</v>
      </c>
      <c r="U1496" t="s">
        <v>44</v>
      </c>
      <c r="W1496">
        <v>0</v>
      </c>
      <c r="X1496">
        <v>0</v>
      </c>
      <c r="Y1496">
        <v>0</v>
      </c>
      <c r="Z1496">
        <v>0</v>
      </c>
    </row>
    <row r="1497" spans="1:26" hidden="1" x14ac:dyDescent="0.25">
      <c r="A1497" t="s">
        <v>3450</v>
      </c>
      <c r="B1497" t="s">
        <v>38</v>
      </c>
      <c r="C1497" s="4">
        <v>44818</v>
      </c>
      <c r="D1497" s="4">
        <v>45009</v>
      </c>
      <c r="F1497" s="4">
        <v>45962</v>
      </c>
      <c r="G1497" t="s">
        <v>52</v>
      </c>
      <c r="H1497" t="s">
        <v>1330</v>
      </c>
      <c r="K1497" t="s">
        <v>53</v>
      </c>
      <c r="L1497" t="s">
        <v>3121</v>
      </c>
      <c r="M1497" t="s">
        <v>54</v>
      </c>
      <c r="N1497" t="s">
        <v>3122</v>
      </c>
      <c r="O1497" t="s">
        <v>32</v>
      </c>
      <c r="P1497" t="s">
        <v>3451</v>
      </c>
      <c r="Q1497">
        <v>178</v>
      </c>
      <c r="R1497">
        <v>178</v>
      </c>
      <c r="S1497" t="s">
        <v>34</v>
      </c>
      <c r="T1497" t="s">
        <v>35</v>
      </c>
      <c r="U1497" t="s">
        <v>44</v>
      </c>
      <c r="W1497">
        <v>0</v>
      </c>
      <c r="X1497">
        <v>0</v>
      </c>
      <c r="Y1497">
        <v>0</v>
      </c>
      <c r="Z1497">
        <v>0</v>
      </c>
    </row>
    <row r="1498" spans="1:26" hidden="1" x14ac:dyDescent="0.25">
      <c r="A1498" t="s">
        <v>3452</v>
      </c>
      <c r="B1498" t="s">
        <v>2338</v>
      </c>
      <c r="C1498" s="4">
        <v>44817</v>
      </c>
      <c r="F1498" s="4">
        <v>46141</v>
      </c>
      <c r="H1498" t="s">
        <v>2569</v>
      </c>
      <c r="K1498" t="s">
        <v>41</v>
      </c>
      <c r="L1498" t="s">
        <v>3121</v>
      </c>
      <c r="M1498" t="s">
        <v>42</v>
      </c>
      <c r="N1498" t="s">
        <v>3122</v>
      </c>
      <c r="O1498" t="s">
        <v>32</v>
      </c>
      <c r="P1498" t="s">
        <v>3453</v>
      </c>
      <c r="Q1498">
        <v>100</v>
      </c>
      <c r="R1498">
        <v>100</v>
      </c>
      <c r="S1498" t="s">
        <v>34</v>
      </c>
      <c r="T1498" t="s">
        <v>35</v>
      </c>
      <c r="U1498" t="s">
        <v>44</v>
      </c>
      <c r="W1498">
        <v>100</v>
      </c>
      <c r="X1498">
        <v>100</v>
      </c>
      <c r="Y1498">
        <v>0</v>
      </c>
      <c r="Z1498">
        <v>0</v>
      </c>
    </row>
    <row r="1499" spans="1:26" hidden="1" x14ac:dyDescent="0.25">
      <c r="A1499" t="s">
        <v>3454</v>
      </c>
      <c r="B1499" t="s">
        <v>2153</v>
      </c>
      <c r="C1499" s="4">
        <v>44817</v>
      </c>
      <c r="F1499" s="4">
        <v>46088</v>
      </c>
      <c r="G1499" t="s">
        <v>1690</v>
      </c>
      <c r="H1499" t="s">
        <v>1640</v>
      </c>
      <c r="K1499" t="s">
        <v>98</v>
      </c>
      <c r="L1499" t="s">
        <v>3121</v>
      </c>
      <c r="M1499" t="s">
        <v>84</v>
      </c>
      <c r="N1499" t="s">
        <v>2160</v>
      </c>
      <c r="O1499" t="s">
        <v>32</v>
      </c>
      <c r="P1499" t="s">
        <v>3455</v>
      </c>
      <c r="Q1499">
        <v>400</v>
      </c>
      <c r="R1499">
        <v>400</v>
      </c>
      <c r="S1499" t="s">
        <v>159</v>
      </c>
      <c r="T1499" t="s">
        <v>159</v>
      </c>
      <c r="U1499" t="s">
        <v>44</v>
      </c>
      <c r="W1499">
        <v>400</v>
      </c>
      <c r="X1499">
        <v>400</v>
      </c>
      <c r="Y1499">
        <v>0</v>
      </c>
      <c r="Z1499">
        <v>0</v>
      </c>
    </row>
    <row r="1500" spans="1:26" hidden="1" x14ac:dyDescent="0.25">
      <c r="A1500" t="s">
        <v>3456</v>
      </c>
      <c r="B1500" t="s">
        <v>38</v>
      </c>
      <c r="C1500" s="4">
        <v>44816</v>
      </c>
      <c r="D1500" s="4">
        <v>45957</v>
      </c>
      <c r="F1500" s="4">
        <v>46088</v>
      </c>
      <c r="G1500" t="s">
        <v>117</v>
      </c>
      <c r="H1500" t="s">
        <v>1279</v>
      </c>
      <c r="K1500" t="s">
        <v>83</v>
      </c>
      <c r="L1500" t="s">
        <v>3121</v>
      </c>
      <c r="M1500" t="s">
        <v>84</v>
      </c>
      <c r="N1500" t="s">
        <v>2160</v>
      </c>
      <c r="O1500" t="s">
        <v>32</v>
      </c>
      <c r="P1500" t="s">
        <v>3457</v>
      </c>
      <c r="Q1500">
        <v>300</v>
      </c>
      <c r="R1500">
        <v>300</v>
      </c>
      <c r="S1500" t="s">
        <v>159</v>
      </c>
      <c r="T1500" t="s">
        <v>159</v>
      </c>
      <c r="U1500" t="s">
        <v>44</v>
      </c>
      <c r="W1500">
        <v>0</v>
      </c>
      <c r="X1500">
        <v>0</v>
      </c>
      <c r="Y1500">
        <v>0</v>
      </c>
      <c r="Z1500">
        <v>0</v>
      </c>
    </row>
    <row r="1501" spans="1:26" hidden="1" x14ac:dyDescent="0.25">
      <c r="A1501" t="s">
        <v>3458</v>
      </c>
      <c r="B1501" t="s">
        <v>38</v>
      </c>
      <c r="C1501" s="4">
        <v>44816</v>
      </c>
      <c r="D1501" s="4">
        <v>45009</v>
      </c>
      <c r="F1501" s="4">
        <v>46088</v>
      </c>
      <c r="G1501" t="s">
        <v>1257</v>
      </c>
      <c r="H1501" t="s">
        <v>3459</v>
      </c>
      <c r="K1501" t="s">
        <v>98</v>
      </c>
      <c r="L1501" t="s">
        <v>3121</v>
      </c>
      <c r="M1501" t="s">
        <v>84</v>
      </c>
      <c r="N1501" t="s">
        <v>2160</v>
      </c>
      <c r="O1501" t="s">
        <v>32</v>
      </c>
      <c r="P1501" t="s">
        <v>3460</v>
      </c>
      <c r="Q1501">
        <v>250</v>
      </c>
      <c r="R1501">
        <v>250</v>
      </c>
      <c r="S1501" t="s">
        <v>159</v>
      </c>
      <c r="T1501" t="s">
        <v>159</v>
      </c>
      <c r="U1501" t="s">
        <v>44</v>
      </c>
      <c r="W1501">
        <v>0</v>
      </c>
      <c r="X1501">
        <v>0</v>
      </c>
      <c r="Y1501">
        <v>0</v>
      </c>
      <c r="Z1501">
        <v>0</v>
      </c>
    </row>
    <row r="1502" spans="1:26" hidden="1" x14ac:dyDescent="0.25">
      <c r="A1502" t="s">
        <v>3461</v>
      </c>
      <c r="B1502" t="s">
        <v>2153</v>
      </c>
      <c r="C1502" s="4">
        <v>44816</v>
      </c>
      <c r="F1502" s="4">
        <v>46088</v>
      </c>
      <c r="G1502" t="s">
        <v>52</v>
      </c>
      <c r="H1502" t="s">
        <v>1362</v>
      </c>
      <c r="K1502" t="s">
        <v>53</v>
      </c>
      <c r="L1502" t="s">
        <v>3121</v>
      </c>
      <c r="M1502" t="s">
        <v>54</v>
      </c>
      <c r="N1502" t="s">
        <v>3122</v>
      </c>
      <c r="O1502" t="s">
        <v>32</v>
      </c>
      <c r="P1502" t="s">
        <v>3462</v>
      </c>
      <c r="Q1502">
        <v>100</v>
      </c>
      <c r="R1502">
        <v>100</v>
      </c>
      <c r="S1502" t="s">
        <v>159</v>
      </c>
      <c r="T1502" t="s">
        <v>159</v>
      </c>
      <c r="U1502" t="s">
        <v>44</v>
      </c>
      <c r="W1502">
        <v>100</v>
      </c>
      <c r="X1502">
        <v>100</v>
      </c>
      <c r="Y1502">
        <v>0</v>
      </c>
      <c r="Z1502">
        <v>0</v>
      </c>
    </row>
    <row r="1503" spans="1:26" hidden="1" x14ac:dyDescent="0.25">
      <c r="A1503" t="s">
        <v>3463</v>
      </c>
      <c r="B1503" t="s">
        <v>38</v>
      </c>
      <c r="C1503" s="4">
        <v>44819</v>
      </c>
      <c r="D1503" s="4">
        <v>45869</v>
      </c>
      <c r="F1503" s="4">
        <v>46326</v>
      </c>
      <c r="G1503" t="s">
        <v>616</v>
      </c>
      <c r="H1503" t="s">
        <v>1656</v>
      </c>
      <c r="K1503" t="s">
        <v>146</v>
      </c>
      <c r="L1503" t="s">
        <v>3121</v>
      </c>
      <c r="M1503" t="s">
        <v>68</v>
      </c>
      <c r="N1503" t="s">
        <v>3122</v>
      </c>
      <c r="O1503" t="s">
        <v>32</v>
      </c>
      <c r="P1503" t="s">
        <v>3464</v>
      </c>
      <c r="Q1503">
        <v>175</v>
      </c>
      <c r="R1503">
        <v>175</v>
      </c>
      <c r="S1503" t="s">
        <v>159</v>
      </c>
      <c r="T1503" t="s">
        <v>159</v>
      </c>
      <c r="U1503" t="s">
        <v>44</v>
      </c>
      <c r="W1503">
        <v>0</v>
      </c>
      <c r="X1503">
        <v>0</v>
      </c>
      <c r="Y1503">
        <v>0</v>
      </c>
      <c r="Z1503">
        <v>0</v>
      </c>
    </row>
    <row r="1504" spans="1:26" hidden="1" x14ac:dyDescent="0.25">
      <c r="A1504" t="s">
        <v>3465</v>
      </c>
      <c r="B1504" t="s">
        <v>2153</v>
      </c>
      <c r="C1504" s="4">
        <v>44817</v>
      </c>
      <c r="F1504" s="4">
        <v>45597</v>
      </c>
      <c r="G1504" t="s">
        <v>39</v>
      </c>
      <c r="H1504" t="s">
        <v>1271</v>
      </c>
      <c r="K1504" t="s">
        <v>41</v>
      </c>
      <c r="L1504" t="s">
        <v>3121</v>
      </c>
      <c r="M1504" t="s">
        <v>42</v>
      </c>
      <c r="N1504" t="s">
        <v>3122</v>
      </c>
      <c r="O1504" t="s">
        <v>32</v>
      </c>
      <c r="P1504" t="s">
        <v>3466</v>
      </c>
      <c r="Q1504">
        <v>150</v>
      </c>
      <c r="R1504">
        <v>150</v>
      </c>
      <c r="S1504" t="s">
        <v>34</v>
      </c>
      <c r="T1504" t="s">
        <v>35</v>
      </c>
      <c r="U1504" t="s">
        <v>44</v>
      </c>
      <c r="W1504">
        <v>150</v>
      </c>
      <c r="X1504">
        <v>150</v>
      </c>
      <c r="Y1504">
        <v>0</v>
      </c>
      <c r="Z1504">
        <v>0</v>
      </c>
    </row>
    <row r="1505" spans="1:26" hidden="1" x14ac:dyDescent="0.25">
      <c r="A1505" t="s">
        <v>3467</v>
      </c>
      <c r="B1505" t="s">
        <v>2153</v>
      </c>
      <c r="C1505" s="4">
        <v>44817</v>
      </c>
      <c r="F1505" s="4">
        <v>45715</v>
      </c>
      <c r="G1505" t="s">
        <v>1597</v>
      </c>
      <c r="H1505" t="s">
        <v>1415</v>
      </c>
      <c r="K1505" t="s">
        <v>185</v>
      </c>
      <c r="L1505" t="s">
        <v>3121</v>
      </c>
      <c r="M1505" t="s">
        <v>42</v>
      </c>
      <c r="N1505" t="s">
        <v>3122</v>
      </c>
      <c r="O1505" t="s">
        <v>122</v>
      </c>
      <c r="P1505" t="s">
        <v>2244</v>
      </c>
      <c r="Q1505">
        <v>150</v>
      </c>
      <c r="R1505">
        <v>150</v>
      </c>
      <c r="S1505" t="s">
        <v>56</v>
      </c>
      <c r="T1505" t="s">
        <v>57</v>
      </c>
      <c r="U1505" t="s">
        <v>44</v>
      </c>
      <c r="W1505">
        <v>150</v>
      </c>
      <c r="X1505">
        <v>0</v>
      </c>
      <c r="Y1505">
        <v>0</v>
      </c>
      <c r="Z1505">
        <v>0</v>
      </c>
    </row>
    <row r="1506" spans="1:26" hidden="1" x14ac:dyDescent="0.25">
      <c r="A1506" t="s">
        <v>3468</v>
      </c>
      <c r="B1506" t="s">
        <v>38</v>
      </c>
      <c r="C1506" s="4">
        <v>44818</v>
      </c>
      <c r="D1506" s="4">
        <v>45010</v>
      </c>
      <c r="F1506" s="4">
        <v>46326</v>
      </c>
      <c r="G1506" t="s">
        <v>144</v>
      </c>
      <c r="H1506" t="s">
        <v>3025</v>
      </c>
      <c r="K1506" t="s">
        <v>146</v>
      </c>
      <c r="L1506" t="s">
        <v>3121</v>
      </c>
      <c r="M1506" t="s">
        <v>68</v>
      </c>
      <c r="N1506" t="s">
        <v>3122</v>
      </c>
      <c r="O1506" t="s">
        <v>32</v>
      </c>
      <c r="P1506" t="s">
        <v>3469</v>
      </c>
      <c r="Q1506">
        <v>100</v>
      </c>
      <c r="R1506">
        <v>100</v>
      </c>
      <c r="S1506" t="s">
        <v>159</v>
      </c>
      <c r="T1506" t="s">
        <v>159</v>
      </c>
      <c r="U1506" t="s">
        <v>44</v>
      </c>
      <c r="W1506">
        <v>0</v>
      </c>
      <c r="X1506">
        <v>0</v>
      </c>
      <c r="Y1506">
        <v>0</v>
      </c>
      <c r="Z1506">
        <v>0</v>
      </c>
    </row>
    <row r="1507" spans="1:26" hidden="1" x14ac:dyDescent="0.25">
      <c r="A1507" t="s">
        <v>3470</v>
      </c>
      <c r="B1507" t="s">
        <v>38</v>
      </c>
      <c r="C1507" s="4">
        <v>44819</v>
      </c>
      <c r="D1507" s="4">
        <v>45010</v>
      </c>
      <c r="F1507" s="4">
        <v>46326</v>
      </c>
      <c r="G1507" t="s">
        <v>117</v>
      </c>
      <c r="H1507" t="s">
        <v>1954</v>
      </c>
      <c r="K1507" t="s">
        <v>83</v>
      </c>
      <c r="L1507" t="s">
        <v>3121</v>
      </c>
      <c r="M1507" t="s">
        <v>84</v>
      </c>
      <c r="N1507" t="s">
        <v>2160</v>
      </c>
      <c r="O1507" t="s">
        <v>32</v>
      </c>
      <c r="P1507" t="s">
        <v>3471</v>
      </c>
      <c r="Q1507">
        <v>300</v>
      </c>
      <c r="R1507">
        <v>300</v>
      </c>
      <c r="S1507" t="s">
        <v>159</v>
      </c>
      <c r="T1507" t="s">
        <v>159</v>
      </c>
      <c r="U1507" t="s">
        <v>44</v>
      </c>
      <c r="W1507">
        <v>0</v>
      </c>
      <c r="X1507">
        <v>0</v>
      </c>
      <c r="Y1507">
        <v>0</v>
      </c>
      <c r="Z1507">
        <v>0</v>
      </c>
    </row>
    <row r="1508" spans="1:26" hidden="1" x14ac:dyDescent="0.25">
      <c r="A1508" t="s">
        <v>3472</v>
      </c>
      <c r="B1508" t="s">
        <v>38</v>
      </c>
      <c r="C1508" s="4">
        <v>44819</v>
      </c>
      <c r="D1508" s="4">
        <v>45869</v>
      </c>
      <c r="F1508" s="4">
        <v>46326</v>
      </c>
      <c r="G1508" t="s">
        <v>616</v>
      </c>
      <c r="H1508" t="s">
        <v>1656</v>
      </c>
      <c r="K1508" t="s">
        <v>146</v>
      </c>
      <c r="L1508" t="s">
        <v>3121</v>
      </c>
      <c r="M1508" t="s">
        <v>68</v>
      </c>
      <c r="N1508" t="s">
        <v>3122</v>
      </c>
      <c r="O1508" t="s">
        <v>32</v>
      </c>
      <c r="P1508" t="s">
        <v>3464</v>
      </c>
      <c r="Q1508">
        <v>250</v>
      </c>
      <c r="R1508">
        <v>250</v>
      </c>
      <c r="S1508" t="s">
        <v>34</v>
      </c>
      <c r="T1508" t="s">
        <v>35</v>
      </c>
      <c r="U1508" t="s">
        <v>44</v>
      </c>
      <c r="W1508">
        <v>0</v>
      </c>
      <c r="X1508">
        <v>0</v>
      </c>
      <c r="Y1508">
        <v>0</v>
      </c>
      <c r="Z1508">
        <v>0</v>
      </c>
    </row>
    <row r="1509" spans="1:26" hidden="1" x14ac:dyDescent="0.25">
      <c r="A1509" t="s">
        <v>3473</v>
      </c>
      <c r="B1509" t="s">
        <v>38</v>
      </c>
      <c r="C1509" s="4">
        <v>44819</v>
      </c>
      <c r="D1509" s="4">
        <v>45957</v>
      </c>
      <c r="F1509" s="4">
        <v>46327</v>
      </c>
      <c r="G1509" t="s">
        <v>3474</v>
      </c>
      <c r="H1509" t="s">
        <v>1781</v>
      </c>
      <c r="K1509" t="s">
        <v>109</v>
      </c>
      <c r="L1509" t="s">
        <v>3121</v>
      </c>
      <c r="M1509" t="s">
        <v>84</v>
      </c>
      <c r="N1509" t="s">
        <v>2160</v>
      </c>
      <c r="O1509" t="s">
        <v>32</v>
      </c>
      <c r="P1509" t="s">
        <v>3475</v>
      </c>
      <c r="Q1509">
        <v>100</v>
      </c>
      <c r="R1509">
        <v>100</v>
      </c>
      <c r="S1509" t="s">
        <v>159</v>
      </c>
      <c r="T1509" t="s">
        <v>159</v>
      </c>
      <c r="U1509" t="s">
        <v>44</v>
      </c>
      <c r="W1509">
        <v>0</v>
      </c>
      <c r="X1509">
        <v>0</v>
      </c>
      <c r="Y1509">
        <v>0</v>
      </c>
      <c r="Z1509">
        <v>0</v>
      </c>
    </row>
    <row r="1510" spans="1:26" hidden="1" x14ac:dyDescent="0.25">
      <c r="A1510" t="s">
        <v>3476</v>
      </c>
      <c r="B1510" t="s">
        <v>38</v>
      </c>
      <c r="C1510" s="4">
        <v>44818</v>
      </c>
      <c r="D1510" s="4">
        <v>45957</v>
      </c>
      <c r="F1510" s="4">
        <v>45961</v>
      </c>
      <c r="G1510" t="s">
        <v>101</v>
      </c>
      <c r="H1510" t="s">
        <v>1663</v>
      </c>
      <c r="K1510" t="s">
        <v>98</v>
      </c>
      <c r="L1510" t="s">
        <v>3121</v>
      </c>
      <c r="M1510" t="s">
        <v>84</v>
      </c>
      <c r="N1510" t="s">
        <v>2160</v>
      </c>
      <c r="O1510" t="s">
        <v>32</v>
      </c>
      <c r="P1510" t="s">
        <v>3477</v>
      </c>
      <c r="Q1510">
        <v>250</v>
      </c>
      <c r="R1510">
        <v>250</v>
      </c>
      <c r="S1510" t="s">
        <v>34</v>
      </c>
      <c r="T1510" t="s">
        <v>35</v>
      </c>
      <c r="U1510" t="s">
        <v>44</v>
      </c>
      <c r="W1510">
        <v>0</v>
      </c>
      <c r="X1510">
        <v>0</v>
      </c>
      <c r="Y1510">
        <v>0</v>
      </c>
      <c r="Z1510">
        <v>0</v>
      </c>
    </row>
    <row r="1511" spans="1:26" hidden="1" x14ac:dyDescent="0.25">
      <c r="A1511" t="s">
        <v>3478</v>
      </c>
      <c r="B1511" t="s">
        <v>38</v>
      </c>
      <c r="C1511" s="4">
        <v>44818</v>
      </c>
      <c r="D1511" s="4">
        <v>45869</v>
      </c>
      <c r="F1511" s="4">
        <v>46327</v>
      </c>
      <c r="G1511" t="s">
        <v>144</v>
      </c>
      <c r="H1511" t="s">
        <v>1618</v>
      </c>
      <c r="K1511" t="s">
        <v>146</v>
      </c>
      <c r="L1511" t="s">
        <v>3121</v>
      </c>
      <c r="M1511" t="s">
        <v>68</v>
      </c>
      <c r="N1511" t="s">
        <v>3122</v>
      </c>
      <c r="O1511" t="s">
        <v>32</v>
      </c>
      <c r="P1511" t="s">
        <v>3479</v>
      </c>
      <c r="Q1511">
        <v>300</v>
      </c>
      <c r="R1511">
        <v>300</v>
      </c>
      <c r="S1511" t="s">
        <v>34</v>
      </c>
      <c r="T1511" t="s">
        <v>35</v>
      </c>
      <c r="U1511" t="s">
        <v>44</v>
      </c>
      <c r="W1511">
        <v>0</v>
      </c>
      <c r="X1511">
        <v>0</v>
      </c>
      <c r="Y1511">
        <v>0</v>
      </c>
      <c r="Z1511">
        <v>0</v>
      </c>
    </row>
    <row r="1512" spans="1:26" hidden="1" x14ac:dyDescent="0.25">
      <c r="A1512" t="s">
        <v>3480</v>
      </c>
      <c r="B1512" t="s">
        <v>2338</v>
      </c>
      <c r="C1512" s="4">
        <v>44819</v>
      </c>
      <c r="F1512" s="4">
        <v>45961</v>
      </c>
      <c r="G1512" t="s">
        <v>691</v>
      </c>
      <c r="H1512" t="s">
        <v>2591</v>
      </c>
      <c r="K1512" t="s">
        <v>98</v>
      </c>
      <c r="L1512" t="s">
        <v>3121</v>
      </c>
      <c r="M1512" t="s">
        <v>84</v>
      </c>
      <c r="N1512" t="s">
        <v>2160</v>
      </c>
      <c r="O1512" t="s">
        <v>32</v>
      </c>
      <c r="P1512" t="s">
        <v>3481</v>
      </c>
      <c r="Q1512">
        <v>200</v>
      </c>
      <c r="R1512">
        <v>200</v>
      </c>
      <c r="S1512" t="s">
        <v>56</v>
      </c>
      <c r="T1512" t="s">
        <v>57</v>
      </c>
      <c r="U1512" t="s">
        <v>44</v>
      </c>
      <c r="W1512">
        <v>200</v>
      </c>
      <c r="X1512">
        <v>200</v>
      </c>
      <c r="Y1512">
        <v>0</v>
      </c>
      <c r="Z1512">
        <v>0</v>
      </c>
    </row>
    <row r="1513" spans="1:26" hidden="1" x14ac:dyDescent="0.25">
      <c r="A1513" t="s">
        <v>3482</v>
      </c>
      <c r="B1513" t="s">
        <v>38</v>
      </c>
      <c r="C1513" s="4">
        <v>44819</v>
      </c>
      <c r="D1513" s="4">
        <v>45869</v>
      </c>
      <c r="F1513" s="4">
        <v>46327</v>
      </c>
      <c r="G1513" t="s">
        <v>65</v>
      </c>
      <c r="H1513" t="s">
        <v>1279</v>
      </c>
      <c r="K1513" t="s">
        <v>67</v>
      </c>
      <c r="L1513" t="s">
        <v>3121</v>
      </c>
      <c r="M1513" t="s">
        <v>68</v>
      </c>
      <c r="N1513" t="s">
        <v>3122</v>
      </c>
      <c r="O1513" t="s">
        <v>32</v>
      </c>
      <c r="P1513" t="s">
        <v>3483</v>
      </c>
      <c r="Q1513">
        <v>350</v>
      </c>
      <c r="R1513">
        <v>350</v>
      </c>
      <c r="S1513" t="s">
        <v>34</v>
      </c>
      <c r="T1513" t="s">
        <v>35</v>
      </c>
      <c r="U1513" t="s">
        <v>44</v>
      </c>
      <c r="W1513">
        <v>0</v>
      </c>
      <c r="X1513">
        <v>0</v>
      </c>
      <c r="Y1513">
        <v>0</v>
      </c>
      <c r="Z1513">
        <v>0</v>
      </c>
    </row>
    <row r="1514" spans="1:26" hidden="1" x14ac:dyDescent="0.25">
      <c r="A1514" t="s">
        <v>3484</v>
      </c>
      <c r="B1514" t="s">
        <v>38</v>
      </c>
      <c r="C1514" s="4">
        <v>44818</v>
      </c>
      <c r="D1514" s="4">
        <v>45869</v>
      </c>
      <c r="F1514" s="4">
        <v>46327</v>
      </c>
      <c r="G1514" t="s">
        <v>65</v>
      </c>
      <c r="H1514" t="s">
        <v>1456</v>
      </c>
      <c r="K1514" t="s">
        <v>67</v>
      </c>
      <c r="L1514" t="s">
        <v>3121</v>
      </c>
      <c r="M1514" t="s">
        <v>68</v>
      </c>
      <c r="N1514" t="s">
        <v>3122</v>
      </c>
      <c r="O1514" t="s">
        <v>32</v>
      </c>
      <c r="P1514" t="s">
        <v>3387</v>
      </c>
      <c r="Q1514">
        <v>85</v>
      </c>
      <c r="R1514">
        <v>85</v>
      </c>
      <c r="S1514" t="s">
        <v>34</v>
      </c>
      <c r="T1514" t="s">
        <v>35</v>
      </c>
      <c r="U1514" t="s">
        <v>44</v>
      </c>
      <c r="W1514">
        <v>0</v>
      </c>
      <c r="X1514">
        <v>0</v>
      </c>
      <c r="Y1514">
        <v>0</v>
      </c>
      <c r="Z1514">
        <v>0</v>
      </c>
    </row>
    <row r="1515" spans="1:26" hidden="1" x14ac:dyDescent="0.25">
      <c r="A1515" t="s">
        <v>3485</v>
      </c>
      <c r="B1515" t="s">
        <v>38</v>
      </c>
      <c r="C1515" s="4">
        <v>44818</v>
      </c>
      <c r="D1515" s="4">
        <v>45957</v>
      </c>
      <c r="F1515" s="4">
        <v>45961</v>
      </c>
      <c r="G1515" t="s">
        <v>254</v>
      </c>
      <c r="H1515" t="s">
        <v>3351</v>
      </c>
      <c r="K1515" t="s">
        <v>98</v>
      </c>
      <c r="L1515" t="s">
        <v>3121</v>
      </c>
      <c r="M1515" t="s">
        <v>84</v>
      </c>
      <c r="N1515" t="s">
        <v>2160</v>
      </c>
      <c r="O1515" t="s">
        <v>32</v>
      </c>
      <c r="P1515" t="s">
        <v>3352</v>
      </c>
      <c r="Q1515">
        <v>173</v>
      </c>
      <c r="R1515">
        <v>173</v>
      </c>
      <c r="S1515" t="s">
        <v>34</v>
      </c>
      <c r="T1515" t="s">
        <v>35</v>
      </c>
      <c r="U1515" t="s">
        <v>44</v>
      </c>
      <c r="W1515">
        <v>0</v>
      </c>
      <c r="X1515">
        <v>0</v>
      </c>
      <c r="Y1515">
        <v>0</v>
      </c>
      <c r="Z1515">
        <v>0</v>
      </c>
    </row>
    <row r="1516" spans="1:26" hidden="1" x14ac:dyDescent="0.25">
      <c r="A1516" t="s">
        <v>3486</v>
      </c>
      <c r="B1516" t="s">
        <v>38</v>
      </c>
      <c r="C1516" s="4">
        <v>44818</v>
      </c>
      <c r="D1516" s="4">
        <v>45957</v>
      </c>
      <c r="F1516" s="4">
        <v>45961</v>
      </c>
      <c r="G1516" t="s">
        <v>101</v>
      </c>
      <c r="H1516" t="s">
        <v>1873</v>
      </c>
      <c r="K1516" t="s">
        <v>98</v>
      </c>
      <c r="L1516" t="s">
        <v>3121</v>
      </c>
      <c r="M1516" t="s">
        <v>84</v>
      </c>
      <c r="N1516" t="s">
        <v>2160</v>
      </c>
      <c r="O1516" t="s">
        <v>32</v>
      </c>
      <c r="P1516" t="s">
        <v>3140</v>
      </c>
      <c r="Q1516">
        <v>220</v>
      </c>
      <c r="R1516">
        <v>220</v>
      </c>
      <c r="S1516" t="s">
        <v>34</v>
      </c>
      <c r="T1516" t="s">
        <v>35</v>
      </c>
      <c r="U1516" t="s">
        <v>44</v>
      </c>
      <c r="W1516">
        <v>0</v>
      </c>
      <c r="X1516">
        <v>0</v>
      </c>
      <c r="Y1516">
        <v>0</v>
      </c>
      <c r="Z1516">
        <v>0</v>
      </c>
    </row>
    <row r="1517" spans="1:26" hidden="1" x14ac:dyDescent="0.25">
      <c r="A1517" t="s">
        <v>3487</v>
      </c>
      <c r="B1517" t="s">
        <v>38</v>
      </c>
      <c r="C1517" s="4">
        <v>44818</v>
      </c>
      <c r="D1517" s="4">
        <v>45957</v>
      </c>
      <c r="F1517" s="4">
        <v>45961</v>
      </c>
      <c r="G1517" t="s">
        <v>101</v>
      </c>
      <c r="H1517" t="s">
        <v>1663</v>
      </c>
      <c r="K1517" t="s">
        <v>98</v>
      </c>
      <c r="L1517" t="s">
        <v>3121</v>
      </c>
      <c r="M1517" t="s">
        <v>84</v>
      </c>
      <c r="N1517" t="s">
        <v>2160</v>
      </c>
      <c r="O1517" t="s">
        <v>32</v>
      </c>
      <c r="P1517" t="s">
        <v>3477</v>
      </c>
      <c r="Q1517">
        <v>100</v>
      </c>
      <c r="R1517">
        <v>100</v>
      </c>
      <c r="S1517" t="s">
        <v>159</v>
      </c>
      <c r="T1517" t="s">
        <v>159</v>
      </c>
      <c r="U1517" t="s">
        <v>44</v>
      </c>
      <c r="W1517">
        <v>0</v>
      </c>
      <c r="X1517">
        <v>0</v>
      </c>
      <c r="Y1517">
        <v>0</v>
      </c>
      <c r="Z1517">
        <v>0</v>
      </c>
    </row>
    <row r="1518" spans="1:26" hidden="1" x14ac:dyDescent="0.25">
      <c r="A1518" t="s">
        <v>3488</v>
      </c>
      <c r="B1518" t="s">
        <v>38</v>
      </c>
      <c r="C1518" s="4">
        <v>44818</v>
      </c>
      <c r="D1518" s="4">
        <v>45869</v>
      </c>
      <c r="F1518" s="4">
        <v>46327</v>
      </c>
      <c r="G1518" t="s">
        <v>65</v>
      </c>
      <c r="H1518" t="s">
        <v>1279</v>
      </c>
      <c r="K1518" t="s">
        <v>67</v>
      </c>
      <c r="L1518" t="s">
        <v>3121</v>
      </c>
      <c r="M1518" t="s">
        <v>68</v>
      </c>
      <c r="N1518" t="s">
        <v>3122</v>
      </c>
      <c r="O1518" t="s">
        <v>32</v>
      </c>
      <c r="P1518" t="s">
        <v>3389</v>
      </c>
      <c r="Q1518">
        <v>300</v>
      </c>
      <c r="R1518">
        <v>300</v>
      </c>
      <c r="S1518" t="s">
        <v>34</v>
      </c>
      <c r="T1518" t="s">
        <v>35</v>
      </c>
      <c r="U1518" t="s">
        <v>44</v>
      </c>
      <c r="W1518">
        <v>0</v>
      </c>
      <c r="X1518">
        <v>0</v>
      </c>
      <c r="Y1518">
        <v>0</v>
      </c>
      <c r="Z1518">
        <v>0</v>
      </c>
    </row>
    <row r="1519" spans="1:26" hidden="1" x14ac:dyDescent="0.25">
      <c r="A1519" t="s">
        <v>3489</v>
      </c>
      <c r="B1519" t="s">
        <v>38</v>
      </c>
      <c r="C1519" s="4">
        <v>44818</v>
      </c>
      <c r="D1519" s="4">
        <v>45869</v>
      </c>
      <c r="F1519" s="4">
        <v>46327</v>
      </c>
      <c r="G1519" t="s">
        <v>65</v>
      </c>
      <c r="H1519" t="s">
        <v>1279</v>
      </c>
      <c r="K1519" t="s">
        <v>67</v>
      </c>
      <c r="L1519" t="s">
        <v>3121</v>
      </c>
      <c r="M1519" t="s">
        <v>68</v>
      </c>
      <c r="N1519" t="s">
        <v>3122</v>
      </c>
      <c r="O1519" t="s">
        <v>32</v>
      </c>
      <c r="P1519" t="s">
        <v>3389</v>
      </c>
      <c r="Q1519">
        <v>300</v>
      </c>
      <c r="R1519">
        <v>300</v>
      </c>
      <c r="S1519" t="s">
        <v>34</v>
      </c>
      <c r="T1519" t="s">
        <v>35</v>
      </c>
      <c r="U1519" t="s">
        <v>44</v>
      </c>
      <c r="W1519">
        <v>0</v>
      </c>
      <c r="X1519">
        <v>0</v>
      </c>
      <c r="Y1519">
        <v>0</v>
      </c>
      <c r="Z1519">
        <v>0</v>
      </c>
    </row>
    <row r="1520" spans="1:26" hidden="1" x14ac:dyDescent="0.25">
      <c r="A1520" t="s">
        <v>3490</v>
      </c>
      <c r="B1520" t="s">
        <v>38</v>
      </c>
      <c r="C1520" s="4">
        <v>44817</v>
      </c>
      <c r="D1520" s="4">
        <v>45010</v>
      </c>
      <c r="F1520" s="4">
        <v>46326</v>
      </c>
      <c r="G1520" t="s">
        <v>65</v>
      </c>
      <c r="H1520" t="s">
        <v>1849</v>
      </c>
      <c r="K1520" t="s">
        <v>67</v>
      </c>
      <c r="L1520" t="s">
        <v>3121</v>
      </c>
      <c r="M1520" t="s">
        <v>68</v>
      </c>
      <c r="N1520" t="s">
        <v>3122</v>
      </c>
      <c r="O1520" t="s">
        <v>32</v>
      </c>
      <c r="P1520" t="s">
        <v>3491</v>
      </c>
      <c r="Q1520">
        <v>100</v>
      </c>
      <c r="R1520">
        <v>100</v>
      </c>
      <c r="S1520" t="s">
        <v>159</v>
      </c>
      <c r="T1520" t="s">
        <v>159</v>
      </c>
      <c r="U1520" t="s">
        <v>44</v>
      </c>
      <c r="W1520">
        <v>0</v>
      </c>
      <c r="X1520">
        <v>0</v>
      </c>
      <c r="Y1520">
        <v>0</v>
      </c>
      <c r="Z1520">
        <v>0</v>
      </c>
    </row>
    <row r="1521" spans="1:26" hidden="1" x14ac:dyDescent="0.25">
      <c r="A1521" t="s">
        <v>3492</v>
      </c>
      <c r="B1521" t="s">
        <v>38</v>
      </c>
      <c r="C1521" s="4">
        <v>44817</v>
      </c>
      <c r="D1521" s="4">
        <v>45937</v>
      </c>
      <c r="F1521" s="4">
        <v>45597</v>
      </c>
      <c r="G1521" t="s">
        <v>177</v>
      </c>
      <c r="H1521" t="s">
        <v>3135</v>
      </c>
      <c r="K1521" t="s">
        <v>185</v>
      </c>
      <c r="L1521" t="s">
        <v>3121</v>
      </c>
      <c r="M1521" t="s">
        <v>42</v>
      </c>
      <c r="N1521" t="s">
        <v>3122</v>
      </c>
      <c r="O1521" t="s">
        <v>32</v>
      </c>
      <c r="P1521" t="s">
        <v>3170</v>
      </c>
      <c r="Q1521">
        <v>200</v>
      </c>
      <c r="R1521">
        <v>200</v>
      </c>
      <c r="S1521" t="s">
        <v>159</v>
      </c>
      <c r="T1521" t="s">
        <v>159</v>
      </c>
      <c r="U1521" t="s">
        <v>44</v>
      </c>
      <c r="W1521">
        <v>0</v>
      </c>
      <c r="X1521">
        <v>0</v>
      </c>
      <c r="Y1521">
        <v>0</v>
      </c>
      <c r="Z1521">
        <v>0</v>
      </c>
    </row>
    <row r="1522" spans="1:26" hidden="1" x14ac:dyDescent="0.25">
      <c r="A1522" t="s">
        <v>3493</v>
      </c>
      <c r="B1522" t="s">
        <v>2153</v>
      </c>
      <c r="C1522" s="4">
        <v>44817</v>
      </c>
      <c r="F1522" s="4">
        <v>46326</v>
      </c>
      <c r="G1522" t="s">
        <v>1753</v>
      </c>
      <c r="H1522" t="s">
        <v>2457</v>
      </c>
      <c r="K1522" t="s">
        <v>146</v>
      </c>
      <c r="L1522" t="s">
        <v>3121</v>
      </c>
      <c r="M1522" t="s">
        <v>68</v>
      </c>
      <c r="N1522" t="s">
        <v>3122</v>
      </c>
      <c r="O1522" t="s">
        <v>122</v>
      </c>
      <c r="P1522" t="s">
        <v>3494</v>
      </c>
      <c r="Q1522">
        <v>600</v>
      </c>
      <c r="R1522">
        <v>600</v>
      </c>
      <c r="S1522" t="s">
        <v>34</v>
      </c>
      <c r="T1522" t="s">
        <v>35</v>
      </c>
      <c r="U1522" t="s">
        <v>44</v>
      </c>
      <c r="W1522">
        <v>600</v>
      </c>
      <c r="X1522">
        <v>0</v>
      </c>
      <c r="Y1522">
        <v>0</v>
      </c>
      <c r="Z1522">
        <v>0</v>
      </c>
    </row>
    <row r="1523" spans="1:26" hidden="1" x14ac:dyDescent="0.25">
      <c r="A1523" t="s">
        <v>3495</v>
      </c>
      <c r="B1523" t="s">
        <v>2153</v>
      </c>
      <c r="C1523" s="4">
        <v>44817</v>
      </c>
      <c r="F1523" s="4">
        <v>45961</v>
      </c>
      <c r="G1523" t="s">
        <v>1278</v>
      </c>
      <c r="H1523" t="s">
        <v>1382</v>
      </c>
      <c r="K1523" t="s">
        <v>28</v>
      </c>
      <c r="L1523" t="s">
        <v>3121</v>
      </c>
      <c r="M1523" t="s">
        <v>30</v>
      </c>
      <c r="N1523" t="s">
        <v>3122</v>
      </c>
      <c r="O1523" t="s">
        <v>32</v>
      </c>
      <c r="P1523" t="s">
        <v>3496</v>
      </c>
      <c r="Q1523">
        <v>200</v>
      </c>
      <c r="R1523">
        <v>200</v>
      </c>
      <c r="S1523" t="s">
        <v>34</v>
      </c>
      <c r="T1523" t="s">
        <v>35</v>
      </c>
      <c r="U1523" t="s">
        <v>44</v>
      </c>
      <c r="W1523">
        <v>200</v>
      </c>
      <c r="X1523">
        <v>200</v>
      </c>
      <c r="Y1523">
        <v>0</v>
      </c>
      <c r="Z1523">
        <v>0</v>
      </c>
    </row>
    <row r="1524" spans="1:26" hidden="1" x14ac:dyDescent="0.25">
      <c r="A1524" t="s">
        <v>3497</v>
      </c>
      <c r="B1524" t="s">
        <v>38</v>
      </c>
      <c r="C1524" s="4">
        <v>44817</v>
      </c>
      <c r="D1524" s="4">
        <v>45010</v>
      </c>
      <c r="F1524" s="4">
        <v>46326</v>
      </c>
      <c r="G1524" t="s">
        <v>65</v>
      </c>
      <c r="H1524" t="s">
        <v>3247</v>
      </c>
      <c r="K1524" t="s">
        <v>67</v>
      </c>
      <c r="L1524" t="s">
        <v>3121</v>
      </c>
      <c r="M1524" t="s">
        <v>68</v>
      </c>
      <c r="N1524" t="s">
        <v>3122</v>
      </c>
      <c r="O1524" t="s">
        <v>32</v>
      </c>
      <c r="P1524" t="s">
        <v>3248</v>
      </c>
      <c r="Q1524">
        <v>50</v>
      </c>
      <c r="R1524">
        <v>50</v>
      </c>
      <c r="S1524" t="s">
        <v>159</v>
      </c>
      <c r="T1524" t="s">
        <v>159</v>
      </c>
      <c r="U1524" t="s">
        <v>44</v>
      </c>
      <c r="W1524">
        <v>0</v>
      </c>
      <c r="X1524">
        <v>0</v>
      </c>
      <c r="Y1524">
        <v>0</v>
      </c>
      <c r="Z1524">
        <v>0</v>
      </c>
    </row>
    <row r="1525" spans="1:26" hidden="1" x14ac:dyDescent="0.25">
      <c r="A1525" t="s">
        <v>3498</v>
      </c>
      <c r="B1525" t="s">
        <v>38</v>
      </c>
      <c r="C1525" s="4">
        <v>44817</v>
      </c>
      <c r="D1525" s="4">
        <v>45010</v>
      </c>
      <c r="F1525" s="4">
        <v>46326</v>
      </c>
      <c r="G1525" t="s">
        <v>65</v>
      </c>
      <c r="H1525" t="s">
        <v>1327</v>
      </c>
      <c r="K1525" t="s">
        <v>67</v>
      </c>
      <c r="L1525" t="s">
        <v>3121</v>
      </c>
      <c r="M1525" t="s">
        <v>68</v>
      </c>
      <c r="N1525" t="s">
        <v>3122</v>
      </c>
      <c r="O1525" t="s">
        <v>32</v>
      </c>
      <c r="P1525" t="s">
        <v>3499</v>
      </c>
      <c r="Q1525">
        <v>100</v>
      </c>
      <c r="R1525">
        <v>100</v>
      </c>
      <c r="S1525" t="s">
        <v>159</v>
      </c>
      <c r="T1525" t="s">
        <v>159</v>
      </c>
      <c r="U1525" t="s">
        <v>44</v>
      </c>
      <c r="W1525">
        <v>0</v>
      </c>
      <c r="X1525">
        <v>0</v>
      </c>
      <c r="Y1525">
        <v>0</v>
      </c>
      <c r="Z1525">
        <v>0</v>
      </c>
    </row>
    <row r="1526" spans="1:26" hidden="1" x14ac:dyDescent="0.25">
      <c r="A1526" t="s">
        <v>3500</v>
      </c>
      <c r="B1526" t="s">
        <v>2153</v>
      </c>
      <c r="C1526" s="4">
        <v>44818</v>
      </c>
      <c r="F1526" s="4">
        <v>46327</v>
      </c>
      <c r="G1526" t="s">
        <v>1326</v>
      </c>
      <c r="H1526" t="s">
        <v>2079</v>
      </c>
      <c r="K1526" t="s">
        <v>67</v>
      </c>
      <c r="L1526" t="s">
        <v>3121</v>
      </c>
      <c r="M1526" t="s">
        <v>68</v>
      </c>
      <c r="N1526" t="s">
        <v>3122</v>
      </c>
      <c r="O1526" t="s">
        <v>122</v>
      </c>
      <c r="P1526" t="s">
        <v>3501</v>
      </c>
      <c r="Q1526">
        <v>250</v>
      </c>
      <c r="R1526">
        <v>250</v>
      </c>
      <c r="S1526" t="s">
        <v>34</v>
      </c>
      <c r="T1526" t="s">
        <v>35</v>
      </c>
      <c r="U1526" t="s">
        <v>44</v>
      </c>
      <c r="W1526">
        <v>250</v>
      </c>
      <c r="X1526">
        <v>0</v>
      </c>
      <c r="Y1526">
        <v>0</v>
      </c>
      <c r="Z1526">
        <v>0</v>
      </c>
    </row>
    <row r="1527" spans="1:26" hidden="1" x14ac:dyDescent="0.25">
      <c r="A1527" t="s">
        <v>3502</v>
      </c>
      <c r="B1527" t="s">
        <v>2338</v>
      </c>
      <c r="C1527" s="4">
        <v>44819</v>
      </c>
      <c r="F1527" s="4">
        <v>46327</v>
      </c>
      <c r="H1527" t="s">
        <v>3250</v>
      </c>
      <c r="K1527" t="s">
        <v>109</v>
      </c>
      <c r="L1527" t="s">
        <v>3121</v>
      </c>
      <c r="M1527" t="s">
        <v>84</v>
      </c>
      <c r="N1527" t="s">
        <v>2160</v>
      </c>
      <c r="O1527" t="s">
        <v>32</v>
      </c>
      <c r="P1527" t="s">
        <v>3503</v>
      </c>
      <c r="Q1527">
        <v>200</v>
      </c>
      <c r="R1527">
        <v>200</v>
      </c>
      <c r="S1527" t="s">
        <v>34</v>
      </c>
      <c r="T1527" t="s">
        <v>35</v>
      </c>
      <c r="U1527" t="s">
        <v>44</v>
      </c>
      <c r="W1527">
        <v>200</v>
      </c>
      <c r="X1527">
        <v>200</v>
      </c>
      <c r="Y1527">
        <v>0</v>
      </c>
      <c r="Z1527">
        <v>0</v>
      </c>
    </row>
    <row r="1528" spans="1:26" hidden="1" x14ac:dyDescent="0.25">
      <c r="A1528" t="s">
        <v>3504</v>
      </c>
      <c r="B1528" t="s">
        <v>38</v>
      </c>
      <c r="C1528" s="4">
        <v>44819</v>
      </c>
      <c r="D1528" s="4">
        <v>45010</v>
      </c>
      <c r="F1528" s="4">
        <v>46327</v>
      </c>
      <c r="G1528" t="s">
        <v>144</v>
      </c>
      <c r="H1528" t="s">
        <v>1418</v>
      </c>
      <c r="K1528" t="s">
        <v>146</v>
      </c>
      <c r="L1528" t="s">
        <v>3121</v>
      </c>
      <c r="M1528" t="s">
        <v>68</v>
      </c>
      <c r="N1528" t="s">
        <v>3122</v>
      </c>
      <c r="O1528" t="s">
        <v>32</v>
      </c>
      <c r="P1528" t="s">
        <v>3505</v>
      </c>
      <c r="Q1528">
        <v>175</v>
      </c>
      <c r="R1528">
        <v>175</v>
      </c>
      <c r="S1528" t="s">
        <v>597</v>
      </c>
      <c r="T1528" t="s">
        <v>35</v>
      </c>
      <c r="U1528" t="s">
        <v>44</v>
      </c>
      <c r="W1528">
        <v>0</v>
      </c>
      <c r="X1528">
        <v>0</v>
      </c>
      <c r="Y1528">
        <v>0</v>
      </c>
      <c r="Z1528">
        <v>0</v>
      </c>
    </row>
    <row r="1529" spans="1:26" hidden="1" x14ac:dyDescent="0.25">
      <c r="A1529" t="s">
        <v>3506</v>
      </c>
      <c r="B1529" t="s">
        <v>2338</v>
      </c>
      <c r="C1529" s="4">
        <v>44818</v>
      </c>
      <c r="F1529" s="4">
        <v>46326</v>
      </c>
      <c r="G1529" t="s">
        <v>1108</v>
      </c>
      <c r="H1529" t="s">
        <v>3438</v>
      </c>
      <c r="K1529" t="s">
        <v>146</v>
      </c>
      <c r="L1529" t="s">
        <v>3121</v>
      </c>
      <c r="M1529" t="s">
        <v>68</v>
      </c>
      <c r="N1529" t="s">
        <v>3122</v>
      </c>
      <c r="O1529" t="s">
        <v>122</v>
      </c>
      <c r="P1529" t="s">
        <v>3507</v>
      </c>
      <c r="Q1529">
        <v>200</v>
      </c>
      <c r="R1529">
        <v>200</v>
      </c>
      <c r="S1529" t="s">
        <v>34</v>
      </c>
      <c r="T1529" t="s">
        <v>35</v>
      </c>
      <c r="U1529" t="s">
        <v>44</v>
      </c>
      <c r="W1529">
        <v>200</v>
      </c>
      <c r="X1529">
        <v>0</v>
      </c>
      <c r="Y1529">
        <v>0</v>
      </c>
      <c r="Z1529">
        <v>0</v>
      </c>
    </row>
    <row r="1530" spans="1:26" hidden="1" x14ac:dyDescent="0.25">
      <c r="A1530" t="s">
        <v>3508</v>
      </c>
      <c r="B1530" t="s">
        <v>38</v>
      </c>
      <c r="C1530" s="4">
        <v>44817</v>
      </c>
      <c r="D1530" s="4">
        <v>45010</v>
      </c>
      <c r="F1530" s="4">
        <v>45961</v>
      </c>
      <c r="G1530" t="s">
        <v>616</v>
      </c>
      <c r="H1530" t="s">
        <v>2639</v>
      </c>
      <c r="K1530" t="s">
        <v>146</v>
      </c>
      <c r="L1530" t="s">
        <v>3121</v>
      </c>
      <c r="M1530" t="s">
        <v>68</v>
      </c>
      <c r="N1530" t="s">
        <v>3122</v>
      </c>
      <c r="O1530" t="s">
        <v>32</v>
      </c>
      <c r="P1530" t="s">
        <v>3509</v>
      </c>
      <c r="Q1530">
        <v>140</v>
      </c>
      <c r="R1530">
        <v>140</v>
      </c>
      <c r="S1530" t="s">
        <v>159</v>
      </c>
      <c r="T1530" t="s">
        <v>159</v>
      </c>
      <c r="U1530" t="s">
        <v>44</v>
      </c>
      <c r="W1530">
        <v>0</v>
      </c>
      <c r="X1530">
        <v>0</v>
      </c>
      <c r="Y1530">
        <v>0</v>
      </c>
      <c r="Z1530">
        <v>0</v>
      </c>
    </row>
    <row r="1531" spans="1:26" hidden="1" x14ac:dyDescent="0.25">
      <c r="A1531" t="s">
        <v>3510</v>
      </c>
      <c r="B1531" t="s">
        <v>38</v>
      </c>
      <c r="C1531" s="4">
        <v>44818</v>
      </c>
      <c r="D1531" s="4">
        <v>45010</v>
      </c>
      <c r="F1531" s="4">
        <v>46326</v>
      </c>
      <c r="G1531" t="s">
        <v>65</v>
      </c>
      <c r="H1531" t="s">
        <v>2526</v>
      </c>
      <c r="K1531" t="s">
        <v>67</v>
      </c>
      <c r="L1531" t="s">
        <v>3121</v>
      </c>
      <c r="M1531" t="s">
        <v>68</v>
      </c>
      <c r="N1531" t="s">
        <v>3122</v>
      </c>
      <c r="O1531" t="s">
        <v>32</v>
      </c>
      <c r="P1531" t="s">
        <v>3511</v>
      </c>
      <c r="Q1531">
        <v>100</v>
      </c>
      <c r="R1531">
        <v>100</v>
      </c>
      <c r="S1531" t="s">
        <v>159</v>
      </c>
      <c r="T1531" t="s">
        <v>159</v>
      </c>
      <c r="U1531" t="s">
        <v>44</v>
      </c>
      <c r="W1531">
        <v>0</v>
      </c>
      <c r="X1531">
        <v>0</v>
      </c>
      <c r="Y1531">
        <v>0</v>
      </c>
      <c r="Z1531">
        <v>0</v>
      </c>
    </row>
    <row r="1532" spans="1:26" hidden="1" x14ac:dyDescent="0.25">
      <c r="A1532" t="s">
        <v>3512</v>
      </c>
      <c r="B1532" t="s">
        <v>38</v>
      </c>
      <c r="C1532" s="4">
        <v>44818</v>
      </c>
      <c r="D1532" s="4">
        <v>45869</v>
      </c>
      <c r="F1532" s="4">
        <v>46327</v>
      </c>
      <c r="G1532" t="s">
        <v>616</v>
      </c>
      <c r="H1532" t="s">
        <v>2467</v>
      </c>
      <c r="K1532" t="s">
        <v>146</v>
      </c>
      <c r="L1532" t="s">
        <v>3121</v>
      </c>
      <c r="M1532" t="s">
        <v>68</v>
      </c>
      <c r="N1532" t="s">
        <v>3122</v>
      </c>
      <c r="O1532" t="s">
        <v>32</v>
      </c>
      <c r="P1532" t="s">
        <v>3513</v>
      </c>
      <c r="Q1532">
        <v>200</v>
      </c>
      <c r="R1532">
        <v>200</v>
      </c>
      <c r="S1532" t="s">
        <v>34</v>
      </c>
      <c r="T1532" t="s">
        <v>35</v>
      </c>
      <c r="U1532" t="s">
        <v>44</v>
      </c>
      <c r="W1532">
        <v>0</v>
      </c>
      <c r="X1532">
        <v>0</v>
      </c>
      <c r="Y1532">
        <v>0</v>
      </c>
      <c r="Z1532">
        <v>0</v>
      </c>
    </row>
    <row r="1533" spans="1:26" hidden="1" x14ac:dyDescent="0.25">
      <c r="A1533" t="s">
        <v>3514</v>
      </c>
      <c r="B1533" t="s">
        <v>38</v>
      </c>
      <c r="C1533" s="4">
        <v>44818</v>
      </c>
      <c r="D1533" s="4">
        <v>45957</v>
      </c>
      <c r="F1533" s="4">
        <v>46326</v>
      </c>
      <c r="G1533" t="s">
        <v>101</v>
      </c>
      <c r="H1533" t="s">
        <v>1430</v>
      </c>
      <c r="K1533" t="s">
        <v>98</v>
      </c>
      <c r="L1533" t="s">
        <v>3121</v>
      </c>
      <c r="M1533" t="s">
        <v>84</v>
      </c>
      <c r="N1533" t="s">
        <v>2160</v>
      </c>
      <c r="O1533" t="s">
        <v>32</v>
      </c>
      <c r="P1533" t="s">
        <v>3515</v>
      </c>
      <c r="Q1533">
        <v>170</v>
      </c>
      <c r="R1533">
        <v>170</v>
      </c>
      <c r="S1533" t="s">
        <v>159</v>
      </c>
      <c r="T1533" t="s">
        <v>159</v>
      </c>
      <c r="U1533" t="s">
        <v>44</v>
      </c>
      <c r="W1533">
        <v>0</v>
      </c>
      <c r="X1533">
        <v>0</v>
      </c>
      <c r="Y1533">
        <v>0</v>
      </c>
      <c r="Z1533">
        <v>0</v>
      </c>
    </row>
    <row r="1534" spans="1:26" hidden="1" x14ac:dyDescent="0.25">
      <c r="A1534" t="s">
        <v>3516</v>
      </c>
      <c r="B1534" t="s">
        <v>38</v>
      </c>
      <c r="C1534" s="4">
        <v>44818</v>
      </c>
      <c r="D1534" s="4">
        <v>45010</v>
      </c>
      <c r="F1534" s="4">
        <v>46326</v>
      </c>
      <c r="G1534" t="s">
        <v>144</v>
      </c>
      <c r="H1534" t="s">
        <v>1285</v>
      </c>
      <c r="K1534" t="s">
        <v>146</v>
      </c>
      <c r="L1534" t="s">
        <v>3121</v>
      </c>
      <c r="M1534" t="s">
        <v>68</v>
      </c>
      <c r="N1534" t="s">
        <v>3122</v>
      </c>
      <c r="O1534" t="s">
        <v>32</v>
      </c>
      <c r="P1534" t="s">
        <v>3517</v>
      </c>
      <c r="Q1534">
        <v>140</v>
      </c>
      <c r="R1534">
        <v>140</v>
      </c>
      <c r="S1534" t="s">
        <v>159</v>
      </c>
      <c r="T1534" t="s">
        <v>159</v>
      </c>
      <c r="U1534" t="s">
        <v>44</v>
      </c>
      <c r="W1534">
        <v>0</v>
      </c>
      <c r="X1534">
        <v>0</v>
      </c>
      <c r="Y1534">
        <v>0</v>
      </c>
      <c r="Z1534">
        <v>0</v>
      </c>
    </row>
    <row r="1535" spans="1:26" hidden="1" x14ac:dyDescent="0.25">
      <c r="A1535" t="s">
        <v>3518</v>
      </c>
      <c r="B1535" t="s">
        <v>2338</v>
      </c>
      <c r="C1535" s="4">
        <v>44819</v>
      </c>
      <c r="F1535" s="4">
        <v>46327</v>
      </c>
      <c r="H1535" t="s">
        <v>1291</v>
      </c>
      <c r="K1535" t="s">
        <v>83</v>
      </c>
      <c r="L1535" t="s">
        <v>3121</v>
      </c>
      <c r="M1535" t="s">
        <v>84</v>
      </c>
      <c r="N1535" t="s">
        <v>2160</v>
      </c>
      <c r="O1535" t="s">
        <v>122</v>
      </c>
      <c r="P1535" t="s">
        <v>3519</v>
      </c>
      <c r="Q1535">
        <v>200</v>
      </c>
      <c r="R1535">
        <v>200</v>
      </c>
      <c r="S1535" t="s">
        <v>159</v>
      </c>
      <c r="T1535" t="s">
        <v>159</v>
      </c>
      <c r="U1535" t="s">
        <v>44</v>
      </c>
      <c r="W1535">
        <v>200</v>
      </c>
      <c r="X1535">
        <v>0</v>
      </c>
      <c r="Y1535">
        <v>0</v>
      </c>
      <c r="Z1535">
        <v>0</v>
      </c>
    </row>
    <row r="1536" spans="1:26" hidden="1" x14ac:dyDescent="0.25">
      <c r="A1536" t="s">
        <v>3520</v>
      </c>
      <c r="B1536" t="s">
        <v>38</v>
      </c>
      <c r="C1536" s="4">
        <v>44818</v>
      </c>
      <c r="D1536" s="4">
        <v>45869</v>
      </c>
      <c r="F1536" s="4">
        <v>46326</v>
      </c>
      <c r="G1536" t="s">
        <v>144</v>
      </c>
      <c r="H1536" t="s">
        <v>1285</v>
      </c>
      <c r="K1536" t="s">
        <v>146</v>
      </c>
      <c r="L1536" t="s">
        <v>3121</v>
      </c>
      <c r="M1536" t="s">
        <v>68</v>
      </c>
      <c r="N1536" t="s">
        <v>3122</v>
      </c>
      <c r="O1536" t="s">
        <v>32</v>
      </c>
      <c r="P1536" t="s">
        <v>3517</v>
      </c>
      <c r="Q1536">
        <v>100</v>
      </c>
      <c r="R1536">
        <v>100</v>
      </c>
      <c r="S1536" t="s">
        <v>34</v>
      </c>
      <c r="T1536" t="s">
        <v>35</v>
      </c>
      <c r="U1536" t="s">
        <v>44</v>
      </c>
      <c r="W1536">
        <v>0</v>
      </c>
      <c r="X1536">
        <v>0</v>
      </c>
      <c r="Y1536">
        <v>0</v>
      </c>
      <c r="Z1536">
        <v>0</v>
      </c>
    </row>
    <row r="1537" spans="1:26" hidden="1" x14ac:dyDescent="0.25">
      <c r="A1537" t="s">
        <v>3521</v>
      </c>
      <c r="B1537" t="s">
        <v>38</v>
      </c>
      <c r="C1537" s="4">
        <v>44819</v>
      </c>
      <c r="D1537" s="4">
        <v>45870</v>
      </c>
      <c r="F1537" s="4">
        <v>45961</v>
      </c>
      <c r="G1537" t="s">
        <v>52</v>
      </c>
      <c r="H1537" t="s">
        <v>3260</v>
      </c>
      <c r="K1537" t="s">
        <v>53</v>
      </c>
      <c r="L1537" t="s">
        <v>3121</v>
      </c>
      <c r="M1537" t="s">
        <v>54</v>
      </c>
      <c r="N1537" t="s">
        <v>3122</v>
      </c>
      <c r="O1537" t="s">
        <v>32</v>
      </c>
      <c r="P1537" t="s">
        <v>3522</v>
      </c>
      <c r="Q1537">
        <v>100</v>
      </c>
      <c r="R1537">
        <v>100</v>
      </c>
      <c r="S1537" t="s">
        <v>34</v>
      </c>
      <c r="T1537" t="s">
        <v>35</v>
      </c>
      <c r="U1537" t="s">
        <v>44</v>
      </c>
      <c r="W1537">
        <v>0</v>
      </c>
      <c r="X1537">
        <v>0</v>
      </c>
      <c r="Y1537">
        <v>0</v>
      </c>
      <c r="Z1537">
        <v>0</v>
      </c>
    </row>
    <row r="1538" spans="1:26" hidden="1" x14ac:dyDescent="0.25">
      <c r="A1538" t="s">
        <v>3523</v>
      </c>
      <c r="B1538" t="s">
        <v>38</v>
      </c>
      <c r="C1538" s="4">
        <v>44819</v>
      </c>
      <c r="D1538" s="4">
        <v>45869</v>
      </c>
      <c r="F1538" s="4">
        <v>46326</v>
      </c>
      <c r="G1538" t="s">
        <v>616</v>
      </c>
      <c r="H1538" t="s">
        <v>1611</v>
      </c>
      <c r="K1538" t="s">
        <v>146</v>
      </c>
      <c r="L1538" t="s">
        <v>3121</v>
      </c>
      <c r="M1538" t="s">
        <v>68</v>
      </c>
      <c r="N1538" t="s">
        <v>3122</v>
      </c>
      <c r="O1538" t="s">
        <v>32</v>
      </c>
      <c r="P1538" t="s">
        <v>3524</v>
      </c>
      <c r="Q1538">
        <v>210</v>
      </c>
      <c r="R1538">
        <v>210</v>
      </c>
      <c r="S1538" t="s">
        <v>159</v>
      </c>
      <c r="T1538" t="s">
        <v>159</v>
      </c>
      <c r="U1538" t="s">
        <v>44</v>
      </c>
      <c r="W1538">
        <v>0</v>
      </c>
      <c r="X1538">
        <v>0</v>
      </c>
      <c r="Y1538">
        <v>0</v>
      </c>
      <c r="Z1538">
        <v>0</v>
      </c>
    </row>
    <row r="1539" spans="1:26" hidden="1" x14ac:dyDescent="0.25">
      <c r="A1539" t="s">
        <v>3525</v>
      </c>
      <c r="B1539" t="s">
        <v>38</v>
      </c>
      <c r="C1539" s="4">
        <v>44819</v>
      </c>
      <c r="D1539" s="4">
        <v>45957</v>
      </c>
      <c r="F1539" s="4">
        <v>46326</v>
      </c>
      <c r="G1539" t="s">
        <v>117</v>
      </c>
      <c r="H1539" t="s">
        <v>3526</v>
      </c>
      <c r="K1539" t="s">
        <v>83</v>
      </c>
      <c r="L1539" t="s">
        <v>3121</v>
      </c>
      <c r="M1539" t="s">
        <v>84</v>
      </c>
      <c r="N1539" t="s">
        <v>2160</v>
      </c>
      <c r="O1539" t="s">
        <v>32</v>
      </c>
      <c r="P1539" t="s">
        <v>3527</v>
      </c>
      <c r="Q1539">
        <v>200</v>
      </c>
      <c r="R1539">
        <v>200</v>
      </c>
      <c r="S1539" t="s">
        <v>159</v>
      </c>
      <c r="T1539" t="s">
        <v>159</v>
      </c>
      <c r="U1539" t="s">
        <v>44</v>
      </c>
      <c r="W1539">
        <v>0</v>
      </c>
      <c r="X1539">
        <v>0</v>
      </c>
      <c r="Y1539">
        <v>0</v>
      </c>
      <c r="Z1539">
        <v>0</v>
      </c>
    </row>
    <row r="1540" spans="1:26" hidden="1" x14ac:dyDescent="0.25">
      <c r="A1540" t="s">
        <v>3528</v>
      </c>
      <c r="B1540" t="s">
        <v>38</v>
      </c>
      <c r="C1540" s="4">
        <v>44819</v>
      </c>
      <c r="D1540" s="4">
        <v>45868</v>
      </c>
      <c r="F1540" s="4">
        <v>45627</v>
      </c>
      <c r="G1540" t="s">
        <v>1278</v>
      </c>
      <c r="H1540" t="s">
        <v>2460</v>
      </c>
      <c r="K1540" t="s">
        <v>28</v>
      </c>
      <c r="L1540" t="s">
        <v>3121</v>
      </c>
      <c r="M1540" t="s">
        <v>30</v>
      </c>
      <c r="N1540" t="s">
        <v>3122</v>
      </c>
      <c r="O1540" t="s">
        <v>32</v>
      </c>
      <c r="P1540" t="s">
        <v>3529</v>
      </c>
      <c r="Q1540">
        <v>100</v>
      </c>
      <c r="R1540">
        <v>100</v>
      </c>
      <c r="S1540" t="s">
        <v>159</v>
      </c>
      <c r="T1540" t="s">
        <v>159</v>
      </c>
      <c r="U1540" t="s">
        <v>44</v>
      </c>
      <c r="W1540">
        <v>0</v>
      </c>
      <c r="X1540">
        <v>0</v>
      </c>
      <c r="Y1540">
        <v>0</v>
      </c>
      <c r="Z1540">
        <v>0</v>
      </c>
    </row>
    <row r="1541" spans="1:26" hidden="1" x14ac:dyDescent="0.25">
      <c r="A1541" t="s">
        <v>3530</v>
      </c>
      <c r="B1541" t="s">
        <v>2153</v>
      </c>
      <c r="C1541" s="4">
        <v>45952</v>
      </c>
      <c r="F1541" s="4">
        <v>46082</v>
      </c>
      <c r="G1541" t="s">
        <v>691</v>
      </c>
      <c r="H1541" t="s">
        <v>1550</v>
      </c>
      <c r="K1541" t="s">
        <v>98</v>
      </c>
      <c r="L1541" t="s">
        <v>3121</v>
      </c>
      <c r="M1541" t="s">
        <v>84</v>
      </c>
      <c r="N1541" t="s">
        <v>2160</v>
      </c>
      <c r="O1541" t="s">
        <v>32</v>
      </c>
      <c r="P1541" t="s">
        <v>3531</v>
      </c>
      <c r="Q1541">
        <v>200</v>
      </c>
      <c r="R1541">
        <v>200</v>
      </c>
      <c r="S1541" t="s">
        <v>34</v>
      </c>
      <c r="T1541" t="s">
        <v>35</v>
      </c>
      <c r="U1541" t="s">
        <v>44</v>
      </c>
      <c r="W1541">
        <v>200</v>
      </c>
      <c r="X1541">
        <v>200</v>
      </c>
      <c r="Y1541">
        <v>0</v>
      </c>
      <c r="Z1541">
        <v>0</v>
      </c>
    </row>
    <row r="1542" spans="1:26" hidden="1" x14ac:dyDescent="0.25">
      <c r="A1542" t="s">
        <v>3532</v>
      </c>
      <c r="B1542" t="s">
        <v>38</v>
      </c>
      <c r="C1542" s="4">
        <v>44819</v>
      </c>
      <c r="D1542" s="4">
        <v>45957</v>
      </c>
      <c r="F1542" s="4">
        <v>46082</v>
      </c>
      <c r="G1542" t="s">
        <v>101</v>
      </c>
      <c r="H1542" t="s">
        <v>1550</v>
      </c>
      <c r="K1542" t="s">
        <v>98</v>
      </c>
      <c r="L1542" t="s">
        <v>3121</v>
      </c>
      <c r="M1542" t="s">
        <v>84</v>
      </c>
      <c r="N1542" t="s">
        <v>2160</v>
      </c>
      <c r="O1542" t="s">
        <v>32</v>
      </c>
      <c r="P1542" t="s">
        <v>3533</v>
      </c>
      <c r="Q1542">
        <v>150</v>
      </c>
      <c r="R1542">
        <v>150</v>
      </c>
      <c r="S1542" t="s">
        <v>34</v>
      </c>
      <c r="T1542" t="s">
        <v>35</v>
      </c>
      <c r="U1542" t="s">
        <v>44</v>
      </c>
      <c r="W1542">
        <v>0</v>
      </c>
      <c r="X1542">
        <v>0</v>
      </c>
      <c r="Y1542">
        <v>0</v>
      </c>
      <c r="Z1542">
        <v>0</v>
      </c>
    </row>
    <row r="1543" spans="1:26" hidden="1" x14ac:dyDescent="0.25">
      <c r="A1543" t="s">
        <v>3534</v>
      </c>
      <c r="B1543" t="s">
        <v>2153</v>
      </c>
      <c r="C1543" s="4">
        <v>45952</v>
      </c>
      <c r="F1543" s="4">
        <v>46082</v>
      </c>
      <c r="G1543" t="s">
        <v>1617</v>
      </c>
      <c r="H1543" t="s">
        <v>3535</v>
      </c>
      <c r="K1543" t="s">
        <v>683</v>
      </c>
      <c r="L1543" t="s">
        <v>3121</v>
      </c>
      <c r="M1543" t="s">
        <v>84</v>
      </c>
      <c r="N1543" t="s">
        <v>2160</v>
      </c>
      <c r="O1543" t="s">
        <v>32</v>
      </c>
      <c r="P1543" t="s">
        <v>3536</v>
      </c>
      <c r="Q1543">
        <v>150</v>
      </c>
      <c r="R1543">
        <v>150</v>
      </c>
      <c r="S1543" t="s">
        <v>34</v>
      </c>
      <c r="T1543" t="s">
        <v>35</v>
      </c>
      <c r="U1543" t="s">
        <v>44</v>
      </c>
      <c r="W1543">
        <v>150</v>
      </c>
      <c r="X1543">
        <v>150</v>
      </c>
      <c r="Y1543">
        <v>0</v>
      </c>
      <c r="Z1543">
        <v>0</v>
      </c>
    </row>
    <row r="1544" spans="1:26" hidden="1" x14ac:dyDescent="0.25">
      <c r="A1544" t="s">
        <v>3537</v>
      </c>
      <c r="B1544" t="s">
        <v>2153</v>
      </c>
      <c r="C1544" s="4">
        <v>45952</v>
      </c>
      <c r="F1544" s="4">
        <v>46082</v>
      </c>
      <c r="G1544" t="s">
        <v>1617</v>
      </c>
      <c r="H1544" t="s">
        <v>3535</v>
      </c>
      <c r="K1544" t="s">
        <v>683</v>
      </c>
      <c r="L1544" t="s">
        <v>3121</v>
      </c>
      <c r="M1544" t="s">
        <v>84</v>
      </c>
      <c r="N1544" t="s">
        <v>2160</v>
      </c>
      <c r="O1544" t="s">
        <v>32</v>
      </c>
      <c r="P1544" t="s">
        <v>3536</v>
      </c>
      <c r="Q1544">
        <v>50</v>
      </c>
      <c r="R1544">
        <v>50</v>
      </c>
      <c r="S1544" t="s">
        <v>34</v>
      </c>
      <c r="T1544" t="s">
        <v>35</v>
      </c>
      <c r="U1544" t="s">
        <v>44</v>
      </c>
      <c r="W1544">
        <v>50</v>
      </c>
      <c r="X1544">
        <v>50</v>
      </c>
      <c r="Y1544">
        <v>0</v>
      </c>
      <c r="Z1544">
        <v>0</v>
      </c>
    </row>
    <row r="1545" spans="1:26" hidden="1" x14ac:dyDescent="0.25">
      <c r="A1545" t="s">
        <v>3538</v>
      </c>
      <c r="B1545" t="s">
        <v>38</v>
      </c>
      <c r="C1545" s="4">
        <v>44819</v>
      </c>
      <c r="D1545" s="4">
        <v>45009</v>
      </c>
      <c r="F1545" s="4">
        <v>46082</v>
      </c>
      <c r="G1545" t="s">
        <v>101</v>
      </c>
      <c r="H1545" t="s">
        <v>1550</v>
      </c>
      <c r="K1545" t="s">
        <v>98</v>
      </c>
      <c r="L1545" t="s">
        <v>3121</v>
      </c>
      <c r="M1545" t="s">
        <v>84</v>
      </c>
      <c r="N1545" t="s">
        <v>2160</v>
      </c>
      <c r="O1545" t="s">
        <v>32</v>
      </c>
      <c r="P1545" t="s">
        <v>3539</v>
      </c>
      <c r="Q1545">
        <v>100</v>
      </c>
      <c r="R1545">
        <v>100</v>
      </c>
      <c r="S1545" t="s">
        <v>34</v>
      </c>
      <c r="T1545" t="s">
        <v>35</v>
      </c>
      <c r="U1545" t="s">
        <v>44</v>
      </c>
      <c r="W1545">
        <v>0</v>
      </c>
      <c r="X1545">
        <v>0</v>
      </c>
      <c r="Y1545">
        <v>0</v>
      </c>
      <c r="Z1545">
        <v>0</v>
      </c>
    </row>
    <row r="1546" spans="1:26" hidden="1" x14ac:dyDescent="0.25">
      <c r="A1546" t="s">
        <v>3540</v>
      </c>
      <c r="B1546" t="s">
        <v>38</v>
      </c>
      <c r="C1546" s="4">
        <v>44819</v>
      </c>
      <c r="D1546" s="4">
        <v>45869</v>
      </c>
      <c r="F1546" s="4">
        <v>46326</v>
      </c>
      <c r="G1546" t="s">
        <v>616</v>
      </c>
      <c r="H1546" t="s">
        <v>1656</v>
      </c>
      <c r="K1546" t="s">
        <v>146</v>
      </c>
      <c r="L1546" t="s">
        <v>3121</v>
      </c>
      <c r="M1546" t="s">
        <v>68</v>
      </c>
      <c r="N1546" t="s">
        <v>3122</v>
      </c>
      <c r="O1546" t="s">
        <v>32</v>
      </c>
      <c r="P1546" t="s">
        <v>3347</v>
      </c>
      <c r="Q1546">
        <v>175</v>
      </c>
      <c r="R1546">
        <v>175</v>
      </c>
      <c r="S1546" t="s">
        <v>159</v>
      </c>
      <c r="T1546" t="s">
        <v>159</v>
      </c>
      <c r="U1546" t="s">
        <v>44</v>
      </c>
      <c r="W1546">
        <v>0</v>
      </c>
      <c r="X1546">
        <v>0</v>
      </c>
      <c r="Y1546">
        <v>0</v>
      </c>
      <c r="Z1546">
        <v>0</v>
      </c>
    </row>
    <row r="1547" spans="1:26" hidden="1" x14ac:dyDescent="0.25">
      <c r="A1547" t="s">
        <v>3541</v>
      </c>
      <c r="B1547" t="s">
        <v>38</v>
      </c>
      <c r="C1547" s="4">
        <v>44819</v>
      </c>
      <c r="D1547" s="4">
        <v>45868</v>
      </c>
      <c r="F1547" s="4">
        <v>45627</v>
      </c>
      <c r="G1547" t="s">
        <v>1278</v>
      </c>
      <c r="H1547" t="s">
        <v>2460</v>
      </c>
      <c r="K1547" t="s">
        <v>28</v>
      </c>
      <c r="L1547" t="s">
        <v>3121</v>
      </c>
      <c r="M1547" t="s">
        <v>30</v>
      </c>
      <c r="N1547" t="s">
        <v>3122</v>
      </c>
      <c r="O1547" t="s">
        <v>32</v>
      </c>
      <c r="P1547" t="s">
        <v>3529</v>
      </c>
      <c r="Q1547">
        <v>95</v>
      </c>
      <c r="R1547">
        <v>95</v>
      </c>
      <c r="S1547" t="s">
        <v>34</v>
      </c>
      <c r="T1547" t="s">
        <v>35</v>
      </c>
      <c r="U1547" t="s">
        <v>44</v>
      </c>
      <c r="W1547">
        <v>0</v>
      </c>
      <c r="X1547">
        <v>0</v>
      </c>
      <c r="Y1547">
        <v>0</v>
      </c>
      <c r="Z1547">
        <v>0</v>
      </c>
    </row>
    <row r="1548" spans="1:26" hidden="1" x14ac:dyDescent="0.25">
      <c r="A1548" t="s">
        <v>3542</v>
      </c>
      <c r="B1548" t="s">
        <v>2338</v>
      </c>
      <c r="C1548" s="4">
        <v>44819</v>
      </c>
      <c r="F1548" s="4">
        <v>46327</v>
      </c>
      <c r="G1548" t="s">
        <v>72</v>
      </c>
      <c r="H1548" t="s">
        <v>3543</v>
      </c>
      <c r="K1548" t="s">
        <v>209</v>
      </c>
      <c r="L1548" t="s">
        <v>3121</v>
      </c>
      <c r="M1548" t="s">
        <v>42</v>
      </c>
      <c r="N1548" t="s">
        <v>3122</v>
      </c>
      <c r="O1548" t="s">
        <v>32</v>
      </c>
      <c r="P1548" t="s">
        <v>3014</v>
      </c>
      <c r="Q1548">
        <v>200</v>
      </c>
      <c r="R1548">
        <v>200</v>
      </c>
      <c r="S1548" t="s">
        <v>159</v>
      </c>
      <c r="T1548" t="s">
        <v>159</v>
      </c>
      <c r="U1548" t="s">
        <v>44</v>
      </c>
      <c r="W1548">
        <v>200</v>
      </c>
      <c r="X1548">
        <v>200</v>
      </c>
      <c r="Y1548">
        <v>0</v>
      </c>
      <c r="Z1548">
        <v>0</v>
      </c>
    </row>
    <row r="1549" spans="1:26" hidden="1" x14ac:dyDescent="0.25">
      <c r="A1549" t="s">
        <v>3544</v>
      </c>
      <c r="B1549" t="s">
        <v>38</v>
      </c>
      <c r="C1549" s="4">
        <v>44818</v>
      </c>
      <c r="D1549" s="4">
        <v>45957</v>
      </c>
      <c r="F1549" s="4">
        <v>46661</v>
      </c>
      <c r="G1549" t="s">
        <v>177</v>
      </c>
      <c r="H1549" t="s">
        <v>2477</v>
      </c>
      <c r="K1549" t="s">
        <v>62</v>
      </c>
      <c r="L1549" t="s">
        <v>3121</v>
      </c>
      <c r="M1549" t="s">
        <v>42</v>
      </c>
      <c r="N1549" t="s">
        <v>3122</v>
      </c>
      <c r="O1549" t="s">
        <v>32</v>
      </c>
      <c r="P1549" t="s">
        <v>2478</v>
      </c>
      <c r="Q1549">
        <v>185</v>
      </c>
      <c r="R1549">
        <v>185</v>
      </c>
      <c r="S1549" t="s">
        <v>56</v>
      </c>
      <c r="T1549" t="s">
        <v>57</v>
      </c>
      <c r="U1549" t="s">
        <v>44</v>
      </c>
      <c r="W1549">
        <v>0</v>
      </c>
      <c r="X1549">
        <v>0</v>
      </c>
      <c r="Y1549">
        <v>0</v>
      </c>
      <c r="Z1549">
        <v>0</v>
      </c>
    </row>
    <row r="1550" spans="1:26" hidden="1" x14ac:dyDescent="0.25">
      <c r="A1550" t="s">
        <v>3545</v>
      </c>
      <c r="B1550" t="s">
        <v>38</v>
      </c>
      <c r="C1550" s="4">
        <v>44819</v>
      </c>
      <c r="D1550" s="4">
        <v>45957</v>
      </c>
      <c r="F1550" s="4">
        <v>46586</v>
      </c>
      <c r="G1550" t="s">
        <v>681</v>
      </c>
      <c r="H1550" t="s">
        <v>1700</v>
      </c>
      <c r="K1550" t="s">
        <v>683</v>
      </c>
      <c r="L1550" t="s">
        <v>3121</v>
      </c>
      <c r="M1550" t="s">
        <v>84</v>
      </c>
      <c r="N1550" t="s">
        <v>2160</v>
      </c>
      <c r="O1550" t="s">
        <v>32</v>
      </c>
      <c r="P1550" t="s">
        <v>3546</v>
      </c>
      <c r="Q1550">
        <v>150</v>
      </c>
      <c r="R1550">
        <v>150</v>
      </c>
      <c r="S1550" t="s">
        <v>34</v>
      </c>
      <c r="T1550" t="s">
        <v>35</v>
      </c>
      <c r="U1550" t="s">
        <v>44</v>
      </c>
      <c r="W1550">
        <v>0</v>
      </c>
      <c r="X1550">
        <v>0</v>
      </c>
      <c r="Y1550">
        <v>0</v>
      </c>
      <c r="Z1550">
        <v>0</v>
      </c>
    </row>
    <row r="1551" spans="1:26" hidden="1" x14ac:dyDescent="0.25">
      <c r="A1551" t="s">
        <v>3547</v>
      </c>
      <c r="B1551" t="s">
        <v>38</v>
      </c>
      <c r="C1551" s="4">
        <v>44819</v>
      </c>
      <c r="D1551" s="4">
        <v>45957</v>
      </c>
      <c r="F1551" s="4">
        <v>46586</v>
      </c>
      <c r="G1551" t="s">
        <v>681</v>
      </c>
      <c r="H1551" t="s">
        <v>1700</v>
      </c>
      <c r="K1551" t="s">
        <v>683</v>
      </c>
      <c r="L1551" t="s">
        <v>3121</v>
      </c>
      <c r="M1551" t="s">
        <v>84</v>
      </c>
      <c r="N1551" t="s">
        <v>2160</v>
      </c>
      <c r="O1551" t="s">
        <v>32</v>
      </c>
      <c r="P1551" t="s">
        <v>3546</v>
      </c>
      <c r="Q1551">
        <v>75</v>
      </c>
      <c r="R1551">
        <v>75</v>
      </c>
      <c r="S1551" t="s">
        <v>159</v>
      </c>
      <c r="T1551" t="s">
        <v>159</v>
      </c>
      <c r="U1551" t="s">
        <v>44</v>
      </c>
      <c r="W1551">
        <v>0</v>
      </c>
      <c r="X1551">
        <v>0</v>
      </c>
      <c r="Y1551">
        <v>0</v>
      </c>
      <c r="Z1551">
        <v>0</v>
      </c>
    </row>
    <row r="1552" spans="1:26" hidden="1" x14ac:dyDescent="0.25">
      <c r="A1552" t="s">
        <v>3548</v>
      </c>
      <c r="B1552" t="s">
        <v>38</v>
      </c>
      <c r="C1552" s="4">
        <v>44818</v>
      </c>
      <c r="D1552" s="4">
        <v>45009</v>
      </c>
      <c r="F1552" s="4">
        <v>46586</v>
      </c>
      <c r="G1552" t="s">
        <v>1251</v>
      </c>
      <c r="H1552" t="s">
        <v>1550</v>
      </c>
      <c r="K1552" t="s">
        <v>109</v>
      </c>
      <c r="L1552" t="s">
        <v>3121</v>
      </c>
      <c r="M1552" t="s">
        <v>84</v>
      </c>
      <c r="N1552" t="s">
        <v>2160</v>
      </c>
      <c r="O1552" t="s">
        <v>32</v>
      </c>
      <c r="P1552" t="s">
        <v>3549</v>
      </c>
      <c r="Q1552">
        <v>75</v>
      </c>
      <c r="R1552">
        <v>75</v>
      </c>
      <c r="S1552" t="s">
        <v>159</v>
      </c>
      <c r="T1552" t="s">
        <v>159</v>
      </c>
      <c r="U1552" t="s">
        <v>44</v>
      </c>
      <c r="W1552">
        <v>0</v>
      </c>
      <c r="X1552">
        <v>0</v>
      </c>
      <c r="Y1552">
        <v>0</v>
      </c>
      <c r="Z1552">
        <v>0</v>
      </c>
    </row>
    <row r="1553" spans="1:26" hidden="1" x14ac:dyDescent="0.25">
      <c r="A1553" t="s">
        <v>3550</v>
      </c>
      <c r="B1553" t="s">
        <v>2153</v>
      </c>
      <c r="C1553" s="4">
        <v>44818</v>
      </c>
      <c r="F1553" s="4">
        <v>47682</v>
      </c>
      <c r="G1553" t="s">
        <v>39</v>
      </c>
      <c r="H1553" t="s">
        <v>3551</v>
      </c>
      <c r="K1553" t="s">
        <v>41</v>
      </c>
      <c r="L1553" t="s">
        <v>3121</v>
      </c>
      <c r="M1553" t="s">
        <v>42</v>
      </c>
      <c r="N1553" t="s">
        <v>3122</v>
      </c>
      <c r="O1553" t="s">
        <v>32</v>
      </c>
      <c r="P1553" t="s">
        <v>3552</v>
      </c>
      <c r="Q1553">
        <v>75</v>
      </c>
      <c r="R1553">
        <v>75</v>
      </c>
      <c r="S1553" t="s">
        <v>159</v>
      </c>
      <c r="T1553" t="s">
        <v>159</v>
      </c>
      <c r="U1553" t="s">
        <v>44</v>
      </c>
      <c r="W1553">
        <v>75</v>
      </c>
      <c r="X1553">
        <v>75</v>
      </c>
      <c r="Y1553">
        <v>0</v>
      </c>
      <c r="Z1553">
        <v>0</v>
      </c>
    </row>
    <row r="1554" spans="1:26" hidden="1" x14ac:dyDescent="0.25">
      <c r="A1554" t="s">
        <v>3553</v>
      </c>
      <c r="B1554" t="s">
        <v>2153</v>
      </c>
      <c r="C1554" s="4">
        <v>44818</v>
      </c>
      <c r="F1554" s="4">
        <v>46191</v>
      </c>
      <c r="G1554" t="s">
        <v>117</v>
      </c>
      <c r="H1554" t="s">
        <v>1427</v>
      </c>
      <c r="K1554" t="s">
        <v>83</v>
      </c>
      <c r="L1554" t="s">
        <v>3121</v>
      </c>
      <c r="M1554" t="s">
        <v>84</v>
      </c>
      <c r="N1554" t="s">
        <v>2160</v>
      </c>
      <c r="O1554" t="s">
        <v>32</v>
      </c>
      <c r="P1554" t="s">
        <v>1427</v>
      </c>
      <c r="Q1554">
        <v>110</v>
      </c>
      <c r="R1554">
        <v>110</v>
      </c>
      <c r="S1554" t="s">
        <v>159</v>
      </c>
      <c r="T1554" t="s">
        <v>159</v>
      </c>
      <c r="U1554" t="s">
        <v>44</v>
      </c>
      <c r="W1554">
        <v>110</v>
      </c>
      <c r="X1554">
        <v>110</v>
      </c>
      <c r="Y1554">
        <v>0</v>
      </c>
      <c r="Z1554">
        <v>0</v>
      </c>
    </row>
    <row r="1555" spans="1:26" hidden="1" x14ac:dyDescent="0.25">
      <c r="A1555" t="s">
        <v>3554</v>
      </c>
      <c r="B1555" t="s">
        <v>2153</v>
      </c>
      <c r="C1555" s="4">
        <v>44818</v>
      </c>
      <c r="F1555" s="4">
        <v>46191</v>
      </c>
      <c r="G1555" t="s">
        <v>1368</v>
      </c>
      <c r="H1555" t="s">
        <v>3555</v>
      </c>
      <c r="K1555" t="s">
        <v>83</v>
      </c>
      <c r="L1555" t="s">
        <v>3121</v>
      </c>
      <c r="M1555" t="s">
        <v>42</v>
      </c>
      <c r="N1555" t="s">
        <v>3122</v>
      </c>
      <c r="O1555" t="s">
        <v>32</v>
      </c>
      <c r="P1555" t="s">
        <v>3556</v>
      </c>
      <c r="Q1555">
        <v>80</v>
      </c>
      <c r="R1555">
        <v>80</v>
      </c>
      <c r="S1555" t="s">
        <v>159</v>
      </c>
      <c r="T1555" t="s">
        <v>159</v>
      </c>
      <c r="U1555" t="s">
        <v>44</v>
      </c>
      <c r="W1555">
        <v>80</v>
      </c>
      <c r="X1555">
        <v>80</v>
      </c>
      <c r="Y1555">
        <v>0</v>
      </c>
      <c r="Z1555">
        <v>0</v>
      </c>
    </row>
    <row r="1556" spans="1:26" hidden="1" x14ac:dyDescent="0.25">
      <c r="A1556" t="s">
        <v>3557</v>
      </c>
      <c r="B1556" t="s">
        <v>2153</v>
      </c>
      <c r="C1556" s="4">
        <v>44818</v>
      </c>
      <c r="F1556" s="4">
        <v>46266</v>
      </c>
      <c r="G1556" t="s">
        <v>72</v>
      </c>
      <c r="H1556" t="s">
        <v>2201</v>
      </c>
      <c r="K1556" t="s">
        <v>209</v>
      </c>
      <c r="L1556" t="s">
        <v>3121</v>
      </c>
      <c r="M1556" t="s">
        <v>42</v>
      </c>
      <c r="N1556" t="s">
        <v>3122</v>
      </c>
      <c r="O1556" t="s">
        <v>32</v>
      </c>
      <c r="P1556" t="s">
        <v>3558</v>
      </c>
      <c r="Q1556">
        <v>210</v>
      </c>
      <c r="R1556">
        <v>210</v>
      </c>
      <c r="S1556" t="s">
        <v>34</v>
      </c>
      <c r="T1556" t="s">
        <v>35</v>
      </c>
      <c r="U1556" t="s">
        <v>44</v>
      </c>
      <c r="W1556">
        <v>210</v>
      </c>
      <c r="X1556">
        <v>210</v>
      </c>
      <c r="Y1556">
        <v>0</v>
      </c>
      <c r="Z1556">
        <v>0</v>
      </c>
    </row>
    <row r="1557" spans="1:26" hidden="1" x14ac:dyDescent="0.25">
      <c r="A1557" t="s">
        <v>3559</v>
      </c>
      <c r="B1557" t="s">
        <v>2153</v>
      </c>
      <c r="C1557" s="4">
        <v>44818</v>
      </c>
      <c r="F1557" s="4">
        <v>46191</v>
      </c>
      <c r="H1557" t="s">
        <v>1427</v>
      </c>
      <c r="K1557" t="s">
        <v>83</v>
      </c>
      <c r="L1557" t="s">
        <v>3121</v>
      </c>
      <c r="M1557" t="s">
        <v>84</v>
      </c>
      <c r="N1557" t="s">
        <v>2160</v>
      </c>
      <c r="O1557" t="s">
        <v>32</v>
      </c>
      <c r="P1557" t="s">
        <v>1427</v>
      </c>
      <c r="Q1557">
        <v>220</v>
      </c>
      <c r="R1557">
        <v>220</v>
      </c>
      <c r="S1557" t="s">
        <v>34</v>
      </c>
      <c r="T1557" t="s">
        <v>35</v>
      </c>
      <c r="U1557" t="s">
        <v>44</v>
      </c>
      <c r="W1557">
        <v>220</v>
      </c>
      <c r="X1557">
        <v>220</v>
      </c>
      <c r="Y1557">
        <v>0</v>
      </c>
      <c r="Z1557">
        <v>0</v>
      </c>
    </row>
    <row r="1558" spans="1:26" hidden="1" x14ac:dyDescent="0.25">
      <c r="A1558" t="s">
        <v>3560</v>
      </c>
      <c r="B1558" t="s">
        <v>2153</v>
      </c>
      <c r="C1558" s="4">
        <v>45166</v>
      </c>
      <c r="F1558" s="4">
        <v>46266</v>
      </c>
      <c r="H1558" t="s">
        <v>1588</v>
      </c>
      <c r="K1558" t="s">
        <v>53</v>
      </c>
      <c r="L1558" t="s">
        <v>3121</v>
      </c>
      <c r="M1558" t="s">
        <v>54</v>
      </c>
      <c r="N1558" t="s">
        <v>3122</v>
      </c>
      <c r="O1558" t="s">
        <v>32</v>
      </c>
      <c r="P1558" t="s">
        <v>3561</v>
      </c>
      <c r="Q1558">
        <v>100</v>
      </c>
      <c r="R1558">
        <v>100</v>
      </c>
      <c r="S1558" t="s">
        <v>159</v>
      </c>
      <c r="T1558" t="s">
        <v>159</v>
      </c>
      <c r="U1558" t="s">
        <v>44</v>
      </c>
      <c r="W1558">
        <v>100</v>
      </c>
      <c r="X1558">
        <v>100</v>
      </c>
      <c r="Y1558">
        <v>0</v>
      </c>
      <c r="Z1558">
        <v>0</v>
      </c>
    </row>
    <row r="1559" spans="1:26" hidden="1" x14ac:dyDescent="0.25">
      <c r="A1559" t="s">
        <v>3562</v>
      </c>
      <c r="B1559" t="s">
        <v>2153</v>
      </c>
      <c r="C1559" s="4">
        <v>44818</v>
      </c>
      <c r="F1559" s="4">
        <v>46191</v>
      </c>
      <c r="G1559" t="s">
        <v>1368</v>
      </c>
      <c r="H1559" t="s">
        <v>3563</v>
      </c>
      <c r="K1559" t="s">
        <v>83</v>
      </c>
      <c r="L1559" t="s">
        <v>3121</v>
      </c>
      <c r="M1559" t="s">
        <v>42</v>
      </c>
      <c r="N1559" t="s">
        <v>3122</v>
      </c>
      <c r="O1559" t="s">
        <v>32</v>
      </c>
      <c r="P1559" t="s">
        <v>3556</v>
      </c>
      <c r="Q1559">
        <v>300</v>
      </c>
      <c r="R1559">
        <v>300</v>
      </c>
      <c r="S1559" t="s">
        <v>34</v>
      </c>
      <c r="T1559" t="s">
        <v>35</v>
      </c>
      <c r="U1559" t="s">
        <v>44</v>
      </c>
      <c r="W1559">
        <v>300</v>
      </c>
      <c r="X1559">
        <v>300</v>
      </c>
      <c r="Y1559">
        <v>0</v>
      </c>
      <c r="Z1559">
        <v>0</v>
      </c>
    </row>
    <row r="1560" spans="1:26" hidden="1" x14ac:dyDescent="0.25">
      <c r="A1560" t="s">
        <v>3564</v>
      </c>
      <c r="B1560" t="s">
        <v>38</v>
      </c>
      <c r="C1560" s="4">
        <v>44818</v>
      </c>
      <c r="D1560" s="4">
        <v>45868</v>
      </c>
      <c r="F1560" s="4">
        <v>47317</v>
      </c>
      <c r="G1560" t="s">
        <v>1278</v>
      </c>
      <c r="H1560" t="s">
        <v>1315</v>
      </c>
      <c r="K1560" t="s">
        <v>28</v>
      </c>
      <c r="L1560" t="s">
        <v>3121</v>
      </c>
      <c r="M1560" t="s">
        <v>30</v>
      </c>
      <c r="N1560" t="s">
        <v>3122</v>
      </c>
      <c r="O1560" t="s">
        <v>32</v>
      </c>
      <c r="P1560" t="s">
        <v>3565</v>
      </c>
      <c r="Q1560">
        <v>100</v>
      </c>
      <c r="R1560">
        <v>100</v>
      </c>
      <c r="S1560" t="s">
        <v>159</v>
      </c>
      <c r="T1560" t="s">
        <v>159</v>
      </c>
      <c r="U1560" t="s">
        <v>44</v>
      </c>
      <c r="W1560">
        <v>0</v>
      </c>
      <c r="X1560">
        <v>0</v>
      </c>
      <c r="Y1560">
        <v>0</v>
      </c>
      <c r="Z1560">
        <v>0</v>
      </c>
    </row>
    <row r="1561" spans="1:26" hidden="1" x14ac:dyDescent="0.25">
      <c r="A1561" t="s">
        <v>3566</v>
      </c>
      <c r="B1561" t="s">
        <v>38</v>
      </c>
      <c r="C1561" s="4">
        <v>44818</v>
      </c>
      <c r="D1561" s="4">
        <v>45009</v>
      </c>
      <c r="F1561" s="4">
        <v>46586</v>
      </c>
      <c r="G1561" t="s">
        <v>1311</v>
      </c>
      <c r="H1561" t="s">
        <v>3060</v>
      </c>
      <c r="K1561" t="s">
        <v>114</v>
      </c>
      <c r="L1561" t="s">
        <v>3121</v>
      </c>
      <c r="M1561" t="s">
        <v>68</v>
      </c>
      <c r="N1561" t="s">
        <v>3122</v>
      </c>
      <c r="O1561" t="s">
        <v>32</v>
      </c>
      <c r="P1561" t="s">
        <v>3567</v>
      </c>
      <c r="Q1561">
        <v>150</v>
      </c>
      <c r="R1561">
        <v>150</v>
      </c>
      <c r="S1561" t="s">
        <v>34</v>
      </c>
      <c r="T1561" t="s">
        <v>35</v>
      </c>
      <c r="U1561" t="s">
        <v>44</v>
      </c>
      <c r="W1561">
        <v>0</v>
      </c>
      <c r="X1561">
        <v>0</v>
      </c>
      <c r="Y1561">
        <v>0</v>
      </c>
      <c r="Z1561">
        <v>0</v>
      </c>
    </row>
    <row r="1562" spans="1:26" hidden="1" x14ac:dyDescent="0.25">
      <c r="A1562" t="s">
        <v>3568</v>
      </c>
      <c r="B1562" t="s">
        <v>2153</v>
      </c>
      <c r="C1562" s="4">
        <v>44818</v>
      </c>
      <c r="F1562" s="4">
        <v>47317</v>
      </c>
      <c r="H1562" t="s">
        <v>1315</v>
      </c>
      <c r="K1562" t="s">
        <v>28</v>
      </c>
      <c r="L1562" t="s">
        <v>3121</v>
      </c>
      <c r="M1562" t="s">
        <v>30</v>
      </c>
      <c r="N1562" t="s">
        <v>3122</v>
      </c>
      <c r="O1562" t="s">
        <v>122</v>
      </c>
      <c r="P1562" t="s">
        <v>3565</v>
      </c>
      <c r="Q1562">
        <v>200</v>
      </c>
      <c r="R1562">
        <v>200</v>
      </c>
      <c r="S1562" t="s">
        <v>34</v>
      </c>
      <c r="T1562" t="s">
        <v>35</v>
      </c>
      <c r="U1562" t="s">
        <v>44</v>
      </c>
      <c r="W1562">
        <v>200</v>
      </c>
      <c r="X1562">
        <v>0</v>
      </c>
      <c r="Y1562">
        <v>0</v>
      </c>
      <c r="Z1562">
        <v>0</v>
      </c>
    </row>
    <row r="1563" spans="1:26" hidden="1" x14ac:dyDescent="0.25">
      <c r="A1563" t="s">
        <v>3569</v>
      </c>
      <c r="B1563" t="s">
        <v>38</v>
      </c>
      <c r="C1563" s="4">
        <v>44818</v>
      </c>
      <c r="D1563" s="4">
        <v>45869</v>
      </c>
      <c r="F1563" s="4">
        <v>46553</v>
      </c>
      <c r="G1563" t="s">
        <v>1311</v>
      </c>
      <c r="H1563" t="s">
        <v>3060</v>
      </c>
      <c r="K1563" t="s">
        <v>114</v>
      </c>
      <c r="L1563" t="s">
        <v>3121</v>
      </c>
      <c r="M1563" t="s">
        <v>68</v>
      </c>
      <c r="N1563" t="s">
        <v>3122</v>
      </c>
      <c r="O1563" t="s">
        <v>32</v>
      </c>
      <c r="P1563" t="s">
        <v>3570</v>
      </c>
      <c r="Q1563">
        <v>130</v>
      </c>
      <c r="R1563">
        <v>130</v>
      </c>
      <c r="S1563" t="s">
        <v>34</v>
      </c>
      <c r="T1563" t="s">
        <v>35</v>
      </c>
      <c r="U1563" t="s">
        <v>44</v>
      </c>
      <c r="W1563">
        <v>0</v>
      </c>
      <c r="X1563">
        <v>0</v>
      </c>
      <c r="Y1563">
        <v>0</v>
      </c>
      <c r="Z1563">
        <v>0</v>
      </c>
    </row>
    <row r="1564" spans="1:26" hidden="1" x14ac:dyDescent="0.25">
      <c r="A1564" t="s">
        <v>3571</v>
      </c>
      <c r="B1564" t="s">
        <v>2153</v>
      </c>
      <c r="C1564" s="4">
        <v>44819</v>
      </c>
      <c r="F1564" s="4">
        <v>47682</v>
      </c>
      <c r="G1564" t="s">
        <v>39</v>
      </c>
      <c r="H1564" t="s">
        <v>3551</v>
      </c>
      <c r="K1564" t="s">
        <v>41</v>
      </c>
      <c r="L1564" t="s">
        <v>3121</v>
      </c>
      <c r="M1564" t="s">
        <v>42</v>
      </c>
      <c r="N1564" t="s">
        <v>3122</v>
      </c>
      <c r="O1564" t="s">
        <v>32</v>
      </c>
      <c r="P1564" t="s">
        <v>3552</v>
      </c>
      <c r="Q1564">
        <v>153</v>
      </c>
      <c r="R1564">
        <v>153</v>
      </c>
      <c r="S1564" t="s">
        <v>34</v>
      </c>
      <c r="T1564" t="s">
        <v>35</v>
      </c>
      <c r="U1564" t="s">
        <v>44</v>
      </c>
      <c r="W1564">
        <v>153</v>
      </c>
      <c r="X1564">
        <v>153</v>
      </c>
      <c r="Y1564">
        <v>0</v>
      </c>
      <c r="Z1564">
        <v>0</v>
      </c>
    </row>
    <row r="1565" spans="1:26" hidden="1" x14ac:dyDescent="0.25">
      <c r="A1565" t="s">
        <v>3572</v>
      </c>
      <c r="B1565" t="s">
        <v>38</v>
      </c>
      <c r="C1565" s="4">
        <v>44819</v>
      </c>
      <c r="D1565" s="4">
        <v>45869</v>
      </c>
      <c r="F1565" s="4">
        <v>45981</v>
      </c>
      <c r="G1565" t="s">
        <v>65</v>
      </c>
      <c r="H1565" t="s">
        <v>2482</v>
      </c>
      <c r="K1565" t="s">
        <v>67</v>
      </c>
      <c r="L1565" t="s">
        <v>3121</v>
      </c>
      <c r="M1565" t="s">
        <v>68</v>
      </c>
      <c r="N1565" t="s">
        <v>3122</v>
      </c>
      <c r="O1565" t="s">
        <v>32</v>
      </c>
      <c r="P1565" t="s">
        <v>3573</v>
      </c>
      <c r="Q1565">
        <v>80</v>
      </c>
      <c r="R1565">
        <v>80</v>
      </c>
      <c r="S1565" t="s">
        <v>34</v>
      </c>
      <c r="T1565" t="s">
        <v>35</v>
      </c>
      <c r="U1565" t="s">
        <v>44</v>
      </c>
      <c r="W1565">
        <v>0</v>
      </c>
      <c r="X1565">
        <v>0</v>
      </c>
      <c r="Y1565">
        <v>0</v>
      </c>
      <c r="Z1565">
        <v>0</v>
      </c>
    </row>
    <row r="1566" spans="1:26" hidden="1" x14ac:dyDescent="0.25">
      <c r="A1566" t="s">
        <v>3574</v>
      </c>
      <c r="B1566" t="s">
        <v>2153</v>
      </c>
      <c r="C1566" s="4">
        <v>44819</v>
      </c>
      <c r="F1566" s="4">
        <v>46203</v>
      </c>
      <c r="G1566" t="s">
        <v>39</v>
      </c>
      <c r="H1566" t="s">
        <v>3146</v>
      </c>
      <c r="K1566" t="s">
        <v>41</v>
      </c>
      <c r="L1566" t="s">
        <v>3121</v>
      </c>
      <c r="M1566" t="s">
        <v>42</v>
      </c>
      <c r="N1566" t="s">
        <v>3122</v>
      </c>
      <c r="O1566" t="s">
        <v>32</v>
      </c>
      <c r="P1566" t="s">
        <v>3575</v>
      </c>
      <c r="Q1566">
        <v>200</v>
      </c>
      <c r="R1566">
        <v>200</v>
      </c>
      <c r="S1566" t="s">
        <v>56</v>
      </c>
      <c r="T1566" t="s">
        <v>57</v>
      </c>
      <c r="U1566" t="s">
        <v>44</v>
      </c>
      <c r="W1566">
        <v>200</v>
      </c>
      <c r="X1566">
        <v>200</v>
      </c>
      <c r="Y1566">
        <v>0</v>
      </c>
      <c r="Z1566">
        <v>0</v>
      </c>
    </row>
    <row r="1567" spans="1:26" hidden="1" x14ac:dyDescent="0.25">
      <c r="A1567" t="s">
        <v>3576</v>
      </c>
      <c r="B1567" t="s">
        <v>38</v>
      </c>
      <c r="C1567" s="4">
        <v>44818</v>
      </c>
      <c r="D1567" s="4">
        <v>45957</v>
      </c>
      <c r="F1567" s="4">
        <v>45808</v>
      </c>
      <c r="G1567" t="s">
        <v>101</v>
      </c>
      <c r="H1567" t="s">
        <v>2013</v>
      </c>
      <c r="K1567" t="s">
        <v>98</v>
      </c>
      <c r="L1567" t="s">
        <v>3121</v>
      </c>
      <c r="M1567" t="s">
        <v>84</v>
      </c>
      <c r="N1567" t="s">
        <v>2160</v>
      </c>
      <c r="O1567" t="s">
        <v>32</v>
      </c>
      <c r="P1567" t="s">
        <v>3577</v>
      </c>
      <c r="Q1567">
        <v>18.899999999999999</v>
      </c>
      <c r="R1567">
        <v>18.899999999999999</v>
      </c>
      <c r="S1567" t="s">
        <v>597</v>
      </c>
      <c r="T1567" t="s">
        <v>598</v>
      </c>
      <c r="U1567" t="s">
        <v>44</v>
      </c>
      <c r="W1567">
        <v>0</v>
      </c>
      <c r="X1567">
        <v>0</v>
      </c>
      <c r="Y1567">
        <v>0</v>
      </c>
      <c r="Z1567">
        <v>0</v>
      </c>
    </row>
    <row r="1568" spans="1:26" hidden="1" x14ac:dyDescent="0.25">
      <c r="A1568" t="s">
        <v>3578</v>
      </c>
      <c r="B1568" t="s">
        <v>2153</v>
      </c>
      <c r="C1568" s="4">
        <v>44818</v>
      </c>
      <c r="F1568" s="4">
        <v>46266</v>
      </c>
      <c r="H1568" t="s">
        <v>2751</v>
      </c>
      <c r="K1568" t="s">
        <v>83</v>
      </c>
      <c r="L1568" t="s">
        <v>3121</v>
      </c>
      <c r="M1568" t="s">
        <v>84</v>
      </c>
      <c r="N1568" t="s">
        <v>2160</v>
      </c>
      <c r="O1568" t="s">
        <v>32</v>
      </c>
      <c r="P1568" t="s">
        <v>3579</v>
      </c>
      <c r="Q1568">
        <v>265</v>
      </c>
      <c r="R1568">
        <v>265</v>
      </c>
      <c r="S1568" t="s">
        <v>34</v>
      </c>
      <c r="T1568" t="s">
        <v>35</v>
      </c>
      <c r="U1568" t="s">
        <v>44</v>
      </c>
      <c r="W1568">
        <v>265</v>
      </c>
      <c r="X1568">
        <v>265</v>
      </c>
      <c r="Y1568">
        <v>0</v>
      </c>
      <c r="Z1568">
        <v>0</v>
      </c>
    </row>
    <row r="1569" spans="1:26" hidden="1" x14ac:dyDescent="0.25">
      <c r="A1569" t="s">
        <v>3580</v>
      </c>
      <c r="B1569" t="s">
        <v>2153</v>
      </c>
      <c r="C1569" s="4">
        <v>44818</v>
      </c>
      <c r="F1569" s="4">
        <v>46235</v>
      </c>
      <c r="G1569" t="s">
        <v>691</v>
      </c>
      <c r="H1569" t="s">
        <v>2499</v>
      </c>
      <c r="K1569" t="s">
        <v>98</v>
      </c>
      <c r="L1569" t="s">
        <v>3121</v>
      </c>
      <c r="M1569" t="s">
        <v>84</v>
      </c>
      <c r="N1569" t="s">
        <v>2160</v>
      </c>
      <c r="O1569" t="s">
        <v>32</v>
      </c>
      <c r="P1569" t="s">
        <v>3581</v>
      </c>
      <c r="Q1569">
        <v>200</v>
      </c>
      <c r="R1569">
        <v>200</v>
      </c>
      <c r="S1569" t="s">
        <v>34</v>
      </c>
      <c r="T1569" t="s">
        <v>35</v>
      </c>
      <c r="U1569" t="s">
        <v>44</v>
      </c>
      <c r="W1569">
        <v>200</v>
      </c>
      <c r="X1569">
        <v>200</v>
      </c>
      <c r="Y1569">
        <v>0</v>
      </c>
      <c r="Z1569">
        <v>0</v>
      </c>
    </row>
    <row r="1570" spans="1:26" hidden="1" x14ac:dyDescent="0.25">
      <c r="A1570" t="s">
        <v>3582</v>
      </c>
      <c r="B1570" t="s">
        <v>2153</v>
      </c>
      <c r="C1570" s="4">
        <v>44819</v>
      </c>
      <c r="F1570" s="4">
        <v>45748</v>
      </c>
      <c r="G1570" t="s">
        <v>52</v>
      </c>
      <c r="H1570" t="s">
        <v>3583</v>
      </c>
      <c r="K1570" t="s">
        <v>53</v>
      </c>
      <c r="L1570" t="s">
        <v>3121</v>
      </c>
      <c r="M1570" t="s">
        <v>54</v>
      </c>
      <c r="N1570" t="s">
        <v>3122</v>
      </c>
      <c r="O1570" t="s">
        <v>32</v>
      </c>
      <c r="P1570" t="s">
        <v>2473</v>
      </c>
      <c r="Q1570">
        <v>240</v>
      </c>
      <c r="R1570">
        <v>240</v>
      </c>
      <c r="S1570" t="s">
        <v>159</v>
      </c>
      <c r="T1570" t="s">
        <v>159</v>
      </c>
      <c r="U1570" t="s">
        <v>44</v>
      </c>
      <c r="W1570">
        <v>240</v>
      </c>
      <c r="X1570">
        <v>240</v>
      </c>
      <c r="Y1570">
        <v>0</v>
      </c>
      <c r="Z1570">
        <v>0</v>
      </c>
    </row>
    <row r="1571" spans="1:26" hidden="1" x14ac:dyDescent="0.25">
      <c r="A1571" t="s">
        <v>3584</v>
      </c>
      <c r="B1571" t="s">
        <v>38</v>
      </c>
      <c r="C1571" s="4">
        <v>44819</v>
      </c>
      <c r="D1571" s="4">
        <v>45009</v>
      </c>
      <c r="F1571" s="4">
        <v>45748</v>
      </c>
      <c r="G1571" t="s">
        <v>616</v>
      </c>
      <c r="H1571" t="s">
        <v>1462</v>
      </c>
      <c r="K1571" t="s">
        <v>146</v>
      </c>
      <c r="L1571" t="s">
        <v>3121</v>
      </c>
      <c r="M1571" t="s">
        <v>68</v>
      </c>
      <c r="N1571" t="s">
        <v>3122</v>
      </c>
      <c r="O1571" t="s">
        <v>32</v>
      </c>
      <c r="P1571" t="s">
        <v>3585</v>
      </c>
      <c r="Q1571">
        <v>120</v>
      </c>
      <c r="R1571">
        <v>120</v>
      </c>
      <c r="S1571" t="s">
        <v>159</v>
      </c>
      <c r="T1571" t="s">
        <v>159</v>
      </c>
      <c r="U1571" t="s">
        <v>44</v>
      </c>
      <c r="W1571">
        <v>0</v>
      </c>
      <c r="X1571">
        <v>0</v>
      </c>
      <c r="Y1571">
        <v>0</v>
      </c>
      <c r="Z1571">
        <v>0</v>
      </c>
    </row>
    <row r="1572" spans="1:26" hidden="1" x14ac:dyDescent="0.25">
      <c r="A1572" t="s">
        <v>3586</v>
      </c>
      <c r="B1572" t="s">
        <v>38</v>
      </c>
      <c r="C1572" s="4">
        <v>44819</v>
      </c>
      <c r="D1572" s="4">
        <v>45957</v>
      </c>
      <c r="F1572" s="4">
        <v>46143</v>
      </c>
      <c r="G1572" t="s">
        <v>1597</v>
      </c>
      <c r="H1572" t="s">
        <v>3587</v>
      </c>
      <c r="K1572" t="s">
        <v>41</v>
      </c>
      <c r="L1572" t="s">
        <v>3121</v>
      </c>
      <c r="M1572" t="s">
        <v>42</v>
      </c>
      <c r="N1572" t="s">
        <v>3122</v>
      </c>
      <c r="O1572" t="s">
        <v>32</v>
      </c>
      <c r="P1572" t="s">
        <v>3588</v>
      </c>
      <c r="Q1572">
        <v>300</v>
      </c>
      <c r="R1572">
        <v>300</v>
      </c>
      <c r="S1572" t="s">
        <v>159</v>
      </c>
      <c r="T1572" t="s">
        <v>159</v>
      </c>
      <c r="U1572" t="s">
        <v>44</v>
      </c>
      <c r="W1572">
        <v>0</v>
      </c>
      <c r="X1572">
        <v>0</v>
      </c>
      <c r="Y1572">
        <v>0</v>
      </c>
      <c r="Z1572">
        <v>0</v>
      </c>
    </row>
    <row r="1573" spans="1:26" hidden="1" x14ac:dyDescent="0.25">
      <c r="A1573" t="s">
        <v>3589</v>
      </c>
      <c r="B1573" t="s">
        <v>38</v>
      </c>
      <c r="C1573" s="4">
        <v>44819</v>
      </c>
      <c r="D1573" s="4">
        <v>45869</v>
      </c>
      <c r="F1573" s="4">
        <v>46143</v>
      </c>
      <c r="G1573" t="s">
        <v>144</v>
      </c>
      <c r="H1573" t="s">
        <v>2127</v>
      </c>
      <c r="K1573" t="s">
        <v>146</v>
      </c>
      <c r="L1573" t="s">
        <v>3121</v>
      </c>
      <c r="M1573" t="s">
        <v>68</v>
      </c>
      <c r="N1573" t="s">
        <v>3122</v>
      </c>
      <c r="O1573" t="s">
        <v>32</v>
      </c>
      <c r="P1573" t="s">
        <v>3198</v>
      </c>
      <c r="Q1573">
        <v>200</v>
      </c>
      <c r="R1573">
        <v>200</v>
      </c>
      <c r="S1573" t="s">
        <v>159</v>
      </c>
      <c r="T1573" t="s">
        <v>159</v>
      </c>
      <c r="U1573" t="s">
        <v>44</v>
      </c>
      <c r="W1573">
        <v>0</v>
      </c>
      <c r="X1573">
        <v>0</v>
      </c>
      <c r="Y1573">
        <v>0</v>
      </c>
      <c r="Z1573">
        <v>0</v>
      </c>
    </row>
    <row r="1574" spans="1:26" hidden="1" x14ac:dyDescent="0.25">
      <c r="A1574" t="s">
        <v>3590</v>
      </c>
      <c r="B1574" t="s">
        <v>2153</v>
      </c>
      <c r="C1574" s="4">
        <v>44819</v>
      </c>
      <c r="F1574" s="4">
        <v>45322</v>
      </c>
      <c r="G1574" t="s">
        <v>3591</v>
      </c>
      <c r="H1574" t="s">
        <v>2496</v>
      </c>
      <c r="K1574" t="s">
        <v>114</v>
      </c>
      <c r="L1574" t="s">
        <v>3121</v>
      </c>
      <c r="M1574" t="s">
        <v>68</v>
      </c>
      <c r="N1574" t="s">
        <v>3122</v>
      </c>
      <c r="O1574" t="s">
        <v>32</v>
      </c>
      <c r="P1574" t="s">
        <v>3592</v>
      </c>
      <c r="Q1574">
        <v>176.6</v>
      </c>
      <c r="R1574">
        <v>176.6</v>
      </c>
      <c r="S1574" t="s">
        <v>56</v>
      </c>
      <c r="T1574" t="s">
        <v>57</v>
      </c>
      <c r="U1574" t="s">
        <v>44</v>
      </c>
      <c r="W1574">
        <v>176.6</v>
      </c>
      <c r="X1574">
        <v>176.6</v>
      </c>
      <c r="Y1574">
        <v>0</v>
      </c>
      <c r="Z1574">
        <v>0</v>
      </c>
    </row>
    <row r="1575" spans="1:26" hidden="1" x14ac:dyDescent="0.25">
      <c r="A1575" t="s">
        <v>3593</v>
      </c>
      <c r="B1575" t="s">
        <v>2153</v>
      </c>
      <c r="C1575" s="4">
        <v>44819</v>
      </c>
      <c r="F1575" s="4">
        <v>45748</v>
      </c>
      <c r="G1575" t="s">
        <v>1257</v>
      </c>
      <c r="H1575" t="s">
        <v>3459</v>
      </c>
      <c r="K1575" t="s">
        <v>98</v>
      </c>
      <c r="L1575" t="s">
        <v>3121</v>
      </c>
      <c r="M1575" t="s">
        <v>84</v>
      </c>
      <c r="N1575" t="s">
        <v>2160</v>
      </c>
      <c r="O1575" t="s">
        <v>32</v>
      </c>
      <c r="P1575" t="s">
        <v>3594</v>
      </c>
      <c r="Q1575">
        <v>200</v>
      </c>
      <c r="R1575">
        <v>200</v>
      </c>
      <c r="S1575" t="s">
        <v>159</v>
      </c>
      <c r="T1575" t="s">
        <v>159</v>
      </c>
      <c r="U1575" t="s">
        <v>44</v>
      </c>
      <c r="W1575">
        <v>200</v>
      </c>
      <c r="X1575">
        <v>200</v>
      </c>
      <c r="Y1575">
        <v>0</v>
      </c>
      <c r="Z1575">
        <v>0</v>
      </c>
    </row>
    <row r="1576" spans="1:26" hidden="1" x14ac:dyDescent="0.25">
      <c r="A1576" t="s">
        <v>3595</v>
      </c>
      <c r="B1576" t="s">
        <v>38</v>
      </c>
      <c r="C1576" s="4">
        <v>44818</v>
      </c>
      <c r="D1576" s="4">
        <v>45957</v>
      </c>
      <c r="F1576" s="4">
        <v>46266</v>
      </c>
      <c r="G1576" t="s">
        <v>101</v>
      </c>
      <c r="H1576" t="s">
        <v>1302</v>
      </c>
      <c r="K1576" t="s">
        <v>98</v>
      </c>
      <c r="L1576" t="s">
        <v>3121</v>
      </c>
      <c r="M1576" t="s">
        <v>84</v>
      </c>
      <c r="N1576" t="s">
        <v>2160</v>
      </c>
      <c r="O1576" t="s">
        <v>32</v>
      </c>
      <c r="P1576" t="s">
        <v>3596</v>
      </c>
      <c r="Q1576">
        <v>200</v>
      </c>
      <c r="R1576">
        <v>200</v>
      </c>
      <c r="S1576" t="s">
        <v>34</v>
      </c>
      <c r="T1576" t="s">
        <v>35</v>
      </c>
      <c r="U1576" t="s">
        <v>44</v>
      </c>
      <c r="W1576">
        <v>0</v>
      </c>
      <c r="X1576">
        <v>0</v>
      </c>
      <c r="Y1576">
        <v>0</v>
      </c>
      <c r="Z1576">
        <v>0</v>
      </c>
    </row>
    <row r="1577" spans="1:26" hidden="1" x14ac:dyDescent="0.25">
      <c r="A1577" t="s">
        <v>3597</v>
      </c>
      <c r="B1577" t="s">
        <v>38</v>
      </c>
      <c r="C1577" s="4">
        <v>44818</v>
      </c>
      <c r="D1577" s="4">
        <v>45869</v>
      </c>
      <c r="F1577" s="4">
        <v>46660</v>
      </c>
      <c r="G1577" t="s">
        <v>65</v>
      </c>
      <c r="H1577" t="s">
        <v>2482</v>
      </c>
      <c r="K1577" t="s">
        <v>67</v>
      </c>
      <c r="L1577" t="s">
        <v>3121</v>
      </c>
      <c r="M1577" t="s">
        <v>68</v>
      </c>
      <c r="N1577" t="s">
        <v>3122</v>
      </c>
      <c r="O1577" t="s">
        <v>32</v>
      </c>
      <c r="P1577" t="s">
        <v>2488</v>
      </c>
      <c r="Q1577">
        <v>172</v>
      </c>
      <c r="R1577">
        <v>172</v>
      </c>
      <c r="S1577" t="s">
        <v>597</v>
      </c>
      <c r="T1577" t="s">
        <v>598</v>
      </c>
      <c r="U1577" t="s">
        <v>44</v>
      </c>
      <c r="W1577">
        <v>0</v>
      </c>
      <c r="X1577">
        <v>0</v>
      </c>
      <c r="Y1577">
        <v>0</v>
      </c>
      <c r="Z1577">
        <v>0</v>
      </c>
    </row>
    <row r="1578" spans="1:26" hidden="1" x14ac:dyDescent="0.25">
      <c r="A1578" t="s">
        <v>3598</v>
      </c>
      <c r="B1578" t="s">
        <v>2153</v>
      </c>
      <c r="C1578" s="4">
        <v>44819</v>
      </c>
      <c r="F1578" s="4">
        <v>46553</v>
      </c>
      <c r="G1578" t="s">
        <v>117</v>
      </c>
      <c r="H1578" t="s">
        <v>1711</v>
      </c>
      <c r="K1578" t="s">
        <v>83</v>
      </c>
      <c r="L1578" t="s">
        <v>3121</v>
      </c>
      <c r="M1578" t="s">
        <v>84</v>
      </c>
      <c r="N1578" t="s">
        <v>2160</v>
      </c>
      <c r="O1578" t="s">
        <v>32</v>
      </c>
      <c r="P1578" t="s">
        <v>3599</v>
      </c>
      <c r="Q1578">
        <v>198</v>
      </c>
      <c r="R1578">
        <v>198</v>
      </c>
      <c r="S1578" t="s">
        <v>159</v>
      </c>
      <c r="T1578" t="s">
        <v>159</v>
      </c>
      <c r="U1578" t="s">
        <v>44</v>
      </c>
      <c r="W1578">
        <v>198</v>
      </c>
      <c r="X1578">
        <v>198</v>
      </c>
      <c r="Y1578">
        <v>0</v>
      </c>
      <c r="Z1578">
        <v>0</v>
      </c>
    </row>
    <row r="1579" spans="1:26" hidden="1" x14ac:dyDescent="0.25">
      <c r="A1579" t="s">
        <v>3600</v>
      </c>
      <c r="B1579" t="s">
        <v>2153</v>
      </c>
      <c r="C1579" s="4">
        <v>44819</v>
      </c>
      <c r="F1579" s="4">
        <v>45688</v>
      </c>
      <c r="G1579" t="s">
        <v>1368</v>
      </c>
      <c r="H1579" t="s">
        <v>3601</v>
      </c>
      <c r="K1579" t="s">
        <v>209</v>
      </c>
      <c r="L1579" t="s">
        <v>3121</v>
      </c>
      <c r="M1579" t="s">
        <v>42</v>
      </c>
      <c r="N1579" t="s">
        <v>3122</v>
      </c>
      <c r="O1579" t="s">
        <v>32</v>
      </c>
      <c r="P1579" t="s">
        <v>3602</v>
      </c>
      <c r="Q1579">
        <v>164.1</v>
      </c>
      <c r="R1579">
        <v>164.1</v>
      </c>
      <c r="S1579" t="s">
        <v>56</v>
      </c>
      <c r="T1579" t="s">
        <v>57</v>
      </c>
      <c r="U1579" t="s">
        <v>44</v>
      </c>
      <c r="W1579">
        <v>164.1</v>
      </c>
      <c r="X1579">
        <v>164.1</v>
      </c>
      <c r="Y1579">
        <v>0</v>
      </c>
      <c r="Z1579">
        <v>0</v>
      </c>
    </row>
    <row r="1580" spans="1:26" hidden="1" x14ac:dyDescent="0.25">
      <c r="A1580" t="s">
        <v>3603</v>
      </c>
      <c r="B1580" t="s">
        <v>2153</v>
      </c>
      <c r="C1580" s="4">
        <v>44819</v>
      </c>
      <c r="F1580" s="4">
        <v>45931</v>
      </c>
      <c r="G1580" t="s">
        <v>1326</v>
      </c>
      <c r="H1580" t="s">
        <v>1879</v>
      </c>
      <c r="K1580" t="s">
        <v>67</v>
      </c>
      <c r="L1580" t="s">
        <v>3121</v>
      </c>
      <c r="M1580" t="s">
        <v>68</v>
      </c>
      <c r="N1580" t="s">
        <v>3122</v>
      </c>
      <c r="O1580" t="s">
        <v>32</v>
      </c>
      <c r="P1580" t="s">
        <v>3604</v>
      </c>
      <c r="Q1580">
        <v>200</v>
      </c>
      <c r="R1580">
        <v>200</v>
      </c>
      <c r="S1580" t="s">
        <v>56</v>
      </c>
      <c r="T1580" t="s">
        <v>57</v>
      </c>
      <c r="U1580" t="s">
        <v>44</v>
      </c>
      <c r="W1580">
        <v>200</v>
      </c>
      <c r="X1580">
        <v>200</v>
      </c>
      <c r="Y1580">
        <v>0</v>
      </c>
      <c r="Z1580">
        <v>0</v>
      </c>
    </row>
    <row r="1581" spans="1:26" hidden="1" x14ac:dyDescent="0.25">
      <c r="A1581" t="s">
        <v>3605</v>
      </c>
      <c r="B1581" t="s">
        <v>2153</v>
      </c>
      <c r="C1581" s="4">
        <v>44817</v>
      </c>
      <c r="F1581" s="4">
        <v>46266</v>
      </c>
      <c r="G1581" t="s">
        <v>52</v>
      </c>
      <c r="H1581" t="s">
        <v>3441</v>
      </c>
      <c r="K1581" t="s">
        <v>53</v>
      </c>
      <c r="L1581" t="s">
        <v>3121</v>
      </c>
      <c r="M1581" t="s">
        <v>54</v>
      </c>
      <c r="N1581" t="s">
        <v>3122</v>
      </c>
      <c r="O1581" t="s">
        <v>32</v>
      </c>
      <c r="P1581" t="s">
        <v>3606</v>
      </c>
      <c r="Q1581">
        <v>180</v>
      </c>
      <c r="R1581">
        <v>180</v>
      </c>
      <c r="S1581" t="s">
        <v>34</v>
      </c>
      <c r="T1581" t="s">
        <v>35</v>
      </c>
      <c r="U1581" t="s">
        <v>44</v>
      </c>
      <c r="W1581">
        <v>180</v>
      </c>
      <c r="X1581">
        <v>180</v>
      </c>
      <c r="Y1581">
        <v>0</v>
      </c>
      <c r="Z1581">
        <v>0</v>
      </c>
    </row>
    <row r="1582" spans="1:26" hidden="1" x14ac:dyDescent="0.25">
      <c r="A1582" t="s">
        <v>3607</v>
      </c>
      <c r="B1582" t="s">
        <v>38</v>
      </c>
      <c r="C1582" s="4">
        <v>44819</v>
      </c>
      <c r="D1582" s="4">
        <v>44995</v>
      </c>
      <c r="F1582" s="4">
        <v>46553</v>
      </c>
      <c r="G1582" t="s">
        <v>117</v>
      </c>
      <c r="H1582" t="s">
        <v>1711</v>
      </c>
      <c r="K1582" t="s">
        <v>83</v>
      </c>
      <c r="L1582" t="s">
        <v>3121</v>
      </c>
      <c r="M1582" t="s">
        <v>84</v>
      </c>
      <c r="N1582" t="s">
        <v>2160</v>
      </c>
      <c r="O1582" t="s">
        <v>32</v>
      </c>
      <c r="P1582" t="s">
        <v>3599</v>
      </c>
      <c r="Q1582">
        <v>362</v>
      </c>
      <c r="R1582">
        <v>362</v>
      </c>
      <c r="S1582" t="s">
        <v>34</v>
      </c>
      <c r="T1582" t="s">
        <v>35</v>
      </c>
      <c r="U1582" t="s">
        <v>44</v>
      </c>
      <c r="W1582">
        <v>0</v>
      </c>
      <c r="X1582">
        <v>0</v>
      </c>
      <c r="Y1582">
        <v>0</v>
      </c>
      <c r="Z1582">
        <v>0</v>
      </c>
    </row>
    <row r="1583" spans="1:26" hidden="1" x14ac:dyDescent="0.25">
      <c r="A1583" t="s">
        <v>3608</v>
      </c>
      <c r="B1583" t="s">
        <v>38</v>
      </c>
      <c r="C1583" s="4">
        <v>44818</v>
      </c>
      <c r="D1583" s="4">
        <v>45869</v>
      </c>
      <c r="F1583" s="4">
        <v>46539</v>
      </c>
      <c r="G1583" t="s">
        <v>144</v>
      </c>
      <c r="H1583" t="s">
        <v>2210</v>
      </c>
      <c r="K1583" t="s">
        <v>146</v>
      </c>
      <c r="L1583" t="s">
        <v>3121</v>
      </c>
      <c r="M1583" t="s">
        <v>68</v>
      </c>
      <c r="N1583" t="s">
        <v>3122</v>
      </c>
      <c r="O1583" t="s">
        <v>32</v>
      </c>
      <c r="P1583" t="s">
        <v>3609</v>
      </c>
      <c r="Q1583">
        <v>100</v>
      </c>
      <c r="R1583">
        <v>100</v>
      </c>
      <c r="S1583" t="s">
        <v>34</v>
      </c>
      <c r="T1583" t="s">
        <v>35</v>
      </c>
      <c r="U1583" t="s">
        <v>44</v>
      </c>
      <c r="W1583">
        <v>0</v>
      </c>
      <c r="X1583">
        <v>0</v>
      </c>
      <c r="Y1583">
        <v>0</v>
      </c>
      <c r="Z1583">
        <v>0</v>
      </c>
    </row>
    <row r="1584" spans="1:26" hidden="1" x14ac:dyDescent="0.25">
      <c r="A1584" t="s">
        <v>3610</v>
      </c>
      <c r="B1584" t="s">
        <v>2153</v>
      </c>
      <c r="C1584" s="4">
        <v>44819</v>
      </c>
      <c r="F1584" s="4">
        <v>46660</v>
      </c>
      <c r="G1584" t="s">
        <v>691</v>
      </c>
      <c r="H1584" t="s">
        <v>2984</v>
      </c>
      <c r="K1584" t="s">
        <v>98</v>
      </c>
      <c r="L1584" t="s">
        <v>3121</v>
      </c>
      <c r="M1584" t="s">
        <v>84</v>
      </c>
      <c r="N1584" t="s">
        <v>2160</v>
      </c>
      <c r="O1584" t="s">
        <v>32</v>
      </c>
      <c r="P1584" t="s">
        <v>3611</v>
      </c>
      <c r="Q1584">
        <v>250</v>
      </c>
      <c r="R1584">
        <v>250</v>
      </c>
      <c r="S1584" t="s">
        <v>159</v>
      </c>
      <c r="T1584" t="s">
        <v>159</v>
      </c>
      <c r="U1584" t="s">
        <v>44</v>
      </c>
      <c r="W1584">
        <v>250</v>
      </c>
      <c r="X1584">
        <v>250</v>
      </c>
      <c r="Y1584">
        <v>0</v>
      </c>
      <c r="Z1584">
        <v>0</v>
      </c>
    </row>
    <row r="1585" spans="1:26" hidden="1" x14ac:dyDescent="0.25">
      <c r="A1585" t="s">
        <v>3612</v>
      </c>
      <c r="B1585" t="s">
        <v>38</v>
      </c>
      <c r="C1585" s="4">
        <v>44819</v>
      </c>
      <c r="D1585" s="4">
        <v>45957</v>
      </c>
      <c r="F1585" s="4">
        <v>46295</v>
      </c>
      <c r="G1585" t="s">
        <v>101</v>
      </c>
      <c r="H1585" t="s">
        <v>1550</v>
      </c>
      <c r="K1585" t="s">
        <v>98</v>
      </c>
      <c r="L1585" t="s">
        <v>3121</v>
      </c>
      <c r="M1585" t="s">
        <v>84</v>
      </c>
      <c r="N1585" t="s">
        <v>2160</v>
      </c>
      <c r="O1585" t="s">
        <v>32</v>
      </c>
      <c r="P1585" t="s">
        <v>3613</v>
      </c>
      <c r="Q1585">
        <v>100</v>
      </c>
      <c r="R1585">
        <v>100</v>
      </c>
      <c r="S1585" t="s">
        <v>159</v>
      </c>
      <c r="T1585" t="s">
        <v>159</v>
      </c>
      <c r="U1585" t="s">
        <v>44</v>
      </c>
      <c r="W1585">
        <v>0</v>
      </c>
      <c r="X1585">
        <v>0</v>
      </c>
      <c r="Y1585">
        <v>0</v>
      </c>
      <c r="Z1585">
        <v>0</v>
      </c>
    </row>
    <row r="1586" spans="1:26" hidden="1" x14ac:dyDescent="0.25">
      <c r="A1586" t="s">
        <v>3614</v>
      </c>
      <c r="B1586" t="s">
        <v>38</v>
      </c>
      <c r="C1586" s="4">
        <v>44818</v>
      </c>
      <c r="D1586" s="4">
        <v>45870</v>
      </c>
      <c r="F1586" s="4">
        <v>45915</v>
      </c>
      <c r="G1586" t="s">
        <v>52</v>
      </c>
      <c r="H1586" t="s">
        <v>3615</v>
      </c>
      <c r="K1586" t="s">
        <v>53</v>
      </c>
      <c r="L1586" t="s">
        <v>3121</v>
      </c>
      <c r="M1586" t="s">
        <v>54</v>
      </c>
      <c r="N1586" t="s">
        <v>3122</v>
      </c>
      <c r="O1586" t="s">
        <v>32</v>
      </c>
      <c r="P1586" t="s">
        <v>3616</v>
      </c>
      <c r="Q1586">
        <v>50</v>
      </c>
      <c r="R1586">
        <v>50</v>
      </c>
      <c r="S1586" t="s">
        <v>34</v>
      </c>
      <c r="T1586" t="s">
        <v>35</v>
      </c>
      <c r="U1586" t="s">
        <v>44</v>
      </c>
      <c r="W1586">
        <v>0</v>
      </c>
      <c r="X1586">
        <v>0</v>
      </c>
      <c r="Y1586">
        <v>0</v>
      </c>
      <c r="Z1586">
        <v>0</v>
      </c>
    </row>
    <row r="1587" spans="1:26" hidden="1" x14ac:dyDescent="0.25">
      <c r="A1587" t="s">
        <v>3617</v>
      </c>
      <c r="B1587" t="s">
        <v>38</v>
      </c>
      <c r="C1587" s="4">
        <v>44817</v>
      </c>
      <c r="D1587" s="4">
        <v>45009</v>
      </c>
      <c r="F1587" s="4">
        <v>46266</v>
      </c>
      <c r="G1587" t="s">
        <v>1251</v>
      </c>
      <c r="H1587" t="s">
        <v>1996</v>
      </c>
      <c r="K1587" t="s">
        <v>109</v>
      </c>
      <c r="L1587" t="s">
        <v>3121</v>
      </c>
      <c r="M1587" t="s">
        <v>84</v>
      </c>
      <c r="N1587" t="s">
        <v>2160</v>
      </c>
      <c r="O1587" t="s">
        <v>32</v>
      </c>
      <c r="P1587" t="s">
        <v>3618</v>
      </c>
      <c r="Q1587">
        <v>100</v>
      </c>
      <c r="R1587">
        <v>100</v>
      </c>
      <c r="S1587" t="s">
        <v>159</v>
      </c>
      <c r="T1587" t="s">
        <v>159</v>
      </c>
      <c r="U1587" t="s">
        <v>44</v>
      </c>
      <c r="W1587">
        <v>0</v>
      </c>
      <c r="X1587">
        <v>0</v>
      </c>
      <c r="Y1587">
        <v>0</v>
      </c>
      <c r="Z1587">
        <v>0</v>
      </c>
    </row>
    <row r="1588" spans="1:26" hidden="1" x14ac:dyDescent="0.25">
      <c r="A1588" t="s">
        <v>3619</v>
      </c>
      <c r="B1588" t="s">
        <v>38</v>
      </c>
      <c r="C1588" s="4">
        <v>44819</v>
      </c>
      <c r="D1588" s="4">
        <v>45009</v>
      </c>
      <c r="F1588" s="4">
        <v>45748</v>
      </c>
      <c r="G1588" t="s">
        <v>138</v>
      </c>
      <c r="H1588" t="s">
        <v>1676</v>
      </c>
      <c r="K1588" t="s">
        <v>98</v>
      </c>
      <c r="L1588" t="s">
        <v>3121</v>
      </c>
      <c r="M1588" t="s">
        <v>84</v>
      </c>
      <c r="N1588" t="s">
        <v>2160</v>
      </c>
      <c r="O1588" t="s">
        <v>32</v>
      </c>
      <c r="P1588" t="s">
        <v>3620</v>
      </c>
      <c r="Q1588">
        <v>240</v>
      </c>
      <c r="R1588">
        <v>240</v>
      </c>
      <c r="S1588" t="s">
        <v>159</v>
      </c>
      <c r="T1588" t="s">
        <v>159</v>
      </c>
      <c r="U1588" t="s">
        <v>44</v>
      </c>
      <c r="W1588">
        <v>0</v>
      </c>
      <c r="X1588">
        <v>0</v>
      </c>
      <c r="Y1588">
        <v>0</v>
      </c>
      <c r="Z1588">
        <v>0</v>
      </c>
    </row>
    <row r="1589" spans="1:26" hidden="1" x14ac:dyDescent="0.25">
      <c r="A1589" t="s">
        <v>3621</v>
      </c>
      <c r="B1589" t="s">
        <v>2153</v>
      </c>
      <c r="C1589" s="4">
        <v>44819</v>
      </c>
      <c r="F1589" s="4">
        <v>45748</v>
      </c>
      <c r="G1589" t="s">
        <v>691</v>
      </c>
      <c r="H1589" t="s">
        <v>1550</v>
      </c>
      <c r="K1589" t="s">
        <v>98</v>
      </c>
      <c r="L1589" t="s">
        <v>3121</v>
      </c>
      <c r="M1589" t="s">
        <v>84</v>
      </c>
      <c r="N1589" t="s">
        <v>2160</v>
      </c>
      <c r="O1589" t="s">
        <v>32</v>
      </c>
      <c r="P1589" t="s">
        <v>3622</v>
      </c>
      <c r="Q1589">
        <v>200</v>
      </c>
      <c r="R1589">
        <v>200</v>
      </c>
      <c r="S1589" t="s">
        <v>159</v>
      </c>
      <c r="T1589" t="s">
        <v>159</v>
      </c>
      <c r="U1589" t="s">
        <v>44</v>
      </c>
      <c r="W1589">
        <v>200</v>
      </c>
      <c r="X1589">
        <v>200</v>
      </c>
      <c r="Y1589">
        <v>0</v>
      </c>
      <c r="Z1589">
        <v>0</v>
      </c>
    </row>
    <row r="1590" spans="1:26" hidden="1" x14ac:dyDescent="0.25">
      <c r="A1590" t="s">
        <v>3623</v>
      </c>
      <c r="B1590" t="s">
        <v>2153</v>
      </c>
      <c r="C1590" s="4">
        <v>44819</v>
      </c>
      <c r="F1590" s="4">
        <v>45748</v>
      </c>
      <c r="G1590" t="s">
        <v>691</v>
      </c>
      <c r="H1590" t="s">
        <v>1762</v>
      </c>
      <c r="K1590" t="s">
        <v>83</v>
      </c>
      <c r="L1590" t="s">
        <v>3121</v>
      </c>
      <c r="M1590" t="s">
        <v>84</v>
      </c>
      <c r="N1590" t="s">
        <v>2160</v>
      </c>
      <c r="O1590" t="s">
        <v>32</v>
      </c>
      <c r="P1590" t="s">
        <v>3624</v>
      </c>
      <c r="Q1590">
        <v>200</v>
      </c>
      <c r="R1590">
        <v>200</v>
      </c>
      <c r="S1590" t="s">
        <v>159</v>
      </c>
      <c r="T1590" t="s">
        <v>159</v>
      </c>
      <c r="U1590" t="s">
        <v>44</v>
      </c>
      <c r="W1590">
        <v>200</v>
      </c>
      <c r="X1590">
        <v>200</v>
      </c>
      <c r="Y1590">
        <v>0</v>
      </c>
      <c r="Z1590">
        <v>0</v>
      </c>
    </row>
    <row r="1591" spans="1:26" hidden="1" x14ac:dyDescent="0.25">
      <c r="A1591" t="s">
        <v>3625</v>
      </c>
      <c r="B1591" t="s">
        <v>2153</v>
      </c>
      <c r="C1591" s="4">
        <v>44819</v>
      </c>
      <c r="F1591" s="4">
        <v>45748</v>
      </c>
      <c r="G1591" t="s">
        <v>52</v>
      </c>
      <c r="H1591" t="s">
        <v>1437</v>
      </c>
      <c r="K1591" t="s">
        <v>53</v>
      </c>
      <c r="L1591" t="s">
        <v>3121</v>
      </c>
      <c r="M1591" t="s">
        <v>54</v>
      </c>
      <c r="N1591" t="s">
        <v>3122</v>
      </c>
      <c r="O1591" t="s">
        <v>32</v>
      </c>
      <c r="P1591" t="s">
        <v>3626</v>
      </c>
      <c r="Q1591">
        <v>120</v>
      </c>
      <c r="R1591">
        <v>120</v>
      </c>
      <c r="S1591" t="s">
        <v>159</v>
      </c>
      <c r="T1591" t="s">
        <v>159</v>
      </c>
      <c r="U1591" t="s">
        <v>44</v>
      </c>
      <c r="W1591">
        <v>120</v>
      </c>
      <c r="X1591">
        <v>120</v>
      </c>
      <c r="Y1591">
        <v>0</v>
      </c>
      <c r="Z1591">
        <v>0</v>
      </c>
    </row>
    <row r="1592" spans="1:26" hidden="1" x14ac:dyDescent="0.25">
      <c r="A1592" t="s">
        <v>3627</v>
      </c>
      <c r="B1592" t="s">
        <v>2153</v>
      </c>
      <c r="C1592" s="4">
        <v>44819</v>
      </c>
      <c r="F1592" s="4">
        <v>45748</v>
      </c>
      <c r="G1592" t="s">
        <v>52</v>
      </c>
      <c r="H1592" t="s">
        <v>1437</v>
      </c>
      <c r="K1592" t="s">
        <v>53</v>
      </c>
      <c r="L1592" t="s">
        <v>3121</v>
      </c>
      <c r="M1592" t="s">
        <v>54</v>
      </c>
      <c r="N1592" t="s">
        <v>3122</v>
      </c>
      <c r="O1592" t="s">
        <v>32</v>
      </c>
      <c r="P1592" t="s">
        <v>3626</v>
      </c>
      <c r="Q1592">
        <v>150</v>
      </c>
      <c r="R1592">
        <v>150</v>
      </c>
      <c r="S1592" t="s">
        <v>159</v>
      </c>
      <c r="T1592" t="s">
        <v>159</v>
      </c>
      <c r="U1592" t="s">
        <v>44</v>
      </c>
      <c r="W1592">
        <v>150</v>
      </c>
      <c r="X1592">
        <v>150</v>
      </c>
      <c r="Y1592">
        <v>0</v>
      </c>
      <c r="Z1592">
        <v>0</v>
      </c>
    </row>
    <row r="1593" spans="1:26" hidden="1" x14ac:dyDescent="0.25">
      <c r="A1593" t="s">
        <v>3628</v>
      </c>
      <c r="B1593" t="s">
        <v>2153</v>
      </c>
      <c r="C1593" s="4">
        <v>44819</v>
      </c>
      <c r="F1593" s="4">
        <v>45748</v>
      </c>
      <c r="G1593" t="s">
        <v>907</v>
      </c>
      <c r="H1593" t="s">
        <v>1357</v>
      </c>
      <c r="K1593" t="s">
        <v>53</v>
      </c>
      <c r="L1593" t="s">
        <v>3121</v>
      </c>
      <c r="M1593" t="s">
        <v>54</v>
      </c>
      <c r="N1593" t="s">
        <v>3122</v>
      </c>
      <c r="O1593" t="s">
        <v>32</v>
      </c>
      <c r="P1593" t="s">
        <v>3629</v>
      </c>
      <c r="Q1593">
        <v>500</v>
      </c>
      <c r="R1593">
        <v>500</v>
      </c>
      <c r="S1593" t="s">
        <v>159</v>
      </c>
      <c r="T1593" t="s">
        <v>159</v>
      </c>
      <c r="U1593" t="s">
        <v>44</v>
      </c>
      <c r="W1593">
        <v>500</v>
      </c>
      <c r="X1593">
        <v>500</v>
      </c>
      <c r="Y1593">
        <v>0</v>
      </c>
      <c r="Z1593">
        <v>0</v>
      </c>
    </row>
    <row r="1594" spans="1:26" hidden="1" x14ac:dyDescent="0.25">
      <c r="A1594" t="s">
        <v>3630</v>
      </c>
      <c r="B1594" t="s">
        <v>38</v>
      </c>
      <c r="C1594" s="4">
        <v>44818</v>
      </c>
      <c r="D1594" s="4">
        <v>45869</v>
      </c>
      <c r="F1594" s="4">
        <v>47028</v>
      </c>
      <c r="G1594" t="s">
        <v>1311</v>
      </c>
      <c r="H1594" t="s">
        <v>3631</v>
      </c>
      <c r="K1594" t="s">
        <v>114</v>
      </c>
      <c r="L1594" t="s">
        <v>3121</v>
      </c>
      <c r="M1594" t="s">
        <v>68</v>
      </c>
      <c r="N1594" t="s">
        <v>3122</v>
      </c>
      <c r="O1594" t="s">
        <v>251</v>
      </c>
      <c r="P1594" t="s">
        <v>3632</v>
      </c>
      <c r="Q1594">
        <v>500</v>
      </c>
      <c r="R1594">
        <v>500</v>
      </c>
      <c r="S1594" t="s">
        <v>3633</v>
      </c>
      <c r="T1594" t="s">
        <v>57</v>
      </c>
      <c r="U1594" t="s">
        <v>44</v>
      </c>
      <c r="W1594">
        <v>0</v>
      </c>
      <c r="X1594">
        <v>0</v>
      </c>
      <c r="Y1594">
        <v>0</v>
      </c>
      <c r="Z1594">
        <v>0</v>
      </c>
    </row>
    <row r="1595" spans="1:26" hidden="1" x14ac:dyDescent="0.25">
      <c r="A1595" t="s">
        <v>3634</v>
      </c>
      <c r="B1595" t="s">
        <v>38</v>
      </c>
      <c r="C1595" s="4">
        <v>44818</v>
      </c>
      <c r="D1595" s="4">
        <v>45870</v>
      </c>
      <c r="F1595" s="4">
        <v>46266</v>
      </c>
      <c r="G1595" t="s">
        <v>52</v>
      </c>
      <c r="H1595" t="s">
        <v>3441</v>
      </c>
      <c r="K1595" t="s">
        <v>53</v>
      </c>
      <c r="L1595" t="s">
        <v>3121</v>
      </c>
      <c r="M1595" t="s">
        <v>54</v>
      </c>
      <c r="N1595" t="s">
        <v>3122</v>
      </c>
      <c r="O1595" t="s">
        <v>32</v>
      </c>
      <c r="P1595" t="s">
        <v>3635</v>
      </c>
      <c r="Q1595">
        <v>50</v>
      </c>
      <c r="R1595">
        <v>50</v>
      </c>
      <c r="S1595" t="s">
        <v>159</v>
      </c>
      <c r="T1595" t="s">
        <v>159</v>
      </c>
      <c r="U1595" t="s">
        <v>44</v>
      </c>
      <c r="W1595">
        <v>0</v>
      </c>
      <c r="X1595">
        <v>0</v>
      </c>
      <c r="Y1595">
        <v>0</v>
      </c>
      <c r="Z1595">
        <v>0</v>
      </c>
    </row>
    <row r="1596" spans="1:26" hidden="1" x14ac:dyDescent="0.25">
      <c r="A1596" t="s">
        <v>3636</v>
      </c>
      <c r="B1596" t="s">
        <v>2338</v>
      </c>
      <c r="C1596" s="4">
        <v>44818</v>
      </c>
      <c r="F1596" s="4">
        <v>46136</v>
      </c>
      <c r="G1596" t="s">
        <v>1251</v>
      </c>
      <c r="H1596" t="s">
        <v>3637</v>
      </c>
      <c r="K1596" t="s">
        <v>109</v>
      </c>
      <c r="L1596" t="s">
        <v>3121</v>
      </c>
      <c r="M1596" t="s">
        <v>84</v>
      </c>
      <c r="N1596" t="s">
        <v>2160</v>
      </c>
      <c r="O1596" t="s">
        <v>32</v>
      </c>
      <c r="P1596" t="s">
        <v>3638</v>
      </c>
      <c r="Q1596">
        <v>140</v>
      </c>
      <c r="R1596">
        <v>140</v>
      </c>
      <c r="S1596" t="s">
        <v>597</v>
      </c>
      <c r="T1596" t="s">
        <v>598</v>
      </c>
      <c r="U1596" t="s">
        <v>44</v>
      </c>
      <c r="W1596">
        <v>140</v>
      </c>
      <c r="X1596">
        <v>140</v>
      </c>
      <c r="Y1596">
        <v>0</v>
      </c>
      <c r="Z1596">
        <v>0</v>
      </c>
    </row>
    <row r="1597" spans="1:26" hidden="1" x14ac:dyDescent="0.25">
      <c r="A1597" t="s">
        <v>3639</v>
      </c>
      <c r="B1597" t="s">
        <v>38</v>
      </c>
      <c r="C1597" s="4">
        <v>44819</v>
      </c>
      <c r="D1597" s="4">
        <v>45869</v>
      </c>
      <c r="F1597" s="4">
        <v>46203</v>
      </c>
      <c r="G1597" t="s">
        <v>1311</v>
      </c>
      <c r="H1597" t="s">
        <v>1673</v>
      </c>
      <c r="K1597" t="s">
        <v>114</v>
      </c>
      <c r="L1597" t="s">
        <v>3121</v>
      </c>
      <c r="M1597" t="s">
        <v>68</v>
      </c>
      <c r="N1597" t="s">
        <v>3122</v>
      </c>
      <c r="O1597" t="s">
        <v>32</v>
      </c>
      <c r="P1597" t="s">
        <v>3640</v>
      </c>
      <c r="Q1597">
        <v>650</v>
      </c>
      <c r="R1597">
        <v>650</v>
      </c>
      <c r="S1597" t="s">
        <v>34</v>
      </c>
      <c r="T1597" t="s">
        <v>35</v>
      </c>
      <c r="U1597" t="s">
        <v>44</v>
      </c>
      <c r="W1597">
        <v>0</v>
      </c>
      <c r="X1597">
        <v>0</v>
      </c>
      <c r="Y1597">
        <v>0</v>
      </c>
      <c r="Z1597">
        <v>0</v>
      </c>
    </row>
    <row r="1598" spans="1:26" hidden="1" x14ac:dyDescent="0.25">
      <c r="A1598" t="s">
        <v>3641</v>
      </c>
      <c r="B1598" t="s">
        <v>38</v>
      </c>
      <c r="C1598" s="4">
        <v>44819</v>
      </c>
      <c r="D1598" s="4">
        <v>45009</v>
      </c>
      <c r="F1598" s="4">
        <v>46203</v>
      </c>
      <c r="G1598" t="s">
        <v>1311</v>
      </c>
      <c r="H1598" t="s">
        <v>1673</v>
      </c>
      <c r="K1598" t="s">
        <v>114</v>
      </c>
      <c r="L1598" t="s">
        <v>3121</v>
      </c>
      <c r="M1598" t="s">
        <v>68</v>
      </c>
      <c r="N1598" t="s">
        <v>3122</v>
      </c>
      <c r="O1598" t="s">
        <v>32</v>
      </c>
      <c r="P1598" t="s">
        <v>3642</v>
      </c>
      <c r="Q1598">
        <v>650</v>
      </c>
      <c r="R1598">
        <v>650</v>
      </c>
      <c r="S1598" t="s">
        <v>34</v>
      </c>
      <c r="T1598" t="s">
        <v>35</v>
      </c>
      <c r="U1598" t="s">
        <v>44</v>
      </c>
      <c r="W1598">
        <v>0</v>
      </c>
      <c r="X1598">
        <v>0</v>
      </c>
      <c r="Y1598">
        <v>0</v>
      </c>
      <c r="Z1598">
        <v>0</v>
      </c>
    </row>
    <row r="1599" spans="1:26" hidden="1" x14ac:dyDescent="0.25">
      <c r="A1599" t="s">
        <v>3643</v>
      </c>
      <c r="B1599" t="s">
        <v>38</v>
      </c>
      <c r="C1599" s="4">
        <v>44819</v>
      </c>
      <c r="D1599" s="4">
        <v>45009</v>
      </c>
      <c r="F1599" s="4">
        <v>46203</v>
      </c>
      <c r="G1599" t="s">
        <v>65</v>
      </c>
      <c r="H1599" t="s">
        <v>2526</v>
      </c>
      <c r="K1599" t="s">
        <v>67</v>
      </c>
      <c r="L1599" t="s">
        <v>3121</v>
      </c>
      <c r="M1599" t="s">
        <v>68</v>
      </c>
      <c r="N1599" t="s">
        <v>3122</v>
      </c>
      <c r="O1599" t="s">
        <v>32</v>
      </c>
      <c r="P1599" t="s">
        <v>3644</v>
      </c>
      <c r="Q1599">
        <v>200</v>
      </c>
      <c r="R1599">
        <v>200</v>
      </c>
      <c r="S1599" t="s">
        <v>34</v>
      </c>
      <c r="T1599" t="s">
        <v>35</v>
      </c>
      <c r="U1599" t="s">
        <v>44</v>
      </c>
      <c r="W1599">
        <v>0</v>
      </c>
      <c r="X1599">
        <v>0</v>
      </c>
      <c r="Y1599">
        <v>0</v>
      </c>
      <c r="Z1599">
        <v>0</v>
      </c>
    </row>
    <row r="1600" spans="1:26" hidden="1" x14ac:dyDescent="0.25">
      <c r="A1600" t="s">
        <v>3645</v>
      </c>
      <c r="B1600" t="s">
        <v>38</v>
      </c>
      <c r="C1600" s="4">
        <v>44819</v>
      </c>
      <c r="D1600" s="4">
        <v>45009</v>
      </c>
      <c r="F1600" s="4">
        <v>46203</v>
      </c>
      <c r="G1600" t="s">
        <v>65</v>
      </c>
      <c r="H1600" t="s">
        <v>2526</v>
      </c>
      <c r="K1600" t="s">
        <v>67</v>
      </c>
      <c r="L1600" t="s">
        <v>3121</v>
      </c>
      <c r="M1600" t="s">
        <v>68</v>
      </c>
      <c r="N1600" t="s">
        <v>3122</v>
      </c>
      <c r="O1600" t="s">
        <v>32</v>
      </c>
      <c r="P1600" t="s">
        <v>3644</v>
      </c>
      <c r="Q1600">
        <v>100</v>
      </c>
      <c r="R1600">
        <v>100</v>
      </c>
      <c r="S1600" t="s">
        <v>159</v>
      </c>
      <c r="T1600" t="s">
        <v>159</v>
      </c>
      <c r="U1600" t="s">
        <v>44</v>
      </c>
      <c r="W1600">
        <v>0</v>
      </c>
      <c r="X1600">
        <v>0</v>
      </c>
      <c r="Y1600">
        <v>0</v>
      </c>
      <c r="Z1600">
        <v>0</v>
      </c>
    </row>
    <row r="1601" spans="1:26" hidden="1" x14ac:dyDescent="0.25">
      <c r="A1601" t="s">
        <v>3646</v>
      </c>
      <c r="B1601" t="s">
        <v>38</v>
      </c>
      <c r="C1601" s="4">
        <v>44818</v>
      </c>
      <c r="D1601" s="4">
        <v>45957</v>
      </c>
      <c r="F1601" s="4">
        <v>46203</v>
      </c>
      <c r="G1601" t="s">
        <v>72</v>
      </c>
      <c r="H1601" t="s">
        <v>2057</v>
      </c>
      <c r="K1601" t="s">
        <v>41</v>
      </c>
      <c r="L1601" t="s">
        <v>3121</v>
      </c>
      <c r="M1601" t="s">
        <v>42</v>
      </c>
      <c r="N1601" t="s">
        <v>3122</v>
      </c>
      <c r="O1601" t="s">
        <v>32</v>
      </c>
      <c r="P1601" t="s">
        <v>3647</v>
      </c>
      <c r="Q1601">
        <v>198</v>
      </c>
      <c r="R1601">
        <v>198</v>
      </c>
      <c r="S1601" t="s">
        <v>34</v>
      </c>
      <c r="T1601" t="s">
        <v>598</v>
      </c>
      <c r="U1601" t="s">
        <v>44</v>
      </c>
      <c r="W1601">
        <v>0</v>
      </c>
      <c r="X1601">
        <v>0</v>
      </c>
      <c r="Y1601">
        <v>0</v>
      </c>
      <c r="Z1601">
        <v>0</v>
      </c>
    </row>
    <row r="1602" spans="1:26" hidden="1" x14ac:dyDescent="0.25">
      <c r="A1602" t="s">
        <v>3648</v>
      </c>
      <c r="B1602" t="s">
        <v>2153</v>
      </c>
      <c r="C1602" s="4">
        <v>44819</v>
      </c>
      <c r="F1602" s="4">
        <v>46203</v>
      </c>
      <c r="G1602" t="s">
        <v>39</v>
      </c>
      <c r="H1602" t="s">
        <v>2578</v>
      </c>
      <c r="K1602" t="s">
        <v>41</v>
      </c>
      <c r="L1602" t="s">
        <v>3121</v>
      </c>
      <c r="M1602" t="s">
        <v>42</v>
      </c>
      <c r="N1602" t="s">
        <v>3122</v>
      </c>
      <c r="O1602" t="s">
        <v>32</v>
      </c>
      <c r="P1602" t="s">
        <v>3649</v>
      </c>
      <c r="Q1602">
        <v>216</v>
      </c>
      <c r="R1602">
        <v>216</v>
      </c>
      <c r="S1602" t="s">
        <v>34</v>
      </c>
      <c r="T1602" t="s">
        <v>35</v>
      </c>
      <c r="U1602" t="s">
        <v>44</v>
      </c>
      <c r="W1602">
        <v>216</v>
      </c>
      <c r="X1602">
        <v>216</v>
      </c>
      <c r="Y1602">
        <v>0</v>
      </c>
      <c r="Z1602">
        <v>0</v>
      </c>
    </row>
    <row r="1603" spans="1:26" hidden="1" x14ac:dyDescent="0.25">
      <c r="A1603" t="s">
        <v>3650</v>
      </c>
      <c r="B1603" t="s">
        <v>38</v>
      </c>
      <c r="C1603" s="4">
        <v>44818</v>
      </c>
      <c r="D1603" s="4">
        <v>45957</v>
      </c>
      <c r="F1603" s="4">
        <v>46203</v>
      </c>
      <c r="G1603" t="s">
        <v>871</v>
      </c>
      <c r="H1603" t="s">
        <v>3651</v>
      </c>
      <c r="K1603" t="s">
        <v>41</v>
      </c>
      <c r="L1603" t="s">
        <v>3121</v>
      </c>
      <c r="M1603" t="s">
        <v>42</v>
      </c>
      <c r="N1603" t="s">
        <v>3122</v>
      </c>
      <c r="O1603" t="s">
        <v>32</v>
      </c>
      <c r="P1603" t="s">
        <v>3652</v>
      </c>
      <c r="Q1603">
        <v>245</v>
      </c>
      <c r="R1603">
        <v>245</v>
      </c>
      <c r="S1603" t="s">
        <v>34</v>
      </c>
      <c r="T1603" t="s">
        <v>35</v>
      </c>
      <c r="U1603" t="s">
        <v>44</v>
      </c>
      <c r="W1603">
        <v>0</v>
      </c>
      <c r="X1603">
        <v>0</v>
      </c>
      <c r="Y1603">
        <v>0</v>
      </c>
      <c r="Z1603">
        <v>0</v>
      </c>
    </row>
    <row r="1604" spans="1:26" hidden="1" x14ac:dyDescent="0.25">
      <c r="A1604" t="s">
        <v>3653</v>
      </c>
      <c r="B1604" t="s">
        <v>2153</v>
      </c>
      <c r="C1604" s="4">
        <v>44819</v>
      </c>
      <c r="F1604" s="4">
        <v>46203</v>
      </c>
      <c r="H1604" t="s">
        <v>3651</v>
      </c>
      <c r="K1604" t="s">
        <v>41</v>
      </c>
      <c r="L1604" t="s">
        <v>3121</v>
      </c>
      <c r="M1604" t="s">
        <v>42</v>
      </c>
      <c r="N1604" t="s">
        <v>3122</v>
      </c>
      <c r="O1604" t="s">
        <v>32</v>
      </c>
      <c r="P1604" t="s">
        <v>3654</v>
      </c>
      <c r="Q1604">
        <v>200</v>
      </c>
      <c r="R1604">
        <v>200</v>
      </c>
      <c r="S1604" t="s">
        <v>159</v>
      </c>
      <c r="T1604" t="s">
        <v>159</v>
      </c>
      <c r="U1604" t="s">
        <v>44</v>
      </c>
      <c r="W1604">
        <v>200</v>
      </c>
      <c r="X1604">
        <v>200</v>
      </c>
      <c r="Y1604">
        <v>0</v>
      </c>
      <c r="Z1604">
        <v>0</v>
      </c>
    </row>
    <row r="1605" spans="1:26" hidden="1" x14ac:dyDescent="0.25">
      <c r="A1605" t="s">
        <v>3655</v>
      </c>
      <c r="B1605" t="s">
        <v>2338</v>
      </c>
      <c r="C1605" s="4">
        <v>44818</v>
      </c>
      <c r="F1605" s="4">
        <v>46203</v>
      </c>
      <c r="G1605" t="s">
        <v>1753</v>
      </c>
      <c r="H1605" t="s">
        <v>1933</v>
      </c>
      <c r="K1605" t="s">
        <v>114</v>
      </c>
      <c r="L1605" t="s">
        <v>3121</v>
      </c>
      <c r="M1605" t="s">
        <v>68</v>
      </c>
      <c r="N1605" t="s">
        <v>3122</v>
      </c>
      <c r="O1605" t="s">
        <v>32</v>
      </c>
      <c r="P1605" t="s">
        <v>1934</v>
      </c>
      <c r="Q1605">
        <v>250</v>
      </c>
      <c r="R1605">
        <v>250</v>
      </c>
      <c r="S1605" t="s">
        <v>34</v>
      </c>
      <c r="T1605" t="s">
        <v>35</v>
      </c>
      <c r="U1605" t="s">
        <v>44</v>
      </c>
      <c r="W1605">
        <v>250</v>
      </c>
      <c r="X1605">
        <v>250</v>
      </c>
      <c r="Y1605">
        <v>0</v>
      </c>
      <c r="Z1605">
        <v>0</v>
      </c>
    </row>
    <row r="1606" spans="1:26" hidden="1" x14ac:dyDescent="0.25">
      <c r="A1606" t="s">
        <v>3656</v>
      </c>
      <c r="B1606" t="s">
        <v>2153</v>
      </c>
      <c r="C1606" s="4">
        <v>44819</v>
      </c>
      <c r="F1606" s="4">
        <v>46203</v>
      </c>
      <c r="H1606" t="s">
        <v>3260</v>
      </c>
      <c r="K1606" t="s">
        <v>83</v>
      </c>
      <c r="L1606" t="s">
        <v>3121</v>
      </c>
      <c r="M1606" t="s">
        <v>84</v>
      </c>
      <c r="N1606" t="s">
        <v>2160</v>
      </c>
      <c r="O1606" t="s">
        <v>32</v>
      </c>
      <c r="P1606" t="s">
        <v>3657</v>
      </c>
      <c r="Q1606">
        <v>320</v>
      </c>
      <c r="R1606">
        <v>320</v>
      </c>
      <c r="S1606" t="s">
        <v>34</v>
      </c>
      <c r="T1606" t="s">
        <v>35</v>
      </c>
      <c r="U1606" t="s">
        <v>44</v>
      </c>
      <c r="W1606">
        <v>320</v>
      </c>
      <c r="X1606">
        <v>0</v>
      </c>
      <c r="Y1606">
        <v>0</v>
      </c>
      <c r="Z1606">
        <v>0</v>
      </c>
    </row>
    <row r="1607" spans="1:26" hidden="1" x14ac:dyDescent="0.25">
      <c r="A1607" t="s">
        <v>3658</v>
      </c>
      <c r="B1607" t="s">
        <v>38</v>
      </c>
      <c r="C1607" s="4">
        <v>44819</v>
      </c>
      <c r="D1607" s="4">
        <v>45957</v>
      </c>
      <c r="F1607" s="4">
        <v>46203</v>
      </c>
      <c r="G1607" t="s">
        <v>117</v>
      </c>
      <c r="H1607" t="s">
        <v>1430</v>
      </c>
      <c r="K1607" t="s">
        <v>83</v>
      </c>
      <c r="L1607" t="s">
        <v>3121</v>
      </c>
      <c r="M1607" t="s">
        <v>84</v>
      </c>
      <c r="N1607" t="s">
        <v>2160</v>
      </c>
      <c r="O1607" t="s">
        <v>32</v>
      </c>
      <c r="P1607" t="s">
        <v>3659</v>
      </c>
      <c r="Q1607">
        <v>100</v>
      </c>
      <c r="R1607">
        <v>100</v>
      </c>
      <c r="S1607" t="s">
        <v>34</v>
      </c>
      <c r="T1607" t="s">
        <v>35</v>
      </c>
      <c r="U1607" t="s">
        <v>44</v>
      </c>
      <c r="W1607">
        <v>0</v>
      </c>
      <c r="X1607">
        <v>0</v>
      </c>
      <c r="Y1607">
        <v>0</v>
      </c>
      <c r="Z1607">
        <v>0</v>
      </c>
    </row>
    <row r="1608" spans="1:26" hidden="1" x14ac:dyDescent="0.25">
      <c r="A1608" t="s">
        <v>3660</v>
      </c>
      <c r="B1608" t="s">
        <v>38</v>
      </c>
      <c r="C1608" s="4">
        <v>44819</v>
      </c>
      <c r="D1608" s="4">
        <v>45957</v>
      </c>
      <c r="F1608" s="4">
        <v>46568</v>
      </c>
      <c r="G1608" t="s">
        <v>3031</v>
      </c>
      <c r="H1608" t="s">
        <v>3661</v>
      </c>
      <c r="K1608" t="s">
        <v>185</v>
      </c>
      <c r="L1608" t="s">
        <v>3121</v>
      </c>
      <c r="M1608" t="s">
        <v>42</v>
      </c>
      <c r="N1608" t="s">
        <v>3122</v>
      </c>
      <c r="O1608" t="s">
        <v>32</v>
      </c>
      <c r="P1608" t="s">
        <v>3662</v>
      </c>
      <c r="Q1608">
        <v>339</v>
      </c>
      <c r="R1608">
        <v>339</v>
      </c>
      <c r="S1608" t="s">
        <v>56</v>
      </c>
      <c r="T1608" t="s">
        <v>57</v>
      </c>
      <c r="U1608" t="s">
        <v>44</v>
      </c>
      <c r="W1608">
        <v>0</v>
      </c>
      <c r="X1608">
        <v>0</v>
      </c>
      <c r="Y1608">
        <v>0</v>
      </c>
      <c r="Z1608">
        <v>0</v>
      </c>
    </row>
    <row r="1609" spans="1:26" hidden="1" x14ac:dyDescent="0.25">
      <c r="A1609" t="s">
        <v>3663</v>
      </c>
      <c r="B1609" t="s">
        <v>38</v>
      </c>
      <c r="C1609" s="4">
        <v>44819</v>
      </c>
      <c r="D1609" s="4">
        <v>45957</v>
      </c>
      <c r="F1609" s="4">
        <v>46568</v>
      </c>
      <c r="G1609" t="s">
        <v>3031</v>
      </c>
      <c r="H1609" t="s">
        <v>3661</v>
      </c>
      <c r="K1609" t="s">
        <v>185</v>
      </c>
      <c r="L1609" t="s">
        <v>3121</v>
      </c>
      <c r="M1609" t="s">
        <v>42</v>
      </c>
      <c r="N1609" t="s">
        <v>3122</v>
      </c>
      <c r="O1609" t="s">
        <v>32</v>
      </c>
      <c r="P1609" t="s">
        <v>3664</v>
      </c>
      <c r="Q1609">
        <v>361</v>
      </c>
      <c r="R1609">
        <v>361</v>
      </c>
      <c r="S1609" t="s">
        <v>159</v>
      </c>
      <c r="T1609" t="s">
        <v>159</v>
      </c>
      <c r="U1609" t="s">
        <v>44</v>
      </c>
      <c r="W1609">
        <v>0</v>
      </c>
      <c r="X1609">
        <v>0</v>
      </c>
      <c r="Y1609">
        <v>0</v>
      </c>
      <c r="Z1609">
        <v>0</v>
      </c>
    </row>
    <row r="1610" spans="1:26" hidden="1" x14ac:dyDescent="0.25">
      <c r="A1610" t="s">
        <v>3665</v>
      </c>
      <c r="B1610" t="s">
        <v>2153</v>
      </c>
      <c r="C1610" s="4">
        <v>44819</v>
      </c>
      <c r="F1610" s="4">
        <v>46203</v>
      </c>
      <c r="G1610" t="s">
        <v>117</v>
      </c>
      <c r="H1610" t="s">
        <v>2013</v>
      </c>
      <c r="K1610" t="s">
        <v>83</v>
      </c>
      <c r="L1610" t="s">
        <v>3121</v>
      </c>
      <c r="M1610" t="s">
        <v>84</v>
      </c>
      <c r="N1610" t="s">
        <v>2160</v>
      </c>
      <c r="O1610" t="s">
        <v>32</v>
      </c>
      <c r="P1610" t="s">
        <v>3666</v>
      </c>
      <c r="Q1610">
        <v>200</v>
      </c>
      <c r="R1610">
        <v>200</v>
      </c>
      <c r="S1610" t="s">
        <v>159</v>
      </c>
      <c r="T1610" t="s">
        <v>159</v>
      </c>
      <c r="U1610" t="s">
        <v>44</v>
      </c>
      <c r="W1610">
        <v>200</v>
      </c>
      <c r="X1610">
        <v>200</v>
      </c>
      <c r="Y1610">
        <v>0</v>
      </c>
      <c r="Z1610">
        <v>0</v>
      </c>
    </row>
    <row r="1611" spans="1:26" hidden="1" x14ac:dyDescent="0.25">
      <c r="A1611" t="s">
        <v>3667</v>
      </c>
      <c r="B1611" t="s">
        <v>2153</v>
      </c>
      <c r="C1611" s="4">
        <v>44818</v>
      </c>
      <c r="F1611" s="4">
        <v>46266</v>
      </c>
      <c r="H1611" t="s">
        <v>3668</v>
      </c>
      <c r="K1611" t="s">
        <v>41</v>
      </c>
      <c r="L1611" t="s">
        <v>3121</v>
      </c>
      <c r="M1611" t="s">
        <v>42</v>
      </c>
      <c r="N1611" t="s">
        <v>3122</v>
      </c>
      <c r="O1611" t="s">
        <v>32</v>
      </c>
      <c r="P1611" t="s">
        <v>3669</v>
      </c>
      <c r="Q1611">
        <v>160</v>
      </c>
      <c r="R1611">
        <v>160</v>
      </c>
      <c r="S1611" t="s">
        <v>34</v>
      </c>
      <c r="T1611" t="s">
        <v>35</v>
      </c>
      <c r="U1611" t="s">
        <v>44</v>
      </c>
      <c r="W1611">
        <v>160</v>
      </c>
      <c r="X1611">
        <v>160</v>
      </c>
      <c r="Y1611">
        <v>0</v>
      </c>
      <c r="Z1611">
        <v>0</v>
      </c>
    </row>
    <row r="1612" spans="1:26" hidden="1" x14ac:dyDescent="0.25">
      <c r="A1612" t="s">
        <v>3670</v>
      </c>
      <c r="B1612" t="s">
        <v>2153</v>
      </c>
      <c r="C1612" s="4">
        <v>44817</v>
      </c>
      <c r="F1612" s="4">
        <v>46266</v>
      </c>
      <c r="G1612" t="s">
        <v>1278</v>
      </c>
      <c r="H1612" t="s">
        <v>1556</v>
      </c>
      <c r="K1612" t="s">
        <v>28</v>
      </c>
      <c r="L1612" t="s">
        <v>3121</v>
      </c>
      <c r="M1612" t="s">
        <v>30</v>
      </c>
      <c r="N1612" t="s">
        <v>3122</v>
      </c>
      <c r="O1612" t="s">
        <v>32</v>
      </c>
      <c r="P1612" t="s">
        <v>2863</v>
      </c>
      <c r="Q1612">
        <v>80</v>
      </c>
      <c r="R1612">
        <v>80</v>
      </c>
      <c r="S1612" t="s">
        <v>34</v>
      </c>
      <c r="T1612" t="s">
        <v>35</v>
      </c>
      <c r="U1612" t="s">
        <v>44</v>
      </c>
      <c r="W1612">
        <v>80</v>
      </c>
      <c r="X1612">
        <v>80</v>
      </c>
      <c r="Y1612">
        <v>0</v>
      </c>
      <c r="Z1612">
        <v>0</v>
      </c>
    </row>
    <row r="1613" spans="1:26" hidden="1" x14ac:dyDescent="0.25">
      <c r="A1613" t="s">
        <v>3671</v>
      </c>
      <c r="B1613" t="s">
        <v>38</v>
      </c>
      <c r="C1613" s="4">
        <v>44817</v>
      </c>
      <c r="D1613" s="4">
        <v>45957</v>
      </c>
      <c r="F1613" s="4">
        <v>46266</v>
      </c>
      <c r="G1613" t="s">
        <v>117</v>
      </c>
      <c r="H1613" t="s">
        <v>3672</v>
      </c>
      <c r="K1613" t="s">
        <v>83</v>
      </c>
      <c r="L1613" t="s">
        <v>3121</v>
      </c>
      <c r="M1613" t="s">
        <v>84</v>
      </c>
      <c r="N1613" t="s">
        <v>2160</v>
      </c>
      <c r="O1613" t="s">
        <v>32</v>
      </c>
      <c r="P1613" t="s">
        <v>3673</v>
      </c>
      <c r="Q1613">
        <v>150</v>
      </c>
      <c r="R1613">
        <v>150</v>
      </c>
      <c r="S1613" t="s">
        <v>34</v>
      </c>
      <c r="T1613" t="s">
        <v>35</v>
      </c>
      <c r="U1613" t="s">
        <v>44</v>
      </c>
      <c r="W1613">
        <v>0</v>
      </c>
      <c r="X1613">
        <v>0</v>
      </c>
      <c r="Y1613">
        <v>0</v>
      </c>
      <c r="Z1613">
        <v>0</v>
      </c>
    </row>
    <row r="1614" spans="1:26" hidden="1" x14ac:dyDescent="0.25">
      <c r="A1614" t="s">
        <v>3674</v>
      </c>
      <c r="B1614" t="s">
        <v>2153</v>
      </c>
      <c r="C1614" s="4">
        <v>44818</v>
      </c>
      <c r="F1614" s="4">
        <v>46997</v>
      </c>
      <c r="G1614" t="s">
        <v>52</v>
      </c>
      <c r="H1614" t="s">
        <v>3675</v>
      </c>
      <c r="K1614" t="s">
        <v>53</v>
      </c>
      <c r="L1614" t="s">
        <v>3121</v>
      </c>
      <c r="M1614" t="s">
        <v>54</v>
      </c>
      <c r="N1614" t="s">
        <v>3122</v>
      </c>
      <c r="O1614" t="s">
        <v>32</v>
      </c>
      <c r="P1614" t="s">
        <v>3676</v>
      </c>
      <c r="Q1614">
        <v>215</v>
      </c>
      <c r="R1614">
        <v>215</v>
      </c>
      <c r="S1614" t="s">
        <v>34</v>
      </c>
      <c r="T1614" t="s">
        <v>35</v>
      </c>
      <c r="U1614" t="s">
        <v>44</v>
      </c>
      <c r="W1614">
        <v>215</v>
      </c>
      <c r="X1614">
        <v>215</v>
      </c>
      <c r="Y1614">
        <v>0</v>
      </c>
      <c r="Z1614">
        <v>0</v>
      </c>
    </row>
    <row r="1615" spans="1:26" hidden="1" x14ac:dyDescent="0.25">
      <c r="A1615" t="s">
        <v>3677</v>
      </c>
      <c r="B1615" t="s">
        <v>38</v>
      </c>
      <c r="C1615" s="4">
        <v>45176</v>
      </c>
      <c r="D1615" s="4">
        <v>45869</v>
      </c>
      <c r="F1615" s="4">
        <v>46266</v>
      </c>
      <c r="G1615" t="s">
        <v>1753</v>
      </c>
      <c r="H1615" t="s">
        <v>1648</v>
      </c>
      <c r="K1615" t="s">
        <v>114</v>
      </c>
      <c r="L1615" t="s">
        <v>3121</v>
      </c>
      <c r="M1615" t="s">
        <v>68</v>
      </c>
      <c r="N1615" t="s">
        <v>3122</v>
      </c>
      <c r="O1615" t="s">
        <v>32</v>
      </c>
      <c r="P1615" t="s">
        <v>3678</v>
      </c>
      <c r="Q1615">
        <v>150</v>
      </c>
      <c r="R1615">
        <v>150</v>
      </c>
      <c r="S1615" t="s">
        <v>34</v>
      </c>
      <c r="T1615" t="s">
        <v>35</v>
      </c>
      <c r="U1615" t="s">
        <v>44</v>
      </c>
      <c r="W1615">
        <v>0</v>
      </c>
      <c r="X1615">
        <v>0</v>
      </c>
      <c r="Y1615">
        <v>0</v>
      </c>
      <c r="Z1615">
        <v>0</v>
      </c>
    </row>
    <row r="1616" spans="1:26" hidden="1" x14ac:dyDescent="0.25">
      <c r="A1616" t="s">
        <v>3679</v>
      </c>
      <c r="B1616" t="s">
        <v>2153</v>
      </c>
      <c r="C1616" s="4">
        <v>44819</v>
      </c>
      <c r="F1616" s="4">
        <v>45931</v>
      </c>
      <c r="G1616" t="s">
        <v>1326</v>
      </c>
      <c r="H1616" t="s">
        <v>1437</v>
      </c>
      <c r="K1616" t="s">
        <v>67</v>
      </c>
      <c r="L1616" t="s">
        <v>3121</v>
      </c>
      <c r="M1616" t="s">
        <v>68</v>
      </c>
      <c r="N1616" t="s">
        <v>3122</v>
      </c>
      <c r="O1616" t="s">
        <v>32</v>
      </c>
      <c r="P1616" t="s">
        <v>3680</v>
      </c>
      <c r="Q1616">
        <v>300</v>
      </c>
      <c r="R1616">
        <v>300</v>
      </c>
      <c r="S1616" t="s">
        <v>56</v>
      </c>
      <c r="T1616" t="s">
        <v>57</v>
      </c>
      <c r="U1616" t="s">
        <v>44</v>
      </c>
      <c r="W1616">
        <v>300</v>
      </c>
      <c r="X1616">
        <v>300</v>
      </c>
      <c r="Y1616">
        <v>0</v>
      </c>
      <c r="Z1616">
        <v>0</v>
      </c>
    </row>
    <row r="1617" spans="1:26" hidden="1" x14ac:dyDescent="0.25">
      <c r="A1617" t="s">
        <v>3681</v>
      </c>
      <c r="B1617" t="s">
        <v>2153</v>
      </c>
      <c r="C1617" s="4">
        <v>44819</v>
      </c>
      <c r="F1617" s="4">
        <v>47026</v>
      </c>
      <c r="G1617" t="s">
        <v>117</v>
      </c>
      <c r="H1617" t="s">
        <v>1800</v>
      </c>
      <c r="K1617" t="s">
        <v>83</v>
      </c>
      <c r="L1617" t="s">
        <v>3121</v>
      </c>
      <c r="M1617" t="s">
        <v>84</v>
      </c>
      <c r="N1617" t="s">
        <v>2160</v>
      </c>
      <c r="O1617" t="s">
        <v>32</v>
      </c>
      <c r="P1617" t="s">
        <v>3682</v>
      </c>
      <c r="Q1617">
        <v>200</v>
      </c>
      <c r="R1617">
        <v>200</v>
      </c>
      <c r="S1617" t="s">
        <v>56</v>
      </c>
      <c r="T1617" t="s">
        <v>57</v>
      </c>
      <c r="U1617" t="s">
        <v>44</v>
      </c>
      <c r="W1617">
        <v>200</v>
      </c>
      <c r="X1617">
        <v>200</v>
      </c>
      <c r="Y1617">
        <v>0</v>
      </c>
      <c r="Z1617">
        <v>0</v>
      </c>
    </row>
    <row r="1618" spans="1:26" hidden="1" x14ac:dyDescent="0.25">
      <c r="A1618" t="s">
        <v>3683</v>
      </c>
      <c r="B1618" t="s">
        <v>38</v>
      </c>
      <c r="C1618" s="4">
        <v>44819</v>
      </c>
      <c r="D1618" s="4">
        <v>45957</v>
      </c>
      <c r="F1618" s="4">
        <v>46295</v>
      </c>
      <c r="G1618" t="s">
        <v>1679</v>
      </c>
      <c r="H1618" t="s">
        <v>1996</v>
      </c>
      <c r="K1618" t="s">
        <v>98</v>
      </c>
      <c r="L1618" t="s">
        <v>3121</v>
      </c>
      <c r="M1618" t="s">
        <v>84</v>
      </c>
      <c r="N1618" t="s">
        <v>2160</v>
      </c>
      <c r="O1618" t="s">
        <v>32</v>
      </c>
      <c r="P1618" t="s">
        <v>3684</v>
      </c>
      <c r="Q1618">
        <v>145</v>
      </c>
      <c r="R1618">
        <v>145</v>
      </c>
      <c r="S1618" t="s">
        <v>597</v>
      </c>
      <c r="T1618" t="s">
        <v>598</v>
      </c>
      <c r="U1618" t="s">
        <v>44</v>
      </c>
      <c r="W1618">
        <v>0</v>
      </c>
      <c r="X1618">
        <v>0</v>
      </c>
      <c r="Y1618">
        <v>0</v>
      </c>
      <c r="Z1618">
        <v>0</v>
      </c>
    </row>
    <row r="1619" spans="1:26" hidden="1" x14ac:dyDescent="0.25">
      <c r="A1619" t="s">
        <v>3685</v>
      </c>
      <c r="B1619" t="s">
        <v>38</v>
      </c>
      <c r="C1619" s="4">
        <v>44819</v>
      </c>
      <c r="D1619" s="4">
        <v>45869</v>
      </c>
      <c r="F1619" s="4">
        <v>46295</v>
      </c>
      <c r="G1619" t="s">
        <v>144</v>
      </c>
      <c r="H1619" t="s">
        <v>1462</v>
      </c>
      <c r="K1619" t="s">
        <v>146</v>
      </c>
      <c r="L1619" t="s">
        <v>3121</v>
      </c>
      <c r="M1619" t="s">
        <v>68</v>
      </c>
      <c r="N1619" t="s">
        <v>3122</v>
      </c>
      <c r="O1619" t="s">
        <v>32</v>
      </c>
      <c r="P1619" t="s">
        <v>3686</v>
      </c>
      <c r="Q1619">
        <v>100</v>
      </c>
      <c r="R1619">
        <v>100</v>
      </c>
      <c r="S1619" t="s">
        <v>597</v>
      </c>
      <c r="T1619" t="s">
        <v>598</v>
      </c>
      <c r="U1619" t="s">
        <v>44</v>
      </c>
      <c r="W1619">
        <v>0</v>
      </c>
      <c r="X1619">
        <v>0</v>
      </c>
      <c r="Y1619">
        <v>0</v>
      </c>
      <c r="Z1619">
        <v>0</v>
      </c>
    </row>
    <row r="1620" spans="1:26" hidden="1" x14ac:dyDescent="0.25">
      <c r="A1620" t="s">
        <v>3687</v>
      </c>
      <c r="B1620" t="s">
        <v>38</v>
      </c>
      <c r="C1620" s="4">
        <v>44819</v>
      </c>
      <c r="D1620" s="4">
        <v>45870</v>
      </c>
      <c r="F1620" s="4">
        <v>46295</v>
      </c>
      <c r="G1620" t="s">
        <v>52</v>
      </c>
      <c r="H1620" t="s">
        <v>2165</v>
      </c>
      <c r="K1620" t="s">
        <v>53</v>
      </c>
      <c r="L1620" t="s">
        <v>3121</v>
      </c>
      <c r="M1620" t="s">
        <v>54</v>
      </c>
      <c r="N1620" t="s">
        <v>3122</v>
      </c>
      <c r="O1620" t="s">
        <v>32</v>
      </c>
      <c r="P1620" t="s">
        <v>3688</v>
      </c>
      <c r="Q1620">
        <v>240</v>
      </c>
      <c r="R1620">
        <v>240</v>
      </c>
      <c r="S1620" t="s">
        <v>597</v>
      </c>
      <c r="T1620" t="s">
        <v>598</v>
      </c>
      <c r="U1620" t="s">
        <v>44</v>
      </c>
      <c r="W1620">
        <v>0</v>
      </c>
      <c r="X1620">
        <v>0</v>
      </c>
      <c r="Y1620">
        <v>0</v>
      </c>
      <c r="Z1620">
        <v>0</v>
      </c>
    </row>
    <row r="1621" spans="1:26" hidden="1" x14ac:dyDescent="0.25">
      <c r="A1621" t="s">
        <v>3689</v>
      </c>
      <c r="B1621" t="s">
        <v>2153</v>
      </c>
      <c r="C1621" s="4">
        <v>44819</v>
      </c>
      <c r="F1621" s="4">
        <v>46660</v>
      </c>
      <c r="G1621" t="s">
        <v>907</v>
      </c>
      <c r="H1621" t="s">
        <v>3232</v>
      </c>
      <c r="K1621" t="s">
        <v>53</v>
      </c>
      <c r="L1621" t="s">
        <v>3121</v>
      </c>
      <c r="M1621" t="s">
        <v>54</v>
      </c>
      <c r="N1621" t="s">
        <v>3122</v>
      </c>
      <c r="O1621" t="s">
        <v>32</v>
      </c>
      <c r="P1621" t="s">
        <v>3690</v>
      </c>
      <c r="Q1621">
        <v>100</v>
      </c>
      <c r="R1621">
        <v>100</v>
      </c>
      <c r="S1621" t="s">
        <v>159</v>
      </c>
      <c r="T1621" t="s">
        <v>159</v>
      </c>
      <c r="U1621" t="s">
        <v>44</v>
      </c>
      <c r="W1621">
        <v>100</v>
      </c>
      <c r="X1621">
        <v>100</v>
      </c>
      <c r="Y1621">
        <v>0</v>
      </c>
      <c r="Z1621">
        <v>0</v>
      </c>
    </row>
    <row r="1622" spans="1:26" hidden="1" x14ac:dyDescent="0.25">
      <c r="A1622" t="s">
        <v>3691</v>
      </c>
      <c r="B1622" t="s">
        <v>2153</v>
      </c>
      <c r="C1622" s="4">
        <v>44819</v>
      </c>
      <c r="F1622" s="4">
        <v>47026</v>
      </c>
      <c r="G1622" t="s">
        <v>52</v>
      </c>
      <c r="H1622" t="s">
        <v>2308</v>
      </c>
      <c r="K1622" t="s">
        <v>53</v>
      </c>
      <c r="L1622" t="s">
        <v>3121</v>
      </c>
      <c r="M1622" t="s">
        <v>54</v>
      </c>
      <c r="N1622" t="s">
        <v>3122</v>
      </c>
      <c r="O1622" t="s">
        <v>32</v>
      </c>
      <c r="P1622" t="s">
        <v>3692</v>
      </c>
      <c r="Q1622">
        <v>140</v>
      </c>
      <c r="R1622">
        <v>140</v>
      </c>
      <c r="S1622" t="s">
        <v>597</v>
      </c>
      <c r="T1622" t="s">
        <v>598</v>
      </c>
      <c r="U1622" t="s">
        <v>44</v>
      </c>
      <c r="W1622">
        <v>140</v>
      </c>
      <c r="X1622">
        <v>140</v>
      </c>
      <c r="Y1622">
        <v>0</v>
      </c>
      <c r="Z1622">
        <v>0</v>
      </c>
    </row>
    <row r="1623" spans="1:26" hidden="1" x14ac:dyDescent="0.25">
      <c r="A1623" t="s">
        <v>3693</v>
      </c>
      <c r="B1623" t="s">
        <v>38</v>
      </c>
      <c r="C1623" s="4">
        <v>44818</v>
      </c>
      <c r="D1623" s="4">
        <v>45869</v>
      </c>
      <c r="F1623" s="4">
        <v>46539</v>
      </c>
      <c r="G1623" t="s">
        <v>65</v>
      </c>
      <c r="H1623" t="s">
        <v>1571</v>
      </c>
      <c r="K1623" t="s">
        <v>67</v>
      </c>
      <c r="L1623" t="s">
        <v>3121</v>
      </c>
      <c r="M1623" t="s">
        <v>68</v>
      </c>
      <c r="N1623" t="s">
        <v>3122</v>
      </c>
      <c r="O1623" t="s">
        <v>32</v>
      </c>
      <c r="P1623" t="s">
        <v>3694</v>
      </c>
      <c r="Q1623">
        <v>164</v>
      </c>
      <c r="R1623">
        <v>164</v>
      </c>
      <c r="S1623" t="s">
        <v>34</v>
      </c>
      <c r="T1623" t="s">
        <v>35</v>
      </c>
      <c r="U1623" t="s">
        <v>44</v>
      </c>
      <c r="W1623">
        <v>0</v>
      </c>
      <c r="X1623">
        <v>0</v>
      </c>
      <c r="Y1623">
        <v>0</v>
      </c>
      <c r="Z1623">
        <v>0</v>
      </c>
    </row>
    <row r="1624" spans="1:26" hidden="1" x14ac:dyDescent="0.25">
      <c r="A1624" t="s">
        <v>3695</v>
      </c>
      <c r="B1624" t="s">
        <v>38</v>
      </c>
      <c r="C1624" s="4">
        <v>44818</v>
      </c>
      <c r="D1624" s="4">
        <v>45957</v>
      </c>
      <c r="F1624" s="4">
        <v>46539</v>
      </c>
      <c r="G1624" t="s">
        <v>39</v>
      </c>
      <c r="H1624" t="s">
        <v>1519</v>
      </c>
      <c r="K1624" t="s">
        <v>28</v>
      </c>
      <c r="L1624" t="s">
        <v>3121</v>
      </c>
      <c r="M1624" t="s">
        <v>42</v>
      </c>
      <c r="N1624" t="s">
        <v>3122</v>
      </c>
      <c r="O1624" t="s">
        <v>32</v>
      </c>
      <c r="P1624" t="s">
        <v>3696</v>
      </c>
      <c r="Q1624">
        <v>115</v>
      </c>
      <c r="R1624">
        <v>115</v>
      </c>
      <c r="S1624" t="s">
        <v>159</v>
      </c>
      <c r="T1624" t="s">
        <v>159</v>
      </c>
      <c r="U1624" t="s">
        <v>44</v>
      </c>
      <c r="W1624">
        <v>0</v>
      </c>
      <c r="X1624">
        <v>0</v>
      </c>
      <c r="Y1624">
        <v>0</v>
      </c>
      <c r="Z1624">
        <v>0</v>
      </c>
    </row>
    <row r="1625" spans="1:26" hidden="1" x14ac:dyDescent="0.25">
      <c r="A1625" t="s">
        <v>3697</v>
      </c>
      <c r="B1625" t="s">
        <v>38</v>
      </c>
      <c r="C1625" s="4">
        <v>44818</v>
      </c>
      <c r="D1625" s="4">
        <v>45869</v>
      </c>
      <c r="F1625" s="4">
        <v>46539</v>
      </c>
      <c r="G1625" t="s">
        <v>65</v>
      </c>
      <c r="H1625" t="s">
        <v>3698</v>
      </c>
      <c r="K1625" t="s">
        <v>67</v>
      </c>
      <c r="L1625" t="s">
        <v>3121</v>
      </c>
      <c r="M1625" t="s">
        <v>68</v>
      </c>
      <c r="N1625" t="s">
        <v>3122</v>
      </c>
      <c r="O1625" t="s">
        <v>32</v>
      </c>
      <c r="P1625" t="s">
        <v>3699</v>
      </c>
      <c r="Q1625">
        <v>107</v>
      </c>
      <c r="R1625">
        <v>107</v>
      </c>
      <c r="S1625" t="s">
        <v>34</v>
      </c>
      <c r="T1625" t="s">
        <v>35</v>
      </c>
      <c r="U1625" t="s">
        <v>44</v>
      </c>
      <c r="W1625">
        <v>0</v>
      </c>
      <c r="X1625">
        <v>0</v>
      </c>
      <c r="Y1625">
        <v>0</v>
      </c>
      <c r="Z1625">
        <v>0</v>
      </c>
    </row>
    <row r="1626" spans="1:26" hidden="1" x14ac:dyDescent="0.25">
      <c r="A1626" t="s">
        <v>3700</v>
      </c>
      <c r="B1626" t="s">
        <v>38</v>
      </c>
      <c r="C1626" s="4">
        <v>44818</v>
      </c>
      <c r="D1626" s="4">
        <v>45869</v>
      </c>
      <c r="F1626" s="4">
        <v>46539</v>
      </c>
      <c r="G1626" t="s">
        <v>65</v>
      </c>
      <c r="H1626" t="s">
        <v>3701</v>
      </c>
      <c r="K1626" t="s">
        <v>67</v>
      </c>
      <c r="L1626" t="s">
        <v>3121</v>
      </c>
      <c r="M1626" t="s">
        <v>68</v>
      </c>
      <c r="N1626" t="s">
        <v>3122</v>
      </c>
      <c r="O1626" t="s">
        <v>32</v>
      </c>
      <c r="P1626" t="s">
        <v>3702</v>
      </c>
      <c r="Q1626">
        <v>125</v>
      </c>
      <c r="R1626">
        <v>125</v>
      </c>
      <c r="S1626" t="s">
        <v>34</v>
      </c>
      <c r="T1626" t="s">
        <v>35</v>
      </c>
      <c r="U1626" t="s">
        <v>44</v>
      </c>
      <c r="W1626">
        <v>0</v>
      </c>
      <c r="X1626">
        <v>0</v>
      </c>
      <c r="Y1626">
        <v>0</v>
      </c>
      <c r="Z1626">
        <v>0</v>
      </c>
    </row>
    <row r="1627" spans="1:26" hidden="1" x14ac:dyDescent="0.25">
      <c r="A1627" t="s">
        <v>3703</v>
      </c>
      <c r="B1627" t="s">
        <v>38</v>
      </c>
      <c r="C1627" s="4">
        <v>44818</v>
      </c>
      <c r="D1627" s="4">
        <v>45009</v>
      </c>
      <c r="F1627" s="4">
        <v>46023</v>
      </c>
      <c r="G1627" t="s">
        <v>1499</v>
      </c>
      <c r="H1627" t="s">
        <v>3668</v>
      </c>
      <c r="K1627" t="s">
        <v>41</v>
      </c>
      <c r="L1627" t="s">
        <v>3121</v>
      </c>
      <c r="M1627" t="s">
        <v>42</v>
      </c>
      <c r="N1627" t="s">
        <v>3122</v>
      </c>
      <c r="O1627" t="s">
        <v>32</v>
      </c>
      <c r="P1627" t="s">
        <v>3704</v>
      </c>
      <c r="Q1627">
        <v>450</v>
      </c>
      <c r="R1627">
        <v>450</v>
      </c>
      <c r="S1627" t="s">
        <v>159</v>
      </c>
      <c r="T1627" t="s">
        <v>159</v>
      </c>
      <c r="U1627" t="s">
        <v>44</v>
      </c>
      <c r="W1627">
        <v>0</v>
      </c>
      <c r="X1627">
        <v>0</v>
      </c>
      <c r="Y1627">
        <v>0</v>
      </c>
      <c r="Z1627">
        <v>0</v>
      </c>
    </row>
    <row r="1628" spans="1:26" hidden="1" x14ac:dyDescent="0.25">
      <c r="A1628" t="s">
        <v>3705</v>
      </c>
      <c r="B1628" t="s">
        <v>38</v>
      </c>
      <c r="C1628" s="4">
        <v>44819</v>
      </c>
      <c r="D1628" s="4">
        <v>45957</v>
      </c>
      <c r="F1628" s="4">
        <v>46295</v>
      </c>
      <c r="G1628" t="s">
        <v>132</v>
      </c>
      <c r="H1628" t="s">
        <v>1258</v>
      </c>
      <c r="K1628" t="s">
        <v>109</v>
      </c>
      <c r="L1628" t="s">
        <v>3121</v>
      </c>
      <c r="M1628" t="s">
        <v>84</v>
      </c>
      <c r="N1628" t="s">
        <v>2160</v>
      </c>
      <c r="O1628" t="s">
        <v>32</v>
      </c>
      <c r="P1628" t="s">
        <v>3706</v>
      </c>
      <c r="Q1628">
        <v>100</v>
      </c>
      <c r="R1628">
        <v>100</v>
      </c>
      <c r="S1628" t="s">
        <v>597</v>
      </c>
      <c r="T1628" t="s">
        <v>598</v>
      </c>
      <c r="U1628" t="s">
        <v>44</v>
      </c>
      <c r="W1628">
        <v>0</v>
      </c>
      <c r="X1628">
        <v>0</v>
      </c>
      <c r="Y1628">
        <v>0</v>
      </c>
      <c r="Z1628">
        <v>0</v>
      </c>
    </row>
    <row r="1629" spans="1:26" hidden="1" x14ac:dyDescent="0.25">
      <c r="A1629" t="s">
        <v>3707</v>
      </c>
      <c r="B1629" t="s">
        <v>38</v>
      </c>
      <c r="C1629" s="4">
        <v>44819</v>
      </c>
      <c r="D1629" s="4">
        <v>45957</v>
      </c>
      <c r="F1629" s="4">
        <v>46234</v>
      </c>
      <c r="G1629" t="s">
        <v>117</v>
      </c>
      <c r="H1629" t="s">
        <v>1813</v>
      </c>
      <c r="K1629" t="s">
        <v>83</v>
      </c>
      <c r="L1629" t="s">
        <v>3121</v>
      </c>
      <c r="M1629" t="s">
        <v>84</v>
      </c>
      <c r="N1629" t="s">
        <v>2160</v>
      </c>
      <c r="O1629" t="s">
        <v>32</v>
      </c>
      <c r="P1629" t="s">
        <v>3708</v>
      </c>
      <c r="Q1629">
        <v>300</v>
      </c>
      <c r="R1629">
        <v>300</v>
      </c>
      <c r="S1629" t="s">
        <v>34</v>
      </c>
      <c r="T1629" t="s">
        <v>35</v>
      </c>
      <c r="U1629" t="s">
        <v>44</v>
      </c>
      <c r="W1629">
        <v>0</v>
      </c>
      <c r="X1629">
        <v>0</v>
      </c>
      <c r="Y1629">
        <v>0</v>
      </c>
      <c r="Z1629">
        <v>0</v>
      </c>
    </row>
    <row r="1630" spans="1:26" hidden="1" x14ac:dyDescent="0.25">
      <c r="A1630" t="s">
        <v>3709</v>
      </c>
      <c r="B1630" t="s">
        <v>2338</v>
      </c>
      <c r="C1630" s="4">
        <v>44819</v>
      </c>
      <c r="F1630" s="4">
        <v>45930</v>
      </c>
      <c r="H1630" t="s">
        <v>1382</v>
      </c>
      <c r="K1630" t="s">
        <v>83</v>
      </c>
      <c r="L1630" t="s">
        <v>3121</v>
      </c>
      <c r="M1630" t="s">
        <v>84</v>
      </c>
      <c r="N1630" t="s">
        <v>2160</v>
      </c>
      <c r="O1630" t="s">
        <v>32</v>
      </c>
      <c r="P1630" t="s">
        <v>2886</v>
      </c>
      <c r="Q1630">
        <v>150</v>
      </c>
      <c r="R1630">
        <v>150</v>
      </c>
      <c r="S1630" t="s">
        <v>159</v>
      </c>
      <c r="T1630" t="s">
        <v>159</v>
      </c>
      <c r="U1630" t="s">
        <v>44</v>
      </c>
      <c r="W1630">
        <v>150</v>
      </c>
      <c r="X1630">
        <v>150</v>
      </c>
      <c r="Y1630">
        <v>0</v>
      </c>
      <c r="Z1630">
        <v>0</v>
      </c>
    </row>
    <row r="1631" spans="1:26" hidden="1" x14ac:dyDescent="0.25">
      <c r="A1631" t="s">
        <v>3710</v>
      </c>
      <c r="B1631" t="s">
        <v>2153</v>
      </c>
      <c r="C1631" s="4">
        <v>44819</v>
      </c>
      <c r="F1631" s="4">
        <v>46935</v>
      </c>
      <c r="G1631" t="s">
        <v>907</v>
      </c>
      <c r="H1631" t="s">
        <v>1357</v>
      </c>
      <c r="K1631" t="s">
        <v>53</v>
      </c>
      <c r="L1631" t="s">
        <v>3121</v>
      </c>
      <c r="M1631" t="s">
        <v>54</v>
      </c>
      <c r="N1631" t="s">
        <v>3122</v>
      </c>
      <c r="O1631" t="s">
        <v>32</v>
      </c>
      <c r="P1631" t="s">
        <v>3711</v>
      </c>
      <c r="Q1631">
        <v>250</v>
      </c>
      <c r="R1631">
        <v>250</v>
      </c>
      <c r="S1631" t="s">
        <v>159</v>
      </c>
      <c r="T1631" t="s">
        <v>159</v>
      </c>
      <c r="U1631" t="s">
        <v>44</v>
      </c>
      <c r="W1631">
        <v>250</v>
      </c>
      <c r="X1631">
        <v>250</v>
      </c>
      <c r="Y1631">
        <v>0</v>
      </c>
      <c r="Z1631">
        <v>0</v>
      </c>
    </row>
    <row r="1632" spans="1:26" hidden="1" x14ac:dyDescent="0.25">
      <c r="A1632" t="s">
        <v>3712</v>
      </c>
      <c r="B1632" t="s">
        <v>2153</v>
      </c>
      <c r="C1632" s="4">
        <v>44818</v>
      </c>
      <c r="F1632" s="4">
        <v>46295</v>
      </c>
      <c r="G1632" t="s">
        <v>1749</v>
      </c>
      <c r="H1632" t="s">
        <v>1691</v>
      </c>
      <c r="K1632" t="s">
        <v>151</v>
      </c>
      <c r="L1632" t="s">
        <v>3121</v>
      </c>
      <c r="M1632" t="s">
        <v>68</v>
      </c>
      <c r="N1632" t="s">
        <v>3122</v>
      </c>
      <c r="O1632" t="s">
        <v>32</v>
      </c>
      <c r="P1632" t="s">
        <v>3713</v>
      </c>
      <c r="Q1632">
        <v>175</v>
      </c>
      <c r="R1632">
        <v>175</v>
      </c>
      <c r="S1632" t="s">
        <v>34</v>
      </c>
      <c r="T1632" t="s">
        <v>35</v>
      </c>
      <c r="U1632" t="s">
        <v>44</v>
      </c>
      <c r="W1632">
        <v>175</v>
      </c>
      <c r="X1632">
        <v>175</v>
      </c>
      <c r="Y1632">
        <v>0</v>
      </c>
      <c r="Z1632">
        <v>0</v>
      </c>
    </row>
    <row r="1633" spans="1:26" hidden="1" x14ac:dyDescent="0.25">
      <c r="A1633" t="s">
        <v>3714</v>
      </c>
      <c r="B1633" t="s">
        <v>38</v>
      </c>
      <c r="C1633" s="4">
        <v>44819</v>
      </c>
      <c r="D1633" s="4">
        <v>45862</v>
      </c>
      <c r="F1633" s="4">
        <v>45961</v>
      </c>
      <c r="G1633" t="s">
        <v>65</v>
      </c>
      <c r="H1633" t="s">
        <v>3715</v>
      </c>
      <c r="K1633" t="s">
        <v>67</v>
      </c>
      <c r="L1633" t="s">
        <v>3121</v>
      </c>
      <c r="M1633" t="s">
        <v>68</v>
      </c>
      <c r="N1633" t="s">
        <v>3122</v>
      </c>
      <c r="O1633" t="s">
        <v>32</v>
      </c>
      <c r="P1633" t="s">
        <v>3716</v>
      </c>
      <c r="Q1633">
        <v>100</v>
      </c>
      <c r="R1633">
        <v>100</v>
      </c>
      <c r="S1633" t="s">
        <v>34</v>
      </c>
      <c r="T1633" t="s">
        <v>35</v>
      </c>
      <c r="U1633" t="s">
        <v>44</v>
      </c>
      <c r="W1633">
        <v>0</v>
      </c>
      <c r="X1633">
        <v>0</v>
      </c>
      <c r="Y1633">
        <v>0</v>
      </c>
      <c r="Z1633">
        <v>0</v>
      </c>
    </row>
    <row r="1634" spans="1:26" hidden="1" x14ac:dyDescent="0.25">
      <c r="A1634" t="s">
        <v>3717</v>
      </c>
      <c r="B1634" t="s">
        <v>38</v>
      </c>
      <c r="C1634" s="4">
        <v>44819</v>
      </c>
      <c r="D1634" s="4">
        <v>45862</v>
      </c>
      <c r="F1634" s="4">
        <v>45961</v>
      </c>
      <c r="G1634" t="s">
        <v>65</v>
      </c>
      <c r="H1634" t="s">
        <v>2482</v>
      </c>
      <c r="K1634" t="s">
        <v>67</v>
      </c>
      <c r="L1634" t="s">
        <v>3121</v>
      </c>
      <c r="M1634" t="s">
        <v>68</v>
      </c>
      <c r="N1634" t="s">
        <v>3122</v>
      </c>
      <c r="O1634" t="s">
        <v>32</v>
      </c>
      <c r="P1634" t="s">
        <v>3718</v>
      </c>
      <c r="Q1634">
        <v>250</v>
      </c>
      <c r="R1634">
        <v>250</v>
      </c>
      <c r="S1634" t="s">
        <v>34</v>
      </c>
      <c r="T1634" t="s">
        <v>35</v>
      </c>
      <c r="U1634" t="s">
        <v>44</v>
      </c>
      <c r="W1634">
        <v>0</v>
      </c>
      <c r="X1634">
        <v>0</v>
      </c>
      <c r="Y1634">
        <v>0</v>
      </c>
      <c r="Z1634">
        <v>0</v>
      </c>
    </row>
    <row r="1635" spans="1:26" hidden="1" x14ac:dyDescent="0.25">
      <c r="A1635" t="s">
        <v>3719</v>
      </c>
      <c r="B1635" t="s">
        <v>38</v>
      </c>
      <c r="C1635" s="4">
        <v>44819</v>
      </c>
      <c r="D1635" s="4">
        <v>45862</v>
      </c>
      <c r="F1635" s="4">
        <v>45961</v>
      </c>
      <c r="G1635" t="s">
        <v>144</v>
      </c>
      <c r="H1635" t="s">
        <v>1618</v>
      </c>
      <c r="K1635" t="s">
        <v>146</v>
      </c>
      <c r="L1635" t="s">
        <v>3121</v>
      </c>
      <c r="M1635" t="s">
        <v>68</v>
      </c>
      <c r="N1635" t="s">
        <v>3122</v>
      </c>
      <c r="O1635" t="s">
        <v>32</v>
      </c>
      <c r="P1635" t="s">
        <v>3720</v>
      </c>
      <c r="Q1635">
        <v>100</v>
      </c>
      <c r="R1635">
        <v>100</v>
      </c>
      <c r="S1635" t="s">
        <v>34</v>
      </c>
      <c r="T1635" t="s">
        <v>35</v>
      </c>
      <c r="U1635" t="s">
        <v>44</v>
      </c>
      <c r="W1635">
        <v>0</v>
      </c>
      <c r="X1635">
        <v>0</v>
      </c>
      <c r="Y1635">
        <v>0</v>
      </c>
      <c r="Z1635">
        <v>0</v>
      </c>
    </row>
    <row r="1636" spans="1:26" hidden="1" x14ac:dyDescent="0.25">
      <c r="A1636" t="s">
        <v>3721</v>
      </c>
      <c r="B1636" t="s">
        <v>38</v>
      </c>
      <c r="C1636" s="4">
        <v>44817</v>
      </c>
      <c r="D1636" s="4">
        <v>45009</v>
      </c>
      <c r="F1636" s="4">
        <v>45809</v>
      </c>
      <c r="G1636" t="s">
        <v>65</v>
      </c>
      <c r="H1636" t="s">
        <v>2165</v>
      </c>
      <c r="K1636" t="s">
        <v>67</v>
      </c>
      <c r="L1636" t="s">
        <v>3121</v>
      </c>
      <c r="M1636" t="s">
        <v>68</v>
      </c>
      <c r="N1636" t="s">
        <v>3122</v>
      </c>
      <c r="O1636" t="s">
        <v>32</v>
      </c>
      <c r="P1636" t="s">
        <v>3722</v>
      </c>
      <c r="Q1636">
        <v>61</v>
      </c>
      <c r="R1636">
        <v>61</v>
      </c>
      <c r="S1636" t="s">
        <v>34</v>
      </c>
      <c r="T1636" t="s">
        <v>35</v>
      </c>
      <c r="U1636" t="s">
        <v>44</v>
      </c>
      <c r="W1636">
        <v>0</v>
      </c>
      <c r="X1636">
        <v>0</v>
      </c>
      <c r="Y1636">
        <v>0</v>
      </c>
      <c r="Z1636">
        <v>0</v>
      </c>
    </row>
    <row r="1637" spans="1:26" hidden="1" x14ac:dyDescent="0.25">
      <c r="A1637" t="s">
        <v>3723</v>
      </c>
      <c r="B1637" t="s">
        <v>2153</v>
      </c>
      <c r="C1637" s="4">
        <v>44816</v>
      </c>
      <c r="F1637" s="4">
        <v>45809</v>
      </c>
      <c r="G1637" t="s">
        <v>1326</v>
      </c>
      <c r="H1637" t="s">
        <v>1571</v>
      </c>
      <c r="K1637" t="s">
        <v>67</v>
      </c>
      <c r="L1637" t="s">
        <v>3121</v>
      </c>
      <c r="M1637" t="s">
        <v>68</v>
      </c>
      <c r="N1637" t="s">
        <v>3122</v>
      </c>
      <c r="O1637" t="s">
        <v>32</v>
      </c>
      <c r="P1637" t="s">
        <v>3724</v>
      </c>
      <c r="Q1637">
        <v>105.8</v>
      </c>
      <c r="R1637">
        <v>105.8</v>
      </c>
      <c r="S1637" t="s">
        <v>34</v>
      </c>
      <c r="T1637" t="s">
        <v>35</v>
      </c>
      <c r="U1637" t="s">
        <v>44</v>
      </c>
      <c r="W1637">
        <v>105.8</v>
      </c>
      <c r="X1637">
        <v>67</v>
      </c>
      <c r="Y1637">
        <v>0</v>
      </c>
      <c r="Z1637">
        <v>0</v>
      </c>
    </row>
    <row r="1638" spans="1:26" hidden="1" x14ac:dyDescent="0.25">
      <c r="A1638" t="s">
        <v>3725</v>
      </c>
      <c r="B1638" t="s">
        <v>38</v>
      </c>
      <c r="C1638" s="4">
        <v>44819</v>
      </c>
      <c r="D1638" s="4">
        <v>45009</v>
      </c>
      <c r="F1638" s="4">
        <v>46295</v>
      </c>
      <c r="G1638" t="s">
        <v>117</v>
      </c>
      <c r="H1638" t="s">
        <v>3260</v>
      </c>
      <c r="K1638" t="s">
        <v>83</v>
      </c>
      <c r="L1638" t="s">
        <v>3121</v>
      </c>
      <c r="M1638" t="s">
        <v>84</v>
      </c>
      <c r="N1638" t="s">
        <v>2160</v>
      </c>
      <c r="O1638" t="s">
        <v>32</v>
      </c>
      <c r="P1638" t="s">
        <v>3726</v>
      </c>
      <c r="Q1638">
        <v>52</v>
      </c>
      <c r="R1638">
        <v>52</v>
      </c>
      <c r="S1638" t="s">
        <v>34</v>
      </c>
      <c r="T1638" t="s">
        <v>35</v>
      </c>
      <c r="U1638" t="s">
        <v>44</v>
      </c>
      <c r="W1638">
        <v>0</v>
      </c>
      <c r="X1638">
        <v>0</v>
      </c>
      <c r="Y1638">
        <v>0</v>
      </c>
      <c r="Z1638">
        <v>0</v>
      </c>
    </row>
    <row r="1639" spans="1:26" hidden="1" x14ac:dyDescent="0.25">
      <c r="A1639" t="s">
        <v>3727</v>
      </c>
      <c r="B1639" t="s">
        <v>38</v>
      </c>
      <c r="C1639" s="4">
        <v>44816</v>
      </c>
      <c r="D1639" s="4">
        <v>45009</v>
      </c>
      <c r="F1639" s="4">
        <v>45809</v>
      </c>
      <c r="G1639" t="s">
        <v>65</v>
      </c>
      <c r="H1639" t="s">
        <v>1550</v>
      </c>
      <c r="K1639" t="s">
        <v>67</v>
      </c>
      <c r="L1639" t="s">
        <v>3121</v>
      </c>
      <c r="M1639" t="s">
        <v>68</v>
      </c>
      <c r="N1639" t="s">
        <v>3122</v>
      </c>
      <c r="O1639" t="s">
        <v>32</v>
      </c>
      <c r="P1639" t="s">
        <v>3728</v>
      </c>
      <c r="Q1639">
        <v>78.5</v>
      </c>
      <c r="R1639">
        <v>78.5</v>
      </c>
      <c r="S1639" t="s">
        <v>34</v>
      </c>
      <c r="T1639" t="s">
        <v>35</v>
      </c>
      <c r="U1639" t="s">
        <v>44</v>
      </c>
      <c r="W1639">
        <v>0</v>
      </c>
      <c r="X1639">
        <v>0</v>
      </c>
      <c r="Y1639">
        <v>0</v>
      </c>
      <c r="Z1639">
        <v>0</v>
      </c>
    </row>
    <row r="1640" spans="1:26" hidden="1" x14ac:dyDescent="0.25">
      <c r="A1640" t="s">
        <v>3729</v>
      </c>
      <c r="B1640" t="s">
        <v>38</v>
      </c>
      <c r="C1640" s="4">
        <v>44814</v>
      </c>
      <c r="D1640" s="4">
        <v>45009</v>
      </c>
      <c r="F1640" s="4">
        <v>45809</v>
      </c>
      <c r="G1640" t="s">
        <v>65</v>
      </c>
      <c r="H1640" t="s">
        <v>1421</v>
      </c>
      <c r="K1640" t="s">
        <v>67</v>
      </c>
      <c r="L1640" t="s">
        <v>3121</v>
      </c>
      <c r="M1640" t="s">
        <v>68</v>
      </c>
      <c r="N1640" t="s">
        <v>3122</v>
      </c>
      <c r="O1640" t="s">
        <v>32</v>
      </c>
      <c r="P1640" t="s">
        <v>3730</v>
      </c>
      <c r="Q1640">
        <v>64.5</v>
      </c>
      <c r="R1640">
        <v>64.5</v>
      </c>
      <c r="S1640" t="s">
        <v>34</v>
      </c>
      <c r="T1640" t="s">
        <v>35</v>
      </c>
      <c r="U1640" t="s">
        <v>44</v>
      </c>
      <c r="W1640">
        <v>0</v>
      </c>
      <c r="X1640">
        <v>0</v>
      </c>
      <c r="Y1640">
        <v>0</v>
      </c>
      <c r="Z1640">
        <v>0</v>
      </c>
    </row>
    <row r="1641" spans="1:26" hidden="1" x14ac:dyDescent="0.25">
      <c r="A1641" t="s">
        <v>3731</v>
      </c>
      <c r="B1641" t="s">
        <v>38</v>
      </c>
      <c r="C1641" s="4">
        <v>44816</v>
      </c>
      <c r="D1641" s="4">
        <v>45009</v>
      </c>
      <c r="F1641" s="4">
        <v>45809</v>
      </c>
      <c r="G1641" t="s">
        <v>65</v>
      </c>
      <c r="H1641" t="s">
        <v>2954</v>
      </c>
      <c r="K1641" t="s">
        <v>67</v>
      </c>
      <c r="L1641" t="s">
        <v>3121</v>
      </c>
      <c r="M1641" t="s">
        <v>68</v>
      </c>
      <c r="N1641" t="s">
        <v>3122</v>
      </c>
      <c r="O1641" t="s">
        <v>32</v>
      </c>
      <c r="P1641" t="s">
        <v>3732</v>
      </c>
      <c r="Q1641">
        <v>58</v>
      </c>
      <c r="R1641">
        <v>58</v>
      </c>
      <c r="S1641" t="s">
        <v>34</v>
      </c>
      <c r="T1641" t="s">
        <v>35</v>
      </c>
      <c r="U1641" t="s">
        <v>44</v>
      </c>
      <c r="W1641">
        <v>0</v>
      </c>
      <c r="X1641">
        <v>0</v>
      </c>
      <c r="Y1641">
        <v>0</v>
      </c>
      <c r="Z1641">
        <v>0</v>
      </c>
    </row>
    <row r="1642" spans="1:26" hidden="1" x14ac:dyDescent="0.25">
      <c r="A1642" t="s">
        <v>3733</v>
      </c>
      <c r="B1642" t="s">
        <v>2153</v>
      </c>
      <c r="C1642" s="4">
        <v>44813</v>
      </c>
      <c r="F1642" s="4">
        <v>45809</v>
      </c>
      <c r="G1642" t="s">
        <v>1326</v>
      </c>
      <c r="H1642" t="s">
        <v>3734</v>
      </c>
      <c r="K1642" t="s">
        <v>67</v>
      </c>
      <c r="L1642" t="s">
        <v>3121</v>
      </c>
      <c r="M1642" t="s">
        <v>68</v>
      </c>
      <c r="N1642" t="s">
        <v>3122</v>
      </c>
      <c r="O1642" t="s">
        <v>32</v>
      </c>
      <c r="P1642" t="s">
        <v>3735</v>
      </c>
      <c r="Q1642">
        <v>105.8</v>
      </c>
      <c r="R1642">
        <v>105.8</v>
      </c>
      <c r="S1642" t="s">
        <v>34</v>
      </c>
      <c r="T1642" t="s">
        <v>35</v>
      </c>
      <c r="U1642" t="s">
        <v>44</v>
      </c>
      <c r="W1642">
        <v>105.8</v>
      </c>
      <c r="X1642">
        <v>70</v>
      </c>
      <c r="Y1642">
        <v>0</v>
      </c>
      <c r="Z1642">
        <v>0</v>
      </c>
    </row>
    <row r="1643" spans="1:26" hidden="1" x14ac:dyDescent="0.25">
      <c r="A1643" t="s">
        <v>3736</v>
      </c>
      <c r="B1643" t="s">
        <v>38</v>
      </c>
      <c r="C1643" s="4">
        <v>44819</v>
      </c>
      <c r="D1643" s="4">
        <v>45868</v>
      </c>
      <c r="F1643" s="4">
        <v>45809</v>
      </c>
      <c r="G1643" t="s">
        <v>65</v>
      </c>
      <c r="H1643" t="s">
        <v>1530</v>
      </c>
      <c r="K1643" t="s">
        <v>67</v>
      </c>
      <c r="L1643" t="s">
        <v>3121</v>
      </c>
      <c r="M1643" t="s">
        <v>68</v>
      </c>
      <c r="N1643" t="s">
        <v>3122</v>
      </c>
      <c r="O1643" t="s">
        <v>32</v>
      </c>
      <c r="P1643" t="s">
        <v>3267</v>
      </c>
      <c r="Q1643">
        <v>394.5</v>
      </c>
      <c r="R1643">
        <v>394.5</v>
      </c>
      <c r="S1643" t="s">
        <v>34</v>
      </c>
      <c r="T1643" t="s">
        <v>35</v>
      </c>
      <c r="U1643" t="s">
        <v>44</v>
      </c>
      <c r="W1643">
        <v>0</v>
      </c>
      <c r="X1643">
        <v>0</v>
      </c>
      <c r="Y1643">
        <v>0</v>
      </c>
      <c r="Z1643">
        <v>0</v>
      </c>
    </row>
    <row r="1644" spans="1:26" hidden="1" x14ac:dyDescent="0.25">
      <c r="A1644" t="s">
        <v>3737</v>
      </c>
      <c r="B1644" t="s">
        <v>2153</v>
      </c>
      <c r="C1644" s="4">
        <v>44819</v>
      </c>
      <c r="F1644" s="4">
        <v>45931</v>
      </c>
      <c r="G1644" t="s">
        <v>1326</v>
      </c>
      <c r="H1644" t="s">
        <v>1437</v>
      </c>
      <c r="K1644" t="s">
        <v>67</v>
      </c>
      <c r="L1644" t="s">
        <v>3121</v>
      </c>
      <c r="M1644" t="s">
        <v>68</v>
      </c>
      <c r="N1644" t="s">
        <v>3122</v>
      </c>
      <c r="O1644" t="s">
        <v>122</v>
      </c>
      <c r="P1644" t="s">
        <v>3738</v>
      </c>
      <c r="Q1644">
        <v>200</v>
      </c>
      <c r="R1644">
        <v>200</v>
      </c>
      <c r="S1644" t="s">
        <v>56</v>
      </c>
      <c r="T1644" t="s">
        <v>57</v>
      </c>
      <c r="U1644" t="s">
        <v>44</v>
      </c>
      <c r="W1644">
        <v>200</v>
      </c>
      <c r="X1644">
        <v>0</v>
      </c>
      <c r="Y1644">
        <v>0</v>
      </c>
      <c r="Z1644">
        <v>0</v>
      </c>
    </row>
    <row r="1645" spans="1:26" hidden="1" x14ac:dyDescent="0.25">
      <c r="A1645" t="s">
        <v>3739</v>
      </c>
      <c r="B1645" t="s">
        <v>38</v>
      </c>
      <c r="C1645" s="4">
        <v>44816</v>
      </c>
      <c r="D1645" s="4">
        <v>45869</v>
      </c>
      <c r="F1645" s="4">
        <v>46661</v>
      </c>
      <c r="G1645" t="s">
        <v>144</v>
      </c>
      <c r="H1645" t="s">
        <v>1302</v>
      </c>
      <c r="K1645" t="s">
        <v>146</v>
      </c>
      <c r="L1645" t="s">
        <v>3121</v>
      </c>
      <c r="M1645" t="s">
        <v>68</v>
      </c>
      <c r="N1645" t="s">
        <v>3122</v>
      </c>
      <c r="O1645" t="s">
        <v>32</v>
      </c>
      <c r="P1645" t="s">
        <v>3740</v>
      </c>
      <c r="Q1645">
        <v>50</v>
      </c>
      <c r="R1645">
        <v>50</v>
      </c>
      <c r="S1645" t="s">
        <v>159</v>
      </c>
      <c r="T1645" t="s">
        <v>159</v>
      </c>
      <c r="U1645" t="s">
        <v>44</v>
      </c>
      <c r="W1645">
        <v>0</v>
      </c>
      <c r="X1645">
        <v>0</v>
      </c>
      <c r="Y1645">
        <v>0</v>
      </c>
      <c r="Z1645">
        <v>0</v>
      </c>
    </row>
    <row r="1646" spans="1:26" hidden="1" x14ac:dyDescent="0.25">
      <c r="A1646" t="s">
        <v>3741</v>
      </c>
      <c r="B1646" t="s">
        <v>2153</v>
      </c>
      <c r="C1646" s="4">
        <v>44816</v>
      </c>
      <c r="F1646" s="4">
        <v>46661</v>
      </c>
      <c r="G1646" t="s">
        <v>1408</v>
      </c>
      <c r="H1646" t="s">
        <v>1302</v>
      </c>
      <c r="K1646" t="s">
        <v>146</v>
      </c>
      <c r="L1646" t="s">
        <v>3121</v>
      </c>
      <c r="M1646" t="s">
        <v>68</v>
      </c>
      <c r="N1646" t="s">
        <v>3122</v>
      </c>
      <c r="O1646" t="s">
        <v>122</v>
      </c>
      <c r="P1646" t="s">
        <v>3740</v>
      </c>
      <c r="Q1646">
        <v>150</v>
      </c>
      <c r="R1646">
        <v>150</v>
      </c>
      <c r="S1646" t="s">
        <v>34</v>
      </c>
      <c r="T1646" t="s">
        <v>35</v>
      </c>
      <c r="U1646" t="s">
        <v>44</v>
      </c>
      <c r="W1646">
        <v>150</v>
      </c>
      <c r="X1646">
        <v>0</v>
      </c>
      <c r="Y1646">
        <v>0</v>
      </c>
      <c r="Z1646">
        <v>0</v>
      </c>
    </row>
    <row r="1647" spans="1:26" hidden="1" x14ac:dyDescent="0.25">
      <c r="A1647" t="s">
        <v>3742</v>
      </c>
      <c r="B1647" t="s">
        <v>38</v>
      </c>
      <c r="C1647" s="4">
        <v>44814</v>
      </c>
      <c r="D1647" s="4">
        <v>45868</v>
      </c>
      <c r="F1647" s="4">
        <v>45809</v>
      </c>
      <c r="G1647" t="s">
        <v>65</v>
      </c>
      <c r="H1647" t="s">
        <v>2764</v>
      </c>
      <c r="K1647" t="s">
        <v>67</v>
      </c>
      <c r="L1647" t="s">
        <v>3121</v>
      </c>
      <c r="M1647" t="s">
        <v>68</v>
      </c>
      <c r="N1647" t="s">
        <v>3122</v>
      </c>
      <c r="O1647" t="s">
        <v>32</v>
      </c>
      <c r="P1647" t="s">
        <v>3743</v>
      </c>
      <c r="Q1647">
        <v>90</v>
      </c>
      <c r="R1647">
        <v>90</v>
      </c>
      <c r="S1647" t="s">
        <v>34</v>
      </c>
      <c r="T1647" t="s">
        <v>35</v>
      </c>
      <c r="U1647" t="s">
        <v>44</v>
      </c>
      <c r="W1647">
        <v>0</v>
      </c>
      <c r="X1647">
        <v>0</v>
      </c>
      <c r="Y1647">
        <v>0</v>
      </c>
      <c r="Z1647">
        <v>0</v>
      </c>
    </row>
    <row r="1648" spans="1:26" hidden="1" x14ac:dyDescent="0.25">
      <c r="A1648" t="s">
        <v>3744</v>
      </c>
      <c r="B1648" t="s">
        <v>38</v>
      </c>
      <c r="C1648" s="4">
        <v>44819</v>
      </c>
      <c r="D1648" s="4">
        <v>45887</v>
      </c>
      <c r="F1648" s="4">
        <v>45627</v>
      </c>
      <c r="G1648" t="s">
        <v>117</v>
      </c>
      <c r="H1648" t="s">
        <v>1333</v>
      </c>
      <c r="K1648" t="s">
        <v>83</v>
      </c>
      <c r="L1648" t="s">
        <v>3121</v>
      </c>
      <c r="M1648" t="s">
        <v>84</v>
      </c>
      <c r="N1648" t="s">
        <v>2160</v>
      </c>
      <c r="O1648" t="s">
        <v>32</v>
      </c>
      <c r="P1648" t="s">
        <v>3745</v>
      </c>
      <c r="Q1648">
        <v>199</v>
      </c>
      <c r="R1648">
        <v>199</v>
      </c>
      <c r="S1648" t="s">
        <v>34</v>
      </c>
      <c r="T1648" t="s">
        <v>35</v>
      </c>
      <c r="U1648" t="s">
        <v>44</v>
      </c>
      <c r="W1648">
        <v>0</v>
      </c>
      <c r="X1648">
        <v>0</v>
      </c>
      <c r="Y1648">
        <v>0</v>
      </c>
      <c r="Z1648">
        <v>0</v>
      </c>
    </row>
    <row r="1649" spans="1:26" hidden="1" x14ac:dyDescent="0.25">
      <c r="A1649" t="s">
        <v>3746</v>
      </c>
      <c r="B1649" t="s">
        <v>38</v>
      </c>
      <c r="C1649" s="4">
        <v>44818</v>
      </c>
      <c r="D1649" s="4">
        <v>45869</v>
      </c>
      <c r="F1649" s="4">
        <v>46326</v>
      </c>
      <c r="G1649" t="s">
        <v>144</v>
      </c>
      <c r="H1649" t="s">
        <v>3025</v>
      </c>
      <c r="K1649" t="s">
        <v>146</v>
      </c>
      <c r="L1649" t="s">
        <v>3121</v>
      </c>
      <c r="M1649" t="s">
        <v>68</v>
      </c>
      <c r="N1649" t="s">
        <v>3122</v>
      </c>
      <c r="O1649" t="s">
        <v>32</v>
      </c>
      <c r="P1649" t="s">
        <v>3747</v>
      </c>
      <c r="Q1649">
        <v>130</v>
      </c>
      <c r="R1649">
        <v>130</v>
      </c>
      <c r="S1649" t="s">
        <v>159</v>
      </c>
      <c r="T1649" t="s">
        <v>159</v>
      </c>
      <c r="U1649" t="s">
        <v>44</v>
      </c>
      <c r="W1649">
        <v>0</v>
      </c>
      <c r="X1649">
        <v>0</v>
      </c>
      <c r="Y1649">
        <v>0</v>
      </c>
      <c r="Z1649">
        <v>0</v>
      </c>
    </row>
    <row r="1650" spans="1:26" hidden="1" x14ac:dyDescent="0.25">
      <c r="A1650" t="s">
        <v>3748</v>
      </c>
      <c r="B1650" t="s">
        <v>2153</v>
      </c>
      <c r="C1650" s="4">
        <v>44818</v>
      </c>
      <c r="F1650" s="4">
        <v>46784</v>
      </c>
      <c r="G1650" t="s">
        <v>117</v>
      </c>
      <c r="H1650" t="s">
        <v>1424</v>
      </c>
      <c r="K1650" t="s">
        <v>83</v>
      </c>
      <c r="L1650" t="s">
        <v>3121</v>
      </c>
      <c r="M1650" t="s">
        <v>84</v>
      </c>
      <c r="N1650" t="s">
        <v>2160</v>
      </c>
      <c r="O1650" t="s">
        <v>32</v>
      </c>
      <c r="P1650" t="s">
        <v>3749</v>
      </c>
      <c r="Q1650">
        <v>300</v>
      </c>
      <c r="R1650">
        <v>300</v>
      </c>
      <c r="S1650" t="s">
        <v>159</v>
      </c>
      <c r="T1650" t="s">
        <v>159</v>
      </c>
      <c r="U1650" t="s">
        <v>44</v>
      </c>
      <c r="W1650">
        <v>300</v>
      </c>
      <c r="X1650">
        <v>300</v>
      </c>
      <c r="Y1650">
        <v>0</v>
      </c>
      <c r="Z1650">
        <v>0</v>
      </c>
    </row>
    <row r="1651" spans="1:26" hidden="1" x14ac:dyDescent="0.25">
      <c r="A1651" t="s">
        <v>3750</v>
      </c>
      <c r="B1651" t="s">
        <v>2153</v>
      </c>
      <c r="C1651" s="4">
        <v>44819</v>
      </c>
      <c r="F1651" s="4">
        <v>46632</v>
      </c>
      <c r="H1651" t="s">
        <v>1708</v>
      </c>
      <c r="K1651" t="s">
        <v>83</v>
      </c>
      <c r="L1651" t="s">
        <v>3121</v>
      </c>
      <c r="M1651" t="s">
        <v>84</v>
      </c>
      <c r="N1651" t="s">
        <v>2160</v>
      </c>
      <c r="O1651" t="s">
        <v>32</v>
      </c>
      <c r="P1651" t="s">
        <v>3751</v>
      </c>
      <c r="Q1651">
        <v>135</v>
      </c>
      <c r="R1651">
        <v>135</v>
      </c>
      <c r="S1651" t="s">
        <v>597</v>
      </c>
      <c r="T1651" t="s">
        <v>598</v>
      </c>
      <c r="U1651" t="s">
        <v>44</v>
      </c>
      <c r="W1651">
        <v>135</v>
      </c>
      <c r="X1651">
        <v>135</v>
      </c>
      <c r="Y1651">
        <v>0</v>
      </c>
      <c r="Z1651">
        <v>0</v>
      </c>
    </row>
    <row r="1652" spans="1:26" hidden="1" x14ac:dyDescent="0.25">
      <c r="A1652" t="s">
        <v>3752</v>
      </c>
      <c r="B1652" t="s">
        <v>38</v>
      </c>
      <c r="C1652" s="4">
        <v>44819</v>
      </c>
      <c r="D1652" s="4">
        <v>45009</v>
      </c>
      <c r="F1652" s="4">
        <v>46632</v>
      </c>
      <c r="G1652" t="s">
        <v>65</v>
      </c>
      <c r="H1652" t="s">
        <v>1849</v>
      </c>
      <c r="K1652" t="s">
        <v>67</v>
      </c>
      <c r="L1652" t="s">
        <v>3121</v>
      </c>
      <c r="M1652" t="s">
        <v>68</v>
      </c>
      <c r="N1652" t="s">
        <v>3122</v>
      </c>
      <c r="O1652" t="s">
        <v>32</v>
      </c>
      <c r="P1652" t="s">
        <v>3753</v>
      </c>
      <c r="Q1652">
        <v>250</v>
      </c>
      <c r="R1652">
        <v>250</v>
      </c>
      <c r="S1652" t="s">
        <v>597</v>
      </c>
      <c r="T1652" t="s">
        <v>598</v>
      </c>
      <c r="U1652" t="s">
        <v>44</v>
      </c>
      <c r="W1652">
        <v>0</v>
      </c>
      <c r="X1652">
        <v>0</v>
      </c>
      <c r="Y1652">
        <v>0</v>
      </c>
      <c r="Z1652">
        <v>0</v>
      </c>
    </row>
    <row r="1653" spans="1:26" hidden="1" x14ac:dyDescent="0.25">
      <c r="A1653" t="s">
        <v>3754</v>
      </c>
      <c r="B1653" t="s">
        <v>38</v>
      </c>
      <c r="C1653" s="4">
        <v>44818</v>
      </c>
      <c r="D1653" s="4">
        <v>45327</v>
      </c>
      <c r="F1653" s="4">
        <v>46660</v>
      </c>
      <c r="G1653" t="s">
        <v>1257</v>
      </c>
      <c r="H1653" t="s">
        <v>1668</v>
      </c>
      <c r="K1653" t="s">
        <v>98</v>
      </c>
      <c r="L1653" t="s">
        <v>3121</v>
      </c>
      <c r="M1653" t="s">
        <v>84</v>
      </c>
      <c r="N1653" t="s">
        <v>2160</v>
      </c>
      <c r="O1653" t="s">
        <v>32</v>
      </c>
      <c r="P1653" t="s">
        <v>3755</v>
      </c>
      <c r="Q1653">
        <v>236</v>
      </c>
      <c r="R1653">
        <v>236</v>
      </c>
      <c r="S1653" t="s">
        <v>597</v>
      </c>
      <c r="T1653" t="s">
        <v>598</v>
      </c>
      <c r="U1653" t="s">
        <v>44</v>
      </c>
      <c r="W1653">
        <v>0</v>
      </c>
      <c r="X1653">
        <v>0</v>
      </c>
      <c r="Y1653">
        <v>0</v>
      </c>
      <c r="Z1653">
        <v>0</v>
      </c>
    </row>
    <row r="1654" spans="1:26" hidden="1" x14ac:dyDescent="0.25">
      <c r="A1654" t="s">
        <v>3756</v>
      </c>
      <c r="B1654" t="s">
        <v>2153</v>
      </c>
      <c r="C1654" s="4">
        <v>44819</v>
      </c>
      <c r="F1654" s="4">
        <v>46143</v>
      </c>
      <c r="H1654" t="s">
        <v>3281</v>
      </c>
      <c r="K1654" t="s">
        <v>146</v>
      </c>
      <c r="L1654" t="s">
        <v>3121</v>
      </c>
      <c r="M1654" t="s">
        <v>68</v>
      </c>
      <c r="N1654" t="s">
        <v>3122</v>
      </c>
      <c r="O1654" t="s">
        <v>32</v>
      </c>
      <c r="P1654" t="s">
        <v>3757</v>
      </c>
      <c r="Q1654">
        <v>160</v>
      </c>
      <c r="R1654">
        <v>160</v>
      </c>
      <c r="S1654" t="s">
        <v>34</v>
      </c>
      <c r="T1654" t="s">
        <v>35</v>
      </c>
      <c r="U1654" t="s">
        <v>44</v>
      </c>
      <c r="W1654">
        <v>160</v>
      </c>
      <c r="X1654">
        <v>0</v>
      </c>
      <c r="Y1654">
        <v>0</v>
      </c>
      <c r="Z1654">
        <v>0</v>
      </c>
    </row>
    <row r="1655" spans="1:26" hidden="1" x14ac:dyDescent="0.25">
      <c r="A1655" t="s">
        <v>3758</v>
      </c>
      <c r="B1655" t="s">
        <v>38</v>
      </c>
      <c r="C1655" s="4">
        <v>44819</v>
      </c>
      <c r="D1655" s="4">
        <v>45957</v>
      </c>
      <c r="F1655" s="4">
        <v>46143</v>
      </c>
      <c r="G1655" t="s">
        <v>39</v>
      </c>
      <c r="H1655" t="s">
        <v>2111</v>
      </c>
      <c r="K1655" t="s">
        <v>41</v>
      </c>
      <c r="L1655" t="s">
        <v>3121</v>
      </c>
      <c r="M1655" t="s">
        <v>42</v>
      </c>
      <c r="N1655" t="s">
        <v>3122</v>
      </c>
      <c r="O1655" t="s">
        <v>32</v>
      </c>
      <c r="P1655" t="s">
        <v>3759</v>
      </c>
      <c r="Q1655">
        <v>197</v>
      </c>
      <c r="R1655">
        <v>197</v>
      </c>
      <c r="S1655" t="s">
        <v>159</v>
      </c>
      <c r="T1655" t="s">
        <v>159</v>
      </c>
      <c r="U1655" t="s">
        <v>44</v>
      </c>
      <c r="W1655">
        <v>0</v>
      </c>
      <c r="X1655">
        <v>0</v>
      </c>
      <c r="Y1655">
        <v>0</v>
      </c>
      <c r="Z1655">
        <v>0</v>
      </c>
    </row>
    <row r="1656" spans="1:26" hidden="1" x14ac:dyDescent="0.25">
      <c r="A1656" t="s">
        <v>3760</v>
      </c>
      <c r="B1656" t="s">
        <v>2153</v>
      </c>
      <c r="C1656" s="4">
        <v>44819</v>
      </c>
      <c r="F1656" s="4">
        <v>46508</v>
      </c>
      <c r="G1656" t="s">
        <v>1368</v>
      </c>
      <c r="H1656" t="s">
        <v>2356</v>
      </c>
      <c r="K1656" t="s">
        <v>209</v>
      </c>
      <c r="L1656" t="s">
        <v>3121</v>
      </c>
      <c r="M1656" t="s">
        <v>42</v>
      </c>
      <c r="N1656" t="s">
        <v>3122</v>
      </c>
      <c r="O1656" t="s">
        <v>32</v>
      </c>
      <c r="P1656" t="s">
        <v>3761</v>
      </c>
      <c r="Q1656">
        <v>170</v>
      </c>
      <c r="R1656">
        <v>170</v>
      </c>
      <c r="S1656" t="s">
        <v>159</v>
      </c>
      <c r="T1656" t="s">
        <v>159</v>
      </c>
      <c r="U1656" t="s">
        <v>44</v>
      </c>
      <c r="W1656">
        <v>170</v>
      </c>
      <c r="X1656">
        <v>170</v>
      </c>
      <c r="Y1656">
        <v>0</v>
      </c>
      <c r="Z1656">
        <v>0</v>
      </c>
    </row>
    <row r="1657" spans="1:26" hidden="1" x14ac:dyDescent="0.25">
      <c r="A1657" t="s">
        <v>3762</v>
      </c>
      <c r="B1657" t="s">
        <v>2153</v>
      </c>
      <c r="C1657" s="4">
        <v>44818</v>
      </c>
      <c r="F1657" s="4">
        <v>46204</v>
      </c>
      <c r="G1657" t="s">
        <v>691</v>
      </c>
      <c r="H1657" t="s">
        <v>1430</v>
      </c>
      <c r="K1657" t="s">
        <v>98</v>
      </c>
      <c r="L1657" t="s">
        <v>3121</v>
      </c>
      <c r="M1657" t="s">
        <v>84</v>
      </c>
      <c r="N1657" t="s">
        <v>2160</v>
      </c>
      <c r="O1657" t="s">
        <v>122</v>
      </c>
      <c r="P1657" t="s">
        <v>3763</v>
      </c>
      <c r="Q1657">
        <v>180</v>
      </c>
      <c r="R1657">
        <v>180</v>
      </c>
      <c r="S1657" t="s">
        <v>56</v>
      </c>
      <c r="T1657" t="s">
        <v>57</v>
      </c>
      <c r="U1657" t="s">
        <v>44</v>
      </c>
      <c r="W1657">
        <v>180</v>
      </c>
      <c r="X1657">
        <v>0</v>
      </c>
      <c r="Y1657">
        <v>0</v>
      </c>
      <c r="Z1657">
        <v>0</v>
      </c>
    </row>
    <row r="1658" spans="1:26" hidden="1" x14ac:dyDescent="0.25">
      <c r="A1658" t="s">
        <v>3764</v>
      </c>
      <c r="B1658" t="s">
        <v>2153</v>
      </c>
      <c r="C1658" s="4">
        <v>44819</v>
      </c>
      <c r="F1658" s="4">
        <v>46143</v>
      </c>
      <c r="G1658" t="s">
        <v>1368</v>
      </c>
      <c r="H1658" t="s">
        <v>2356</v>
      </c>
      <c r="K1658" t="s">
        <v>209</v>
      </c>
      <c r="L1658" t="s">
        <v>3121</v>
      </c>
      <c r="M1658" t="s">
        <v>42</v>
      </c>
      <c r="N1658" t="s">
        <v>3122</v>
      </c>
      <c r="O1658" t="s">
        <v>32</v>
      </c>
      <c r="P1658" t="s">
        <v>3765</v>
      </c>
      <c r="Q1658">
        <v>170</v>
      </c>
      <c r="R1658">
        <v>170</v>
      </c>
      <c r="S1658" t="s">
        <v>159</v>
      </c>
      <c r="T1658" t="s">
        <v>159</v>
      </c>
      <c r="U1658" t="s">
        <v>44</v>
      </c>
      <c r="W1658">
        <v>170</v>
      </c>
      <c r="X1658">
        <v>170</v>
      </c>
      <c r="Y1658">
        <v>0</v>
      </c>
      <c r="Z1658">
        <v>0</v>
      </c>
    </row>
    <row r="1659" spans="1:26" hidden="1" x14ac:dyDescent="0.25">
      <c r="A1659" t="s">
        <v>3766</v>
      </c>
      <c r="B1659" t="s">
        <v>2153</v>
      </c>
      <c r="C1659" s="4">
        <v>44819</v>
      </c>
      <c r="F1659" s="4">
        <v>46143</v>
      </c>
      <c r="H1659" t="s">
        <v>1768</v>
      </c>
      <c r="K1659" t="s">
        <v>83</v>
      </c>
      <c r="O1659" t="s">
        <v>32</v>
      </c>
      <c r="P1659" t="s">
        <v>3767</v>
      </c>
      <c r="Q1659">
        <v>180</v>
      </c>
      <c r="R1659">
        <v>180</v>
      </c>
      <c r="U1659" t="s">
        <v>44</v>
      </c>
      <c r="W1659">
        <v>180</v>
      </c>
      <c r="X1659">
        <v>180</v>
      </c>
      <c r="Y1659">
        <v>0</v>
      </c>
      <c r="Z1659">
        <v>0</v>
      </c>
    </row>
    <row r="1660" spans="1:26" hidden="1" x14ac:dyDescent="0.25">
      <c r="A1660" t="s">
        <v>3766</v>
      </c>
      <c r="B1660" t="s">
        <v>2153</v>
      </c>
      <c r="C1660" s="4">
        <v>44819</v>
      </c>
      <c r="F1660" s="4">
        <v>46143</v>
      </c>
      <c r="H1660" t="s">
        <v>1768</v>
      </c>
      <c r="O1660" t="s">
        <v>32</v>
      </c>
      <c r="P1660" t="s">
        <v>3767</v>
      </c>
      <c r="Q1660">
        <v>0</v>
      </c>
      <c r="R1660">
        <v>0</v>
      </c>
      <c r="U1660" t="s">
        <v>44</v>
      </c>
      <c r="W1660">
        <v>180</v>
      </c>
      <c r="X1660">
        <v>180</v>
      </c>
      <c r="Y1660">
        <v>0</v>
      </c>
      <c r="Z1660">
        <v>0</v>
      </c>
    </row>
    <row r="1661" spans="1:26" hidden="1" x14ac:dyDescent="0.25">
      <c r="A1661" t="s">
        <v>3768</v>
      </c>
      <c r="B1661" t="s">
        <v>2153</v>
      </c>
      <c r="C1661" s="4">
        <v>44819</v>
      </c>
      <c r="F1661" s="4">
        <v>46508</v>
      </c>
      <c r="G1661" t="s">
        <v>1690</v>
      </c>
      <c r="H1661" t="s">
        <v>1640</v>
      </c>
      <c r="K1661" t="s">
        <v>98</v>
      </c>
      <c r="L1661" t="s">
        <v>3121</v>
      </c>
      <c r="M1661" t="s">
        <v>84</v>
      </c>
      <c r="N1661" t="s">
        <v>2160</v>
      </c>
      <c r="O1661" t="s">
        <v>32</v>
      </c>
      <c r="P1661" t="s">
        <v>3188</v>
      </c>
      <c r="Q1661">
        <v>138</v>
      </c>
      <c r="R1661">
        <v>138</v>
      </c>
      <c r="S1661" t="s">
        <v>159</v>
      </c>
      <c r="T1661" t="s">
        <v>159</v>
      </c>
      <c r="U1661" t="s">
        <v>44</v>
      </c>
      <c r="W1661">
        <v>138</v>
      </c>
      <c r="X1661">
        <v>138</v>
      </c>
      <c r="Y1661">
        <v>0</v>
      </c>
      <c r="Z1661">
        <v>0</v>
      </c>
    </row>
    <row r="1662" spans="1:26" hidden="1" x14ac:dyDescent="0.25">
      <c r="A1662" t="s">
        <v>3769</v>
      </c>
      <c r="B1662" t="s">
        <v>38</v>
      </c>
      <c r="C1662" s="4">
        <v>44819</v>
      </c>
      <c r="D1662" s="4">
        <v>45008</v>
      </c>
      <c r="F1662" s="4">
        <v>46143</v>
      </c>
      <c r="G1662" t="s">
        <v>117</v>
      </c>
      <c r="H1662" t="s">
        <v>1923</v>
      </c>
      <c r="K1662" t="s">
        <v>83</v>
      </c>
      <c r="L1662" t="s">
        <v>3121</v>
      </c>
      <c r="M1662" t="s">
        <v>84</v>
      </c>
      <c r="N1662" t="s">
        <v>2160</v>
      </c>
      <c r="O1662" t="s">
        <v>32</v>
      </c>
      <c r="P1662" t="s">
        <v>3770</v>
      </c>
      <c r="Q1662">
        <v>150</v>
      </c>
      <c r="R1662">
        <v>150</v>
      </c>
      <c r="S1662" t="s">
        <v>159</v>
      </c>
      <c r="T1662" t="s">
        <v>159</v>
      </c>
      <c r="U1662" t="s">
        <v>44</v>
      </c>
      <c r="W1662">
        <v>0</v>
      </c>
      <c r="X1662">
        <v>0</v>
      </c>
      <c r="Y1662">
        <v>0</v>
      </c>
      <c r="Z1662">
        <v>0</v>
      </c>
    </row>
    <row r="1663" spans="1:26" hidden="1" x14ac:dyDescent="0.25">
      <c r="A1663" t="s">
        <v>3771</v>
      </c>
      <c r="B1663" t="s">
        <v>2153</v>
      </c>
      <c r="C1663" s="4">
        <v>45957</v>
      </c>
      <c r="F1663" s="4">
        <v>46223</v>
      </c>
      <c r="G1663" t="s">
        <v>132</v>
      </c>
      <c r="H1663" t="s">
        <v>1291</v>
      </c>
      <c r="K1663" t="s">
        <v>83</v>
      </c>
      <c r="L1663" t="s">
        <v>3121</v>
      </c>
      <c r="M1663" t="s">
        <v>84</v>
      </c>
      <c r="N1663" t="s">
        <v>2160</v>
      </c>
      <c r="O1663" t="s">
        <v>32</v>
      </c>
      <c r="P1663" t="s">
        <v>3772</v>
      </c>
      <c r="Q1663">
        <v>150</v>
      </c>
      <c r="R1663">
        <v>150</v>
      </c>
      <c r="S1663" t="s">
        <v>34</v>
      </c>
      <c r="T1663" t="s">
        <v>35</v>
      </c>
      <c r="U1663" t="s">
        <v>44</v>
      </c>
      <c r="W1663">
        <v>150</v>
      </c>
      <c r="X1663">
        <v>150</v>
      </c>
      <c r="Y1663">
        <v>0</v>
      </c>
      <c r="Z1663">
        <v>0</v>
      </c>
    </row>
    <row r="1664" spans="1:26" hidden="1" x14ac:dyDescent="0.25">
      <c r="A1664" t="s">
        <v>3773</v>
      </c>
      <c r="B1664" t="s">
        <v>38</v>
      </c>
      <c r="C1664" s="4">
        <v>44819</v>
      </c>
      <c r="D1664" s="4">
        <v>45008</v>
      </c>
      <c r="F1664" s="4">
        <v>46508</v>
      </c>
      <c r="G1664" t="s">
        <v>117</v>
      </c>
      <c r="H1664" t="s">
        <v>1923</v>
      </c>
      <c r="K1664" t="s">
        <v>83</v>
      </c>
      <c r="L1664" t="s">
        <v>3121</v>
      </c>
      <c r="M1664" t="s">
        <v>84</v>
      </c>
      <c r="N1664" t="s">
        <v>2160</v>
      </c>
      <c r="O1664" t="s">
        <v>32</v>
      </c>
      <c r="P1664" t="s">
        <v>3770</v>
      </c>
      <c r="Q1664">
        <v>150</v>
      </c>
      <c r="R1664">
        <v>150</v>
      </c>
      <c r="S1664" t="s">
        <v>159</v>
      </c>
      <c r="T1664" t="s">
        <v>159</v>
      </c>
      <c r="U1664" t="s">
        <v>44</v>
      </c>
      <c r="W1664">
        <v>0</v>
      </c>
      <c r="X1664">
        <v>0</v>
      </c>
      <c r="Y1664">
        <v>0</v>
      </c>
      <c r="Z1664">
        <v>0</v>
      </c>
    </row>
    <row r="1665" spans="1:26" hidden="1" x14ac:dyDescent="0.25">
      <c r="A1665" t="s">
        <v>3774</v>
      </c>
      <c r="B1665" t="s">
        <v>38</v>
      </c>
      <c r="C1665" s="4">
        <v>44819</v>
      </c>
      <c r="D1665" s="4">
        <v>45957</v>
      </c>
      <c r="F1665" s="4">
        <v>46143</v>
      </c>
      <c r="G1665" t="s">
        <v>117</v>
      </c>
      <c r="H1665" t="s">
        <v>1258</v>
      </c>
      <c r="K1665" t="s">
        <v>83</v>
      </c>
      <c r="L1665" t="s">
        <v>3121</v>
      </c>
      <c r="M1665" t="s">
        <v>84</v>
      </c>
      <c r="N1665" t="s">
        <v>2160</v>
      </c>
      <c r="O1665" t="s">
        <v>32</v>
      </c>
      <c r="P1665" t="s">
        <v>3775</v>
      </c>
      <c r="Q1665">
        <v>200</v>
      </c>
      <c r="R1665">
        <v>200</v>
      </c>
      <c r="S1665" t="s">
        <v>34</v>
      </c>
      <c r="T1665" t="s">
        <v>35</v>
      </c>
      <c r="U1665" t="s">
        <v>44</v>
      </c>
      <c r="W1665">
        <v>0</v>
      </c>
      <c r="X1665">
        <v>0</v>
      </c>
      <c r="Y1665">
        <v>0</v>
      </c>
      <c r="Z1665">
        <v>0</v>
      </c>
    </row>
    <row r="1666" spans="1:26" hidden="1" x14ac:dyDescent="0.25">
      <c r="A1666" t="s">
        <v>3776</v>
      </c>
      <c r="B1666" t="s">
        <v>2153</v>
      </c>
      <c r="C1666" s="4">
        <v>44819</v>
      </c>
      <c r="F1666" s="4">
        <v>46143</v>
      </c>
      <c r="H1666" t="s">
        <v>1923</v>
      </c>
      <c r="K1666" t="s">
        <v>83</v>
      </c>
      <c r="L1666" t="s">
        <v>3121</v>
      </c>
      <c r="M1666" t="s">
        <v>84</v>
      </c>
      <c r="N1666" t="s">
        <v>2160</v>
      </c>
      <c r="O1666" t="s">
        <v>32</v>
      </c>
      <c r="P1666" t="s">
        <v>2741</v>
      </c>
      <c r="Q1666">
        <v>250</v>
      </c>
      <c r="R1666">
        <v>250</v>
      </c>
      <c r="S1666" t="s">
        <v>34</v>
      </c>
      <c r="T1666" t="s">
        <v>35</v>
      </c>
      <c r="U1666" t="s">
        <v>44</v>
      </c>
      <c r="W1666">
        <v>250</v>
      </c>
      <c r="X1666">
        <v>0</v>
      </c>
      <c r="Y1666">
        <v>0</v>
      </c>
      <c r="Z1666">
        <v>0</v>
      </c>
    </row>
    <row r="1667" spans="1:26" hidden="1" x14ac:dyDescent="0.25">
      <c r="A1667" t="s">
        <v>3777</v>
      </c>
      <c r="B1667" t="s">
        <v>2153</v>
      </c>
      <c r="C1667" s="4">
        <v>44819</v>
      </c>
      <c r="F1667" s="4">
        <v>46143</v>
      </c>
      <c r="G1667" t="s">
        <v>1690</v>
      </c>
      <c r="H1667" t="s">
        <v>1640</v>
      </c>
      <c r="K1667" t="s">
        <v>98</v>
      </c>
      <c r="L1667" t="s">
        <v>3121</v>
      </c>
      <c r="M1667" t="s">
        <v>84</v>
      </c>
      <c r="N1667" t="s">
        <v>2160</v>
      </c>
      <c r="O1667" t="s">
        <v>32</v>
      </c>
      <c r="P1667" t="s">
        <v>3778</v>
      </c>
      <c r="Q1667">
        <v>200</v>
      </c>
      <c r="R1667">
        <v>200</v>
      </c>
      <c r="S1667" t="s">
        <v>159</v>
      </c>
      <c r="T1667" t="s">
        <v>159</v>
      </c>
      <c r="U1667" t="s">
        <v>44</v>
      </c>
      <c r="W1667">
        <v>200</v>
      </c>
      <c r="X1667">
        <v>200</v>
      </c>
      <c r="Y1667">
        <v>0</v>
      </c>
      <c r="Z1667">
        <v>0</v>
      </c>
    </row>
    <row r="1668" spans="1:26" hidden="1" x14ac:dyDescent="0.25">
      <c r="A1668" t="s">
        <v>3779</v>
      </c>
      <c r="B1668" t="s">
        <v>38</v>
      </c>
      <c r="C1668" s="4">
        <v>44819</v>
      </c>
      <c r="D1668" s="4">
        <v>45957</v>
      </c>
      <c r="F1668" s="4">
        <v>46295</v>
      </c>
      <c r="G1668" t="s">
        <v>101</v>
      </c>
      <c r="H1668" t="s">
        <v>2013</v>
      </c>
      <c r="K1668" t="s">
        <v>98</v>
      </c>
      <c r="L1668" t="s">
        <v>3121</v>
      </c>
      <c r="M1668" t="s">
        <v>84</v>
      </c>
      <c r="N1668" t="s">
        <v>2160</v>
      </c>
      <c r="O1668" t="s">
        <v>32</v>
      </c>
      <c r="P1668" t="s">
        <v>3780</v>
      </c>
      <c r="Q1668">
        <v>200</v>
      </c>
      <c r="R1668">
        <v>200</v>
      </c>
      <c r="S1668" t="s">
        <v>34</v>
      </c>
      <c r="T1668" t="s">
        <v>35</v>
      </c>
      <c r="U1668" t="s">
        <v>44</v>
      </c>
      <c r="W1668">
        <v>0</v>
      </c>
      <c r="X1668">
        <v>0</v>
      </c>
      <c r="Y1668">
        <v>0</v>
      </c>
      <c r="Z1668">
        <v>0</v>
      </c>
    </row>
    <row r="1669" spans="1:26" hidden="1" x14ac:dyDescent="0.25">
      <c r="A1669" t="s">
        <v>3781</v>
      </c>
      <c r="B1669" t="s">
        <v>38</v>
      </c>
      <c r="C1669" s="4">
        <v>44819</v>
      </c>
      <c r="D1669" s="4">
        <v>45867</v>
      </c>
      <c r="F1669" s="4">
        <v>46631</v>
      </c>
      <c r="G1669" t="s">
        <v>183</v>
      </c>
      <c r="H1669" t="s">
        <v>3782</v>
      </c>
      <c r="K1669" t="s">
        <v>185</v>
      </c>
      <c r="L1669" t="s">
        <v>3121</v>
      </c>
      <c r="M1669" t="s">
        <v>42</v>
      </c>
      <c r="N1669" t="s">
        <v>3122</v>
      </c>
      <c r="O1669" t="s">
        <v>32</v>
      </c>
      <c r="P1669" t="s">
        <v>3783</v>
      </c>
      <c r="Q1669">
        <v>347</v>
      </c>
      <c r="R1669">
        <v>347</v>
      </c>
      <c r="S1669" t="s">
        <v>597</v>
      </c>
      <c r="T1669" t="s">
        <v>598</v>
      </c>
      <c r="U1669" t="s">
        <v>44</v>
      </c>
      <c r="W1669">
        <v>0</v>
      </c>
      <c r="X1669">
        <v>0</v>
      </c>
      <c r="Y1669">
        <v>0</v>
      </c>
      <c r="Z1669">
        <v>0</v>
      </c>
    </row>
    <row r="1670" spans="1:26" hidden="1" x14ac:dyDescent="0.25">
      <c r="A1670" t="s">
        <v>3784</v>
      </c>
      <c r="B1670" t="s">
        <v>2153</v>
      </c>
      <c r="C1670" s="4">
        <v>45300</v>
      </c>
      <c r="F1670" s="4">
        <v>46203</v>
      </c>
      <c r="G1670" t="s">
        <v>1278</v>
      </c>
      <c r="H1670" t="s">
        <v>1916</v>
      </c>
      <c r="K1670" t="s">
        <v>28</v>
      </c>
      <c r="L1670" t="s">
        <v>3121</v>
      </c>
      <c r="M1670" t="s">
        <v>30</v>
      </c>
      <c r="N1670" t="s">
        <v>3122</v>
      </c>
      <c r="O1670" t="s">
        <v>32</v>
      </c>
      <c r="P1670" t="s">
        <v>3785</v>
      </c>
      <c r="Q1670">
        <v>100</v>
      </c>
      <c r="R1670">
        <v>100</v>
      </c>
      <c r="S1670" t="s">
        <v>34</v>
      </c>
      <c r="T1670" t="s">
        <v>35</v>
      </c>
      <c r="U1670" t="s">
        <v>44</v>
      </c>
      <c r="W1670">
        <v>100</v>
      </c>
      <c r="X1670">
        <v>100</v>
      </c>
      <c r="Y1670">
        <v>0</v>
      </c>
      <c r="Z1670">
        <v>0</v>
      </c>
    </row>
    <row r="1671" spans="1:26" hidden="1" x14ac:dyDescent="0.25">
      <c r="A1671" t="s">
        <v>3786</v>
      </c>
      <c r="B1671" t="s">
        <v>2338</v>
      </c>
      <c r="C1671" s="4">
        <v>44818</v>
      </c>
      <c r="F1671" s="4">
        <v>45962</v>
      </c>
      <c r="G1671" t="s">
        <v>907</v>
      </c>
      <c r="H1671" t="s">
        <v>1450</v>
      </c>
      <c r="K1671" t="s">
        <v>53</v>
      </c>
      <c r="L1671" t="s">
        <v>3121</v>
      </c>
      <c r="M1671" t="s">
        <v>54</v>
      </c>
      <c r="N1671" t="s">
        <v>3122</v>
      </c>
      <c r="O1671" t="s">
        <v>32</v>
      </c>
      <c r="P1671" t="s">
        <v>3787</v>
      </c>
      <c r="Q1671">
        <v>135</v>
      </c>
      <c r="R1671">
        <v>135</v>
      </c>
      <c r="S1671" t="s">
        <v>34</v>
      </c>
      <c r="T1671" t="s">
        <v>35</v>
      </c>
      <c r="U1671" t="s">
        <v>44</v>
      </c>
      <c r="W1671">
        <v>135</v>
      </c>
      <c r="X1671">
        <v>135</v>
      </c>
      <c r="Y1671">
        <v>0</v>
      </c>
      <c r="Z1671">
        <v>0</v>
      </c>
    </row>
    <row r="1672" spans="1:26" hidden="1" x14ac:dyDescent="0.25">
      <c r="A1672" t="s">
        <v>3788</v>
      </c>
      <c r="B1672" t="s">
        <v>2338</v>
      </c>
      <c r="C1672" s="4">
        <v>44818</v>
      </c>
      <c r="F1672" s="4">
        <v>45962</v>
      </c>
      <c r="G1672" t="s">
        <v>2735</v>
      </c>
      <c r="H1672" t="s">
        <v>3260</v>
      </c>
      <c r="K1672" t="s">
        <v>53</v>
      </c>
      <c r="L1672" t="s">
        <v>3121</v>
      </c>
      <c r="M1672" t="s">
        <v>54</v>
      </c>
      <c r="N1672" t="s">
        <v>3122</v>
      </c>
      <c r="O1672" t="s">
        <v>32</v>
      </c>
      <c r="P1672" t="s">
        <v>3789</v>
      </c>
      <c r="Q1672">
        <v>215</v>
      </c>
      <c r="R1672">
        <v>215</v>
      </c>
      <c r="S1672" t="s">
        <v>34</v>
      </c>
      <c r="T1672" t="s">
        <v>35</v>
      </c>
      <c r="U1672" t="s">
        <v>44</v>
      </c>
      <c r="W1672">
        <v>215</v>
      </c>
      <c r="X1672">
        <v>215</v>
      </c>
      <c r="Y1672">
        <v>0</v>
      </c>
      <c r="Z1672">
        <v>0</v>
      </c>
    </row>
    <row r="1673" spans="1:26" hidden="1" x14ac:dyDescent="0.25">
      <c r="A1673" t="s">
        <v>3790</v>
      </c>
      <c r="B1673" t="s">
        <v>2338</v>
      </c>
      <c r="C1673" s="4">
        <v>44818</v>
      </c>
      <c r="F1673" s="4">
        <v>45962</v>
      </c>
      <c r="G1673" t="s">
        <v>2735</v>
      </c>
      <c r="H1673" t="s">
        <v>3260</v>
      </c>
      <c r="K1673" t="s">
        <v>53</v>
      </c>
      <c r="L1673" t="s">
        <v>3121</v>
      </c>
      <c r="M1673" t="s">
        <v>54</v>
      </c>
      <c r="N1673" t="s">
        <v>3122</v>
      </c>
      <c r="O1673" t="s">
        <v>32</v>
      </c>
      <c r="P1673" t="s">
        <v>3789</v>
      </c>
      <c r="Q1673">
        <v>120</v>
      </c>
      <c r="R1673">
        <v>120</v>
      </c>
      <c r="S1673" t="s">
        <v>34</v>
      </c>
      <c r="T1673" t="s">
        <v>35</v>
      </c>
      <c r="U1673" t="s">
        <v>44</v>
      </c>
      <c r="W1673">
        <v>120</v>
      </c>
      <c r="X1673">
        <v>120</v>
      </c>
      <c r="Y1673">
        <v>0</v>
      </c>
      <c r="Z1673">
        <v>0</v>
      </c>
    </row>
    <row r="1674" spans="1:26" hidden="1" x14ac:dyDescent="0.25">
      <c r="A1674" t="s">
        <v>3791</v>
      </c>
      <c r="B1674" t="s">
        <v>2338</v>
      </c>
      <c r="C1674" s="4">
        <v>44818</v>
      </c>
      <c r="F1674" s="4">
        <v>45962</v>
      </c>
      <c r="H1674" t="s">
        <v>3260</v>
      </c>
      <c r="K1674" t="s">
        <v>53</v>
      </c>
      <c r="L1674" t="s">
        <v>3121</v>
      </c>
      <c r="M1674" t="s">
        <v>54</v>
      </c>
      <c r="N1674" t="s">
        <v>3122</v>
      </c>
      <c r="O1674" t="s">
        <v>32</v>
      </c>
      <c r="P1674" t="s">
        <v>3792</v>
      </c>
      <c r="Q1674">
        <v>223</v>
      </c>
      <c r="R1674">
        <v>223</v>
      </c>
      <c r="S1674" t="s">
        <v>34</v>
      </c>
      <c r="T1674" t="s">
        <v>35</v>
      </c>
      <c r="U1674" t="s">
        <v>44</v>
      </c>
      <c r="W1674">
        <v>223</v>
      </c>
      <c r="X1674">
        <v>223</v>
      </c>
      <c r="Y1674">
        <v>0</v>
      </c>
      <c r="Z1674">
        <v>0</v>
      </c>
    </row>
    <row r="1675" spans="1:26" hidden="1" x14ac:dyDescent="0.25">
      <c r="A1675" t="s">
        <v>3793</v>
      </c>
      <c r="B1675" t="s">
        <v>38</v>
      </c>
      <c r="C1675" s="4">
        <v>44818</v>
      </c>
      <c r="D1675" s="4">
        <v>45870</v>
      </c>
      <c r="F1675" s="4">
        <v>45962</v>
      </c>
      <c r="G1675" t="s">
        <v>52</v>
      </c>
      <c r="H1675" t="s">
        <v>3448</v>
      </c>
      <c r="K1675" t="s">
        <v>53</v>
      </c>
      <c r="L1675" t="s">
        <v>3121</v>
      </c>
      <c r="M1675" t="s">
        <v>54</v>
      </c>
      <c r="N1675" t="s">
        <v>3122</v>
      </c>
      <c r="O1675" t="s">
        <v>32</v>
      </c>
      <c r="P1675" t="s">
        <v>3794</v>
      </c>
      <c r="Q1675">
        <v>150</v>
      </c>
      <c r="R1675">
        <v>150</v>
      </c>
      <c r="S1675" t="s">
        <v>34</v>
      </c>
      <c r="T1675" t="s">
        <v>35</v>
      </c>
      <c r="U1675" t="s">
        <v>44</v>
      </c>
      <c r="W1675">
        <v>0</v>
      </c>
      <c r="X1675">
        <v>0</v>
      </c>
      <c r="Y1675">
        <v>0</v>
      </c>
      <c r="Z1675">
        <v>0</v>
      </c>
    </row>
    <row r="1676" spans="1:26" hidden="1" x14ac:dyDescent="0.25">
      <c r="A1676" t="s">
        <v>3795</v>
      </c>
      <c r="B1676" t="s">
        <v>2153</v>
      </c>
      <c r="C1676" s="4">
        <v>44818</v>
      </c>
      <c r="F1676" s="4">
        <v>45962</v>
      </c>
      <c r="G1676" t="s">
        <v>52</v>
      </c>
      <c r="H1676" t="s">
        <v>3796</v>
      </c>
      <c r="K1676" t="s">
        <v>53</v>
      </c>
      <c r="L1676" t="s">
        <v>3121</v>
      </c>
      <c r="M1676" t="s">
        <v>54</v>
      </c>
      <c r="N1676" t="s">
        <v>3122</v>
      </c>
      <c r="O1676" t="s">
        <v>32</v>
      </c>
      <c r="P1676" t="s">
        <v>3797</v>
      </c>
      <c r="Q1676">
        <v>120</v>
      </c>
      <c r="R1676">
        <v>120</v>
      </c>
      <c r="S1676" t="s">
        <v>34</v>
      </c>
      <c r="T1676" t="s">
        <v>35</v>
      </c>
      <c r="U1676" t="s">
        <v>44</v>
      </c>
      <c r="W1676">
        <v>120</v>
      </c>
      <c r="X1676">
        <v>120</v>
      </c>
      <c r="Y1676">
        <v>0</v>
      </c>
      <c r="Z1676">
        <v>0</v>
      </c>
    </row>
    <row r="1677" spans="1:26" hidden="1" x14ac:dyDescent="0.25">
      <c r="A1677" t="s">
        <v>3798</v>
      </c>
      <c r="B1677" t="s">
        <v>2338</v>
      </c>
      <c r="C1677" s="4">
        <v>44818</v>
      </c>
      <c r="F1677" s="4">
        <v>45962</v>
      </c>
      <c r="G1677" t="s">
        <v>52</v>
      </c>
      <c r="H1677" t="s">
        <v>3799</v>
      </c>
      <c r="K1677" t="s">
        <v>53</v>
      </c>
      <c r="L1677" t="s">
        <v>3121</v>
      </c>
      <c r="M1677" t="s">
        <v>54</v>
      </c>
      <c r="N1677" t="s">
        <v>3122</v>
      </c>
      <c r="O1677" t="s">
        <v>32</v>
      </c>
      <c r="P1677" t="s">
        <v>3800</v>
      </c>
      <c r="Q1677">
        <v>145</v>
      </c>
      <c r="R1677">
        <v>145</v>
      </c>
      <c r="S1677" t="s">
        <v>34</v>
      </c>
      <c r="T1677" t="s">
        <v>35</v>
      </c>
      <c r="U1677" t="s">
        <v>44</v>
      </c>
      <c r="V1677" s="4">
        <v>46387</v>
      </c>
      <c r="W1677">
        <v>145</v>
      </c>
      <c r="X1677">
        <v>145</v>
      </c>
      <c r="Y1677">
        <v>0</v>
      </c>
      <c r="Z1677">
        <v>0</v>
      </c>
    </row>
    <row r="1678" spans="1:26" hidden="1" x14ac:dyDescent="0.25">
      <c r="A1678" t="s">
        <v>3801</v>
      </c>
      <c r="B1678" t="s">
        <v>38</v>
      </c>
      <c r="C1678" s="4">
        <v>44818</v>
      </c>
      <c r="D1678" s="4">
        <v>45870</v>
      </c>
      <c r="F1678" s="4">
        <v>45962</v>
      </c>
      <c r="G1678" t="s">
        <v>52</v>
      </c>
      <c r="H1678" t="s">
        <v>1430</v>
      </c>
      <c r="K1678" t="s">
        <v>53</v>
      </c>
      <c r="L1678" t="s">
        <v>3121</v>
      </c>
      <c r="M1678" t="s">
        <v>54</v>
      </c>
      <c r="N1678" t="s">
        <v>3122</v>
      </c>
      <c r="O1678" t="s">
        <v>32</v>
      </c>
      <c r="P1678" t="s">
        <v>3802</v>
      </c>
      <c r="Q1678">
        <v>200</v>
      </c>
      <c r="R1678">
        <v>200</v>
      </c>
      <c r="S1678" t="s">
        <v>34</v>
      </c>
      <c r="T1678" t="s">
        <v>35</v>
      </c>
      <c r="U1678" t="s">
        <v>44</v>
      </c>
      <c r="W1678">
        <v>0</v>
      </c>
      <c r="X1678">
        <v>0</v>
      </c>
      <c r="Y1678">
        <v>0</v>
      </c>
      <c r="Z1678">
        <v>0</v>
      </c>
    </row>
    <row r="1679" spans="1:26" hidden="1" x14ac:dyDescent="0.25">
      <c r="A1679" t="s">
        <v>3803</v>
      </c>
      <c r="B1679" t="s">
        <v>2338</v>
      </c>
      <c r="C1679" s="4">
        <v>44818</v>
      </c>
      <c r="F1679" s="4">
        <v>45962</v>
      </c>
      <c r="G1679" t="s">
        <v>52</v>
      </c>
      <c r="H1679" t="s">
        <v>2339</v>
      </c>
      <c r="K1679" t="s">
        <v>53</v>
      </c>
      <c r="L1679" t="s">
        <v>3121</v>
      </c>
      <c r="M1679" t="s">
        <v>54</v>
      </c>
      <c r="N1679" t="s">
        <v>3122</v>
      </c>
      <c r="O1679" t="s">
        <v>32</v>
      </c>
      <c r="P1679" t="s">
        <v>3804</v>
      </c>
      <c r="Q1679">
        <v>90</v>
      </c>
      <c r="R1679">
        <v>90</v>
      </c>
      <c r="S1679" t="s">
        <v>34</v>
      </c>
      <c r="T1679" t="s">
        <v>35</v>
      </c>
      <c r="U1679" t="s">
        <v>44</v>
      </c>
      <c r="W1679">
        <v>90</v>
      </c>
      <c r="X1679">
        <v>90</v>
      </c>
      <c r="Y1679">
        <v>0</v>
      </c>
      <c r="Z1679">
        <v>0</v>
      </c>
    </row>
    <row r="1680" spans="1:26" hidden="1" x14ac:dyDescent="0.25">
      <c r="A1680" t="s">
        <v>3805</v>
      </c>
      <c r="B1680" t="s">
        <v>2338</v>
      </c>
      <c r="C1680" s="4">
        <v>44818</v>
      </c>
      <c r="F1680" s="4">
        <v>45962</v>
      </c>
      <c r="G1680" t="s">
        <v>907</v>
      </c>
      <c r="H1680" t="s">
        <v>1357</v>
      </c>
      <c r="K1680" t="s">
        <v>53</v>
      </c>
      <c r="L1680" t="s">
        <v>3121</v>
      </c>
      <c r="M1680" t="s">
        <v>54</v>
      </c>
      <c r="N1680" t="s">
        <v>3122</v>
      </c>
      <c r="O1680" t="s">
        <v>32</v>
      </c>
      <c r="P1680" t="s">
        <v>3806</v>
      </c>
      <c r="Q1680">
        <v>200</v>
      </c>
      <c r="R1680">
        <v>200</v>
      </c>
      <c r="S1680" t="s">
        <v>34</v>
      </c>
      <c r="T1680" t="s">
        <v>35</v>
      </c>
      <c r="U1680" t="s">
        <v>44</v>
      </c>
      <c r="V1680" s="4">
        <v>46664</v>
      </c>
      <c r="W1680">
        <v>200</v>
      </c>
      <c r="X1680">
        <v>200</v>
      </c>
      <c r="Y1680">
        <v>0</v>
      </c>
      <c r="Z1680">
        <v>0</v>
      </c>
    </row>
    <row r="1681" spans="1:26" hidden="1" x14ac:dyDescent="0.25">
      <c r="A1681" t="s">
        <v>3807</v>
      </c>
      <c r="B1681" t="s">
        <v>2338</v>
      </c>
      <c r="C1681" s="4">
        <v>44818</v>
      </c>
      <c r="F1681" s="4">
        <v>45962</v>
      </c>
      <c r="G1681" t="s">
        <v>907</v>
      </c>
      <c r="H1681" t="s">
        <v>1333</v>
      </c>
      <c r="K1681" t="s">
        <v>53</v>
      </c>
      <c r="L1681" t="s">
        <v>3121</v>
      </c>
      <c r="M1681" t="s">
        <v>54</v>
      </c>
      <c r="N1681" t="s">
        <v>3122</v>
      </c>
      <c r="O1681" t="s">
        <v>32</v>
      </c>
      <c r="P1681" t="s">
        <v>3808</v>
      </c>
      <c r="Q1681">
        <v>195</v>
      </c>
      <c r="R1681">
        <v>195</v>
      </c>
      <c r="S1681" t="s">
        <v>34</v>
      </c>
      <c r="T1681" t="s">
        <v>35</v>
      </c>
      <c r="U1681" t="s">
        <v>44</v>
      </c>
      <c r="W1681">
        <v>195</v>
      </c>
      <c r="X1681">
        <v>195</v>
      </c>
      <c r="Y1681">
        <v>0</v>
      </c>
      <c r="Z1681">
        <v>0</v>
      </c>
    </row>
    <row r="1682" spans="1:26" hidden="1" x14ac:dyDescent="0.25">
      <c r="A1682" t="s">
        <v>3809</v>
      </c>
      <c r="B1682" t="s">
        <v>2338</v>
      </c>
      <c r="C1682" s="4">
        <v>44818</v>
      </c>
      <c r="F1682" s="4">
        <v>45962</v>
      </c>
      <c r="G1682" t="s">
        <v>1278</v>
      </c>
      <c r="H1682" t="s">
        <v>3810</v>
      </c>
      <c r="K1682" t="s">
        <v>53</v>
      </c>
      <c r="L1682" t="s">
        <v>3121</v>
      </c>
      <c r="M1682" t="s">
        <v>30</v>
      </c>
      <c r="N1682" t="s">
        <v>3122</v>
      </c>
      <c r="O1682" t="s">
        <v>32</v>
      </c>
      <c r="P1682" t="s">
        <v>3811</v>
      </c>
      <c r="Q1682">
        <v>150</v>
      </c>
      <c r="R1682">
        <v>150</v>
      </c>
      <c r="S1682" t="s">
        <v>34</v>
      </c>
      <c r="T1682" t="s">
        <v>35</v>
      </c>
      <c r="U1682" t="s">
        <v>44</v>
      </c>
      <c r="W1682">
        <v>150</v>
      </c>
      <c r="X1682">
        <v>150</v>
      </c>
      <c r="Y1682">
        <v>0</v>
      </c>
      <c r="Z1682">
        <v>0</v>
      </c>
    </row>
    <row r="1683" spans="1:26" hidden="1" x14ac:dyDescent="0.25">
      <c r="A1683" t="s">
        <v>3812</v>
      </c>
      <c r="B1683" t="s">
        <v>2153</v>
      </c>
      <c r="C1683" s="4">
        <v>44818</v>
      </c>
      <c r="F1683" s="4">
        <v>46492</v>
      </c>
      <c r="G1683" t="s">
        <v>907</v>
      </c>
      <c r="H1683" t="s">
        <v>1396</v>
      </c>
      <c r="K1683" t="s">
        <v>53</v>
      </c>
      <c r="L1683" t="s">
        <v>3121</v>
      </c>
      <c r="M1683" t="s">
        <v>54</v>
      </c>
      <c r="N1683" t="s">
        <v>3122</v>
      </c>
      <c r="O1683" t="s">
        <v>32</v>
      </c>
      <c r="P1683" t="s">
        <v>3813</v>
      </c>
      <c r="Q1683">
        <v>100</v>
      </c>
      <c r="R1683">
        <v>100</v>
      </c>
      <c r="S1683" t="s">
        <v>34</v>
      </c>
      <c r="T1683" t="s">
        <v>35</v>
      </c>
      <c r="U1683" t="s">
        <v>44</v>
      </c>
      <c r="W1683">
        <v>100</v>
      </c>
      <c r="X1683">
        <v>100</v>
      </c>
      <c r="Y1683">
        <v>0</v>
      </c>
      <c r="Z1683">
        <v>0</v>
      </c>
    </row>
    <row r="1684" spans="1:26" hidden="1" x14ac:dyDescent="0.25">
      <c r="A1684" t="s">
        <v>3814</v>
      </c>
      <c r="B1684" t="s">
        <v>38</v>
      </c>
      <c r="C1684" s="4">
        <v>44819</v>
      </c>
      <c r="D1684" s="4">
        <v>45009</v>
      </c>
      <c r="F1684" s="4">
        <v>46315</v>
      </c>
      <c r="G1684" t="s">
        <v>65</v>
      </c>
      <c r="H1684" t="s">
        <v>3815</v>
      </c>
      <c r="K1684" t="s">
        <v>109</v>
      </c>
      <c r="L1684" t="s">
        <v>3121</v>
      </c>
      <c r="M1684" t="s">
        <v>68</v>
      </c>
      <c r="N1684" t="s">
        <v>3122</v>
      </c>
      <c r="O1684" t="s">
        <v>32</v>
      </c>
      <c r="P1684" t="s">
        <v>3816</v>
      </c>
      <c r="Q1684">
        <v>150</v>
      </c>
      <c r="R1684">
        <v>150</v>
      </c>
      <c r="S1684" t="s">
        <v>34</v>
      </c>
      <c r="T1684" t="s">
        <v>35</v>
      </c>
      <c r="U1684" t="s">
        <v>44</v>
      </c>
      <c r="W1684">
        <v>0</v>
      </c>
      <c r="X1684">
        <v>0</v>
      </c>
      <c r="Y1684">
        <v>0</v>
      </c>
      <c r="Z1684">
        <v>0</v>
      </c>
    </row>
    <row r="1685" spans="1:26" hidden="1" x14ac:dyDescent="0.25">
      <c r="A1685" t="s">
        <v>3817</v>
      </c>
      <c r="B1685" t="s">
        <v>38</v>
      </c>
      <c r="C1685" s="4">
        <v>44817</v>
      </c>
      <c r="D1685" s="4">
        <v>45009</v>
      </c>
      <c r="F1685" s="4">
        <v>46630</v>
      </c>
      <c r="G1685" t="s">
        <v>65</v>
      </c>
      <c r="H1685" t="s">
        <v>1645</v>
      </c>
      <c r="K1685" t="s">
        <v>67</v>
      </c>
      <c r="L1685" t="s">
        <v>3121</v>
      </c>
      <c r="M1685" t="s">
        <v>68</v>
      </c>
      <c r="N1685" t="s">
        <v>3122</v>
      </c>
      <c r="O1685" t="s">
        <v>32</v>
      </c>
      <c r="P1685" t="s">
        <v>3818</v>
      </c>
      <c r="Q1685">
        <v>170</v>
      </c>
      <c r="R1685">
        <v>170</v>
      </c>
      <c r="S1685" t="s">
        <v>34</v>
      </c>
      <c r="T1685" t="s">
        <v>35</v>
      </c>
      <c r="U1685" t="s">
        <v>44</v>
      </c>
      <c r="W1685">
        <v>0</v>
      </c>
      <c r="X1685">
        <v>0</v>
      </c>
      <c r="Y1685">
        <v>0</v>
      </c>
      <c r="Z1685">
        <v>0</v>
      </c>
    </row>
    <row r="1686" spans="1:26" hidden="1" x14ac:dyDescent="0.25">
      <c r="A1686" t="s">
        <v>3819</v>
      </c>
      <c r="B1686" t="s">
        <v>38</v>
      </c>
      <c r="C1686" s="4">
        <v>44819</v>
      </c>
      <c r="D1686" s="4">
        <v>44987</v>
      </c>
      <c r="F1686" s="4">
        <v>45961</v>
      </c>
      <c r="G1686" t="s">
        <v>65</v>
      </c>
      <c r="H1686" t="s">
        <v>1437</v>
      </c>
      <c r="K1686" t="s">
        <v>67</v>
      </c>
      <c r="L1686" t="s">
        <v>3121</v>
      </c>
      <c r="M1686" t="s">
        <v>68</v>
      </c>
      <c r="N1686" t="s">
        <v>3122</v>
      </c>
      <c r="O1686" t="s">
        <v>32</v>
      </c>
      <c r="P1686" t="s">
        <v>3820</v>
      </c>
      <c r="Q1686">
        <v>500</v>
      </c>
      <c r="R1686">
        <v>500</v>
      </c>
      <c r="S1686" t="s">
        <v>34</v>
      </c>
      <c r="T1686" t="s">
        <v>35</v>
      </c>
      <c r="U1686" t="s">
        <v>44</v>
      </c>
      <c r="W1686">
        <v>0</v>
      </c>
      <c r="X1686">
        <v>0</v>
      </c>
      <c r="Y1686">
        <v>0</v>
      </c>
      <c r="Z1686">
        <v>0</v>
      </c>
    </row>
    <row r="1687" spans="1:26" hidden="1" x14ac:dyDescent="0.25">
      <c r="A1687" t="s">
        <v>3821</v>
      </c>
      <c r="B1687" t="s">
        <v>38</v>
      </c>
      <c r="C1687" s="4">
        <v>44818</v>
      </c>
      <c r="D1687" s="4">
        <v>45869</v>
      </c>
      <c r="F1687" s="4">
        <v>46023</v>
      </c>
      <c r="G1687" t="s">
        <v>149</v>
      </c>
      <c r="H1687" t="s">
        <v>2168</v>
      </c>
      <c r="K1687" t="s">
        <v>151</v>
      </c>
      <c r="L1687" t="s">
        <v>3121</v>
      </c>
      <c r="M1687" t="s">
        <v>68</v>
      </c>
      <c r="N1687" t="s">
        <v>3122</v>
      </c>
      <c r="O1687" t="s">
        <v>32</v>
      </c>
      <c r="P1687" t="s">
        <v>3822</v>
      </c>
      <c r="Q1687">
        <v>120</v>
      </c>
      <c r="R1687">
        <v>120</v>
      </c>
      <c r="S1687" t="s">
        <v>34</v>
      </c>
      <c r="T1687" t="s">
        <v>35</v>
      </c>
      <c r="U1687" t="s">
        <v>44</v>
      </c>
      <c r="W1687">
        <v>0</v>
      </c>
      <c r="X1687">
        <v>0</v>
      </c>
      <c r="Y1687">
        <v>0</v>
      </c>
      <c r="Z1687">
        <v>0</v>
      </c>
    </row>
    <row r="1688" spans="1:26" hidden="1" x14ac:dyDescent="0.25">
      <c r="A1688" t="s">
        <v>3823</v>
      </c>
      <c r="B1688" t="s">
        <v>2338</v>
      </c>
      <c r="C1688" s="4">
        <v>44812</v>
      </c>
      <c r="F1688" s="4">
        <v>45658</v>
      </c>
      <c r="G1688" t="s">
        <v>907</v>
      </c>
      <c r="H1688" t="s">
        <v>1333</v>
      </c>
      <c r="K1688" t="s">
        <v>53</v>
      </c>
      <c r="L1688" t="s">
        <v>3121</v>
      </c>
      <c r="M1688" t="s">
        <v>54</v>
      </c>
      <c r="N1688" t="s">
        <v>3122</v>
      </c>
      <c r="O1688" t="s">
        <v>32</v>
      </c>
      <c r="P1688" t="s">
        <v>3824</v>
      </c>
      <c r="Q1688">
        <v>140</v>
      </c>
      <c r="R1688">
        <v>140</v>
      </c>
      <c r="S1688" t="s">
        <v>159</v>
      </c>
      <c r="T1688" t="s">
        <v>159</v>
      </c>
      <c r="U1688" t="s">
        <v>44</v>
      </c>
      <c r="W1688">
        <v>140</v>
      </c>
      <c r="X1688">
        <v>140</v>
      </c>
      <c r="Y1688">
        <v>0</v>
      </c>
      <c r="Z1688">
        <v>0</v>
      </c>
    </row>
    <row r="1689" spans="1:26" hidden="1" x14ac:dyDescent="0.25">
      <c r="A1689" t="s">
        <v>3825</v>
      </c>
      <c r="B1689" t="s">
        <v>2153</v>
      </c>
      <c r="C1689" s="4">
        <v>45890</v>
      </c>
      <c r="F1689" s="4">
        <v>46023</v>
      </c>
      <c r="G1689" t="s">
        <v>1753</v>
      </c>
      <c r="H1689" t="s">
        <v>3826</v>
      </c>
      <c r="K1689" t="s">
        <v>114</v>
      </c>
      <c r="L1689" t="s">
        <v>3121</v>
      </c>
      <c r="M1689" t="s">
        <v>68</v>
      </c>
      <c r="N1689" t="s">
        <v>3122</v>
      </c>
      <c r="O1689" t="s">
        <v>122</v>
      </c>
      <c r="P1689" t="s">
        <v>3827</v>
      </c>
      <c r="Q1689">
        <v>120</v>
      </c>
      <c r="R1689">
        <v>120</v>
      </c>
      <c r="S1689" t="s">
        <v>34</v>
      </c>
      <c r="T1689" t="s">
        <v>35</v>
      </c>
      <c r="U1689" t="s">
        <v>44</v>
      </c>
      <c r="W1689">
        <v>120</v>
      </c>
      <c r="X1689">
        <v>0</v>
      </c>
      <c r="Y1689">
        <v>0</v>
      </c>
      <c r="Z1689">
        <v>0</v>
      </c>
    </row>
    <row r="1690" spans="1:26" hidden="1" x14ac:dyDescent="0.25">
      <c r="A1690" t="s">
        <v>3828</v>
      </c>
      <c r="B1690" t="s">
        <v>2153</v>
      </c>
      <c r="C1690" s="4">
        <v>44819</v>
      </c>
      <c r="F1690" s="4">
        <v>47026</v>
      </c>
      <c r="G1690" t="s">
        <v>1368</v>
      </c>
      <c r="H1690" t="s">
        <v>2329</v>
      </c>
      <c r="K1690" t="s">
        <v>209</v>
      </c>
      <c r="L1690" t="s">
        <v>3121</v>
      </c>
      <c r="M1690" t="s">
        <v>42</v>
      </c>
      <c r="N1690" t="s">
        <v>3122</v>
      </c>
      <c r="O1690" t="s">
        <v>32</v>
      </c>
      <c r="P1690" t="s">
        <v>3829</v>
      </c>
      <c r="Q1690">
        <v>150</v>
      </c>
      <c r="R1690">
        <v>150</v>
      </c>
      <c r="S1690" t="s">
        <v>56</v>
      </c>
      <c r="T1690" t="s">
        <v>57</v>
      </c>
      <c r="U1690" t="s">
        <v>44</v>
      </c>
      <c r="W1690">
        <v>150</v>
      </c>
      <c r="X1690">
        <v>150</v>
      </c>
      <c r="Y1690">
        <v>0</v>
      </c>
      <c r="Z1690">
        <v>0</v>
      </c>
    </row>
    <row r="1691" spans="1:26" hidden="1" x14ac:dyDescent="0.25">
      <c r="A1691" t="s">
        <v>3830</v>
      </c>
      <c r="B1691" t="s">
        <v>38</v>
      </c>
      <c r="C1691" s="4">
        <v>44819</v>
      </c>
      <c r="D1691" s="4">
        <v>45957</v>
      </c>
      <c r="F1691" s="4">
        <v>46295</v>
      </c>
      <c r="G1691" t="s">
        <v>1257</v>
      </c>
      <c r="H1691" t="s">
        <v>1668</v>
      </c>
      <c r="K1691" t="s">
        <v>98</v>
      </c>
      <c r="L1691" t="s">
        <v>3121</v>
      </c>
      <c r="M1691" t="s">
        <v>84</v>
      </c>
      <c r="N1691" t="s">
        <v>2160</v>
      </c>
      <c r="O1691" t="s">
        <v>32</v>
      </c>
      <c r="P1691" t="s">
        <v>3831</v>
      </c>
      <c r="Q1691">
        <v>300</v>
      </c>
      <c r="R1691">
        <v>300</v>
      </c>
      <c r="S1691" t="s">
        <v>597</v>
      </c>
      <c r="T1691" t="s">
        <v>598</v>
      </c>
      <c r="U1691" t="s">
        <v>44</v>
      </c>
      <c r="W1691">
        <v>0</v>
      </c>
      <c r="X1691">
        <v>0</v>
      </c>
      <c r="Y1691">
        <v>0</v>
      </c>
      <c r="Z1691">
        <v>0</v>
      </c>
    </row>
    <row r="1692" spans="1:26" hidden="1" x14ac:dyDescent="0.25">
      <c r="A1692" t="s">
        <v>3832</v>
      </c>
      <c r="B1692" t="s">
        <v>38</v>
      </c>
      <c r="C1692" s="4">
        <v>44819</v>
      </c>
      <c r="D1692" s="4">
        <v>45869</v>
      </c>
      <c r="F1692" s="4">
        <v>46168</v>
      </c>
      <c r="G1692" t="s">
        <v>149</v>
      </c>
      <c r="H1692" t="s">
        <v>1691</v>
      </c>
      <c r="K1692" t="s">
        <v>151</v>
      </c>
      <c r="L1692" t="s">
        <v>3121</v>
      </c>
      <c r="M1692" t="s">
        <v>68</v>
      </c>
      <c r="N1692" t="s">
        <v>3122</v>
      </c>
      <c r="O1692" t="s">
        <v>32</v>
      </c>
      <c r="P1692" t="s">
        <v>3833</v>
      </c>
      <c r="Q1692">
        <v>130</v>
      </c>
      <c r="R1692">
        <v>130</v>
      </c>
      <c r="S1692" t="s">
        <v>597</v>
      </c>
      <c r="T1692" t="s">
        <v>598</v>
      </c>
      <c r="U1692" t="s">
        <v>44</v>
      </c>
      <c r="W1692">
        <v>0</v>
      </c>
      <c r="X1692">
        <v>0</v>
      </c>
      <c r="Y1692">
        <v>0</v>
      </c>
      <c r="Z1692">
        <v>0</v>
      </c>
    </row>
    <row r="1693" spans="1:26" hidden="1" x14ac:dyDescent="0.25">
      <c r="A1693" t="s">
        <v>3834</v>
      </c>
      <c r="B1693" t="s">
        <v>2153</v>
      </c>
      <c r="C1693" s="4">
        <v>45869</v>
      </c>
      <c r="F1693" s="4">
        <v>46168</v>
      </c>
      <c r="G1693" t="s">
        <v>1749</v>
      </c>
      <c r="H1693" t="s">
        <v>1962</v>
      </c>
      <c r="K1693" t="s">
        <v>151</v>
      </c>
      <c r="L1693" t="s">
        <v>3121</v>
      </c>
      <c r="M1693" t="s">
        <v>68</v>
      </c>
      <c r="N1693" t="s">
        <v>3122</v>
      </c>
      <c r="O1693" t="s">
        <v>32</v>
      </c>
      <c r="P1693" t="s">
        <v>3835</v>
      </c>
      <c r="Q1693">
        <v>180</v>
      </c>
      <c r="R1693">
        <v>180</v>
      </c>
      <c r="S1693" t="s">
        <v>597</v>
      </c>
      <c r="T1693" t="s">
        <v>598</v>
      </c>
      <c r="U1693" t="s">
        <v>44</v>
      </c>
      <c r="W1693">
        <v>180</v>
      </c>
      <c r="X1693">
        <v>0</v>
      </c>
      <c r="Y1693">
        <v>0</v>
      </c>
      <c r="Z1693">
        <v>0</v>
      </c>
    </row>
    <row r="1694" spans="1:26" hidden="1" x14ac:dyDescent="0.25">
      <c r="A1694" t="s">
        <v>3836</v>
      </c>
      <c r="B1694" t="s">
        <v>2153</v>
      </c>
      <c r="C1694" s="4">
        <v>44819</v>
      </c>
      <c r="F1694" s="4">
        <v>46492</v>
      </c>
      <c r="H1694" t="s">
        <v>1302</v>
      </c>
      <c r="K1694" t="s">
        <v>83</v>
      </c>
      <c r="L1694" t="s">
        <v>3121</v>
      </c>
      <c r="M1694" t="s">
        <v>84</v>
      </c>
      <c r="N1694" t="s">
        <v>2160</v>
      </c>
      <c r="O1694" t="s">
        <v>32</v>
      </c>
      <c r="P1694" t="s">
        <v>1345</v>
      </c>
      <c r="Q1694">
        <v>500</v>
      </c>
      <c r="R1694">
        <v>500</v>
      </c>
      <c r="S1694" t="s">
        <v>597</v>
      </c>
      <c r="T1694" t="s">
        <v>2552</v>
      </c>
      <c r="U1694" t="s">
        <v>44</v>
      </c>
      <c r="W1694">
        <v>500</v>
      </c>
      <c r="X1694">
        <v>500</v>
      </c>
      <c r="Y1694">
        <v>0</v>
      </c>
      <c r="Z1694">
        <v>0</v>
      </c>
    </row>
    <row r="1695" spans="1:26" hidden="1" x14ac:dyDescent="0.25">
      <c r="A1695" t="s">
        <v>3837</v>
      </c>
      <c r="B1695" t="s">
        <v>2153</v>
      </c>
      <c r="C1695" s="4">
        <v>44819</v>
      </c>
      <c r="F1695" s="4">
        <v>46492</v>
      </c>
      <c r="G1695" t="s">
        <v>1251</v>
      </c>
      <c r="H1695" t="s">
        <v>1341</v>
      </c>
      <c r="K1695" t="s">
        <v>109</v>
      </c>
      <c r="L1695" t="s">
        <v>3121</v>
      </c>
      <c r="M1695" t="s">
        <v>84</v>
      </c>
      <c r="N1695" t="s">
        <v>2160</v>
      </c>
      <c r="O1695" t="s">
        <v>122</v>
      </c>
      <c r="P1695" t="s">
        <v>3838</v>
      </c>
      <c r="Q1695">
        <v>250</v>
      </c>
      <c r="R1695">
        <v>250</v>
      </c>
      <c r="S1695" t="s">
        <v>597</v>
      </c>
      <c r="T1695" t="s">
        <v>1077</v>
      </c>
      <c r="U1695" t="s">
        <v>44</v>
      </c>
      <c r="W1695">
        <v>250</v>
      </c>
      <c r="X1695">
        <v>0</v>
      </c>
      <c r="Y1695">
        <v>0</v>
      </c>
      <c r="Z1695">
        <v>0</v>
      </c>
    </row>
    <row r="1696" spans="1:26" hidden="1" x14ac:dyDescent="0.25">
      <c r="A1696" t="s">
        <v>3839</v>
      </c>
      <c r="B1696" t="s">
        <v>38</v>
      </c>
      <c r="C1696" s="4">
        <v>44818</v>
      </c>
      <c r="D1696" s="4">
        <v>45869</v>
      </c>
      <c r="F1696" s="4">
        <v>47028</v>
      </c>
      <c r="G1696" t="s">
        <v>1311</v>
      </c>
      <c r="H1696" t="s">
        <v>3631</v>
      </c>
      <c r="K1696" t="s">
        <v>114</v>
      </c>
      <c r="L1696" t="s">
        <v>3121</v>
      </c>
      <c r="M1696" t="s">
        <v>68</v>
      </c>
      <c r="N1696" t="s">
        <v>3122</v>
      </c>
      <c r="O1696" t="s">
        <v>251</v>
      </c>
      <c r="P1696" t="s">
        <v>3632</v>
      </c>
      <c r="Q1696">
        <v>500</v>
      </c>
      <c r="R1696">
        <v>500</v>
      </c>
      <c r="S1696" t="s">
        <v>3633</v>
      </c>
      <c r="T1696" t="s">
        <v>1077</v>
      </c>
      <c r="U1696" t="s">
        <v>44</v>
      </c>
      <c r="W1696">
        <v>0</v>
      </c>
      <c r="X1696">
        <v>0</v>
      </c>
      <c r="Y1696">
        <v>0</v>
      </c>
      <c r="Z1696">
        <v>0</v>
      </c>
    </row>
    <row r="1697" spans="1:26" hidden="1" x14ac:dyDescent="0.25">
      <c r="A1697" t="s">
        <v>3840</v>
      </c>
      <c r="B1697" t="s">
        <v>2153</v>
      </c>
      <c r="C1697" s="4">
        <v>44818</v>
      </c>
      <c r="F1697" s="4">
        <v>46492</v>
      </c>
      <c r="H1697" t="s">
        <v>1424</v>
      </c>
      <c r="K1697" t="s">
        <v>146</v>
      </c>
      <c r="L1697" t="s">
        <v>3121</v>
      </c>
      <c r="M1697" t="s">
        <v>68</v>
      </c>
      <c r="N1697" t="s">
        <v>3122</v>
      </c>
      <c r="O1697" t="s">
        <v>32</v>
      </c>
      <c r="P1697" t="s">
        <v>3841</v>
      </c>
      <c r="Q1697">
        <v>105</v>
      </c>
      <c r="R1697">
        <v>105</v>
      </c>
      <c r="S1697" t="s">
        <v>34</v>
      </c>
      <c r="T1697" t="s">
        <v>35</v>
      </c>
      <c r="U1697" t="s">
        <v>44</v>
      </c>
      <c r="W1697">
        <v>105</v>
      </c>
      <c r="X1697">
        <v>0</v>
      </c>
      <c r="Y1697">
        <v>0</v>
      </c>
      <c r="Z1697">
        <v>0</v>
      </c>
    </row>
    <row r="1698" spans="1:26" hidden="1" x14ac:dyDescent="0.25">
      <c r="A1698" t="s">
        <v>3842</v>
      </c>
      <c r="B1698" t="s">
        <v>2153</v>
      </c>
      <c r="C1698" s="4">
        <v>44819</v>
      </c>
      <c r="F1698" s="4">
        <v>46492</v>
      </c>
      <c r="H1698" t="s">
        <v>3392</v>
      </c>
      <c r="K1698" t="s">
        <v>83</v>
      </c>
      <c r="L1698" t="s">
        <v>3121</v>
      </c>
      <c r="M1698" t="s">
        <v>84</v>
      </c>
      <c r="N1698" t="s">
        <v>2160</v>
      </c>
      <c r="O1698" t="s">
        <v>32</v>
      </c>
      <c r="P1698" t="s">
        <v>3843</v>
      </c>
      <c r="Q1698">
        <v>500</v>
      </c>
      <c r="R1698">
        <v>500</v>
      </c>
      <c r="S1698" t="s">
        <v>597</v>
      </c>
      <c r="T1698" t="s">
        <v>1077</v>
      </c>
      <c r="U1698" t="s">
        <v>44</v>
      </c>
      <c r="W1698">
        <v>500</v>
      </c>
      <c r="X1698">
        <v>500</v>
      </c>
      <c r="Y1698">
        <v>0</v>
      </c>
      <c r="Z1698">
        <v>0</v>
      </c>
    </row>
    <row r="1699" spans="1:26" hidden="1" x14ac:dyDescent="0.25">
      <c r="A1699" t="s">
        <v>3844</v>
      </c>
      <c r="B1699" t="s">
        <v>38</v>
      </c>
      <c r="C1699" s="4">
        <v>44818</v>
      </c>
      <c r="D1699" s="4">
        <v>45957</v>
      </c>
      <c r="F1699" s="4">
        <v>46492</v>
      </c>
      <c r="G1699" t="s">
        <v>101</v>
      </c>
      <c r="H1699" t="s">
        <v>1369</v>
      </c>
      <c r="K1699" t="s">
        <v>98</v>
      </c>
      <c r="L1699" t="s">
        <v>3121</v>
      </c>
      <c r="M1699" t="s">
        <v>84</v>
      </c>
      <c r="N1699" t="s">
        <v>2160</v>
      </c>
      <c r="O1699" t="s">
        <v>32</v>
      </c>
      <c r="P1699" t="s">
        <v>1345</v>
      </c>
      <c r="Q1699">
        <v>234</v>
      </c>
      <c r="R1699">
        <v>234</v>
      </c>
      <c r="S1699" t="s">
        <v>34</v>
      </c>
      <c r="T1699" t="s">
        <v>35</v>
      </c>
      <c r="U1699" t="s">
        <v>44</v>
      </c>
      <c r="W1699">
        <v>0</v>
      </c>
      <c r="X1699">
        <v>0</v>
      </c>
      <c r="Y1699">
        <v>0</v>
      </c>
      <c r="Z1699">
        <v>0</v>
      </c>
    </row>
    <row r="1700" spans="1:26" hidden="1" x14ac:dyDescent="0.25">
      <c r="A1700" t="s">
        <v>3845</v>
      </c>
      <c r="B1700" t="s">
        <v>2153</v>
      </c>
      <c r="C1700" s="4">
        <v>44819</v>
      </c>
      <c r="F1700" s="4">
        <v>46492</v>
      </c>
      <c r="G1700" t="s">
        <v>3846</v>
      </c>
      <c r="H1700" t="s">
        <v>1327</v>
      </c>
      <c r="K1700" t="s">
        <v>67</v>
      </c>
      <c r="L1700" t="s">
        <v>3121</v>
      </c>
      <c r="M1700" t="s">
        <v>68</v>
      </c>
      <c r="N1700" t="s">
        <v>3122</v>
      </c>
      <c r="O1700" t="s">
        <v>32</v>
      </c>
      <c r="P1700" t="s">
        <v>2189</v>
      </c>
      <c r="Q1700">
        <v>500</v>
      </c>
      <c r="R1700">
        <v>500</v>
      </c>
      <c r="S1700" t="s">
        <v>34</v>
      </c>
      <c r="T1700" t="s">
        <v>35</v>
      </c>
      <c r="U1700" t="s">
        <v>44</v>
      </c>
      <c r="W1700">
        <v>500</v>
      </c>
      <c r="X1700">
        <v>500</v>
      </c>
      <c r="Y1700">
        <v>0</v>
      </c>
      <c r="Z1700">
        <v>0</v>
      </c>
    </row>
    <row r="1701" spans="1:26" hidden="1" x14ac:dyDescent="0.25">
      <c r="A1701" t="s">
        <v>3847</v>
      </c>
      <c r="B1701" t="s">
        <v>38</v>
      </c>
      <c r="C1701" s="4">
        <v>44819</v>
      </c>
      <c r="D1701" s="4">
        <v>45957</v>
      </c>
      <c r="F1701" s="4">
        <v>46492</v>
      </c>
      <c r="G1701" t="s">
        <v>117</v>
      </c>
      <c r="H1701" t="s">
        <v>1333</v>
      </c>
      <c r="K1701" t="s">
        <v>83</v>
      </c>
      <c r="L1701" t="s">
        <v>3121</v>
      </c>
      <c r="M1701" t="s">
        <v>84</v>
      </c>
      <c r="N1701" t="s">
        <v>2160</v>
      </c>
      <c r="O1701" t="s">
        <v>32</v>
      </c>
      <c r="P1701" t="s">
        <v>3848</v>
      </c>
      <c r="Q1701">
        <v>500</v>
      </c>
      <c r="R1701">
        <v>500</v>
      </c>
      <c r="S1701" t="s">
        <v>597</v>
      </c>
      <c r="T1701" t="s">
        <v>1077</v>
      </c>
      <c r="U1701" t="s">
        <v>44</v>
      </c>
      <c r="W1701">
        <v>0</v>
      </c>
      <c r="X1701">
        <v>0</v>
      </c>
      <c r="Y1701">
        <v>0</v>
      </c>
      <c r="Z1701">
        <v>0</v>
      </c>
    </row>
    <row r="1702" spans="1:26" hidden="1" x14ac:dyDescent="0.25">
      <c r="A1702" t="s">
        <v>3849</v>
      </c>
      <c r="B1702" t="s">
        <v>38</v>
      </c>
      <c r="C1702" s="4">
        <v>44818</v>
      </c>
      <c r="D1702" s="4">
        <v>45869</v>
      </c>
      <c r="F1702" s="4">
        <v>47028</v>
      </c>
      <c r="G1702" t="s">
        <v>1311</v>
      </c>
      <c r="H1702" t="s">
        <v>3631</v>
      </c>
      <c r="K1702" t="s">
        <v>114</v>
      </c>
      <c r="L1702" t="s">
        <v>3121</v>
      </c>
      <c r="M1702" t="s">
        <v>68</v>
      </c>
      <c r="N1702" t="s">
        <v>3122</v>
      </c>
      <c r="O1702" t="s">
        <v>251</v>
      </c>
      <c r="P1702" t="s">
        <v>3632</v>
      </c>
      <c r="Q1702">
        <v>500</v>
      </c>
      <c r="R1702">
        <v>500</v>
      </c>
      <c r="S1702" t="s">
        <v>3633</v>
      </c>
      <c r="T1702" t="s">
        <v>57</v>
      </c>
      <c r="U1702" t="s">
        <v>44</v>
      </c>
      <c r="W1702">
        <v>0</v>
      </c>
      <c r="X1702">
        <v>0</v>
      </c>
      <c r="Y1702">
        <v>0</v>
      </c>
      <c r="Z1702">
        <v>0</v>
      </c>
    </row>
    <row r="1703" spans="1:26" hidden="1" x14ac:dyDescent="0.25">
      <c r="A1703" t="s">
        <v>3850</v>
      </c>
      <c r="B1703" t="s">
        <v>38</v>
      </c>
      <c r="C1703" s="4">
        <v>44818</v>
      </c>
      <c r="D1703" s="4">
        <v>45869</v>
      </c>
      <c r="F1703" s="4">
        <v>46492</v>
      </c>
      <c r="G1703" t="s">
        <v>144</v>
      </c>
      <c r="H1703" t="s">
        <v>3851</v>
      </c>
      <c r="K1703" t="s">
        <v>146</v>
      </c>
      <c r="L1703" t="s">
        <v>3121</v>
      </c>
      <c r="M1703" t="s">
        <v>68</v>
      </c>
      <c r="N1703" t="s">
        <v>3122</v>
      </c>
      <c r="O1703" t="s">
        <v>32</v>
      </c>
      <c r="P1703" t="s">
        <v>3852</v>
      </c>
      <c r="Q1703">
        <v>58.1</v>
      </c>
      <c r="R1703">
        <v>58.1</v>
      </c>
      <c r="S1703" t="s">
        <v>34</v>
      </c>
      <c r="T1703" t="s">
        <v>35</v>
      </c>
      <c r="U1703" t="s">
        <v>44</v>
      </c>
      <c r="W1703">
        <v>0</v>
      </c>
      <c r="X1703">
        <v>0</v>
      </c>
      <c r="Y1703">
        <v>0</v>
      </c>
      <c r="Z1703">
        <v>0</v>
      </c>
    </row>
    <row r="1704" spans="1:26" hidden="1" x14ac:dyDescent="0.25">
      <c r="A1704" t="s">
        <v>3853</v>
      </c>
      <c r="B1704" t="s">
        <v>38</v>
      </c>
      <c r="C1704" s="4">
        <v>44818</v>
      </c>
      <c r="D1704" s="4">
        <v>45869</v>
      </c>
      <c r="F1704" s="4">
        <v>46492</v>
      </c>
      <c r="G1704" t="s">
        <v>144</v>
      </c>
      <c r="H1704" t="s">
        <v>1405</v>
      </c>
      <c r="K1704" t="s">
        <v>146</v>
      </c>
      <c r="L1704" t="s">
        <v>3121</v>
      </c>
      <c r="M1704" t="s">
        <v>68</v>
      </c>
      <c r="N1704" t="s">
        <v>3122</v>
      </c>
      <c r="O1704" t="s">
        <v>32</v>
      </c>
      <c r="P1704" t="s">
        <v>3854</v>
      </c>
      <c r="Q1704">
        <v>170</v>
      </c>
      <c r="R1704">
        <v>170</v>
      </c>
      <c r="S1704" t="s">
        <v>34</v>
      </c>
      <c r="T1704" t="s">
        <v>35</v>
      </c>
      <c r="U1704" t="s">
        <v>44</v>
      </c>
      <c r="W1704">
        <v>0</v>
      </c>
      <c r="X1704">
        <v>0</v>
      </c>
      <c r="Y1704">
        <v>0</v>
      </c>
      <c r="Z1704">
        <v>0</v>
      </c>
    </row>
    <row r="1705" spans="1:26" hidden="1" x14ac:dyDescent="0.25">
      <c r="A1705" t="s">
        <v>3855</v>
      </c>
      <c r="B1705" t="s">
        <v>2153</v>
      </c>
      <c r="C1705" s="4">
        <v>44818</v>
      </c>
      <c r="F1705" s="4">
        <v>46492</v>
      </c>
      <c r="G1705" t="s">
        <v>1408</v>
      </c>
      <c r="H1705" t="s">
        <v>1744</v>
      </c>
      <c r="K1705" t="s">
        <v>146</v>
      </c>
      <c r="L1705" t="s">
        <v>3121</v>
      </c>
      <c r="M1705" t="s">
        <v>68</v>
      </c>
      <c r="N1705" t="s">
        <v>3122</v>
      </c>
      <c r="O1705" t="s">
        <v>32</v>
      </c>
      <c r="P1705" t="s">
        <v>3856</v>
      </c>
      <c r="Q1705">
        <v>100</v>
      </c>
      <c r="R1705">
        <v>100</v>
      </c>
      <c r="S1705" t="s">
        <v>34</v>
      </c>
      <c r="T1705" t="s">
        <v>35</v>
      </c>
      <c r="U1705" t="s">
        <v>44</v>
      </c>
      <c r="W1705">
        <v>100</v>
      </c>
      <c r="X1705">
        <v>0</v>
      </c>
      <c r="Y1705">
        <v>0</v>
      </c>
      <c r="Z1705">
        <v>0</v>
      </c>
    </row>
    <row r="1706" spans="1:26" hidden="1" x14ac:dyDescent="0.25">
      <c r="A1706" t="s">
        <v>3857</v>
      </c>
      <c r="B1706" t="s">
        <v>38</v>
      </c>
      <c r="C1706" s="4">
        <v>44818</v>
      </c>
      <c r="D1706" s="4">
        <v>45957</v>
      </c>
      <c r="F1706" s="4">
        <v>46492</v>
      </c>
      <c r="G1706" t="s">
        <v>132</v>
      </c>
      <c r="H1706" t="s">
        <v>2800</v>
      </c>
      <c r="K1706" t="s">
        <v>83</v>
      </c>
      <c r="L1706" t="s">
        <v>3121</v>
      </c>
      <c r="M1706" t="s">
        <v>84</v>
      </c>
      <c r="N1706" t="s">
        <v>2160</v>
      </c>
      <c r="O1706" t="s">
        <v>32</v>
      </c>
      <c r="P1706" t="s">
        <v>3858</v>
      </c>
      <c r="Q1706">
        <v>100.8</v>
      </c>
      <c r="R1706">
        <v>100.8</v>
      </c>
      <c r="S1706" t="s">
        <v>34</v>
      </c>
      <c r="T1706" t="s">
        <v>35</v>
      </c>
      <c r="U1706" t="s">
        <v>44</v>
      </c>
      <c r="W1706">
        <v>0</v>
      </c>
      <c r="X1706">
        <v>0</v>
      </c>
      <c r="Y1706">
        <v>0</v>
      </c>
      <c r="Z1706">
        <v>0</v>
      </c>
    </row>
    <row r="1707" spans="1:26" hidden="1" x14ac:dyDescent="0.25">
      <c r="A1707" t="s">
        <v>3859</v>
      </c>
      <c r="B1707" t="s">
        <v>38</v>
      </c>
      <c r="C1707" s="4">
        <v>44818</v>
      </c>
      <c r="D1707" s="4">
        <v>45957</v>
      </c>
      <c r="F1707" s="4">
        <v>46492</v>
      </c>
      <c r="G1707" t="s">
        <v>132</v>
      </c>
      <c r="H1707" t="s">
        <v>2878</v>
      </c>
      <c r="K1707" t="s">
        <v>83</v>
      </c>
      <c r="L1707" t="s">
        <v>3121</v>
      </c>
      <c r="M1707" t="s">
        <v>84</v>
      </c>
      <c r="N1707" t="s">
        <v>2160</v>
      </c>
      <c r="O1707" t="s">
        <v>32</v>
      </c>
      <c r="P1707" t="s">
        <v>3860</v>
      </c>
      <c r="Q1707">
        <v>398</v>
      </c>
      <c r="R1707">
        <v>398</v>
      </c>
      <c r="S1707" t="s">
        <v>34</v>
      </c>
      <c r="T1707" t="s">
        <v>35</v>
      </c>
      <c r="U1707" t="s">
        <v>44</v>
      </c>
      <c r="W1707">
        <v>0</v>
      </c>
      <c r="X1707">
        <v>0</v>
      </c>
      <c r="Y1707">
        <v>0</v>
      </c>
      <c r="Z1707">
        <v>0</v>
      </c>
    </row>
    <row r="1708" spans="1:26" hidden="1" x14ac:dyDescent="0.25">
      <c r="A1708" t="s">
        <v>3861</v>
      </c>
      <c r="B1708" t="s">
        <v>2153</v>
      </c>
      <c r="C1708" s="4">
        <v>44818</v>
      </c>
      <c r="F1708" s="4">
        <v>46492</v>
      </c>
      <c r="H1708" t="s">
        <v>1571</v>
      </c>
      <c r="K1708" t="s">
        <v>146</v>
      </c>
      <c r="L1708" t="s">
        <v>3121</v>
      </c>
      <c r="M1708" t="s">
        <v>68</v>
      </c>
      <c r="N1708" t="s">
        <v>3122</v>
      </c>
      <c r="O1708" t="s">
        <v>32</v>
      </c>
      <c r="P1708" t="s">
        <v>3862</v>
      </c>
      <c r="Q1708">
        <v>500</v>
      </c>
      <c r="R1708">
        <v>500</v>
      </c>
      <c r="S1708" t="s">
        <v>34</v>
      </c>
      <c r="T1708" t="s">
        <v>35</v>
      </c>
      <c r="U1708" t="s">
        <v>44</v>
      </c>
      <c r="W1708">
        <v>500</v>
      </c>
      <c r="X1708">
        <v>219</v>
      </c>
      <c r="Y1708">
        <v>0</v>
      </c>
      <c r="Z1708">
        <v>0</v>
      </c>
    </row>
    <row r="1709" spans="1:26" hidden="1" x14ac:dyDescent="0.25">
      <c r="A1709" t="s">
        <v>3863</v>
      </c>
      <c r="B1709" t="s">
        <v>38</v>
      </c>
      <c r="C1709" s="4">
        <v>44819</v>
      </c>
      <c r="D1709" s="4">
        <v>45869</v>
      </c>
      <c r="F1709" s="4">
        <v>46492</v>
      </c>
      <c r="G1709" t="s">
        <v>144</v>
      </c>
      <c r="H1709" t="s">
        <v>3864</v>
      </c>
      <c r="K1709" t="s">
        <v>146</v>
      </c>
      <c r="L1709" t="s">
        <v>3121</v>
      </c>
      <c r="M1709" t="s">
        <v>68</v>
      </c>
      <c r="N1709" t="s">
        <v>3122</v>
      </c>
      <c r="O1709" t="s">
        <v>32</v>
      </c>
      <c r="P1709" t="s">
        <v>3865</v>
      </c>
      <c r="Q1709">
        <v>220</v>
      </c>
      <c r="R1709">
        <v>220</v>
      </c>
      <c r="S1709" t="s">
        <v>34</v>
      </c>
      <c r="T1709" t="s">
        <v>35</v>
      </c>
      <c r="U1709" t="s">
        <v>44</v>
      </c>
      <c r="W1709">
        <v>0</v>
      </c>
      <c r="X1709">
        <v>0</v>
      </c>
      <c r="Y1709">
        <v>0</v>
      </c>
      <c r="Z1709">
        <v>0</v>
      </c>
    </row>
    <row r="1710" spans="1:26" hidden="1" x14ac:dyDescent="0.25">
      <c r="A1710" t="s">
        <v>3866</v>
      </c>
      <c r="B1710" t="s">
        <v>38</v>
      </c>
      <c r="C1710" s="4">
        <v>44818</v>
      </c>
      <c r="D1710" s="4">
        <v>45869</v>
      </c>
      <c r="F1710" s="4">
        <v>46492</v>
      </c>
      <c r="G1710" t="s">
        <v>144</v>
      </c>
      <c r="H1710" t="s">
        <v>1418</v>
      </c>
      <c r="K1710" t="s">
        <v>146</v>
      </c>
      <c r="L1710" t="s">
        <v>3121</v>
      </c>
      <c r="M1710" t="s">
        <v>68</v>
      </c>
      <c r="N1710" t="s">
        <v>3122</v>
      </c>
      <c r="O1710" t="s">
        <v>32</v>
      </c>
      <c r="P1710" t="s">
        <v>3867</v>
      </c>
      <c r="Q1710">
        <v>500</v>
      </c>
      <c r="R1710">
        <v>500</v>
      </c>
      <c r="S1710" t="s">
        <v>34</v>
      </c>
      <c r="T1710" t="s">
        <v>35</v>
      </c>
      <c r="U1710" t="s">
        <v>44</v>
      </c>
      <c r="W1710">
        <v>0</v>
      </c>
      <c r="X1710">
        <v>0</v>
      </c>
      <c r="Y1710">
        <v>0</v>
      </c>
      <c r="Z1710">
        <v>0</v>
      </c>
    </row>
    <row r="1711" spans="1:26" hidden="1" x14ac:dyDescent="0.25">
      <c r="A1711" t="s">
        <v>3868</v>
      </c>
      <c r="B1711" t="s">
        <v>38</v>
      </c>
      <c r="C1711" s="4">
        <v>44819</v>
      </c>
      <c r="D1711" s="4">
        <v>45869</v>
      </c>
      <c r="F1711" s="4">
        <v>46492</v>
      </c>
      <c r="G1711" t="s">
        <v>144</v>
      </c>
      <c r="H1711" t="s">
        <v>3864</v>
      </c>
      <c r="K1711" t="s">
        <v>146</v>
      </c>
      <c r="L1711" t="s">
        <v>3121</v>
      </c>
      <c r="M1711" t="s">
        <v>68</v>
      </c>
      <c r="N1711" t="s">
        <v>3122</v>
      </c>
      <c r="O1711" t="s">
        <v>32</v>
      </c>
      <c r="P1711" t="s">
        <v>3869</v>
      </c>
      <c r="Q1711">
        <v>165</v>
      </c>
      <c r="R1711">
        <v>165</v>
      </c>
      <c r="S1711" t="s">
        <v>34</v>
      </c>
      <c r="T1711" t="s">
        <v>35</v>
      </c>
      <c r="U1711" t="s">
        <v>44</v>
      </c>
      <c r="W1711">
        <v>0</v>
      </c>
      <c r="X1711">
        <v>0</v>
      </c>
      <c r="Y1711">
        <v>0</v>
      </c>
      <c r="Z1711">
        <v>0</v>
      </c>
    </row>
    <row r="1712" spans="1:26" hidden="1" x14ac:dyDescent="0.25">
      <c r="A1712" t="s">
        <v>3870</v>
      </c>
      <c r="B1712" t="s">
        <v>2153</v>
      </c>
      <c r="C1712" s="4">
        <v>44818</v>
      </c>
      <c r="F1712" s="4">
        <v>46492</v>
      </c>
      <c r="H1712" t="s">
        <v>1571</v>
      </c>
      <c r="K1712" t="s">
        <v>146</v>
      </c>
      <c r="L1712" t="s">
        <v>3121</v>
      </c>
      <c r="M1712" t="s">
        <v>68</v>
      </c>
      <c r="N1712" t="s">
        <v>3122</v>
      </c>
      <c r="O1712" t="s">
        <v>32</v>
      </c>
      <c r="P1712" t="s">
        <v>3862</v>
      </c>
      <c r="Q1712">
        <v>500</v>
      </c>
      <c r="R1712">
        <v>500</v>
      </c>
      <c r="S1712" t="s">
        <v>34</v>
      </c>
      <c r="T1712" t="s">
        <v>35</v>
      </c>
      <c r="U1712" t="s">
        <v>44</v>
      </c>
      <c r="W1712">
        <v>500</v>
      </c>
      <c r="X1712">
        <v>219</v>
      </c>
      <c r="Y1712">
        <v>0</v>
      </c>
      <c r="Z1712">
        <v>0</v>
      </c>
    </row>
    <row r="1713" spans="1:26" hidden="1" x14ac:dyDescent="0.25">
      <c r="A1713" t="s">
        <v>3871</v>
      </c>
      <c r="B1713" t="s">
        <v>38</v>
      </c>
      <c r="C1713" s="4">
        <v>44818</v>
      </c>
      <c r="D1713" s="4">
        <v>45009</v>
      </c>
      <c r="F1713" s="4">
        <v>46492</v>
      </c>
      <c r="G1713" t="s">
        <v>101</v>
      </c>
      <c r="H1713" t="s">
        <v>1771</v>
      </c>
      <c r="K1713" t="s">
        <v>98</v>
      </c>
      <c r="L1713" t="s">
        <v>3121</v>
      </c>
      <c r="M1713" t="s">
        <v>84</v>
      </c>
      <c r="N1713" t="s">
        <v>2160</v>
      </c>
      <c r="O1713" t="s">
        <v>32</v>
      </c>
      <c r="P1713" t="s">
        <v>3872</v>
      </c>
      <c r="Q1713">
        <v>228</v>
      </c>
      <c r="R1713">
        <v>228</v>
      </c>
      <c r="S1713" t="s">
        <v>34</v>
      </c>
      <c r="T1713" t="s">
        <v>35</v>
      </c>
      <c r="U1713" t="s">
        <v>44</v>
      </c>
      <c r="W1713">
        <v>0</v>
      </c>
      <c r="X1713">
        <v>0</v>
      </c>
      <c r="Y1713">
        <v>0</v>
      </c>
      <c r="Z1713">
        <v>0</v>
      </c>
    </row>
    <row r="1714" spans="1:26" hidden="1" x14ac:dyDescent="0.25">
      <c r="A1714" t="s">
        <v>3873</v>
      </c>
      <c r="B1714" t="s">
        <v>38</v>
      </c>
      <c r="C1714" s="4">
        <v>44818</v>
      </c>
      <c r="D1714" s="4">
        <v>45870</v>
      </c>
      <c r="F1714" s="4">
        <v>46492</v>
      </c>
      <c r="G1714" t="s">
        <v>2735</v>
      </c>
      <c r="H1714" t="s">
        <v>1430</v>
      </c>
      <c r="K1714" t="s">
        <v>53</v>
      </c>
      <c r="L1714" t="s">
        <v>3121</v>
      </c>
      <c r="M1714" t="s">
        <v>54</v>
      </c>
      <c r="N1714" t="s">
        <v>3122</v>
      </c>
      <c r="O1714" t="s">
        <v>32</v>
      </c>
      <c r="P1714" t="s">
        <v>3874</v>
      </c>
      <c r="Q1714">
        <v>100</v>
      </c>
      <c r="R1714">
        <v>100</v>
      </c>
      <c r="S1714" t="s">
        <v>34</v>
      </c>
      <c r="T1714" t="s">
        <v>35</v>
      </c>
      <c r="U1714" t="s">
        <v>44</v>
      </c>
      <c r="W1714">
        <v>0</v>
      </c>
      <c r="X1714">
        <v>0</v>
      </c>
      <c r="Y1714">
        <v>0</v>
      </c>
      <c r="Z1714">
        <v>0</v>
      </c>
    </row>
    <row r="1715" spans="1:26" hidden="1" x14ac:dyDescent="0.25">
      <c r="A1715" t="s">
        <v>3875</v>
      </c>
      <c r="B1715" t="s">
        <v>38</v>
      </c>
      <c r="C1715" s="4">
        <v>44818</v>
      </c>
      <c r="D1715" s="4">
        <v>45957</v>
      </c>
      <c r="F1715" s="4">
        <v>46492</v>
      </c>
      <c r="G1715" t="s">
        <v>254</v>
      </c>
      <c r="H1715" t="s">
        <v>1784</v>
      </c>
      <c r="K1715" t="s">
        <v>98</v>
      </c>
      <c r="L1715" t="s">
        <v>3121</v>
      </c>
      <c r="M1715" t="s">
        <v>84</v>
      </c>
      <c r="N1715" t="s">
        <v>2160</v>
      </c>
      <c r="O1715" t="s">
        <v>32</v>
      </c>
      <c r="P1715" t="s">
        <v>3876</v>
      </c>
      <c r="Q1715">
        <v>122</v>
      </c>
      <c r="R1715">
        <v>122</v>
      </c>
      <c r="S1715" t="s">
        <v>34</v>
      </c>
      <c r="T1715" t="s">
        <v>35</v>
      </c>
      <c r="U1715" t="s">
        <v>44</v>
      </c>
      <c r="W1715">
        <v>0</v>
      </c>
      <c r="X1715">
        <v>0</v>
      </c>
      <c r="Y1715">
        <v>0</v>
      </c>
      <c r="Z1715">
        <v>0</v>
      </c>
    </row>
    <row r="1716" spans="1:26" hidden="1" x14ac:dyDescent="0.25">
      <c r="A1716" t="s">
        <v>3877</v>
      </c>
      <c r="B1716" t="s">
        <v>38</v>
      </c>
      <c r="C1716" s="4">
        <v>44818</v>
      </c>
      <c r="D1716" s="4">
        <v>45957</v>
      </c>
      <c r="F1716" s="4">
        <v>46492</v>
      </c>
      <c r="G1716" t="s">
        <v>101</v>
      </c>
      <c r="H1716" t="s">
        <v>1336</v>
      </c>
      <c r="K1716" t="s">
        <v>98</v>
      </c>
      <c r="L1716" t="s">
        <v>3121</v>
      </c>
      <c r="M1716" t="s">
        <v>84</v>
      </c>
      <c r="N1716" t="s">
        <v>2160</v>
      </c>
      <c r="O1716" t="s">
        <v>32</v>
      </c>
      <c r="P1716" t="s">
        <v>3878</v>
      </c>
      <c r="Q1716">
        <v>75</v>
      </c>
      <c r="R1716">
        <v>75</v>
      </c>
      <c r="S1716" t="s">
        <v>34</v>
      </c>
      <c r="T1716" t="s">
        <v>35</v>
      </c>
      <c r="U1716" t="s">
        <v>44</v>
      </c>
      <c r="W1716">
        <v>0</v>
      </c>
      <c r="X1716">
        <v>0</v>
      </c>
      <c r="Y1716">
        <v>0</v>
      </c>
      <c r="Z1716">
        <v>0</v>
      </c>
    </row>
    <row r="1717" spans="1:26" hidden="1" x14ac:dyDescent="0.25">
      <c r="A1717" t="s">
        <v>3879</v>
      </c>
      <c r="B1717" t="s">
        <v>38</v>
      </c>
      <c r="C1717" s="4">
        <v>44818</v>
      </c>
      <c r="D1717" s="4">
        <v>45957</v>
      </c>
      <c r="F1717" s="4">
        <v>46492</v>
      </c>
      <c r="G1717" t="s">
        <v>1381</v>
      </c>
      <c r="H1717" t="s">
        <v>3782</v>
      </c>
      <c r="K1717" t="s">
        <v>83</v>
      </c>
      <c r="L1717" t="s">
        <v>3121</v>
      </c>
      <c r="M1717" t="s">
        <v>42</v>
      </c>
      <c r="N1717" t="s">
        <v>3122</v>
      </c>
      <c r="O1717" t="s">
        <v>32</v>
      </c>
      <c r="P1717" t="s">
        <v>3880</v>
      </c>
      <c r="Q1717">
        <v>47.6</v>
      </c>
      <c r="R1717">
        <v>47.6</v>
      </c>
      <c r="S1717" t="s">
        <v>34</v>
      </c>
      <c r="T1717" t="s">
        <v>35</v>
      </c>
      <c r="U1717" t="s">
        <v>44</v>
      </c>
      <c r="W1717">
        <v>0</v>
      </c>
      <c r="X1717">
        <v>0</v>
      </c>
      <c r="Y1717">
        <v>0</v>
      </c>
      <c r="Z1717">
        <v>0</v>
      </c>
    </row>
    <row r="1718" spans="1:26" hidden="1" x14ac:dyDescent="0.25">
      <c r="A1718" t="s">
        <v>3881</v>
      </c>
      <c r="B1718" t="s">
        <v>2153</v>
      </c>
      <c r="C1718" s="4">
        <v>44818</v>
      </c>
      <c r="F1718" s="4">
        <v>46492</v>
      </c>
      <c r="G1718" t="s">
        <v>1108</v>
      </c>
      <c r="H1718" t="s">
        <v>1685</v>
      </c>
      <c r="K1718" t="s">
        <v>146</v>
      </c>
      <c r="L1718" t="s">
        <v>3121</v>
      </c>
      <c r="M1718" t="s">
        <v>68</v>
      </c>
      <c r="N1718" t="s">
        <v>3122</v>
      </c>
      <c r="O1718" t="s">
        <v>32</v>
      </c>
      <c r="P1718" t="s">
        <v>3882</v>
      </c>
      <c r="Q1718">
        <v>162</v>
      </c>
      <c r="R1718">
        <v>162</v>
      </c>
      <c r="S1718" t="s">
        <v>34</v>
      </c>
      <c r="T1718" t="s">
        <v>35</v>
      </c>
      <c r="U1718" t="s">
        <v>44</v>
      </c>
      <c r="W1718">
        <v>162</v>
      </c>
      <c r="X1718">
        <v>130</v>
      </c>
      <c r="Y1718">
        <v>0</v>
      </c>
      <c r="Z1718">
        <v>0</v>
      </c>
    </row>
    <row r="1719" spans="1:26" hidden="1" x14ac:dyDescent="0.25">
      <c r="A1719" t="s">
        <v>3883</v>
      </c>
      <c r="B1719" t="s">
        <v>2153</v>
      </c>
      <c r="C1719" s="4">
        <v>44818</v>
      </c>
      <c r="F1719" s="4">
        <v>46492</v>
      </c>
      <c r="G1719" t="s">
        <v>1408</v>
      </c>
      <c r="H1719" t="s">
        <v>1462</v>
      </c>
      <c r="K1719" t="s">
        <v>146</v>
      </c>
      <c r="L1719" t="s">
        <v>3121</v>
      </c>
      <c r="M1719" t="s">
        <v>68</v>
      </c>
      <c r="N1719" t="s">
        <v>3122</v>
      </c>
      <c r="O1719" t="s">
        <v>32</v>
      </c>
      <c r="P1719" t="s">
        <v>3884</v>
      </c>
      <c r="Q1719">
        <v>120</v>
      </c>
      <c r="R1719">
        <v>120</v>
      </c>
      <c r="S1719" t="s">
        <v>34</v>
      </c>
      <c r="T1719" t="s">
        <v>35</v>
      </c>
      <c r="U1719" t="s">
        <v>44</v>
      </c>
      <c r="W1719">
        <v>120</v>
      </c>
      <c r="X1719">
        <v>0</v>
      </c>
      <c r="Y1719">
        <v>0</v>
      </c>
      <c r="Z1719">
        <v>0</v>
      </c>
    </row>
    <row r="1720" spans="1:26" hidden="1" x14ac:dyDescent="0.25">
      <c r="A1720" t="s">
        <v>3885</v>
      </c>
      <c r="B1720" t="s">
        <v>2153</v>
      </c>
      <c r="C1720" s="4">
        <v>44818</v>
      </c>
      <c r="F1720" s="4">
        <v>46492</v>
      </c>
      <c r="G1720" t="s">
        <v>39</v>
      </c>
      <c r="H1720" t="s">
        <v>2111</v>
      </c>
      <c r="K1720" t="s">
        <v>41</v>
      </c>
      <c r="L1720" t="s">
        <v>3121</v>
      </c>
      <c r="M1720" t="s">
        <v>42</v>
      </c>
      <c r="N1720" t="s">
        <v>3122</v>
      </c>
      <c r="O1720" t="s">
        <v>32</v>
      </c>
      <c r="P1720" t="s">
        <v>3886</v>
      </c>
      <c r="Q1720">
        <v>300</v>
      </c>
      <c r="R1720">
        <v>300</v>
      </c>
      <c r="S1720" t="s">
        <v>159</v>
      </c>
      <c r="T1720" t="s">
        <v>159</v>
      </c>
      <c r="U1720" t="s">
        <v>44</v>
      </c>
      <c r="W1720">
        <v>300</v>
      </c>
      <c r="X1720">
        <v>300</v>
      </c>
      <c r="Y1720">
        <v>0</v>
      </c>
      <c r="Z1720">
        <v>0</v>
      </c>
    </row>
    <row r="1721" spans="1:26" hidden="1" x14ac:dyDescent="0.25">
      <c r="A1721" t="s">
        <v>3887</v>
      </c>
      <c r="B1721" t="s">
        <v>38</v>
      </c>
      <c r="C1721" s="4">
        <v>44819</v>
      </c>
      <c r="D1721" s="4">
        <v>45222</v>
      </c>
      <c r="F1721" s="4">
        <v>47239</v>
      </c>
      <c r="G1721" t="s">
        <v>65</v>
      </c>
      <c r="H1721" t="s">
        <v>3701</v>
      </c>
      <c r="K1721" t="s">
        <v>67</v>
      </c>
      <c r="L1721" t="s">
        <v>3121</v>
      </c>
      <c r="M1721" t="s">
        <v>68</v>
      </c>
      <c r="N1721" t="s">
        <v>3122</v>
      </c>
      <c r="O1721" t="s">
        <v>32</v>
      </c>
      <c r="P1721" t="s">
        <v>3888</v>
      </c>
      <c r="Q1721">
        <v>600</v>
      </c>
      <c r="R1721">
        <v>600</v>
      </c>
      <c r="S1721" t="s">
        <v>597</v>
      </c>
      <c r="T1721" t="s">
        <v>598</v>
      </c>
      <c r="U1721" t="s">
        <v>44</v>
      </c>
      <c r="W1721">
        <v>0</v>
      </c>
      <c r="X1721">
        <v>0</v>
      </c>
      <c r="Y1721">
        <v>0</v>
      </c>
      <c r="Z1721">
        <v>0</v>
      </c>
    </row>
    <row r="1722" spans="1:26" hidden="1" x14ac:dyDescent="0.25">
      <c r="A1722" t="s">
        <v>3889</v>
      </c>
      <c r="B1722" t="s">
        <v>38</v>
      </c>
      <c r="C1722" s="4">
        <v>44818</v>
      </c>
      <c r="D1722" s="4">
        <v>45957</v>
      </c>
      <c r="F1722" s="4">
        <v>46022</v>
      </c>
      <c r="G1722" t="s">
        <v>1251</v>
      </c>
      <c r="H1722" t="s">
        <v>2790</v>
      </c>
      <c r="K1722" t="s">
        <v>109</v>
      </c>
      <c r="L1722" t="s">
        <v>3121</v>
      </c>
      <c r="M1722" t="s">
        <v>84</v>
      </c>
      <c r="N1722" t="s">
        <v>2160</v>
      </c>
      <c r="O1722" t="s">
        <v>32</v>
      </c>
      <c r="P1722" t="s">
        <v>1345</v>
      </c>
      <c r="Q1722">
        <v>50</v>
      </c>
      <c r="R1722">
        <v>50</v>
      </c>
      <c r="S1722" t="s">
        <v>34</v>
      </c>
      <c r="T1722" t="s">
        <v>35</v>
      </c>
      <c r="U1722" t="s">
        <v>44</v>
      </c>
      <c r="W1722">
        <v>0</v>
      </c>
      <c r="X1722">
        <v>0</v>
      </c>
      <c r="Y1722">
        <v>0</v>
      </c>
      <c r="Z1722">
        <v>0</v>
      </c>
    </row>
    <row r="1723" spans="1:26" hidden="1" x14ac:dyDescent="0.25">
      <c r="A1723" t="s">
        <v>3890</v>
      </c>
      <c r="B1723" t="s">
        <v>38</v>
      </c>
      <c r="C1723" s="4">
        <v>44818</v>
      </c>
      <c r="D1723" s="4">
        <v>45870</v>
      </c>
      <c r="F1723" s="4">
        <v>46326</v>
      </c>
      <c r="G1723" t="s">
        <v>52</v>
      </c>
      <c r="H1723" t="s">
        <v>2339</v>
      </c>
      <c r="K1723" t="s">
        <v>53</v>
      </c>
      <c r="L1723" t="s">
        <v>3121</v>
      </c>
      <c r="M1723" t="s">
        <v>54</v>
      </c>
      <c r="N1723" t="s">
        <v>3122</v>
      </c>
      <c r="O1723" t="s">
        <v>32</v>
      </c>
      <c r="P1723" t="s">
        <v>3891</v>
      </c>
      <c r="Q1723">
        <v>200</v>
      </c>
      <c r="R1723">
        <v>200</v>
      </c>
      <c r="S1723" t="s">
        <v>34</v>
      </c>
      <c r="T1723" t="s">
        <v>35</v>
      </c>
      <c r="U1723" t="s">
        <v>44</v>
      </c>
      <c r="W1723">
        <v>0</v>
      </c>
      <c r="X1723">
        <v>0</v>
      </c>
      <c r="Y1723">
        <v>0</v>
      </c>
      <c r="Z1723">
        <v>0</v>
      </c>
    </row>
    <row r="1724" spans="1:26" hidden="1" x14ac:dyDescent="0.25">
      <c r="A1724" t="s">
        <v>3892</v>
      </c>
      <c r="B1724" t="s">
        <v>2153</v>
      </c>
      <c r="C1724" s="4">
        <v>44818</v>
      </c>
      <c r="F1724" s="4">
        <v>45772</v>
      </c>
      <c r="G1724" t="s">
        <v>1753</v>
      </c>
      <c r="H1724" t="s">
        <v>3893</v>
      </c>
      <c r="K1724" t="s">
        <v>114</v>
      </c>
      <c r="L1724" t="s">
        <v>3121</v>
      </c>
      <c r="M1724" t="s">
        <v>68</v>
      </c>
      <c r="N1724" t="s">
        <v>3122</v>
      </c>
      <c r="O1724" t="s">
        <v>32</v>
      </c>
      <c r="P1724" t="s">
        <v>3894</v>
      </c>
      <c r="Q1724">
        <v>150</v>
      </c>
      <c r="R1724">
        <v>150</v>
      </c>
      <c r="S1724" t="s">
        <v>34</v>
      </c>
      <c r="T1724" t="s">
        <v>35</v>
      </c>
      <c r="U1724" t="s">
        <v>44</v>
      </c>
      <c r="W1724">
        <v>150</v>
      </c>
      <c r="X1724">
        <v>150</v>
      </c>
      <c r="Y1724">
        <v>0</v>
      </c>
      <c r="Z1724">
        <v>0</v>
      </c>
    </row>
    <row r="1725" spans="1:26" hidden="1" x14ac:dyDescent="0.25">
      <c r="A1725" t="s">
        <v>3895</v>
      </c>
      <c r="B1725" t="s">
        <v>38</v>
      </c>
      <c r="C1725" s="4">
        <v>45218</v>
      </c>
      <c r="D1725" s="4">
        <v>45869</v>
      </c>
      <c r="F1725" s="4">
        <v>46266</v>
      </c>
      <c r="G1725" t="s">
        <v>1311</v>
      </c>
      <c r="H1725" t="s">
        <v>3896</v>
      </c>
      <c r="K1725" t="s">
        <v>114</v>
      </c>
      <c r="L1725" t="s">
        <v>3121</v>
      </c>
      <c r="M1725" t="s">
        <v>68</v>
      </c>
      <c r="N1725" t="s">
        <v>3122</v>
      </c>
      <c r="O1725" t="s">
        <v>32</v>
      </c>
      <c r="P1725" t="s">
        <v>3897</v>
      </c>
      <c r="Q1725">
        <v>120</v>
      </c>
      <c r="R1725">
        <v>120</v>
      </c>
      <c r="S1725" t="s">
        <v>34</v>
      </c>
      <c r="T1725" t="s">
        <v>35</v>
      </c>
      <c r="U1725" t="s">
        <v>44</v>
      </c>
      <c r="W1725">
        <v>0</v>
      </c>
      <c r="X1725">
        <v>0</v>
      </c>
      <c r="Y1725">
        <v>0</v>
      </c>
      <c r="Z1725">
        <v>0</v>
      </c>
    </row>
    <row r="1726" spans="1:26" hidden="1" x14ac:dyDescent="0.25">
      <c r="A1726" t="s">
        <v>3898</v>
      </c>
      <c r="B1726" t="s">
        <v>38</v>
      </c>
      <c r="C1726" s="4">
        <v>44818</v>
      </c>
      <c r="D1726" s="4">
        <v>45883</v>
      </c>
      <c r="F1726" s="4">
        <v>46204</v>
      </c>
      <c r="G1726" t="s">
        <v>101</v>
      </c>
      <c r="H1726" t="s">
        <v>1430</v>
      </c>
      <c r="K1726" t="s">
        <v>98</v>
      </c>
      <c r="L1726" t="s">
        <v>3121</v>
      </c>
      <c r="M1726" t="s">
        <v>84</v>
      </c>
      <c r="N1726" t="s">
        <v>2160</v>
      </c>
      <c r="O1726" t="s">
        <v>32</v>
      </c>
      <c r="P1726" t="s">
        <v>3899</v>
      </c>
      <c r="Q1726">
        <v>100</v>
      </c>
      <c r="R1726">
        <v>100</v>
      </c>
      <c r="S1726" t="s">
        <v>159</v>
      </c>
      <c r="T1726" t="s">
        <v>159</v>
      </c>
      <c r="U1726" t="s">
        <v>44</v>
      </c>
      <c r="W1726">
        <v>100</v>
      </c>
      <c r="X1726">
        <v>100</v>
      </c>
      <c r="Y1726">
        <v>0</v>
      </c>
      <c r="Z1726">
        <v>0</v>
      </c>
    </row>
    <row r="1727" spans="1:26" hidden="1" x14ac:dyDescent="0.25">
      <c r="A1727" t="s">
        <v>3900</v>
      </c>
      <c r="B1727" t="s">
        <v>38</v>
      </c>
      <c r="C1727" s="4">
        <v>44818</v>
      </c>
      <c r="D1727" s="4">
        <v>45957</v>
      </c>
      <c r="F1727" s="4">
        <v>46539</v>
      </c>
      <c r="G1727" t="s">
        <v>254</v>
      </c>
      <c r="H1727" t="s">
        <v>1336</v>
      </c>
      <c r="K1727" t="s">
        <v>98</v>
      </c>
      <c r="L1727" t="s">
        <v>3121</v>
      </c>
      <c r="M1727" t="s">
        <v>84</v>
      </c>
      <c r="N1727" t="s">
        <v>2160</v>
      </c>
      <c r="O1727" t="s">
        <v>32</v>
      </c>
      <c r="P1727" t="s">
        <v>3901</v>
      </c>
      <c r="Q1727">
        <v>249</v>
      </c>
      <c r="R1727">
        <v>249</v>
      </c>
      <c r="S1727" t="s">
        <v>56</v>
      </c>
      <c r="T1727" t="s">
        <v>57</v>
      </c>
      <c r="U1727" t="s">
        <v>44</v>
      </c>
      <c r="W1727">
        <v>0</v>
      </c>
      <c r="X1727">
        <v>0</v>
      </c>
      <c r="Y1727">
        <v>0</v>
      </c>
      <c r="Z1727">
        <v>0</v>
      </c>
    </row>
    <row r="1728" spans="1:26" hidden="1" x14ac:dyDescent="0.25">
      <c r="A1728" t="s">
        <v>3902</v>
      </c>
      <c r="B1728" t="s">
        <v>38</v>
      </c>
      <c r="C1728" s="4">
        <v>44818</v>
      </c>
      <c r="D1728" s="4">
        <v>45957</v>
      </c>
      <c r="F1728" s="4">
        <v>46539</v>
      </c>
      <c r="G1728" t="s">
        <v>117</v>
      </c>
      <c r="H1728" t="s">
        <v>1821</v>
      </c>
      <c r="K1728" t="s">
        <v>83</v>
      </c>
      <c r="L1728" t="s">
        <v>3121</v>
      </c>
      <c r="M1728" t="s">
        <v>84</v>
      </c>
      <c r="N1728" t="s">
        <v>2160</v>
      </c>
      <c r="O1728" t="s">
        <v>32</v>
      </c>
      <c r="P1728" t="s">
        <v>3903</v>
      </c>
      <c r="Q1728">
        <v>300</v>
      </c>
      <c r="R1728">
        <v>300</v>
      </c>
      <c r="S1728" t="s">
        <v>159</v>
      </c>
      <c r="T1728" t="s">
        <v>159</v>
      </c>
      <c r="U1728" t="s">
        <v>44</v>
      </c>
      <c r="W1728">
        <v>0</v>
      </c>
      <c r="X1728">
        <v>0</v>
      </c>
      <c r="Y1728">
        <v>0</v>
      </c>
      <c r="Z1728">
        <v>0</v>
      </c>
    </row>
    <row r="1729" spans="1:26" hidden="1" x14ac:dyDescent="0.25">
      <c r="A1729" t="s">
        <v>3904</v>
      </c>
      <c r="B1729" t="s">
        <v>38</v>
      </c>
      <c r="C1729" s="4">
        <v>44819</v>
      </c>
      <c r="D1729" s="4">
        <v>45870</v>
      </c>
      <c r="F1729" s="4">
        <v>46539</v>
      </c>
      <c r="G1729" t="s">
        <v>52</v>
      </c>
      <c r="H1729" t="s">
        <v>1442</v>
      </c>
      <c r="K1729" t="s">
        <v>53</v>
      </c>
      <c r="L1729" t="s">
        <v>3121</v>
      </c>
      <c r="M1729" t="s">
        <v>54</v>
      </c>
      <c r="N1729" t="s">
        <v>3122</v>
      </c>
      <c r="O1729" t="s">
        <v>32</v>
      </c>
      <c r="P1729" t="s">
        <v>3905</v>
      </c>
      <c r="Q1729">
        <v>100</v>
      </c>
      <c r="R1729">
        <v>100</v>
      </c>
      <c r="S1729" t="s">
        <v>34</v>
      </c>
      <c r="T1729" t="s">
        <v>35</v>
      </c>
      <c r="U1729" t="s">
        <v>44</v>
      </c>
      <c r="W1729">
        <v>0</v>
      </c>
      <c r="X1729">
        <v>0</v>
      </c>
      <c r="Y1729">
        <v>0</v>
      </c>
      <c r="Z1729">
        <v>0</v>
      </c>
    </row>
    <row r="1730" spans="1:26" hidden="1" x14ac:dyDescent="0.25">
      <c r="A1730" t="s">
        <v>3906</v>
      </c>
      <c r="B1730" t="s">
        <v>38</v>
      </c>
      <c r="C1730" s="4">
        <v>44819</v>
      </c>
      <c r="D1730" s="4">
        <v>45957</v>
      </c>
      <c r="F1730" s="4">
        <v>46539</v>
      </c>
      <c r="G1730" t="s">
        <v>1251</v>
      </c>
      <c r="H1730" t="s">
        <v>2013</v>
      </c>
      <c r="K1730" t="s">
        <v>109</v>
      </c>
      <c r="L1730" t="s">
        <v>3121</v>
      </c>
      <c r="M1730" t="s">
        <v>84</v>
      </c>
      <c r="N1730" t="s">
        <v>2160</v>
      </c>
      <c r="O1730" t="s">
        <v>32</v>
      </c>
      <c r="P1730" t="s">
        <v>3907</v>
      </c>
      <c r="Q1730">
        <v>248</v>
      </c>
      <c r="R1730">
        <v>248</v>
      </c>
      <c r="S1730" t="s">
        <v>34</v>
      </c>
      <c r="T1730" t="s">
        <v>35</v>
      </c>
      <c r="U1730" t="s">
        <v>44</v>
      </c>
      <c r="W1730">
        <v>0</v>
      </c>
      <c r="X1730">
        <v>0</v>
      </c>
      <c r="Y1730">
        <v>0</v>
      </c>
      <c r="Z1730">
        <v>0</v>
      </c>
    </row>
    <row r="1731" spans="1:26" hidden="1" x14ac:dyDescent="0.25">
      <c r="A1731" t="s">
        <v>3908</v>
      </c>
      <c r="B1731" t="s">
        <v>38</v>
      </c>
      <c r="C1731" s="4">
        <v>44818</v>
      </c>
      <c r="D1731" s="4">
        <v>45869</v>
      </c>
      <c r="F1731" s="4">
        <v>45997</v>
      </c>
      <c r="G1731" t="s">
        <v>1311</v>
      </c>
      <c r="H1731" t="s">
        <v>3909</v>
      </c>
      <c r="K1731" t="s">
        <v>114</v>
      </c>
      <c r="L1731" t="s">
        <v>3121</v>
      </c>
      <c r="M1731" t="s">
        <v>68</v>
      </c>
      <c r="N1731" t="s">
        <v>3122</v>
      </c>
      <c r="O1731" t="s">
        <v>32</v>
      </c>
      <c r="P1731" t="s">
        <v>3910</v>
      </c>
      <c r="Q1731">
        <v>140</v>
      </c>
      <c r="R1731">
        <v>140</v>
      </c>
      <c r="S1731" t="s">
        <v>597</v>
      </c>
      <c r="T1731" t="s">
        <v>598</v>
      </c>
      <c r="U1731" t="s">
        <v>44</v>
      </c>
      <c r="W1731">
        <v>0</v>
      </c>
      <c r="X1731">
        <v>0</v>
      </c>
      <c r="Y1731">
        <v>0</v>
      </c>
      <c r="Z1731">
        <v>0</v>
      </c>
    </row>
    <row r="1732" spans="1:26" hidden="1" x14ac:dyDescent="0.25">
      <c r="A1732" t="s">
        <v>3911</v>
      </c>
      <c r="B1732" t="s">
        <v>2153</v>
      </c>
      <c r="C1732" s="4">
        <v>44818</v>
      </c>
      <c r="F1732" s="4">
        <v>45862</v>
      </c>
      <c r="G1732" t="s">
        <v>72</v>
      </c>
      <c r="H1732" t="s">
        <v>2581</v>
      </c>
      <c r="K1732" t="s">
        <v>41</v>
      </c>
      <c r="L1732" t="s">
        <v>3121</v>
      </c>
      <c r="M1732" t="s">
        <v>42</v>
      </c>
      <c r="N1732" t="s">
        <v>3122</v>
      </c>
      <c r="O1732" t="s">
        <v>32</v>
      </c>
      <c r="P1732" t="s">
        <v>3912</v>
      </c>
      <c r="Q1732">
        <v>150</v>
      </c>
      <c r="R1732">
        <v>150</v>
      </c>
      <c r="S1732" t="s">
        <v>159</v>
      </c>
      <c r="T1732" t="s">
        <v>159</v>
      </c>
      <c r="U1732" t="s">
        <v>44</v>
      </c>
      <c r="W1732">
        <v>150</v>
      </c>
      <c r="X1732">
        <v>150</v>
      </c>
      <c r="Y1732">
        <v>0</v>
      </c>
      <c r="Z1732">
        <v>0</v>
      </c>
    </row>
    <row r="1733" spans="1:26" hidden="1" x14ac:dyDescent="0.25">
      <c r="A1733" t="s">
        <v>3913</v>
      </c>
      <c r="B1733" t="s">
        <v>2338</v>
      </c>
      <c r="C1733" s="4">
        <v>44818</v>
      </c>
      <c r="F1733" s="4">
        <v>45689</v>
      </c>
      <c r="H1733" t="s">
        <v>1399</v>
      </c>
      <c r="K1733" t="s">
        <v>146</v>
      </c>
      <c r="L1733" t="s">
        <v>3121</v>
      </c>
      <c r="M1733" t="s">
        <v>68</v>
      </c>
      <c r="N1733" t="s">
        <v>3122</v>
      </c>
      <c r="O1733" t="s">
        <v>32</v>
      </c>
      <c r="P1733" t="s">
        <v>3914</v>
      </c>
      <c r="Q1733">
        <v>200</v>
      </c>
      <c r="R1733">
        <v>200</v>
      </c>
      <c r="S1733" t="s">
        <v>34</v>
      </c>
      <c r="T1733" t="s">
        <v>35</v>
      </c>
      <c r="U1733" t="s">
        <v>44</v>
      </c>
      <c r="W1733">
        <v>200</v>
      </c>
      <c r="X1733">
        <v>200</v>
      </c>
      <c r="Y1733">
        <v>0</v>
      </c>
      <c r="Z1733">
        <v>0</v>
      </c>
    </row>
    <row r="1734" spans="1:26" hidden="1" x14ac:dyDescent="0.25">
      <c r="A1734" t="s">
        <v>3915</v>
      </c>
      <c r="B1734" t="s">
        <v>2153</v>
      </c>
      <c r="C1734" s="4">
        <v>44819</v>
      </c>
      <c r="F1734" s="4">
        <v>45862</v>
      </c>
      <c r="G1734" t="s">
        <v>72</v>
      </c>
      <c r="H1734" t="s">
        <v>1437</v>
      </c>
      <c r="K1734" t="s">
        <v>41</v>
      </c>
      <c r="L1734" t="s">
        <v>3121</v>
      </c>
      <c r="M1734" t="s">
        <v>42</v>
      </c>
      <c r="N1734" t="s">
        <v>3122</v>
      </c>
      <c r="O1734" t="s">
        <v>32</v>
      </c>
      <c r="P1734" t="s">
        <v>3916</v>
      </c>
      <c r="Q1734">
        <v>150</v>
      </c>
      <c r="R1734">
        <v>150</v>
      </c>
      <c r="S1734" t="s">
        <v>159</v>
      </c>
      <c r="T1734" t="s">
        <v>159</v>
      </c>
      <c r="U1734" t="s">
        <v>44</v>
      </c>
      <c r="W1734">
        <v>150</v>
      </c>
      <c r="X1734">
        <v>150</v>
      </c>
      <c r="Y1734">
        <v>0</v>
      </c>
      <c r="Z1734">
        <v>0</v>
      </c>
    </row>
    <row r="1735" spans="1:26" hidden="1" x14ac:dyDescent="0.25">
      <c r="A1735" t="s">
        <v>3917</v>
      </c>
      <c r="B1735" t="s">
        <v>2153</v>
      </c>
      <c r="C1735" s="4">
        <v>44819</v>
      </c>
      <c r="F1735" s="4">
        <v>45862</v>
      </c>
      <c r="G1735" t="s">
        <v>1274</v>
      </c>
      <c r="H1735" t="s">
        <v>1275</v>
      </c>
      <c r="K1735" t="s">
        <v>41</v>
      </c>
      <c r="L1735" t="s">
        <v>3121</v>
      </c>
      <c r="M1735" t="s">
        <v>42</v>
      </c>
      <c r="N1735" t="s">
        <v>3122</v>
      </c>
      <c r="O1735" t="s">
        <v>32</v>
      </c>
      <c r="P1735" t="s">
        <v>3918</v>
      </c>
      <c r="Q1735">
        <v>150</v>
      </c>
      <c r="R1735">
        <v>150</v>
      </c>
      <c r="S1735" t="s">
        <v>159</v>
      </c>
      <c r="T1735" t="s">
        <v>159</v>
      </c>
      <c r="U1735" t="s">
        <v>44</v>
      </c>
      <c r="W1735">
        <v>150</v>
      </c>
      <c r="X1735">
        <v>150</v>
      </c>
      <c r="Y1735">
        <v>0</v>
      </c>
      <c r="Z1735">
        <v>0</v>
      </c>
    </row>
    <row r="1736" spans="1:26" hidden="1" x14ac:dyDescent="0.25">
      <c r="A1736" t="s">
        <v>3919</v>
      </c>
      <c r="B1736" t="s">
        <v>38</v>
      </c>
      <c r="C1736" s="4">
        <v>44819</v>
      </c>
      <c r="D1736" s="4">
        <v>45870</v>
      </c>
      <c r="F1736" s="4">
        <v>45997</v>
      </c>
      <c r="G1736" t="s">
        <v>52</v>
      </c>
      <c r="H1736" t="s">
        <v>3920</v>
      </c>
      <c r="K1736" t="s">
        <v>53</v>
      </c>
      <c r="L1736" t="s">
        <v>3121</v>
      </c>
      <c r="M1736" t="s">
        <v>54</v>
      </c>
      <c r="N1736" t="s">
        <v>3122</v>
      </c>
      <c r="O1736" t="s">
        <v>32</v>
      </c>
      <c r="P1736" t="s">
        <v>3921</v>
      </c>
      <c r="Q1736">
        <v>250</v>
      </c>
      <c r="R1736">
        <v>250</v>
      </c>
      <c r="S1736" t="s">
        <v>597</v>
      </c>
      <c r="T1736" t="s">
        <v>598</v>
      </c>
      <c r="U1736" t="s">
        <v>44</v>
      </c>
      <c r="W1736">
        <v>0</v>
      </c>
      <c r="X1736">
        <v>0</v>
      </c>
      <c r="Y1736">
        <v>0</v>
      </c>
      <c r="Z1736">
        <v>0</v>
      </c>
    </row>
    <row r="1737" spans="1:26" hidden="1" x14ac:dyDescent="0.25">
      <c r="A1737" t="s">
        <v>3922</v>
      </c>
      <c r="B1737" t="s">
        <v>38</v>
      </c>
      <c r="C1737" s="4">
        <v>45905</v>
      </c>
      <c r="D1737" s="4">
        <v>45964</v>
      </c>
      <c r="F1737" s="4">
        <v>46295</v>
      </c>
      <c r="G1737" t="s">
        <v>65</v>
      </c>
      <c r="H1737" t="s">
        <v>1470</v>
      </c>
      <c r="K1737" t="s">
        <v>67</v>
      </c>
      <c r="L1737" t="s">
        <v>3121</v>
      </c>
      <c r="M1737" t="s">
        <v>68</v>
      </c>
      <c r="N1737" t="s">
        <v>3122</v>
      </c>
      <c r="O1737" t="s">
        <v>32</v>
      </c>
      <c r="P1737" t="s">
        <v>3923</v>
      </c>
      <c r="Q1737">
        <v>126</v>
      </c>
      <c r="R1737">
        <v>126</v>
      </c>
      <c r="S1737" t="s">
        <v>34</v>
      </c>
      <c r="T1737" t="s">
        <v>35</v>
      </c>
      <c r="U1737" t="s">
        <v>44</v>
      </c>
      <c r="W1737">
        <v>126</v>
      </c>
      <c r="X1737">
        <v>126</v>
      </c>
      <c r="Y1737">
        <v>0</v>
      </c>
      <c r="Z1737">
        <v>0</v>
      </c>
    </row>
    <row r="1738" spans="1:26" hidden="1" x14ac:dyDescent="0.25">
      <c r="A1738" t="s">
        <v>3924</v>
      </c>
      <c r="B1738" t="s">
        <v>2153</v>
      </c>
      <c r="C1738" s="4">
        <v>45866</v>
      </c>
      <c r="F1738" s="4">
        <v>45997</v>
      </c>
      <c r="G1738" t="s">
        <v>1326</v>
      </c>
      <c r="H1738" t="s">
        <v>2526</v>
      </c>
      <c r="K1738" t="s">
        <v>67</v>
      </c>
      <c r="L1738" t="s">
        <v>3121</v>
      </c>
      <c r="M1738" t="s">
        <v>68</v>
      </c>
      <c r="N1738" t="s">
        <v>3122</v>
      </c>
      <c r="O1738" t="s">
        <v>32</v>
      </c>
      <c r="P1738" t="s">
        <v>3925</v>
      </c>
      <c r="Q1738">
        <v>150</v>
      </c>
      <c r="R1738">
        <v>150</v>
      </c>
      <c r="S1738" t="s">
        <v>597</v>
      </c>
      <c r="T1738" t="s">
        <v>598</v>
      </c>
      <c r="U1738" t="s">
        <v>44</v>
      </c>
      <c r="W1738">
        <v>150</v>
      </c>
      <c r="X1738">
        <v>75</v>
      </c>
      <c r="Y1738">
        <v>0</v>
      </c>
      <c r="Z1738">
        <v>0</v>
      </c>
    </row>
    <row r="1739" spans="1:26" hidden="1" x14ac:dyDescent="0.25">
      <c r="A1739" t="s">
        <v>3926</v>
      </c>
      <c r="B1739" t="s">
        <v>38</v>
      </c>
      <c r="C1739" s="4">
        <v>44819</v>
      </c>
      <c r="D1739" s="4">
        <v>44901</v>
      </c>
      <c r="F1739" s="4">
        <v>46295</v>
      </c>
      <c r="G1739" t="s">
        <v>144</v>
      </c>
      <c r="H1739" t="s">
        <v>1571</v>
      </c>
      <c r="K1739" t="s">
        <v>146</v>
      </c>
      <c r="L1739" t="s">
        <v>3121</v>
      </c>
      <c r="M1739" t="s">
        <v>68</v>
      </c>
      <c r="N1739" t="s">
        <v>3122</v>
      </c>
      <c r="O1739" t="s">
        <v>32</v>
      </c>
      <c r="P1739" t="s">
        <v>3927</v>
      </c>
      <c r="Q1739">
        <v>80</v>
      </c>
      <c r="R1739">
        <v>80</v>
      </c>
      <c r="S1739" t="s">
        <v>34</v>
      </c>
      <c r="T1739" t="s">
        <v>35</v>
      </c>
      <c r="U1739" t="s">
        <v>44</v>
      </c>
      <c r="W1739">
        <v>0</v>
      </c>
      <c r="X1739">
        <v>0</v>
      </c>
      <c r="Y1739">
        <v>0</v>
      </c>
      <c r="Z1739">
        <v>0</v>
      </c>
    </row>
    <row r="1740" spans="1:26" hidden="1" x14ac:dyDescent="0.25">
      <c r="A1740" t="s">
        <v>3928</v>
      </c>
      <c r="B1740" t="s">
        <v>38</v>
      </c>
      <c r="C1740" s="4">
        <v>44819</v>
      </c>
      <c r="D1740" s="4">
        <v>45869</v>
      </c>
      <c r="F1740" s="4">
        <v>45997</v>
      </c>
      <c r="G1740" t="s">
        <v>1311</v>
      </c>
      <c r="H1740" t="s">
        <v>3054</v>
      </c>
      <c r="K1740" t="s">
        <v>114</v>
      </c>
      <c r="L1740" t="s">
        <v>3121</v>
      </c>
      <c r="M1740" t="s">
        <v>68</v>
      </c>
      <c r="N1740" t="s">
        <v>3122</v>
      </c>
      <c r="O1740" t="s">
        <v>32</v>
      </c>
      <c r="P1740" t="s">
        <v>3929</v>
      </c>
      <c r="Q1740">
        <v>100</v>
      </c>
      <c r="R1740">
        <v>100</v>
      </c>
      <c r="S1740" t="s">
        <v>597</v>
      </c>
      <c r="T1740" t="s">
        <v>598</v>
      </c>
      <c r="U1740" t="s">
        <v>44</v>
      </c>
      <c r="W1740">
        <v>0</v>
      </c>
      <c r="X1740">
        <v>0</v>
      </c>
      <c r="Y1740">
        <v>0</v>
      </c>
      <c r="Z1740">
        <v>0</v>
      </c>
    </row>
    <row r="1741" spans="1:26" hidden="1" x14ac:dyDescent="0.25">
      <c r="A1741" t="s">
        <v>3930</v>
      </c>
      <c r="B1741" t="s">
        <v>2153</v>
      </c>
      <c r="C1741" s="4">
        <v>45905</v>
      </c>
      <c r="F1741" s="4">
        <v>46295</v>
      </c>
      <c r="G1741" t="s">
        <v>1108</v>
      </c>
      <c r="H1741" t="s">
        <v>1756</v>
      </c>
      <c r="K1741" t="s">
        <v>146</v>
      </c>
      <c r="L1741" t="s">
        <v>3121</v>
      </c>
      <c r="M1741" t="s">
        <v>68</v>
      </c>
      <c r="N1741" t="s">
        <v>3122</v>
      </c>
      <c r="O1741" t="s">
        <v>32</v>
      </c>
      <c r="P1741" t="s">
        <v>3931</v>
      </c>
      <c r="Q1741">
        <v>180</v>
      </c>
      <c r="R1741">
        <v>180</v>
      </c>
      <c r="S1741" t="s">
        <v>34</v>
      </c>
      <c r="T1741" t="s">
        <v>35</v>
      </c>
      <c r="U1741" t="s">
        <v>44</v>
      </c>
      <c r="W1741">
        <v>180</v>
      </c>
      <c r="X1741">
        <v>180</v>
      </c>
      <c r="Y1741">
        <v>0</v>
      </c>
      <c r="Z1741">
        <v>0</v>
      </c>
    </row>
    <row r="1742" spans="1:26" hidden="1" x14ac:dyDescent="0.25">
      <c r="A1742" t="s">
        <v>3932</v>
      </c>
      <c r="B1742" t="s">
        <v>2153</v>
      </c>
      <c r="C1742" s="4">
        <v>44819</v>
      </c>
      <c r="F1742" s="4">
        <v>45689</v>
      </c>
      <c r="G1742" t="s">
        <v>1368</v>
      </c>
      <c r="H1742" t="s">
        <v>3555</v>
      </c>
      <c r="K1742" t="s">
        <v>83</v>
      </c>
      <c r="L1742" t="s">
        <v>3121</v>
      </c>
      <c r="M1742" t="s">
        <v>42</v>
      </c>
      <c r="N1742" t="s">
        <v>3122</v>
      </c>
      <c r="O1742" t="s">
        <v>32</v>
      </c>
      <c r="P1742" t="s">
        <v>3933</v>
      </c>
      <c r="Q1742">
        <v>128</v>
      </c>
      <c r="R1742">
        <v>128</v>
      </c>
      <c r="S1742" t="s">
        <v>597</v>
      </c>
      <c r="T1742" t="s">
        <v>598</v>
      </c>
      <c r="U1742" t="s">
        <v>44</v>
      </c>
      <c r="W1742">
        <v>128</v>
      </c>
      <c r="X1742">
        <v>128</v>
      </c>
      <c r="Y1742">
        <v>0</v>
      </c>
      <c r="Z1742">
        <v>0</v>
      </c>
    </row>
    <row r="1743" spans="1:26" hidden="1" x14ac:dyDescent="0.25">
      <c r="A1743" t="s">
        <v>3934</v>
      </c>
      <c r="B1743" t="s">
        <v>2153</v>
      </c>
      <c r="C1743" s="4">
        <v>44818</v>
      </c>
      <c r="F1743" s="4">
        <v>46266</v>
      </c>
      <c r="H1743" t="s">
        <v>2617</v>
      </c>
      <c r="K1743" t="s">
        <v>683</v>
      </c>
      <c r="L1743" t="s">
        <v>3121</v>
      </c>
      <c r="M1743" t="s">
        <v>84</v>
      </c>
      <c r="N1743" t="s">
        <v>2160</v>
      </c>
      <c r="O1743" t="s">
        <v>32</v>
      </c>
      <c r="P1743" t="s">
        <v>3935</v>
      </c>
      <c r="Q1743">
        <v>100</v>
      </c>
      <c r="R1743">
        <v>100</v>
      </c>
      <c r="S1743" t="s">
        <v>34</v>
      </c>
      <c r="T1743" t="s">
        <v>35</v>
      </c>
      <c r="U1743" t="s">
        <v>44</v>
      </c>
      <c r="W1743">
        <v>100</v>
      </c>
      <c r="X1743">
        <v>100</v>
      </c>
      <c r="Y1743">
        <v>0</v>
      </c>
      <c r="Z1743">
        <v>0</v>
      </c>
    </row>
    <row r="1744" spans="1:26" hidden="1" x14ac:dyDescent="0.25">
      <c r="A1744" t="s">
        <v>3936</v>
      </c>
      <c r="B1744" t="s">
        <v>2153</v>
      </c>
      <c r="C1744" s="4">
        <v>44817</v>
      </c>
      <c r="F1744" s="4">
        <v>47164</v>
      </c>
      <c r="H1744" t="s">
        <v>3060</v>
      </c>
      <c r="K1744" t="s">
        <v>114</v>
      </c>
      <c r="L1744" t="s">
        <v>3121</v>
      </c>
      <c r="M1744" t="s">
        <v>68</v>
      </c>
      <c r="N1744" t="s">
        <v>3122</v>
      </c>
      <c r="O1744" t="s">
        <v>122</v>
      </c>
      <c r="P1744" t="s">
        <v>3937</v>
      </c>
      <c r="Q1744">
        <v>150</v>
      </c>
      <c r="R1744">
        <v>150</v>
      </c>
      <c r="S1744" t="s">
        <v>34</v>
      </c>
      <c r="T1744" t="s">
        <v>35</v>
      </c>
      <c r="U1744" t="s">
        <v>44</v>
      </c>
      <c r="W1744">
        <v>150</v>
      </c>
      <c r="X1744">
        <v>0</v>
      </c>
      <c r="Y1744">
        <v>0</v>
      </c>
      <c r="Z1744">
        <v>0</v>
      </c>
    </row>
    <row r="1745" spans="1:26" hidden="1" x14ac:dyDescent="0.25">
      <c r="A1745" t="s">
        <v>3938</v>
      </c>
      <c r="B1745" t="s">
        <v>38</v>
      </c>
      <c r="C1745" s="4">
        <v>44817</v>
      </c>
      <c r="D1745" s="4">
        <v>45869</v>
      </c>
      <c r="F1745" s="4">
        <v>46266</v>
      </c>
      <c r="G1745" t="s">
        <v>1311</v>
      </c>
      <c r="H1745" t="s">
        <v>3060</v>
      </c>
      <c r="K1745" t="s">
        <v>114</v>
      </c>
      <c r="L1745" t="s">
        <v>3121</v>
      </c>
      <c r="M1745" t="s">
        <v>68</v>
      </c>
      <c r="N1745" t="s">
        <v>3122</v>
      </c>
      <c r="O1745" t="s">
        <v>32</v>
      </c>
      <c r="P1745" t="s">
        <v>3939</v>
      </c>
      <c r="Q1745">
        <v>100</v>
      </c>
      <c r="R1745">
        <v>100</v>
      </c>
      <c r="S1745" t="s">
        <v>34</v>
      </c>
      <c r="T1745" t="s">
        <v>35</v>
      </c>
      <c r="U1745" t="s">
        <v>44</v>
      </c>
      <c r="W1745">
        <v>0</v>
      </c>
      <c r="X1745">
        <v>0</v>
      </c>
      <c r="Y1745">
        <v>0</v>
      </c>
      <c r="Z1745">
        <v>0</v>
      </c>
    </row>
    <row r="1746" spans="1:26" hidden="1" x14ac:dyDescent="0.25">
      <c r="A1746" t="s">
        <v>3940</v>
      </c>
      <c r="B1746" t="s">
        <v>2153</v>
      </c>
      <c r="C1746" s="4">
        <v>44817</v>
      </c>
      <c r="F1746" s="4">
        <v>46266</v>
      </c>
      <c r="G1746" t="s">
        <v>1326</v>
      </c>
      <c r="H1746" t="s">
        <v>1640</v>
      </c>
      <c r="K1746" t="s">
        <v>67</v>
      </c>
      <c r="L1746" t="s">
        <v>3121</v>
      </c>
      <c r="M1746" t="s">
        <v>68</v>
      </c>
      <c r="N1746" t="s">
        <v>3122</v>
      </c>
      <c r="O1746" t="s">
        <v>32</v>
      </c>
      <c r="P1746" t="s">
        <v>3941</v>
      </c>
      <c r="Q1746">
        <v>100</v>
      </c>
      <c r="R1746">
        <v>100</v>
      </c>
      <c r="S1746" t="s">
        <v>34</v>
      </c>
      <c r="T1746" t="s">
        <v>35</v>
      </c>
      <c r="U1746" t="s">
        <v>44</v>
      </c>
      <c r="W1746">
        <v>100</v>
      </c>
      <c r="X1746">
        <v>0</v>
      </c>
      <c r="Y1746">
        <v>0</v>
      </c>
      <c r="Z1746">
        <v>0</v>
      </c>
    </row>
    <row r="1747" spans="1:26" hidden="1" x14ac:dyDescent="0.25">
      <c r="A1747" t="s">
        <v>3942</v>
      </c>
      <c r="B1747" t="s">
        <v>38</v>
      </c>
      <c r="C1747" s="4">
        <v>44819</v>
      </c>
      <c r="D1747" s="4">
        <v>45869</v>
      </c>
      <c r="F1747" s="4">
        <v>46266</v>
      </c>
      <c r="G1747" t="s">
        <v>144</v>
      </c>
      <c r="H1747" t="s">
        <v>1302</v>
      </c>
      <c r="K1747" t="s">
        <v>146</v>
      </c>
      <c r="L1747" t="s">
        <v>3121</v>
      </c>
      <c r="M1747" t="s">
        <v>68</v>
      </c>
      <c r="N1747" t="s">
        <v>3122</v>
      </c>
      <c r="O1747" t="s">
        <v>32</v>
      </c>
      <c r="P1747" t="s">
        <v>2282</v>
      </c>
      <c r="Q1747">
        <v>175</v>
      </c>
      <c r="R1747">
        <v>175</v>
      </c>
      <c r="S1747" t="s">
        <v>34</v>
      </c>
      <c r="T1747" t="s">
        <v>35</v>
      </c>
      <c r="U1747" t="s">
        <v>44</v>
      </c>
      <c r="W1747">
        <v>0</v>
      </c>
      <c r="X1747">
        <v>0</v>
      </c>
      <c r="Y1747">
        <v>0</v>
      </c>
      <c r="Z1747">
        <v>0</v>
      </c>
    </row>
    <row r="1748" spans="1:26" hidden="1" x14ac:dyDescent="0.25">
      <c r="A1748" t="s">
        <v>3943</v>
      </c>
      <c r="B1748" t="s">
        <v>38</v>
      </c>
      <c r="C1748" s="4">
        <v>44819</v>
      </c>
      <c r="D1748" s="4">
        <v>45869</v>
      </c>
      <c r="F1748" s="4">
        <v>46266</v>
      </c>
      <c r="G1748" t="s">
        <v>1311</v>
      </c>
      <c r="H1748" t="s">
        <v>3944</v>
      </c>
      <c r="K1748" t="s">
        <v>114</v>
      </c>
      <c r="L1748" t="s">
        <v>3121</v>
      </c>
      <c r="M1748" t="s">
        <v>68</v>
      </c>
      <c r="N1748" t="s">
        <v>3122</v>
      </c>
      <c r="O1748" t="s">
        <v>32</v>
      </c>
      <c r="P1748" t="s">
        <v>3945</v>
      </c>
      <c r="Q1748">
        <v>50</v>
      </c>
      <c r="R1748">
        <v>50</v>
      </c>
      <c r="S1748" t="s">
        <v>34</v>
      </c>
      <c r="T1748" t="s">
        <v>35</v>
      </c>
      <c r="U1748" t="s">
        <v>44</v>
      </c>
      <c r="W1748">
        <v>0</v>
      </c>
      <c r="X1748">
        <v>0</v>
      </c>
      <c r="Y1748">
        <v>0</v>
      </c>
      <c r="Z1748">
        <v>0</v>
      </c>
    </row>
    <row r="1749" spans="1:26" hidden="1" x14ac:dyDescent="0.25">
      <c r="A1749" t="s">
        <v>3946</v>
      </c>
      <c r="B1749" t="s">
        <v>38</v>
      </c>
      <c r="C1749" s="4">
        <v>44819</v>
      </c>
      <c r="D1749" s="4">
        <v>45869</v>
      </c>
      <c r="F1749" s="4">
        <v>46266</v>
      </c>
      <c r="G1749" t="s">
        <v>1311</v>
      </c>
      <c r="H1749" t="s">
        <v>3947</v>
      </c>
      <c r="K1749" t="s">
        <v>114</v>
      </c>
      <c r="L1749" t="s">
        <v>3121</v>
      </c>
      <c r="M1749" t="s">
        <v>68</v>
      </c>
      <c r="N1749" t="s">
        <v>3122</v>
      </c>
      <c r="O1749" t="s">
        <v>32</v>
      </c>
      <c r="P1749" t="s">
        <v>3948</v>
      </c>
      <c r="Q1749">
        <v>90</v>
      </c>
      <c r="R1749">
        <v>90</v>
      </c>
      <c r="S1749" t="s">
        <v>34</v>
      </c>
      <c r="T1749" t="s">
        <v>35</v>
      </c>
      <c r="U1749" t="s">
        <v>44</v>
      </c>
      <c r="W1749">
        <v>0</v>
      </c>
      <c r="X1749">
        <v>0</v>
      </c>
      <c r="Y1749">
        <v>0</v>
      </c>
      <c r="Z1749">
        <v>0</v>
      </c>
    </row>
    <row r="1750" spans="1:26" hidden="1" x14ac:dyDescent="0.25">
      <c r="A1750" t="s">
        <v>3949</v>
      </c>
      <c r="B1750" t="s">
        <v>38</v>
      </c>
      <c r="C1750" s="4">
        <v>44819</v>
      </c>
      <c r="D1750" s="4">
        <v>45009</v>
      </c>
      <c r="F1750" s="4">
        <v>46207</v>
      </c>
      <c r="G1750" t="s">
        <v>138</v>
      </c>
      <c r="H1750" t="s">
        <v>1547</v>
      </c>
      <c r="K1750" t="s">
        <v>98</v>
      </c>
      <c r="L1750" t="s">
        <v>3121</v>
      </c>
      <c r="M1750" t="s">
        <v>84</v>
      </c>
      <c r="N1750" t="s">
        <v>2160</v>
      </c>
      <c r="O1750" t="s">
        <v>32</v>
      </c>
      <c r="P1750" t="s">
        <v>3950</v>
      </c>
      <c r="Q1750">
        <v>70</v>
      </c>
      <c r="R1750">
        <v>70</v>
      </c>
      <c r="S1750" t="s">
        <v>34</v>
      </c>
      <c r="T1750" t="s">
        <v>35</v>
      </c>
      <c r="U1750" t="s">
        <v>44</v>
      </c>
      <c r="W1750">
        <v>0</v>
      </c>
      <c r="X1750">
        <v>0</v>
      </c>
      <c r="Y1750">
        <v>0</v>
      </c>
      <c r="Z1750">
        <v>0</v>
      </c>
    </row>
    <row r="1751" spans="1:26" hidden="1" x14ac:dyDescent="0.25">
      <c r="A1751" t="s">
        <v>3951</v>
      </c>
      <c r="B1751" t="s">
        <v>2153</v>
      </c>
      <c r="C1751" s="4">
        <v>44819</v>
      </c>
      <c r="F1751" s="4">
        <v>46238</v>
      </c>
      <c r="G1751" t="s">
        <v>691</v>
      </c>
      <c r="H1751" t="s">
        <v>1676</v>
      </c>
      <c r="K1751" t="s">
        <v>98</v>
      </c>
      <c r="L1751" t="s">
        <v>3121</v>
      </c>
      <c r="M1751" t="s">
        <v>84</v>
      </c>
      <c r="N1751" t="s">
        <v>2160</v>
      </c>
      <c r="O1751" t="s">
        <v>32</v>
      </c>
      <c r="P1751" t="s">
        <v>3952</v>
      </c>
      <c r="Q1751">
        <v>160</v>
      </c>
      <c r="R1751">
        <v>160</v>
      </c>
      <c r="S1751" t="s">
        <v>34</v>
      </c>
      <c r="T1751" t="s">
        <v>35</v>
      </c>
      <c r="U1751" t="s">
        <v>44</v>
      </c>
      <c r="W1751">
        <v>160</v>
      </c>
      <c r="X1751">
        <v>160</v>
      </c>
      <c r="Y1751">
        <v>0</v>
      </c>
      <c r="Z1751">
        <v>0</v>
      </c>
    </row>
    <row r="1752" spans="1:26" hidden="1" x14ac:dyDescent="0.25">
      <c r="A1752" t="s">
        <v>3953</v>
      </c>
      <c r="B1752" t="s">
        <v>38</v>
      </c>
      <c r="C1752" s="4">
        <v>44819</v>
      </c>
      <c r="D1752" s="4">
        <v>45937</v>
      </c>
      <c r="F1752" s="4">
        <v>46238</v>
      </c>
      <c r="G1752" t="s">
        <v>177</v>
      </c>
      <c r="H1752" t="s">
        <v>3954</v>
      </c>
      <c r="K1752" t="s">
        <v>41</v>
      </c>
      <c r="L1752" t="s">
        <v>3121</v>
      </c>
      <c r="M1752" t="s">
        <v>42</v>
      </c>
      <c r="N1752" t="s">
        <v>3122</v>
      </c>
      <c r="O1752" t="s">
        <v>32</v>
      </c>
      <c r="P1752" t="s">
        <v>3955</v>
      </c>
      <c r="Q1752">
        <v>150</v>
      </c>
      <c r="R1752">
        <v>150</v>
      </c>
      <c r="S1752" t="s">
        <v>34</v>
      </c>
      <c r="T1752" t="s">
        <v>35</v>
      </c>
      <c r="U1752" t="s">
        <v>44</v>
      </c>
      <c r="W1752">
        <v>0</v>
      </c>
      <c r="X1752">
        <v>0</v>
      </c>
      <c r="Y1752">
        <v>0</v>
      </c>
      <c r="Z1752">
        <v>0</v>
      </c>
    </row>
    <row r="1753" spans="1:26" hidden="1" x14ac:dyDescent="0.25">
      <c r="A1753" t="s">
        <v>3956</v>
      </c>
      <c r="B1753" t="s">
        <v>2153</v>
      </c>
      <c r="C1753" s="4">
        <v>44819</v>
      </c>
      <c r="F1753" s="4">
        <v>46238</v>
      </c>
      <c r="G1753" t="s">
        <v>1499</v>
      </c>
      <c r="H1753" t="s">
        <v>2356</v>
      </c>
      <c r="K1753" t="s">
        <v>41</v>
      </c>
      <c r="L1753" t="s">
        <v>3121</v>
      </c>
      <c r="M1753" t="s">
        <v>42</v>
      </c>
      <c r="N1753" t="s">
        <v>3122</v>
      </c>
      <c r="O1753" t="s">
        <v>32</v>
      </c>
      <c r="P1753" t="s">
        <v>3957</v>
      </c>
      <c r="Q1753">
        <v>150</v>
      </c>
      <c r="R1753">
        <v>150</v>
      </c>
      <c r="S1753" t="s">
        <v>34</v>
      </c>
      <c r="T1753" t="s">
        <v>35</v>
      </c>
      <c r="U1753" t="s">
        <v>44</v>
      </c>
      <c r="W1753">
        <v>150</v>
      </c>
      <c r="X1753">
        <v>150</v>
      </c>
      <c r="Y1753">
        <v>0</v>
      </c>
      <c r="Z1753">
        <v>0</v>
      </c>
    </row>
    <row r="1754" spans="1:26" hidden="1" x14ac:dyDescent="0.25">
      <c r="A1754" t="s">
        <v>3958</v>
      </c>
      <c r="B1754" t="s">
        <v>2153</v>
      </c>
      <c r="C1754" s="4">
        <v>45890</v>
      </c>
      <c r="F1754" s="4">
        <v>46023</v>
      </c>
      <c r="H1754" t="s">
        <v>3380</v>
      </c>
      <c r="K1754" t="s">
        <v>67</v>
      </c>
      <c r="L1754" t="s">
        <v>3121</v>
      </c>
      <c r="M1754" t="s">
        <v>68</v>
      </c>
      <c r="N1754" t="s">
        <v>3122</v>
      </c>
      <c r="O1754" t="s">
        <v>122</v>
      </c>
      <c r="P1754" t="s">
        <v>3959</v>
      </c>
      <c r="Q1754">
        <v>197.5</v>
      </c>
      <c r="R1754">
        <v>197.5</v>
      </c>
      <c r="S1754" t="s">
        <v>34</v>
      </c>
      <c r="T1754" t="s">
        <v>35</v>
      </c>
      <c r="U1754" t="s">
        <v>44</v>
      </c>
      <c r="W1754">
        <v>197.5</v>
      </c>
      <c r="X1754">
        <v>0</v>
      </c>
      <c r="Y1754">
        <v>0</v>
      </c>
      <c r="Z1754">
        <v>0</v>
      </c>
    </row>
    <row r="1755" spans="1:26" hidden="1" x14ac:dyDescent="0.25">
      <c r="A1755" t="s">
        <v>3960</v>
      </c>
      <c r="B1755" t="s">
        <v>2153</v>
      </c>
      <c r="C1755" s="4">
        <v>44818</v>
      </c>
      <c r="F1755" s="4">
        <v>46023</v>
      </c>
      <c r="G1755" t="s">
        <v>1753</v>
      </c>
      <c r="H1755" t="s">
        <v>3054</v>
      </c>
      <c r="K1755" t="s">
        <v>114</v>
      </c>
      <c r="L1755" t="s">
        <v>3121</v>
      </c>
      <c r="M1755" t="s">
        <v>68</v>
      </c>
      <c r="N1755" t="s">
        <v>3122</v>
      </c>
      <c r="O1755" t="s">
        <v>122</v>
      </c>
      <c r="P1755" t="s">
        <v>3961</v>
      </c>
      <c r="Q1755">
        <v>125</v>
      </c>
      <c r="R1755">
        <v>125</v>
      </c>
      <c r="S1755" t="s">
        <v>34</v>
      </c>
      <c r="T1755" t="s">
        <v>35</v>
      </c>
      <c r="U1755" t="s">
        <v>44</v>
      </c>
      <c r="W1755">
        <v>125</v>
      </c>
      <c r="X1755">
        <v>0</v>
      </c>
      <c r="Y1755">
        <v>0</v>
      </c>
      <c r="Z1755">
        <v>0</v>
      </c>
    </row>
    <row r="1756" spans="1:26" hidden="1" x14ac:dyDescent="0.25">
      <c r="A1756" t="s">
        <v>3962</v>
      </c>
      <c r="B1756" t="s">
        <v>2153</v>
      </c>
      <c r="C1756" s="4">
        <v>44819</v>
      </c>
      <c r="F1756" s="4">
        <v>46023</v>
      </c>
      <c r="G1756" t="s">
        <v>1753</v>
      </c>
      <c r="H1756" t="s">
        <v>2013</v>
      </c>
      <c r="K1756" t="s">
        <v>114</v>
      </c>
      <c r="L1756" t="s">
        <v>3121</v>
      </c>
      <c r="M1756" t="s">
        <v>68</v>
      </c>
      <c r="N1756" t="s">
        <v>3122</v>
      </c>
      <c r="O1756" t="s">
        <v>122</v>
      </c>
      <c r="P1756" t="s">
        <v>3963</v>
      </c>
      <c r="Q1756">
        <v>110</v>
      </c>
      <c r="R1756">
        <v>110</v>
      </c>
      <c r="S1756" t="s">
        <v>34</v>
      </c>
      <c r="T1756" t="s">
        <v>35</v>
      </c>
      <c r="U1756" t="s">
        <v>44</v>
      </c>
      <c r="W1756">
        <v>110</v>
      </c>
      <c r="X1756">
        <v>0</v>
      </c>
      <c r="Y1756">
        <v>0</v>
      </c>
      <c r="Z1756">
        <v>0</v>
      </c>
    </row>
    <row r="1757" spans="1:26" hidden="1" x14ac:dyDescent="0.25">
      <c r="A1757" t="s">
        <v>3964</v>
      </c>
      <c r="B1757" t="s">
        <v>2153</v>
      </c>
      <c r="C1757" s="4">
        <v>45890</v>
      </c>
      <c r="F1757" s="4">
        <v>46023</v>
      </c>
      <c r="H1757" t="s">
        <v>3851</v>
      </c>
      <c r="K1757" t="s">
        <v>146</v>
      </c>
      <c r="L1757" t="s">
        <v>3121</v>
      </c>
      <c r="M1757" t="s">
        <v>68</v>
      </c>
      <c r="N1757" t="s">
        <v>3122</v>
      </c>
      <c r="O1757" t="s">
        <v>122</v>
      </c>
      <c r="P1757" t="s">
        <v>3965</v>
      </c>
      <c r="Q1757">
        <v>200</v>
      </c>
      <c r="R1757">
        <v>200</v>
      </c>
      <c r="S1757" t="s">
        <v>34</v>
      </c>
      <c r="T1757" t="s">
        <v>35</v>
      </c>
      <c r="U1757" t="s">
        <v>44</v>
      </c>
      <c r="W1757">
        <v>200</v>
      </c>
      <c r="X1757">
        <v>0</v>
      </c>
      <c r="Y1757">
        <v>0</v>
      </c>
      <c r="Z1757">
        <v>0</v>
      </c>
    </row>
    <row r="1758" spans="1:26" hidden="1" x14ac:dyDescent="0.25">
      <c r="A1758" t="s">
        <v>3966</v>
      </c>
      <c r="B1758" t="s">
        <v>2153</v>
      </c>
      <c r="C1758" s="4">
        <v>44819</v>
      </c>
      <c r="F1758" s="4">
        <v>46023</v>
      </c>
      <c r="G1758" t="s">
        <v>1749</v>
      </c>
      <c r="H1758" t="s">
        <v>2356</v>
      </c>
      <c r="K1758" t="s">
        <v>151</v>
      </c>
      <c r="L1758" t="s">
        <v>3121</v>
      </c>
      <c r="M1758" t="s">
        <v>68</v>
      </c>
      <c r="N1758" t="s">
        <v>3122</v>
      </c>
      <c r="O1758" t="s">
        <v>122</v>
      </c>
      <c r="P1758" t="s">
        <v>3967</v>
      </c>
      <c r="Q1758">
        <v>170</v>
      </c>
      <c r="R1758">
        <v>170</v>
      </c>
      <c r="S1758" t="s">
        <v>34</v>
      </c>
      <c r="T1758" t="s">
        <v>35</v>
      </c>
      <c r="U1758" t="s">
        <v>44</v>
      </c>
      <c r="W1758">
        <v>170</v>
      </c>
      <c r="X1758">
        <v>0</v>
      </c>
      <c r="Y1758">
        <v>0</v>
      </c>
      <c r="Z1758">
        <v>0</v>
      </c>
    </row>
    <row r="1759" spans="1:26" hidden="1" x14ac:dyDescent="0.25">
      <c r="A1759" t="s">
        <v>3968</v>
      </c>
      <c r="B1759" t="s">
        <v>38</v>
      </c>
      <c r="C1759" s="4">
        <v>44819</v>
      </c>
      <c r="D1759" s="4">
        <v>45862</v>
      </c>
      <c r="F1759" s="4">
        <v>45961</v>
      </c>
      <c r="G1759" t="s">
        <v>65</v>
      </c>
      <c r="H1759" t="s">
        <v>1663</v>
      </c>
      <c r="K1759" t="s">
        <v>67</v>
      </c>
      <c r="L1759" t="s">
        <v>3121</v>
      </c>
      <c r="M1759" t="s">
        <v>68</v>
      </c>
      <c r="N1759" t="s">
        <v>3122</v>
      </c>
      <c r="O1759" t="s">
        <v>32</v>
      </c>
      <c r="P1759" t="s">
        <v>3969</v>
      </c>
      <c r="Q1759">
        <v>100</v>
      </c>
      <c r="R1759">
        <v>100</v>
      </c>
      <c r="S1759" t="s">
        <v>34</v>
      </c>
      <c r="T1759" t="s">
        <v>35</v>
      </c>
      <c r="U1759" t="s">
        <v>44</v>
      </c>
      <c r="W1759">
        <v>0</v>
      </c>
      <c r="X1759">
        <v>0</v>
      </c>
      <c r="Y1759">
        <v>0</v>
      </c>
      <c r="Z1759">
        <v>0</v>
      </c>
    </row>
    <row r="1760" spans="1:26" hidden="1" x14ac:dyDescent="0.25">
      <c r="A1760" t="s">
        <v>3970</v>
      </c>
      <c r="B1760" t="s">
        <v>2153</v>
      </c>
      <c r="C1760" s="4">
        <v>44813</v>
      </c>
      <c r="F1760" s="4">
        <v>45962</v>
      </c>
      <c r="G1760" t="s">
        <v>173</v>
      </c>
      <c r="H1760" t="s">
        <v>1396</v>
      </c>
      <c r="K1760" t="s">
        <v>683</v>
      </c>
      <c r="L1760" t="s">
        <v>3121</v>
      </c>
      <c r="M1760" t="s">
        <v>84</v>
      </c>
      <c r="N1760" t="s">
        <v>2160</v>
      </c>
      <c r="O1760" t="s">
        <v>32</v>
      </c>
      <c r="P1760" t="s">
        <v>3971</v>
      </c>
      <c r="Q1760">
        <v>42</v>
      </c>
      <c r="R1760">
        <v>42</v>
      </c>
      <c r="S1760" t="s">
        <v>34</v>
      </c>
      <c r="T1760" t="s">
        <v>35</v>
      </c>
      <c r="U1760" t="s">
        <v>44</v>
      </c>
      <c r="W1760">
        <v>42</v>
      </c>
      <c r="X1760">
        <v>42</v>
      </c>
      <c r="Y1760">
        <v>0</v>
      </c>
      <c r="Z1760">
        <v>0</v>
      </c>
    </row>
    <row r="1761" spans="1:26" hidden="1" x14ac:dyDescent="0.25">
      <c r="A1761" t="s">
        <v>3972</v>
      </c>
      <c r="B1761" t="s">
        <v>2153</v>
      </c>
      <c r="C1761" s="4">
        <v>45947</v>
      </c>
      <c r="F1761" s="4">
        <v>46143</v>
      </c>
      <c r="G1761" t="s">
        <v>1368</v>
      </c>
      <c r="H1761" t="s">
        <v>3973</v>
      </c>
      <c r="K1761" t="s">
        <v>209</v>
      </c>
      <c r="L1761" t="s">
        <v>3121</v>
      </c>
      <c r="M1761" t="s">
        <v>42</v>
      </c>
      <c r="N1761" t="s">
        <v>3122</v>
      </c>
      <c r="O1761" t="s">
        <v>122</v>
      </c>
      <c r="P1761" t="s">
        <v>3974</v>
      </c>
      <c r="Q1761">
        <v>160.30000000000001</v>
      </c>
      <c r="R1761">
        <v>160.30000000000001</v>
      </c>
      <c r="S1761" t="s">
        <v>34</v>
      </c>
      <c r="T1761" t="s">
        <v>35</v>
      </c>
      <c r="U1761" t="s">
        <v>44</v>
      </c>
      <c r="W1761">
        <v>160.30000000000001</v>
      </c>
      <c r="X1761">
        <v>0</v>
      </c>
      <c r="Y1761">
        <v>0</v>
      </c>
      <c r="Z1761">
        <v>0</v>
      </c>
    </row>
    <row r="1762" spans="1:26" hidden="1" x14ac:dyDescent="0.25">
      <c r="A1762" t="s">
        <v>3975</v>
      </c>
      <c r="B1762" t="s">
        <v>38</v>
      </c>
      <c r="C1762" s="4">
        <v>44819</v>
      </c>
      <c r="D1762" s="4">
        <v>44984</v>
      </c>
      <c r="F1762" s="4">
        <v>45961</v>
      </c>
      <c r="G1762" t="s">
        <v>65</v>
      </c>
      <c r="H1762" t="s">
        <v>1279</v>
      </c>
      <c r="K1762" t="s">
        <v>67</v>
      </c>
      <c r="L1762" t="s">
        <v>3121</v>
      </c>
      <c r="M1762" t="s">
        <v>68</v>
      </c>
      <c r="N1762" t="s">
        <v>3122</v>
      </c>
      <c r="O1762" t="s">
        <v>32</v>
      </c>
      <c r="P1762" t="s">
        <v>3976</v>
      </c>
      <c r="Q1762">
        <v>500</v>
      </c>
      <c r="R1762">
        <v>500</v>
      </c>
      <c r="S1762" t="s">
        <v>34</v>
      </c>
      <c r="T1762" t="s">
        <v>35</v>
      </c>
      <c r="U1762" t="s">
        <v>44</v>
      </c>
      <c r="W1762">
        <v>0</v>
      </c>
      <c r="X1762">
        <v>0</v>
      </c>
      <c r="Y1762">
        <v>0</v>
      </c>
      <c r="Z1762">
        <v>0</v>
      </c>
    </row>
    <row r="1763" spans="1:26" hidden="1" x14ac:dyDescent="0.25">
      <c r="A1763" t="s">
        <v>3977</v>
      </c>
      <c r="B1763" t="s">
        <v>2338</v>
      </c>
      <c r="C1763" s="4">
        <v>45181</v>
      </c>
      <c r="F1763" s="4">
        <v>47164</v>
      </c>
      <c r="H1763" t="s">
        <v>2482</v>
      </c>
      <c r="K1763" t="s">
        <v>67</v>
      </c>
      <c r="L1763" t="s">
        <v>3121</v>
      </c>
      <c r="M1763" t="s">
        <v>68</v>
      </c>
      <c r="N1763" t="s">
        <v>3122</v>
      </c>
      <c r="O1763" t="s">
        <v>122</v>
      </c>
      <c r="P1763" t="s">
        <v>2488</v>
      </c>
      <c r="Q1763">
        <v>170</v>
      </c>
      <c r="R1763">
        <v>170</v>
      </c>
      <c r="S1763" t="s">
        <v>34</v>
      </c>
      <c r="T1763" t="s">
        <v>35</v>
      </c>
      <c r="U1763" t="s">
        <v>44</v>
      </c>
      <c r="W1763">
        <v>170</v>
      </c>
      <c r="X1763">
        <v>0</v>
      </c>
      <c r="Y1763">
        <v>0</v>
      </c>
      <c r="Z1763">
        <v>0</v>
      </c>
    </row>
    <row r="1764" spans="1:26" hidden="1" x14ac:dyDescent="0.25">
      <c r="A1764" t="s">
        <v>3978</v>
      </c>
      <c r="B1764" t="s">
        <v>38</v>
      </c>
      <c r="C1764" s="4">
        <v>44819</v>
      </c>
      <c r="D1764" s="4">
        <v>45957</v>
      </c>
      <c r="F1764" s="4">
        <v>46539</v>
      </c>
      <c r="G1764" t="s">
        <v>1597</v>
      </c>
      <c r="H1764" t="s">
        <v>1265</v>
      </c>
      <c r="K1764" t="s">
        <v>41</v>
      </c>
      <c r="L1764" t="s">
        <v>3121</v>
      </c>
      <c r="M1764" t="s">
        <v>42</v>
      </c>
      <c r="N1764" t="s">
        <v>3122</v>
      </c>
      <c r="O1764" t="s">
        <v>32</v>
      </c>
      <c r="P1764" t="s">
        <v>3979</v>
      </c>
      <c r="Q1764">
        <v>68</v>
      </c>
      <c r="R1764">
        <v>68</v>
      </c>
      <c r="S1764" t="s">
        <v>597</v>
      </c>
      <c r="T1764" t="s">
        <v>598</v>
      </c>
      <c r="U1764" t="s">
        <v>44</v>
      </c>
      <c r="W1764">
        <v>0</v>
      </c>
      <c r="X1764">
        <v>0</v>
      </c>
      <c r="Y1764">
        <v>0</v>
      </c>
      <c r="Z1764">
        <v>0</v>
      </c>
    </row>
    <row r="1765" spans="1:26" hidden="1" x14ac:dyDescent="0.25">
      <c r="A1765" t="s">
        <v>3980</v>
      </c>
      <c r="B1765" t="s">
        <v>2153</v>
      </c>
      <c r="C1765" s="4">
        <v>44819</v>
      </c>
      <c r="F1765" s="4">
        <v>47389</v>
      </c>
      <c r="G1765" t="s">
        <v>2365</v>
      </c>
      <c r="H1765" t="s">
        <v>1258</v>
      </c>
      <c r="K1765" t="s">
        <v>114</v>
      </c>
      <c r="L1765" t="s">
        <v>3121</v>
      </c>
      <c r="M1765" t="s">
        <v>68</v>
      </c>
      <c r="N1765" t="s">
        <v>3122</v>
      </c>
      <c r="O1765" t="s">
        <v>32</v>
      </c>
      <c r="P1765" t="s">
        <v>1645</v>
      </c>
      <c r="Q1765">
        <v>100</v>
      </c>
      <c r="R1765">
        <v>100</v>
      </c>
      <c r="S1765" t="s">
        <v>34</v>
      </c>
      <c r="T1765" t="s">
        <v>35</v>
      </c>
      <c r="U1765" t="s">
        <v>44</v>
      </c>
      <c r="W1765">
        <v>100</v>
      </c>
      <c r="X1765">
        <v>100</v>
      </c>
      <c r="Y1765">
        <v>0</v>
      </c>
      <c r="Z1765">
        <v>0</v>
      </c>
    </row>
    <row r="1766" spans="1:26" hidden="1" x14ac:dyDescent="0.25">
      <c r="A1766" t="s">
        <v>3981</v>
      </c>
      <c r="B1766" t="s">
        <v>38</v>
      </c>
      <c r="C1766" s="4">
        <v>44818</v>
      </c>
      <c r="D1766" s="4">
        <v>44998</v>
      </c>
      <c r="F1766" s="4">
        <v>45966</v>
      </c>
      <c r="G1766" t="s">
        <v>117</v>
      </c>
      <c r="H1766" t="s">
        <v>1711</v>
      </c>
      <c r="K1766" t="s">
        <v>83</v>
      </c>
      <c r="L1766" t="s">
        <v>3121</v>
      </c>
      <c r="M1766" t="s">
        <v>84</v>
      </c>
      <c r="N1766" t="s">
        <v>2160</v>
      </c>
      <c r="O1766" t="s">
        <v>32</v>
      </c>
      <c r="P1766" t="s">
        <v>3982</v>
      </c>
      <c r="Q1766">
        <v>200</v>
      </c>
      <c r="R1766">
        <v>200</v>
      </c>
      <c r="S1766" t="s">
        <v>159</v>
      </c>
      <c r="T1766" t="s">
        <v>159</v>
      </c>
      <c r="U1766" t="s">
        <v>44</v>
      </c>
      <c r="W1766">
        <v>0</v>
      </c>
      <c r="X1766">
        <v>0</v>
      </c>
      <c r="Y1766">
        <v>0</v>
      </c>
      <c r="Z1766">
        <v>0</v>
      </c>
    </row>
    <row r="1767" spans="1:26" hidden="1" x14ac:dyDescent="0.25">
      <c r="A1767" t="s">
        <v>3983</v>
      </c>
      <c r="B1767" t="s">
        <v>2153</v>
      </c>
      <c r="C1767" s="4">
        <v>44818</v>
      </c>
      <c r="F1767" s="4">
        <v>45997</v>
      </c>
      <c r="G1767" t="s">
        <v>1753</v>
      </c>
      <c r="H1767" t="s">
        <v>3060</v>
      </c>
      <c r="K1767" t="s">
        <v>114</v>
      </c>
      <c r="L1767" t="s">
        <v>3121</v>
      </c>
      <c r="M1767" t="s">
        <v>68</v>
      </c>
      <c r="N1767" t="s">
        <v>3122</v>
      </c>
      <c r="O1767" t="s">
        <v>122</v>
      </c>
      <c r="P1767" t="s">
        <v>3570</v>
      </c>
      <c r="Q1767">
        <v>100</v>
      </c>
      <c r="R1767">
        <v>100</v>
      </c>
      <c r="S1767" t="s">
        <v>597</v>
      </c>
      <c r="T1767" t="s">
        <v>598</v>
      </c>
      <c r="U1767" t="s">
        <v>44</v>
      </c>
      <c r="W1767">
        <v>100</v>
      </c>
      <c r="X1767">
        <v>0</v>
      </c>
      <c r="Y1767">
        <v>0</v>
      </c>
      <c r="Z1767">
        <v>0</v>
      </c>
    </row>
    <row r="1768" spans="1:26" hidden="1" x14ac:dyDescent="0.25">
      <c r="A1768" t="s">
        <v>3984</v>
      </c>
      <c r="B1768" t="s">
        <v>2153</v>
      </c>
      <c r="C1768" s="4">
        <v>45862</v>
      </c>
      <c r="F1768" s="4">
        <v>45997</v>
      </c>
      <c r="G1768" t="s">
        <v>1326</v>
      </c>
      <c r="H1768" t="s">
        <v>3195</v>
      </c>
      <c r="K1768" t="s">
        <v>67</v>
      </c>
      <c r="L1768" t="s">
        <v>3121</v>
      </c>
      <c r="M1768" t="s">
        <v>68</v>
      </c>
      <c r="N1768" t="s">
        <v>3122</v>
      </c>
      <c r="O1768" t="s">
        <v>32</v>
      </c>
      <c r="P1768" t="s">
        <v>3985</v>
      </c>
      <c r="Q1768">
        <v>150</v>
      </c>
      <c r="R1768">
        <v>150</v>
      </c>
      <c r="S1768" t="s">
        <v>597</v>
      </c>
      <c r="T1768" t="s">
        <v>598</v>
      </c>
      <c r="U1768" t="s">
        <v>44</v>
      </c>
      <c r="W1768">
        <v>150</v>
      </c>
      <c r="X1768">
        <v>150</v>
      </c>
      <c r="Y1768">
        <v>0</v>
      </c>
      <c r="Z1768">
        <v>0</v>
      </c>
    </row>
    <row r="1769" spans="1:26" hidden="1" x14ac:dyDescent="0.25">
      <c r="A1769" t="s">
        <v>3986</v>
      </c>
      <c r="B1769" t="s">
        <v>38</v>
      </c>
      <c r="C1769" s="4">
        <v>44819</v>
      </c>
      <c r="D1769" s="4">
        <v>45869</v>
      </c>
      <c r="F1769" s="4">
        <v>45997</v>
      </c>
      <c r="G1769" t="s">
        <v>144</v>
      </c>
      <c r="H1769" t="s">
        <v>1496</v>
      </c>
      <c r="K1769" t="s">
        <v>146</v>
      </c>
      <c r="L1769" t="s">
        <v>3121</v>
      </c>
      <c r="M1769" t="s">
        <v>68</v>
      </c>
      <c r="N1769" t="s">
        <v>3122</v>
      </c>
      <c r="O1769" t="s">
        <v>32</v>
      </c>
      <c r="P1769" t="s">
        <v>3987</v>
      </c>
      <c r="Q1769">
        <v>100</v>
      </c>
      <c r="R1769">
        <v>100</v>
      </c>
      <c r="S1769" t="s">
        <v>597</v>
      </c>
      <c r="T1769" t="s">
        <v>598</v>
      </c>
      <c r="U1769" t="s">
        <v>44</v>
      </c>
      <c r="W1769">
        <v>0</v>
      </c>
      <c r="X1769">
        <v>0</v>
      </c>
      <c r="Y1769">
        <v>0</v>
      </c>
      <c r="Z1769">
        <v>0</v>
      </c>
    </row>
    <row r="1770" spans="1:26" hidden="1" x14ac:dyDescent="0.25">
      <c r="A1770" t="s">
        <v>3988</v>
      </c>
      <c r="B1770" t="s">
        <v>38</v>
      </c>
      <c r="C1770" s="4">
        <v>45159</v>
      </c>
      <c r="D1770" s="4">
        <v>46009</v>
      </c>
      <c r="F1770" s="4">
        <v>45658</v>
      </c>
      <c r="G1770" t="s">
        <v>101</v>
      </c>
      <c r="H1770" t="s">
        <v>1986</v>
      </c>
      <c r="K1770" t="s">
        <v>98</v>
      </c>
      <c r="L1770" t="s">
        <v>3121</v>
      </c>
      <c r="M1770" t="s">
        <v>84</v>
      </c>
      <c r="N1770" t="s">
        <v>2160</v>
      </c>
      <c r="O1770" t="s">
        <v>32</v>
      </c>
      <c r="P1770" t="s">
        <v>1345</v>
      </c>
      <c r="Q1770">
        <v>190</v>
      </c>
      <c r="R1770">
        <v>190</v>
      </c>
      <c r="S1770" t="s">
        <v>159</v>
      </c>
      <c r="T1770" t="s">
        <v>159</v>
      </c>
      <c r="U1770" t="s">
        <v>44</v>
      </c>
      <c r="W1770">
        <v>190</v>
      </c>
      <c r="X1770">
        <v>190</v>
      </c>
      <c r="Y1770">
        <v>0</v>
      </c>
      <c r="Z1770">
        <v>0</v>
      </c>
    </row>
    <row r="1771" spans="1:26" hidden="1" x14ac:dyDescent="0.25">
      <c r="A1771" t="s">
        <v>3989</v>
      </c>
      <c r="B1771" t="s">
        <v>38</v>
      </c>
      <c r="C1771" s="4">
        <v>44819</v>
      </c>
      <c r="D1771" s="4">
        <v>45869</v>
      </c>
      <c r="F1771" s="4">
        <v>46238</v>
      </c>
      <c r="G1771" t="s">
        <v>149</v>
      </c>
      <c r="H1771" t="s">
        <v>1962</v>
      </c>
      <c r="K1771" t="s">
        <v>151</v>
      </c>
      <c r="L1771" t="s">
        <v>3121</v>
      </c>
      <c r="M1771" t="s">
        <v>68</v>
      </c>
      <c r="N1771" t="s">
        <v>3122</v>
      </c>
      <c r="O1771" t="s">
        <v>32</v>
      </c>
      <c r="P1771" t="s">
        <v>3990</v>
      </c>
      <c r="Q1771">
        <v>200</v>
      </c>
      <c r="R1771">
        <v>200</v>
      </c>
      <c r="S1771" t="s">
        <v>34</v>
      </c>
      <c r="T1771" t="s">
        <v>35</v>
      </c>
      <c r="U1771" t="s">
        <v>44</v>
      </c>
      <c r="W1771">
        <v>0</v>
      </c>
      <c r="X1771">
        <v>0</v>
      </c>
      <c r="Y1771">
        <v>0</v>
      </c>
      <c r="Z1771">
        <v>0</v>
      </c>
    </row>
    <row r="1772" spans="1:26" hidden="1" x14ac:dyDescent="0.25">
      <c r="A1772" t="s">
        <v>3991</v>
      </c>
      <c r="B1772" t="s">
        <v>38</v>
      </c>
      <c r="C1772" s="4">
        <v>44818</v>
      </c>
      <c r="D1772" s="4">
        <v>45869</v>
      </c>
      <c r="F1772" s="4">
        <v>46266</v>
      </c>
      <c r="G1772" t="s">
        <v>1311</v>
      </c>
      <c r="H1772" t="s">
        <v>3054</v>
      </c>
      <c r="K1772" t="s">
        <v>114</v>
      </c>
      <c r="L1772" t="s">
        <v>3121</v>
      </c>
      <c r="M1772" t="s">
        <v>68</v>
      </c>
      <c r="N1772" t="s">
        <v>3122</v>
      </c>
      <c r="O1772" t="s">
        <v>32</v>
      </c>
      <c r="P1772" t="s">
        <v>3992</v>
      </c>
      <c r="Q1772">
        <v>120</v>
      </c>
      <c r="R1772">
        <v>120</v>
      </c>
      <c r="S1772" t="s">
        <v>34</v>
      </c>
      <c r="T1772" t="s">
        <v>35</v>
      </c>
      <c r="U1772" t="s">
        <v>44</v>
      </c>
      <c r="W1772">
        <v>0</v>
      </c>
      <c r="X1772">
        <v>0</v>
      </c>
      <c r="Y1772">
        <v>0</v>
      </c>
      <c r="Z1772">
        <v>0</v>
      </c>
    </row>
    <row r="1773" spans="1:26" hidden="1" x14ac:dyDescent="0.25">
      <c r="A1773" t="s">
        <v>3993</v>
      </c>
      <c r="B1773" t="s">
        <v>38</v>
      </c>
      <c r="C1773" s="4">
        <v>44818</v>
      </c>
      <c r="D1773" s="4">
        <v>45869</v>
      </c>
      <c r="F1773" s="4">
        <v>46266</v>
      </c>
      <c r="G1773" t="s">
        <v>144</v>
      </c>
      <c r="H1773" t="s">
        <v>3086</v>
      </c>
      <c r="K1773" t="s">
        <v>146</v>
      </c>
      <c r="L1773" t="s">
        <v>3121</v>
      </c>
      <c r="M1773" t="s">
        <v>68</v>
      </c>
      <c r="N1773" t="s">
        <v>3122</v>
      </c>
      <c r="O1773" t="s">
        <v>32</v>
      </c>
      <c r="P1773" t="s">
        <v>3994</v>
      </c>
      <c r="Q1773">
        <v>200</v>
      </c>
      <c r="R1773">
        <v>200</v>
      </c>
      <c r="S1773" t="s">
        <v>34</v>
      </c>
      <c r="T1773" t="s">
        <v>35</v>
      </c>
      <c r="U1773" t="s">
        <v>44</v>
      </c>
      <c r="W1773">
        <v>0</v>
      </c>
      <c r="X1773">
        <v>0</v>
      </c>
      <c r="Y1773">
        <v>0</v>
      </c>
      <c r="Z1773">
        <v>0</v>
      </c>
    </row>
    <row r="1774" spans="1:26" hidden="1" x14ac:dyDescent="0.25">
      <c r="A1774" t="s">
        <v>3995</v>
      </c>
      <c r="B1774" t="s">
        <v>38</v>
      </c>
      <c r="C1774" s="4">
        <v>45181</v>
      </c>
      <c r="D1774" s="4">
        <v>45869</v>
      </c>
      <c r="F1774" s="4">
        <v>46266</v>
      </c>
      <c r="G1774" t="s">
        <v>616</v>
      </c>
      <c r="H1774" t="s">
        <v>1505</v>
      </c>
      <c r="K1774" t="s">
        <v>146</v>
      </c>
      <c r="L1774" t="s">
        <v>3121</v>
      </c>
      <c r="M1774" t="s">
        <v>68</v>
      </c>
      <c r="N1774" t="s">
        <v>3122</v>
      </c>
      <c r="O1774" t="s">
        <v>32</v>
      </c>
      <c r="P1774" t="s">
        <v>3996</v>
      </c>
      <c r="Q1774">
        <v>125</v>
      </c>
      <c r="R1774">
        <v>125</v>
      </c>
      <c r="S1774" t="s">
        <v>34</v>
      </c>
      <c r="T1774" t="s">
        <v>35</v>
      </c>
      <c r="U1774" t="s">
        <v>44</v>
      </c>
      <c r="W1774">
        <v>0</v>
      </c>
      <c r="X1774">
        <v>0</v>
      </c>
      <c r="Y1774">
        <v>0</v>
      </c>
      <c r="Z1774">
        <v>0</v>
      </c>
    </row>
    <row r="1775" spans="1:26" hidden="1" x14ac:dyDescent="0.25">
      <c r="A1775" t="s">
        <v>3997</v>
      </c>
      <c r="B1775" t="s">
        <v>38</v>
      </c>
      <c r="C1775" s="4">
        <v>44819</v>
      </c>
      <c r="D1775" s="4">
        <v>45869</v>
      </c>
      <c r="F1775" s="4">
        <v>46447</v>
      </c>
      <c r="G1775" t="s">
        <v>1311</v>
      </c>
      <c r="H1775" t="s">
        <v>2389</v>
      </c>
      <c r="K1775" t="s">
        <v>114</v>
      </c>
      <c r="L1775" t="s">
        <v>3121</v>
      </c>
      <c r="M1775" t="s">
        <v>68</v>
      </c>
      <c r="N1775" t="s">
        <v>3122</v>
      </c>
      <c r="O1775" t="s">
        <v>32</v>
      </c>
      <c r="P1775" t="s">
        <v>3998</v>
      </c>
      <c r="Q1775">
        <v>100</v>
      </c>
      <c r="R1775">
        <v>100</v>
      </c>
      <c r="S1775" t="s">
        <v>597</v>
      </c>
      <c r="T1775" t="s">
        <v>598</v>
      </c>
      <c r="U1775" t="s">
        <v>44</v>
      </c>
      <c r="W1775">
        <v>0</v>
      </c>
      <c r="X1775">
        <v>0</v>
      </c>
      <c r="Y1775">
        <v>0</v>
      </c>
      <c r="Z1775">
        <v>0</v>
      </c>
    </row>
    <row r="1776" spans="1:26" hidden="1" x14ac:dyDescent="0.25">
      <c r="A1776" t="s">
        <v>3999</v>
      </c>
      <c r="B1776" t="s">
        <v>38</v>
      </c>
      <c r="C1776" s="4">
        <v>44819</v>
      </c>
      <c r="D1776" s="4">
        <v>45957</v>
      </c>
      <c r="F1776" s="4">
        <v>46539</v>
      </c>
      <c r="G1776" t="s">
        <v>183</v>
      </c>
      <c r="H1776" t="s">
        <v>3782</v>
      </c>
      <c r="K1776" t="s">
        <v>185</v>
      </c>
      <c r="L1776" t="s">
        <v>3121</v>
      </c>
      <c r="M1776" t="s">
        <v>42</v>
      </c>
      <c r="N1776" t="s">
        <v>3122</v>
      </c>
      <c r="O1776" t="s">
        <v>32</v>
      </c>
      <c r="P1776" t="s">
        <v>4000</v>
      </c>
      <c r="Q1776">
        <v>200</v>
      </c>
      <c r="R1776">
        <v>200</v>
      </c>
      <c r="S1776" t="s">
        <v>597</v>
      </c>
      <c r="T1776" t="s">
        <v>598</v>
      </c>
      <c r="U1776" t="s">
        <v>44</v>
      </c>
      <c r="W1776">
        <v>0</v>
      </c>
      <c r="X1776">
        <v>0</v>
      </c>
      <c r="Y1776">
        <v>0</v>
      </c>
      <c r="Z1776">
        <v>0</v>
      </c>
    </row>
    <row r="1777" spans="1:26" hidden="1" x14ac:dyDescent="0.25">
      <c r="A1777" t="s">
        <v>4001</v>
      </c>
      <c r="B1777" t="s">
        <v>2153</v>
      </c>
      <c r="C1777" s="4">
        <v>44819</v>
      </c>
      <c r="F1777" s="4">
        <v>46539</v>
      </c>
      <c r="H1777" t="s">
        <v>3247</v>
      </c>
      <c r="K1777" t="s">
        <v>67</v>
      </c>
      <c r="L1777" t="s">
        <v>3121</v>
      </c>
      <c r="M1777" t="s">
        <v>68</v>
      </c>
      <c r="N1777" t="s">
        <v>3122</v>
      </c>
      <c r="O1777" t="s">
        <v>32</v>
      </c>
      <c r="P1777" t="s">
        <v>4002</v>
      </c>
      <c r="Q1777">
        <v>100</v>
      </c>
      <c r="R1777">
        <v>100</v>
      </c>
      <c r="S1777" t="s">
        <v>597</v>
      </c>
      <c r="T1777" t="s">
        <v>598</v>
      </c>
      <c r="U1777" t="s">
        <v>44</v>
      </c>
      <c r="W1777">
        <v>100</v>
      </c>
      <c r="X1777">
        <v>100</v>
      </c>
      <c r="Y1777">
        <v>0</v>
      </c>
      <c r="Z1777">
        <v>0</v>
      </c>
    </row>
    <row r="1778" spans="1:26" hidden="1" x14ac:dyDescent="0.25">
      <c r="A1778" t="s">
        <v>4003</v>
      </c>
      <c r="B1778" t="s">
        <v>38</v>
      </c>
      <c r="C1778" s="4">
        <v>45524</v>
      </c>
      <c r="D1778" s="4">
        <v>45870</v>
      </c>
      <c r="F1778" s="4">
        <v>46223</v>
      </c>
      <c r="G1778" t="s">
        <v>2735</v>
      </c>
      <c r="H1778" t="s">
        <v>1442</v>
      </c>
      <c r="K1778" t="s">
        <v>53</v>
      </c>
      <c r="L1778" t="s">
        <v>3121</v>
      </c>
      <c r="M1778" t="s">
        <v>54</v>
      </c>
      <c r="N1778" t="s">
        <v>3122</v>
      </c>
      <c r="O1778" t="s">
        <v>32</v>
      </c>
      <c r="P1778" t="s">
        <v>1345</v>
      </c>
      <c r="Q1778">
        <v>200</v>
      </c>
      <c r="R1778">
        <v>200</v>
      </c>
      <c r="S1778" t="s">
        <v>34</v>
      </c>
      <c r="T1778" t="s">
        <v>35</v>
      </c>
      <c r="U1778" t="s">
        <v>44</v>
      </c>
      <c r="W1778">
        <v>0</v>
      </c>
      <c r="X1778">
        <v>0</v>
      </c>
      <c r="Y1778">
        <v>0</v>
      </c>
      <c r="Z1778">
        <v>0</v>
      </c>
    </row>
    <row r="1779" spans="1:26" hidden="1" x14ac:dyDescent="0.25">
      <c r="A1779" t="s">
        <v>4004</v>
      </c>
      <c r="B1779" t="s">
        <v>38</v>
      </c>
      <c r="C1779" s="4">
        <v>44812</v>
      </c>
      <c r="D1779" s="4">
        <v>45876</v>
      </c>
      <c r="F1779" s="4">
        <v>45658</v>
      </c>
      <c r="G1779" t="s">
        <v>101</v>
      </c>
      <c r="H1779" t="s">
        <v>1640</v>
      </c>
      <c r="K1779" t="s">
        <v>98</v>
      </c>
      <c r="L1779" t="s">
        <v>3121</v>
      </c>
      <c r="M1779" t="s">
        <v>84</v>
      </c>
      <c r="N1779" t="s">
        <v>2160</v>
      </c>
      <c r="O1779" t="s">
        <v>32</v>
      </c>
      <c r="P1779" t="s">
        <v>1345</v>
      </c>
      <c r="Q1779">
        <v>125</v>
      </c>
      <c r="R1779">
        <v>125</v>
      </c>
      <c r="S1779" t="s">
        <v>159</v>
      </c>
      <c r="T1779" t="s">
        <v>159</v>
      </c>
      <c r="U1779" t="s">
        <v>44</v>
      </c>
      <c r="W1779">
        <v>0</v>
      </c>
      <c r="X1779">
        <v>0</v>
      </c>
      <c r="Y1779">
        <v>0</v>
      </c>
      <c r="Z1779">
        <v>0</v>
      </c>
    </row>
    <row r="1780" spans="1:26" hidden="1" x14ac:dyDescent="0.25">
      <c r="A1780" t="s">
        <v>4005</v>
      </c>
      <c r="B1780" t="s">
        <v>38</v>
      </c>
      <c r="C1780" s="4">
        <v>44811</v>
      </c>
      <c r="D1780" s="4">
        <v>45007</v>
      </c>
      <c r="F1780" s="4">
        <v>45658</v>
      </c>
      <c r="G1780" t="s">
        <v>254</v>
      </c>
      <c r="H1780" t="s">
        <v>2800</v>
      </c>
      <c r="K1780" t="s">
        <v>98</v>
      </c>
      <c r="L1780" t="s">
        <v>3121</v>
      </c>
      <c r="M1780" t="s">
        <v>84</v>
      </c>
      <c r="N1780" t="s">
        <v>2160</v>
      </c>
      <c r="O1780" t="s">
        <v>32</v>
      </c>
      <c r="P1780" t="s">
        <v>4006</v>
      </c>
      <c r="Q1780">
        <v>10</v>
      </c>
      <c r="R1780">
        <v>10</v>
      </c>
      <c r="S1780" t="s">
        <v>597</v>
      </c>
      <c r="T1780" t="s">
        <v>598</v>
      </c>
      <c r="U1780" t="s">
        <v>44</v>
      </c>
      <c r="W1780">
        <v>0</v>
      </c>
      <c r="X1780">
        <v>0</v>
      </c>
      <c r="Y1780">
        <v>0</v>
      </c>
      <c r="Z1780">
        <v>0</v>
      </c>
    </row>
    <row r="1781" spans="1:26" hidden="1" x14ac:dyDescent="0.25">
      <c r="A1781" t="s">
        <v>4007</v>
      </c>
      <c r="B1781" t="s">
        <v>38</v>
      </c>
      <c r="C1781" s="4">
        <v>44811</v>
      </c>
      <c r="D1781" s="4">
        <v>45007</v>
      </c>
      <c r="F1781" s="4">
        <v>45658</v>
      </c>
      <c r="G1781" t="s">
        <v>101</v>
      </c>
      <c r="H1781" t="s">
        <v>1648</v>
      </c>
      <c r="K1781" t="s">
        <v>98</v>
      </c>
      <c r="L1781" t="s">
        <v>3121</v>
      </c>
      <c r="M1781" t="s">
        <v>84</v>
      </c>
      <c r="N1781" t="s">
        <v>2160</v>
      </c>
      <c r="O1781" t="s">
        <v>32</v>
      </c>
      <c r="P1781" t="s">
        <v>4008</v>
      </c>
      <c r="Q1781">
        <v>35</v>
      </c>
      <c r="R1781">
        <v>35</v>
      </c>
      <c r="S1781" t="s">
        <v>597</v>
      </c>
      <c r="T1781" t="s">
        <v>598</v>
      </c>
      <c r="U1781" t="s">
        <v>44</v>
      </c>
      <c r="W1781">
        <v>0</v>
      </c>
      <c r="X1781">
        <v>0</v>
      </c>
      <c r="Y1781">
        <v>0</v>
      </c>
      <c r="Z1781">
        <v>0</v>
      </c>
    </row>
    <row r="1782" spans="1:26" hidden="1" x14ac:dyDescent="0.25">
      <c r="A1782" t="s">
        <v>4009</v>
      </c>
      <c r="B1782" t="s">
        <v>38</v>
      </c>
      <c r="C1782" s="4">
        <v>44811</v>
      </c>
      <c r="D1782" s="4">
        <v>45957</v>
      </c>
      <c r="F1782" s="4">
        <v>45658</v>
      </c>
      <c r="G1782" t="s">
        <v>101</v>
      </c>
      <c r="H1782" t="s">
        <v>1771</v>
      </c>
      <c r="K1782" t="s">
        <v>98</v>
      </c>
      <c r="L1782" t="s">
        <v>3121</v>
      </c>
      <c r="M1782" t="s">
        <v>84</v>
      </c>
      <c r="N1782" t="s">
        <v>2160</v>
      </c>
      <c r="O1782" t="s">
        <v>32</v>
      </c>
      <c r="P1782" t="s">
        <v>4010</v>
      </c>
      <c r="Q1782">
        <v>15</v>
      </c>
      <c r="R1782">
        <v>15</v>
      </c>
      <c r="S1782" t="s">
        <v>597</v>
      </c>
      <c r="T1782" t="s">
        <v>598</v>
      </c>
      <c r="U1782" t="s">
        <v>44</v>
      </c>
      <c r="W1782">
        <v>0</v>
      </c>
      <c r="X1782">
        <v>0</v>
      </c>
      <c r="Y1782">
        <v>0</v>
      </c>
      <c r="Z1782">
        <v>0</v>
      </c>
    </row>
    <row r="1783" spans="1:26" hidden="1" x14ac:dyDescent="0.25">
      <c r="A1783" t="s">
        <v>4011</v>
      </c>
      <c r="B1783" t="s">
        <v>38</v>
      </c>
      <c r="C1783" s="4">
        <v>44812</v>
      </c>
      <c r="D1783" s="4">
        <v>45957</v>
      </c>
      <c r="F1783" s="4">
        <v>45658</v>
      </c>
      <c r="G1783" t="s">
        <v>101</v>
      </c>
      <c r="H1783" t="s">
        <v>1430</v>
      </c>
      <c r="K1783" t="s">
        <v>98</v>
      </c>
      <c r="L1783" t="s">
        <v>3121</v>
      </c>
      <c r="M1783" t="s">
        <v>84</v>
      </c>
      <c r="N1783" t="s">
        <v>2160</v>
      </c>
      <c r="O1783" t="s">
        <v>32</v>
      </c>
      <c r="P1783" t="s">
        <v>4012</v>
      </c>
      <c r="Q1783">
        <v>40</v>
      </c>
      <c r="R1783">
        <v>40</v>
      </c>
      <c r="S1783" t="s">
        <v>597</v>
      </c>
      <c r="T1783" t="s">
        <v>598</v>
      </c>
      <c r="U1783" t="s">
        <v>44</v>
      </c>
      <c r="W1783">
        <v>0</v>
      </c>
      <c r="X1783">
        <v>0</v>
      </c>
      <c r="Y1783">
        <v>0</v>
      </c>
      <c r="Z1783">
        <v>0</v>
      </c>
    </row>
    <row r="1784" spans="1:26" hidden="1" x14ac:dyDescent="0.25">
      <c r="A1784" t="s">
        <v>4013</v>
      </c>
      <c r="B1784" t="s">
        <v>38</v>
      </c>
      <c r="C1784" s="4">
        <v>45204</v>
      </c>
      <c r="D1784" s="4">
        <v>45957</v>
      </c>
      <c r="F1784" s="4">
        <v>45658</v>
      </c>
      <c r="G1784" t="s">
        <v>254</v>
      </c>
      <c r="H1784" t="s">
        <v>1887</v>
      </c>
      <c r="K1784" t="s">
        <v>98</v>
      </c>
      <c r="L1784" t="s">
        <v>3121</v>
      </c>
      <c r="M1784" t="s">
        <v>84</v>
      </c>
      <c r="N1784" t="s">
        <v>2160</v>
      </c>
      <c r="O1784" t="s">
        <v>32</v>
      </c>
      <c r="P1784" t="s">
        <v>4014</v>
      </c>
      <c r="Q1784">
        <v>33</v>
      </c>
      <c r="R1784">
        <v>33</v>
      </c>
      <c r="S1784" t="s">
        <v>597</v>
      </c>
      <c r="T1784" t="s">
        <v>598</v>
      </c>
      <c r="U1784" t="s">
        <v>44</v>
      </c>
      <c r="W1784">
        <v>0</v>
      </c>
      <c r="X1784">
        <v>0</v>
      </c>
      <c r="Y1784">
        <v>0</v>
      </c>
      <c r="Z1784">
        <v>0</v>
      </c>
    </row>
    <row r="1785" spans="1:26" hidden="1" x14ac:dyDescent="0.25">
      <c r="A1785" t="s">
        <v>4015</v>
      </c>
      <c r="B1785" t="s">
        <v>38</v>
      </c>
      <c r="C1785" s="4">
        <v>44811</v>
      </c>
      <c r="D1785" s="4">
        <v>45957</v>
      </c>
      <c r="F1785" s="4">
        <v>45658</v>
      </c>
      <c r="G1785" t="s">
        <v>254</v>
      </c>
      <c r="H1785" t="s">
        <v>2366</v>
      </c>
      <c r="K1785" t="s">
        <v>98</v>
      </c>
      <c r="L1785" t="s">
        <v>3121</v>
      </c>
      <c r="M1785" t="s">
        <v>84</v>
      </c>
      <c r="N1785" t="s">
        <v>2160</v>
      </c>
      <c r="O1785" t="s">
        <v>32</v>
      </c>
      <c r="P1785" t="s">
        <v>1345</v>
      </c>
      <c r="Q1785">
        <v>35</v>
      </c>
      <c r="R1785">
        <v>35</v>
      </c>
      <c r="S1785" t="s">
        <v>597</v>
      </c>
      <c r="T1785" t="s">
        <v>598</v>
      </c>
      <c r="U1785" t="s">
        <v>44</v>
      </c>
      <c r="W1785">
        <v>0</v>
      </c>
      <c r="X1785">
        <v>0</v>
      </c>
      <c r="Y1785">
        <v>0</v>
      </c>
      <c r="Z1785">
        <v>0</v>
      </c>
    </row>
    <row r="1786" spans="1:26" hidden="1" x14ac:dyDescent="0.25">
      <c r="A1786" t="s">
        <v>4016</v>
      </c>
      <c r="B1786" t="s">
        <v>38</v>
      </c>
      <c r="C1786" s="4">
        <v>44811</v>
      </c>
      <c r="D1786" s="4">
        <v>45957</v>
      </c>
      <c r="F1786" s="4">
        <v>45658</v>
      </c>
      <c r="G1786" t="s">
        <v>254</v>
      </c>
      <c r="H1786" t="s">
        <v>1691</v>
      </c>
      <c r="K1786" t="s">
        <v>98</v>
      </c>
      <c r="L1786" t="s">
        <v>3121</v>
      </c>
      <c r="M1786" t="s">
        <v>84</v>
      </c>
      <c r="N1786" t="s">
        <v>2160</v>
      </c>
      <c r="O1786" t="s">
        <v>32</v>
      </c>
      <c r="P1786" t="s">
        <v>4017</v>
      </c>
      <c r="Q1786">
        <v>38</v>
      </c>
      <c r="R1786">
        <v>38</v>
      </c>
      <c r="S1786" t="s">
        <v>597</v>
      </c>
      <c r="T1786" t="s">
        <v>598</v>
      </c>
      <c r="U1786" t="s">
        <v>44</v>
      </c>
      <c r="W1786">
        <v>0</v>
      </c>
      <c r="X1786">
        <v>0</v>
      </c>
      <c r="Y1786">
        <v>0</v>
      </c>
      <c r="Z1786">
        <v>0</v>
      </c>
    </row>
    <row r="1787" spans="1:26" hidden="1" x14ac:dyDescent="0.25">
      <c r="A1787" t="s">
        <v>4018</v>
      </c>
      <c r="B1787" t="s">
        <v>38</v>
      </c>
      <c r="C1787" s="4">
        <v>44811</v>
      </c>
      <c r="D1787" s="4">
        <v>45957</v>
      </c>
      <c r="F1787" s="4">
        <v>45658</v>
      </c>
      <c r="G1787" t="s">
        <v>254</v>
      </c>
      <c r="H1787" t="s">
        <v>1640</v>
      </c>
      <c r="K1787" t="s">
        <v>98</v>
      </c>
      <c r="L1787" t="s">
        <v>3121</v>
      </c>
      <c r="M1787" t="s">
        <v>84</v>
      </c>
      <c r="N1787" t="s">
        <v>2160</v>
      </c>
      <c r="O1787" t="s">
        <v>32</v>
      </c>
      <c r="P1787" t="s">
        <v>4019</v>
      </c>
      <c r="Q1787">
        <v>33</v>
      </c>
      <c r="R1787">
        <v>33</v>
      </c>
      <c r="S1787" t="s">
        <v>597</v>
      </c>
      <c r="T1787" t="s">
        <v>598</v>
      </c>
      <c r="U1787" t="s">
        <v>44</v>
      </c>
      <c r="W1787">
        <v>0</v>
      </c>
      <c r="X1787">
        <v>0</v>
      </c>
      <c r="Y1787">
        <v>0</v>
      </c>
      <c r="Z1787">
        <v>0</v>
      </c>
    </row>
    <row r="1788" spans="1:26" hidden="1" x14ac:dyDescent="0.25">
      <c r="A1788" t="s">
        <v>4020</v>
      </c>
      <c r="B1788" t="s">
        <v>38</v>
      </c>
      <c r="C1788" s="4">
        <v>44819</v>
      </c>
      <c r="D1788" s="4">
        <v>45964</v>
      </c>
      <c r="F1788" s="4">
        <v>46223</v>
      </c>
      <c r="G1788" t="s">
        <v>132</v>
      </c>
      <c r="H1788" t="s">
        <v>1291</v>
      </c>
      <c r="K1788" t="s">
        <v>83</v>
      </c>
      <c r="L1788" t="s">
        <v>3121</v>
      </c>
      <c r="M1788" t="s">
        <v>84</v>
      </c>
      <c r="N1788" t="s">
        <v>2160</v>
      </c>
      <c r="O1788" t="s">
        <v>32</v>
      </c>
      <c r="P1788" t="s">
        <v>4021</v>
      </c>
      <c r="Q1788">
        <v>200</v>
      </c>
      <c r="R1788">
        <v>200</v>
      </c>
      <c r="S1788" t="s">
        <v>56</v>
      </c>
      <c r="T1788" t="s">
        <v>57</v>
      </c>
      <c r="U1788" t="s">
        <v>44</v>
      </c>
      <c r="W1788">
        <v>200</v>
      </c>
      <c r="X1788">
        <v>200</v>
      </c>
      <c r="Y1788">
        <v>0</v>
      </c>
      <c r="Z1788">
        <v>0</v>
      </c>
    </row>
    <row r="1789" spans="1:26" hidden="1" x14ac:dyDescent="0.25">
      <c r="A1789" t="s">
        <v>4022</v>
      </c>
      <c r="B1789" t="s">
        <v>38</v>
      </c>
      <c r="C1789" s="4">
        <v>44819</v>
      </c>
      <c r="D1789" s="4">
        <v>45869</v>
      </c>
      <c r="F1789" s="4">
        <v>46280</v>
      </c>
      <c r="G1789" t="s">
        <v>65</v>
      </c>
      <c r="H1789" t="s">
        <v>1530</v>
      </c>
      <c r="K1789" t="s">
        <v>67</v>
      </c>
      <c r="L1789" t="s">
        <v>3121</v>
      </c>
      <c r="M1789" t="s">
        <v>68</v>
      </c>
      <c r="N1789" t="s">
        <v>3122</v>
      </c>
      <c r="O1789" t="s">
        <v>32</v>
      </c>
      <c r="P1789" t="s">
        <v>4023</v>
      </c>
      <c r="Q1789">
        <v>500</v>
      </c>
      <c r="R1789">
        <v>500</v>
      </c>
      <c r="S1789" t="s">
        <v>34</v>
      </c>
      <c r="T1789" t="s">
        <v>35</v>
      </c>
      <c r="U1789" t="s">
        <v>44</v>
      </c>
      <c r="W1789">
        <v>0</v>
      </c>
      <c r="X1789">
        <v>0</v>
      </c>
      <c r="Y1789">
        <v>0</v>
      </c>
      <c r="Z1789">
        <v>0</v>
      </c>
    </row>
    <row r="1790" spans="1:26" hidden="1" x14ac:dyDescent="0.25">
      <c r="A1790" t="s">
        <v>4024</v>
      </c>
      <c r="B1790" t="s">
        <v>2153</v>
      </c>
      <c r="C1790" s="4">
        <v>44819</v>
      </c>
      <c r="F1790" s="4">
        <v>45474</v>
      </c>
      <c r="G1790" t="s">
        <v>52</v>
      </c>
      <c r="H1790" t="s">
        <v>4025</v>
      </c>
      <c r="K1790" t="s">
        <v>53</v>
      </c>
      <c r="L1790" t="s">
        <v>3121</v>
      </c>
      <c r="M1790" t="s">
        <v>54</v>
      </c>
      <c r="N1790" t="s">
        <v>3122</v>
      </c>
      <c r="O1790" t="s">
        <v>32</v>
      </c>
      <c r="P1790" t="s">
        <v>1733</v>
      </c>
      <c r="Q1790">
        <v>170</v>
      </c>
      <c r="R1790">
        <v>170</v>
      </c>
      <c r="S1790" t="s">
        <v>597</v>
      </c>
      <c r="T1790" t="s">
        <v>598</v>
      </c>
      <c r="U1790" t="s">
        <v>44</v>
      </c>
      <c r="W1790">
        <v>170</v>
      </c>
      <c r="X1790">
        <v>170</v>
      </c>
      <c r="Y1790">
        <v>0</v>
      </c>
      <c r="Z1790">
        <v>0</v>
      </c>
    </row>
    <row r="1791" spans="1:26" hidden="1" x14ac:dyDescent="0.25">
      <c r="A1791" t="s">
        <v>4026</v>
      </c>
      <c r="B1791" t="s">
        <v>38</v>
      </c>
      <c r="C1791" s="4">
        <v>44819</v>
      </c>
      <c r="D1791" s="4">
        <v>45012</v>
      </c>
      <c r="F1791" s="4">
        <v>45838</v>
      </c>
      <c r="G1791" t="s">
        <v>65</v>
      </c>
      <c r="H1791" t="s">
        <v>1849</v>
      </c>
      <c r="K1791" t="s">
        <v>67</v>
      </c>
      <c r="L1791" t="s">
        <v>3121</v>
      </c>
      <c r="M1791" t="s">
        <v>68</v>
      </c>
      <c r="N1791" t="s">
        <v>3122</v>
      </c>
      <c r="O1791" t="s">
        <v>32</v>
      </c>
      <c r="P1791" t="s">
        <v>4027</v>
      </c>
      <c r="Q1791">
        <v>200</v>
      </c>
      <c r="R1791">
        <v>200</v>
      </c>
      <c r="S1791" t="s">
        <v>34</v>
      </c>
      <c r="T1791" t="s">
        <v>35</v>
      </c>
      <c r="U1791" t="s">
        <v>44</v>
      </c>
      <c r="W1791">
        <v>0</v>
      </c>
      <c r="X1791">
        <v>0</v>
      </c>
      <c r="Y1791">
        <v>0</v>
      </c>
      <c r="Z1791">
        <v>0</v>
      </c>
    </row>
    <row r="1792" spans="1:26" hidden="1" x14ac:dyDescent="0.25">
      <c r="A1792" t="s">
        <v>4028</v>
      </c>
      <c r="B1792" t="s">
        <v>38</v>
      </c>
      <c r="C1792" s="4">
        <v>44818</v>
      </c>
      <c r="D1792" s="4">
        <v>45870</v>
      </c>
      <c r="F1792" s="4">
        <v>45876</v>
      </c>
      <c r="G1792" t="s">
        <v>907</v>
      </c>
      <c r="H1792" t="s">
        <v>2052</v>
      </c>
      <c r="K1792" t="s">
        <v>53</v>
      </c>
      <c r="L1792" t="s">
        <v>3121</v>
      </c>
      <c r="M1792" t="s">
        <v>54</v>
      </c>
      <c r="N1792" t="s">
        <v>3122</v>
      </c>
      <c r="O1792" t="s">
        <v>32</v>
      </c>
      <c r="P1792" t="s">
        <v>4029</v>
      </c>
      <c r="Q1792">
        <v>100</v>
      </c>
      <c r="R1792">
        <v>100</v>
      </c>
      <c r="S1792" t="s">
        <v>159</v>
      </c>
      <c r="T1792" t="s">
        <v>159</v>
      </c>
      <c r="U1792" t="s">
        <v>44</v>
      </c>
      <c r="W1792">
        <v>0</v>
      </c>
      <c r="X1792">
        <v>0</v>
      </c>
      <c r="Y1792">
        <v>0</v>
      </c>
      <c r="Z1792">
        <v>0</v>
      </c>
    </row>
    <row r="1793" spans="1:26" hidden="1" x14ac:dyDescent="0.25">
      <c r="A1793" t="s">
        <v>4030</v>
      </c>
      <c r="B1793" t="s">
        <v>38</v>
      </c>
      <c r="C1793" s="4">
        <v>44818</v>
      </c>
      <c r="D1793" s="4">
        <v>44993</v>
      </c>
      <c r="F1793" s="4">
        <v>45966</v>
      </c>
      <c r="G1793" t="s">
        <v>117</v>
      </c>
      <c r="H1793" t="s">
        <v>2366</v>
      </c>
      <c r="K1793" t="s">
        <v>83</v>
      </c>
      <c r="L1793" t="s">
        <v>3121</v>
      </c>
      <c r="M1793" t="s">
        <v>84</v>
      </c>
      <c r="N1793" t="s">
        <v>2160</v>
      </c>
      <c r="O1793" t="s">
        <v>32</v>
      </c>
      <c r="P1793" t="s">
        <v>4031</v>
      </c>
      <c r="Q1793">
        <v>250</v>
      </c>
      <c r="R1793">
        <v>250</v>
      </c>
      <c r="S1793" t="s">
        <v>159</v>
      </c>
      <c r="T1793" t="s">
        <v>159</v>
      </c>
      <c r="U1793" t="s">
        <v>44</v>
      </c>
      <c r="W1793">
        <v>0</v>
      </c>
      <c r="X1793">
        <v>0</v>
      </c>
      <c r="Y1793">
        <v>0</v>
      </c>
      <c r="Z1793">
        <v>0</v>
      </c>
    </row>
    <row r="1794" spans="1:26" hidden="1" x14ac:dyDescent="0.25">
      <c r="A1794" t="s">
        <v>4032</v>
      </c>
      <c r="B1794" t="s">
        <v>38</v>
      </c>
      <c r="C1794" s="4">
        <v>44818</v>
      </c>
      <c r="D1794" s="4">
        <v>44998</v>
      </c>
      <c r="F1794" s="4">
        <v>46058</v>
      </c>
      <c r="G1794" t="s">
        <v>132</v>
      </c>
      <c r="H1794" t="s">
        <v>3392</v>
      </c>
      <c r="K1794" t="s">
        <v>83</v>
      </c>
      <c r="L1794" t="s">
        <v>3121</v>
      </c>
      <c r="M1794" t="s">
        <v>84</v>
      </c>
      <c r="N1794" t="s">
        <v>2160</v>
      </c>
      <c r="O1794" t="s">
        <v>32</v>
      </c>
      <c r="P1794" t="s">
        <v>4033</v>
      </c>
      <c r="Q1794">
        <v>300</v>
      </c>
      <c r="R1794">
        <v>300</v>
      </c>
      <c r="S1794" t="s">
        <v>159</v>
      </c>
      <c r="T1794" t="s">
        <v>159</v>
      </c>
      <c r="U1794" t="s">
        <v>44</v>
      </c>
      <c r="W1794">
        <v>0</v>
      </c>
      <c r="X1794">
        <v>0</v>
      </c>
      <c r="Y1794">
        <v>0</v>
      </c>
      <c r="Z1794">
        <v>0</v>
      </c>
    </row>
    <row r="1795" spans="1:26" hidden="1" x14ac:dyDescent="0.25">
      <c r="A1795" t="s">
        <v>4034</v>
      </c>
      <c r="B1795" t="s">
        <v>2153</v>
      </c>
      <c r="C1795" s="4">
        <v>44817</v>
      </c>
      <c r="F1795" s="4">
        <v>46508</v>
      </c>
      <c r="G1795" t="s">
        <v>2096</v>
      </c>
      <c r="H1795" t="s">
        <v>1320</v>
      </c>
      <c r="K1795" t="s">
        <v>146</v>
      </c>
      <c r="L1795" t="s">
        <v>3121</v>
      </c>
      <c r="M1795" t="s">
        <v>68</v>
      </c>
      <c r="N1795" t="s">
        <v>3122</v>
      </c>
      <c r="O1795" t="s">
        <v>32</v>
      </c>
      <c r="P1795" t="s">
        <v>4035</v>
      </c>
      <c r="Q1795">
        <v>243.1</v>
      </c>
      <c r="R1795">
        <v>243.1</v>
      </c>
      <c r="S1795" t="s">
        <v>389</v>
      </c>
      <c r="T1795" t="s">
        <v>584</v>
      </c>
      <c r="U1795" t="s">
        <v>44</v>
      </c>
      <c r="W1795">
        <v>243.1</v>
      </c>
      <c r="X1795">
        <v>243.1</v>
      </c>
      <c r="Y1795">
        <v>0</v>
      </c>
      <c r="Z1795">
        <v>0</v>
      </c>
    </row>
    <row r="1796" spans="1:26" hidden="1" x14ac:dyDescent="0.25">
      <c r="A1796" t="s">
        <v>4036</v>
      </c>
      <c r="B1796" t="s">
        <v>38</v>
      </c>
      <c r="C1796" s="4">
        <v>44804</v>
      </c>
      <c r="D1796" s="4">
        <v>45009</v>
      </c>
      <c r="F1796" s="4">
        <v>46266</v>
      </c>
      <c r="G1796" t="s">
        <v>1408</v>
      </c>
      <c r="H1796" t="s">
        <v>2382</v>
      </c>
      <c r="K1796" t="s">
        <v>146</v>
      </c>
      <c r="L1796" t="s">
        <v>3121</v>
      </c>
      <c r="M1796" t="s">
        <v>68</v>
      </c>
      <c r="N1796" t="s">
        <v>3122</v>
      </c>
      <c r="O1796" t="s">
        <v>32</v>
      </c>
      <c r="P1796" t="s">
        <v>4037</v>
      </c>
      <c r="Q1796">
        <v>150</v>
      </c>
      <c r="R1796">
        <v>150</v>
      </c>
      <c r="S1796" t="s">
        <v>34</v>
      </c>
      <c r="T1796" t="s">
        <v>35</v>
      </c>
      <c r="U1796" t="s">
        <v>44</v>
      </c>
      <c r="W1796">
        <v>0</v>
      </c>
      <c r="X1796">
        <v>0</v>
      </c>
      <c r="Y1796">
        <v>0</v>
      </c>
      <c r="Z1796">
        <v>0</v>
      </c>
    </row>
    <row r="1797" spans="1:26" hidden="1" x14ac:dyDescent="0.25">
      <c r="A1797" t="s">
        <v>4038</v>
      </c>
      <c r="B1797" t="s">
        <v>2153</v>
      </c>
      <c r="C1797" s="4">
        <v>44818</v>
      </c>
      <c r="F1797" s="4">
        <v>46203</v>
      </c>
      <c r="G1797" t="s">
        <v>117</v>
      </c>
      <c r="H1797" t="s">
        <v>2777</v>
      </c>
      <c r="K1797" t="s">
        <v>83</v>
      </c>
      <c r="L1797" t="s">
        <v>3121</v>
      </c>
      <c r="M1797" t="s">
        <v>84</v>
      </c>
      <c r="N1797" t="s">
        <v>2160</v>
      </c>
      <c r="O1797" t="s">
        <v>122</v>
      </c>
      <c r="P1797" t="s">
        <v>4039</v>
      </c>
      <c r="Q1797">
        <v>250</v>
      </c>
      <c r="R1797">
        <v>250</v>
      </c>
      <c r="S1797" t="s">
        <v>34</v>
      </c>
      <c r="T1797" t="s">
        <v>35</v>
      </c>
      <c r="U1797" t="s">
        <v>44</v>
      </c>
      <c r="W1797">
        <v>250</v>
      </c>
      <c r="X1797">
        <v>0</v>
      </c>
      <c r="Y1797">
        <v>0</v>
      </c>
      <c r="Z1797">
        <v>0</v>
      </c>
    </row>
    <row r="1798" spans="1:26" hidden="1" x14ac:dyDescent="0.25">
      <c r="A1798" t="s">
        <v>4040</v>
      </c>
      <c r="B1798" t="s">
        <v>2338</v>
      </c>
      <c r="C1798" s="4">
        <v>44796</v>
      </c>
      <c r="F1798" s="4">
        <v>47479</v>
      </c>
      <c r="G1798" t="s">
        <v>117</v>
      </c>
      <c r="H1798" t="s">
        <v>1637</v>
      </c>
      <c r="K1798" t="s">
        <v>83</v>
      </c>
      <c r="L1798" t="s">
        <v>3121</v>
      </c>
      <c r="M1798" t="s">
        <v>84</v>
      </c>
      <c r="N1798" t="s">
        <v>2160</v>
      </c>
      <c r="O1798" t="s">
        <v>122</v>
      </c>
      <c r="P1798" t="s">
        <v>4041</v>
      </c>
      <c r="Q1798">
        <v>90</v>
      </c>
      <c r="R1798">
        <v>90</v>
      </c>
      <c r="S1798" t="s">
        <v>34</v>
      </c>
      <c r="T1798" t="s">
        <v>35</v>
      </c>
      <c r="U1798" t="s">
        <v>44</v>
      </c>
      <c r="W1798">
        <v>90</v>
      </c>
      <c r="X1798">
        <v>0</v>
      </c>
      <c r="Y1798">
        <v>0</v>
      </c>
      <c r="Z1798">
        <v>0</v>
      </c>
    </row>
    <row r="1799" spans="1:26" hidden="1" x14ac:dyDescent="0.25">
      <c r="A1799" t="s">
        <v>4042</v>
      </c>
      <c r="B1799" t="s">
        <v>38</v>
      </c>
      <c r="C1799" s="4">
        <v>44819</v>
      </c>
      <c r="D1799" s="4">
        <v>45869</v>
      </c>
      <c r="F1799" s="4">
        <v>45930</v>
      </c>
      <c r="G1799" t="s">
        <v>144</v>
      </c>
      <c r="H1799" t="s">
        <v>3025</v>
      </c>
      <c r="K1799" t="s">
        <v>146</v>
      </c>
      <c r="L1799" t="s">
        <v>3121</v>
      </c>
      <c r="M1799" t="s">
        <v>68</v>
      </c>
      <c r="N1799" t="s">
        <v>3122</v>
      </c>
      <c r="O1799" t="s">
        <v>32</v>
      </c>
      <c r="P1799" t="s">
        <v>4043</v>
      </c>
      <c r="Q1799">
        <v>100</v>
      </c>
      <c r="R1799">
        <v>100</v>
      </c>
      <c r="S1799" t="s">
        <v>34</v>
      </c>
      <c r="T1799" t="s">
        <v>35</v>
      </c>
      <c r="U1799" t="s">
        <v>44</v>
      </c>
      <c r="W1799">
        <v>0</v>
      </c>
      <c r="X1799">
        <v>0</v>
      </c>
      <c r="Y1799">
        <v>0</v>
      </c>
      <c r="Z1799">
        <v>0</v>
      </c>
    </row>
    <row r="1800" spans="1:26" hidden="1" x14ac:dyDescent="0.25">
      <c r="A1800" t="s">
        <v>4044</v>
      </c>
      <c r="B1800" t="s">
        <v>38</v>
      </c>
      <c r="C1800" s="4">
        <v>44819</v>
      </c>
      <c r="D1800" s="4">
        <v>45869</v>
      </c>
      <c r="F1800" s="4">
        <v>46296</v>
      </c>
      <c r="G1800" t="s">
        <v>65</v>
      </c>
      <c r="H1800" t="s">
        <v>1437</v>
      </c>
      <c r="K1800" t="s">
        <v>67</v>
      </c>
      <c r="L1800" t="s">
        <v>3121</v>
      </c>
      <c r="M1800" t="s">
        <v>68</v>
      </c>
      <c r="N1800" t="s">
        <v>3122</v>
      </c>
      <c r="O1800" t="s">
        <v>32</v>
      </c>
      <c r="P1800" t="s">
        <v>4045</v>
      </c>
      <c r="Q1800">
        <v>250</v>
      </c>
      <c r="R1800">
        <v>250</v>
      </c>
      <c r="S1800" t="s">
        <v>34</v>
      </c>
      <c r="T1800" t="s">
        <v>35</v>
      </c>
      <c r="U1800" t="s">
        <v>44</v>
      </c>
      <c r="W1800">
        <v>0</v>
      </c>
      <c r="X1800">
        <v>0</v>
      </c>
      <c r="Y1800">
        <v>0</v>
      </c>
      <c r="Z1800">
        <v>0</v>
      </c>
    </row>
    <row r="1801" spans="1:26" hidden="1" x14ac:dyDescent="0.25">
      <c r="A1801" t="s">
        <v>4046</v>
      </c>
      <c r="B1801" t="s">
        <v>2338</v>
      </c>
      <c r="C1801" s="4">
        <v>45955</v>
      </c>
      <c r="F1801" s="4">
        <v>46280</v>
      </c>
      <c r="G1801" t="s">
        <v>117</v>
      </c>
      <c r="H1801" t="s">
        <v>1640</v>
      </c>
      <c r="K1801" t="s">
        <v>83</v>
      </c>
      <c r="L1801" t="s">
        <v>3121</v>
      </c>
      <c r="M1801" t="s">
        <v>84</v>
      </c>
      <c r="N1801" t="s">
        <v>2160</v>
      </c>
      <c r="O1801" t="s">
        <v>32</v>
      </c>
      <c r="P1801" t="s">
        <v>4047</v>
      </c>
      <c r="Q1801">
        <v>150</v>
      </c>
      <c r="R1801">
        <v>150</v>
      </c>
      <c r="S1801" t="s">
        <v>597</v>
      </c>
      <c r="T1801" t="s">
        <v>598</v>
      </c>
      <c r="U1801" t="s">
        <v>44</v>
      </c>
      <c r="W1801">
        <v>150</v>
      </c>
      <c r="X1801">
        <v>150</v>
      </c>
      <c r="Y1801">
        <v>0</v>
      </c>
      <c r="Z1801">
        <v>0</v>
      </c>
    </row>
    <row r="1802" spans="1:26" hidden="1" x14ac:dyDescent="0.25">
      <c r="A1802" t="s">
        <v>4048</v>
      </c>
      <c r="B1802" t="s">
        <v>38</v>
      </c>
      <c r="C1802" s="4">
        <v>44819</v>
      </c>
      <c r="D1802" s="4">
        <v>45009</v>
      </c>
      <c r="F1802" s="4">
        <v>46249</v>
      </c>
      <c r="G1802" t="s">
        <v>254</v>
      </c>
      <c r="H1802" t="s">
        <v>1640</v>
      </c>
      <c r="K1802" t="s">
        <v>98</v>
      </c>
      <c r="L1802" t="s">
        <v>3121</v>
      </c>
      <c r="M1802" t="s">
        <v>84</v>
      </c>
      <c r="N1802" t="s">
        <v>2160</v>
      </c>
      <c r="O1802" t="s">
        <v>32</v>
      </c>
      <c r="P1802" t="s">
        <v>4049</v>
      </c>
      <c r="Q1802">
        <v>250</v>
      </c>
      <c r="R1802">
        <v>250</v>
      </c>
      <c r="S1802" t="s">
        <v>34</v>
      </c>
      <c r="T1802" t="s">
        <v>35</v>
      </c>
      <c r="U1802" t="s">
        <v>44</v>
      </c>
      <c r="W1802">
        <v>0</v>
      </c>
      <c r="X1802">
        <v>0</v>
      </c>
      <c r="Y1802">
        <v>0</v>
      </c>
      <c r="Z1802">
        <v>0</v>
      </c>
    </row>
    <row r="1803" spans="1:26" hidden="1" x14ac:dyDescent="0.25">
      <c r="A1803" t="s">
        <v>4050</v>
      </c>
      <c r="B1803" t="s">
        <v>2153</v>
      </c>
      <c r="C1803" s="4">
        <v>45955</v>
      </c>
      <c r="F1803" s="4">
        <v>45901</v>
      </c>
      <c r="G1803" t="s">
        <v>52</v>
      </c>
      <c r="H1803" t="s">
        <v>2165</v>
      </c>
      <c r="K1803" t="s">
        <v>53</v>
      </c>
      <c r="L1803" t="s">
        <v>3121</v>
      </c>
      <c r="M1803" t="s">
        <v>54</v>
      </c>
      <c r="N1803" t="s">
        <v>3122</v>
      </c>
      <c r="O1803" t="s">
        <v>32</v>
      </c>
      <c r="P1803" t="s">
        <v>2677</v>
      </c>
      <c r="Q1803">
        <v>200</v>
      </c>
      <c r="R1803">
        <v>200</v>
      </c>
      <c r="S1803" t="s">
        <v>159</v>
      </c>
      <c r="T1803" t="s">
        <v>159</v>
      </c>
      <c r="U1803" t="s">
        <v>44</v>
      </c>
      <c r="W1803">
        <v>200</v>
      </c>
      <c r="X1803">
        <v>200</v>
      </c>
      <c r="Y1803">
        <v>0</v>
      </c>
      <c r="Z1803">
        <v>0</v>
      </c>
    </row>
    <row r="1804" spans="1:26" hidden="1" x14ac:dyDescent="0.25">
      <c r="A1804" t="s">
        <v>4051</v>
      </c>
      <c r="B1804" t="s">
        <v>38</v>
      </c>
      <c r="C1804" s="4">
        <v>44819</v>
      </c>
      <c r="D1804" s="4">
        <v>45869</v>
      </c>
      <c r="F1804" s="4">
        <v>47025</v>
      </c>
      <c r="G1804" t="s">
        <v>65</v>
      </c>
      <c r="H1804" t="s">
        <v>1645</v>
      </c>
      <c r="K1804" t="s">
        <v>67</v>
      </c>
      <c r="L1804" t="s">
        <v>3121</v>
      </c>
      <c r="M1804" t="s">
        <v>68</v>
      </c>
      <c r="N1804" t="s">
        <v>3122</v>
      </c>
      <c r="O1804" t="s">
        <v>32</v>
      </c>
      <c r="P1804" t="s">
        <v>4052</v>
      </c>
      <c r="Q1804">
        <v>200</v>
      </c>
      <c r="R1804">
        <v>200</v>
      </c>
      <c r="S1804" t="s">
        <v>34</v>
      </c>
      <c r="T1804" t="s">
        <v>35</v>
      </c>
      <c r="U1804" t="s">
        <v>44</v>
      </c>
      <c r="W1804">
        <v>0</v>
      </c>
      <c r="X1804">
        <v>0</v>
      </c>
      <c r="Y1804">
        <v>0</v>
      </c>
      <c r="Z1804">
        <v>0</v>
      </c>
    </row>
    <row r="1805" spans="1:26" hidden="1" x14ac:dyDescent="0.25">
      <c r="A1805" t="s">
        <v>4053</v>
      </c>
      <c r="B1805" t="s">
        <v>2338</v>
      </c>
      <c r="C1805" s="4">
        <v>45180</v>
      </c>
      <c r="F1805" s="4">
        <v>46266</v>
      </c>
      <c r="H1805" t="s">
        <v>3715</v>
      </c>
      <c r="K1805" t="s">
        <v>67</v>
      </c>
      <c r="L1805" t="s">
        <v>3121</v>
      </c>
      <c r="M1805" t="s">
        <v>68</v>
      </c>
      <c r="N1805" t="s">
        <v>3122</v>
      </c>
      <c r="O1805" t="s">
        <v>122</v>
      </c>
      <c r="P1805" t="s">
        <v>4054</v>
      </c>
      <c r="Q1805">
        <v>130</v>
      </c>
      <c r="R1805">
        <v>130</v>
      </c>
      <c r="S1805" t="s">
        <v>34</v>
      </c>
      <c r="T1805" t="s">
        <v>35</v>
      </c>
      <c r="U1805" t="s">
        <v>44</v>
      </c>
      <c r="W1805">
        <v>130</v>
      </c>
      <c r="X1805">
        <v>0</v>
      </c>
      <c r="Y1805">
        <v>0</v>
      </c>
      <c r="Z1805">
        <v>0</v>
      </c>
    </row>
    <row r="1806" spans="1:26" hidden="1" x14ac:dyDescent="0.25">
      <c r="A1806" t="s">
        <v>4055</v>
      </c>
      <c r="B1806" t="s">
        <v>38</v>
      </c>
      <c r="C1806" s="4">
        <v>44819</v>
      </c>
      <c r="D1806" s="4">
        <v>45022</v>
      </c>
      <c r="F1806" s="4">
        <v>45961</v>
      </c>
      <c r="G1806" t="s">
        <v>616</v>
      </c>
      <c r="H1806" t="s">
        <v>1656</v>
      </c>
      <c r="K1806" t="s">
        <v>146</v>
      </c>
      <c r="L1806" t="s">
        <v>3121</v>
      </c>
      <c r="M1806" t="s">
        <v>68</v>
      </c>
      <c r="N1806" t="s">
        <v>3122</v>
      </c>
      <c r="O1806" t="s">
        <v>32</v>
      </c>
      <c r="P1806" t="s">
        <v>4056</v>
      </c>
      <c r="Q1806">
        <v>100</v>
      </c>
      <c r="R1806">
        <v>100</v>
      </c>
      <c r="S1806" t="s">
        <v>34</v>
      </c>
      <c r="T1806" t="s">
        <v>35</v>
      </c>
      <c r="U1806" t="s">
        <v>44</v>
      </c>
      <c r="W1806">
        <v>0</v>
      </c>
      <c r="X1806">
        <v>0</v>
      </c>
      <c r="Y1806">
        <v>0</v>
      </c>
      <c r="Z1806">
        <v>0</v>
      </c>
    </row>
    <row r="1807" spans="1:26" hidden="1" x14ac:dyDescent="0.25">
      <c r="A1807" t="s">
        <v>4057</v>
      </c>
      <c r="B1807" t="s">
        <v>38</v>
      </c>
      <c r="C1807" s="4">
        <v>44818</v>
      </c>
      <c r="D1807" s="4">
        <v>45869</v>
      </c>
      <c r="F1807" s="4">
        <v>46447</v>
      </c>
      <c r="G1807" t="s">
        <v>1311</v>
      </c>
      <c r="H1807" t="s">
        <v>1369</v>
      </c>
      <c r="K1807" t="s">
        <v>114</v>
      </c>
      <c r="L1807" t="s">
        <v>3121</v>
      </c>
      <c r="M1807" t="s">
        <v>68</v>
      </c>
      <c r="N1807" t="s">
        <v>3122</v>
      </c>
      <c r="O1807" t="s">
        <v>32</v>
      </c>
      <c r="P1807" t="s">
        <v>4058</v>
      </c>
      <c r="Q1807">
        <v>150</v>
      </c>
      <c r="R1807">
        <v>150</v>
      </c>
      <c r="S1807" t="s">
        <v>597</v>
      </c>
      <c r="T1807" t="s">
        <v>598</v>
      </c>
      <c r="U1807" t="s">
        <v>44</v>
      </c>
      <c r="W1807">
        <v>0</v>
      </c>
      <c r="X1807">
        <v>0</v>
      </c>
      <c r="Y1807">
        <v>0</v>
      </c>
      <c r="Z1807">
        <v>0</v>
      </c>
    </row>
    <row r="1808" spans="1:26" hidden="1" x14ac:dyDescent="0.25">
      <c r="A1808" t="s">
        <v>4059</v>
      </c>
      <c r="B1808" t="s">
        <v>38</v>
      </c>
      <c r="C1808" s="4">
        <v>44819</v>
      </c>
      <c r="D1808" s="4">
        <v>45869</v>
      </c>
      <c r="F1808" s="4">
        <v>42887</v>
      </c>
      <c r="G1808" t="s">
        <v>144</v>
      </c>
      <c r="H1808" t="s">
        <v>1496</v>
      </c>
      <c r="K1808" t="s">
        <v>146</v>
      </c>
      <c r="L1808" t="s">
        <v>3121</v>
      </c>
      <c r="M1808" t="s">
        <v>68</v>
      </c>
      <c r="N1808" t="s">
        <v>3122</v>
      </c>
      <c r="O1808" t="s">
        <v>32</v>
      </c>
      <c r="P1808" t="s">
        <v>4060</v>
      </c>
      <c r="Q1808">
        <v>100</v>
      </c>
      <c r="R1808">
        <v>100</v>
      </c>
      <c r="S1808" t="s">
        <v>597</v>
      </c>
      <c r="T1808" t="s">
        <v>598</v>
      </c>
      <c r="U1808" t="s">
        <v>44</v>
      </c>
      <c r="W1808">
        <v>0</v>
      </c>
      <c r="X1808">
        <v>0</v>
      </c>
      <c r="Y1808">
        <v>0</v>
      </c>
      <c r="Z1808">
        <v>0</v>
      </c>
    </row>
    <row r="1809" spans="1:26" hidden="1" x14ac:dyDescent="0.25">
      <c r="A1809" t="s">
        <v>4061</v>
      </c>
      <c r="B1809" t="s">
        <v>38</v>
      </c>
      <c r="C1809" s="4">
        <v>44817</v>
      </c>
      <c r="D1809" s="4">
        <v>45957</v>
      </c>
      <c r="F1809" s="4">
        <v>46266</v>
      </c>
      <c r="G1809" t="s">
        <v>101</v>
      </c>
      <c r="H1809" t="s">
        <v>1583</v>
      </c>
      <c r="K1809" t="s">
        <v>98</v>
      </c>
      <c r="L1809" t="s">
        <v>3121</v>
      </c>
      <c r="M1809" t="s">
        <v>84</v>
      </c>
      <c r="N1809" t="s">
        <v>2160</v>
      </c>
      <c r="O1809" t="s">
        <v>32</v>
      </c>
      <c r="P1809" t="s">
        <v>4062</v>
      </c>
      <c r="Q1809">
        <v>200</v>
      </c>
      <c r="R1809">
        <v>200</v>
      </c>
      <c r="S1809" t="s">
        <v>34</v>
      </c>
      <c r="T1809" t="s">
        <v>35</v>
      </c>
      <c r="U1809" t="s">
        <v>44</v>
      </c>
      <c r="W1809">
        <v>0</v>
      </c>
      <c r="X1809">
        <v>0</v>
      </c>
      <c r="Y1809">
        <v>0</v>
      </c>
      <c r="Z1809">
        <v>0</v>
      </c>
    </row>
    <row r="1810" spans="1:26" hidden="1" x14ac:dyDescent="0.25">
      <c r="A1810" t="s">
        <v>4063</v>
      </c>
      <c r="B1810" t="s">
        <v>2153</v>
      </c>
      <c r="C1810" s="4">
        <v>44817</v>
      </c>
      <c r="F1810" s="4">
        <v>46266</v>
      </c>
      <c r="H1810" t="s">
        <v>1996</v>
      </c>
      <c r="K1810" t="s">
        <v>109</v>
      </c>
      <c r="L1810" t="s">
        <v>3121</v>
      </c>
      <c r="M1810" t="s">
        <v>84</v>
      </c>
      <c r="N1810" t="s">
        <v>2160</v>
      </c>
      <c r="O1810" t="s">
        <v>32</v>
      </c>
      <c r="P1810" t="s">
        <v>3618</v>
      </c>
      <c r="Q1810">
        <v>200</v>
      </c>
      <c r="R1810">
        <v>200</v>
      </c>
      <c r="S1810" t="s">
        <v>34</v>
      </c>
      <c r="T1810" t="s">
        <v>35</v>
      </c>
      <c r="U1810" t="s">
        <v>44</v>
      </c>
      <c r="W1810">
        <v>200</v>
      </c>
      <c r="X1810">
        <v>200</v>
      </c>
      <c r="Y1810">
        <v>0</v>
      </c>
      <c r="Z1810">
        <v>0</v>
      </c>
    </row>
    <row r="1811" spans="1:26" hidden="1" x14ac:dyDescent="0.25">
      <c r="A1811" t="s">
        <v>4064</v>
      </c>
      <c r="B1811" t="s">
        <v>38</v>
      </c>
      <c r="C1811" s="4">
        <v>44818</v>
      </c>
      <c r="D1811" s="4">
        <v>45009</v>
      </c>
      <c r="F1811" s="4">
        <v>46266</v>
      </c>
      <c r="G1811" t="s">
        <v>52</v>
      </c>
      <c r="H1811" t="s">
        <v>1588</v>
      </c>
      <c r="K1811" t="s">
        <v>53</v>
      </c>
      <c r="L1811" t="s">
        <v>3121</v>
      </c>
      <c r="M1811" t="s">
        <v>54</v>
      </c>
      <c r="N1811" t="s">
        <v>3122</v>
      </c>
      <c r="O1811" t="s">
        <v>32</v>
      </c>
      <c r="P1811" t="s">
        <v>3561</v>
      </c>
      <c r="Q1811">
        <v>100</v>
      </c>
      <c r="R1811">
        <v>100</v>
      </c>
      <c r="S1811" t="s">
        <v>34</v>
      </c>
      <c r="T1811" t="s">
        <v>35</v>
      </c>
      <c r="U1811" t="s">
        <v>44</v>
      </c>
      <c r="W1811">
        <v>0</v>
      </c>
      <c r="X1811">
        <v>0</v>
      </c>
      <c r="Y1811">
        <v>0</v>
      </c>
      <c r="Z1811">
        <v>0</v>
      </c>
    </row>
    <row r="1812" spans="1:26" hidden="1" x14ac:dyDescent="0.25">
      <c r="A1812" t="s">
        <v>4065</v>
      </c>
      <c r="B1812" t="s">
        <v>2153</v>
      </c>
      <c r="C1812" s="4">
        <v>44818</v>
      </c>
      <c r="F1812" s="4">
        <v>46266</v>
      </c>
      <c r="G1812" t="s">
        <v>117</v>
      </c>
      <c r="H1812" t="s">
        <v>1637</v>
      </c>
      <c r="K1812" t="s">
        <v>83</v>
      </c>
      <c r="L1812" t="s">
        <v>3121</v>
      </c>
      <c r="M1812" t="s">
        <v>84</v>
      </c>
      <c r="N1812" t="s">
        <v>2160</v>
      </c>
      <c r="O1812" t="s">
        <v>32</v>
      </c>
      <c r="P1812" t="s">
        <v>4066</v>
      </c>
      <c r="Q1812">
        <v>100</v>
      </c>
      <c r="R1812">
        <v>100</v>
      </c>
      <c r="S1812" t="s">
        <v>34</v>
      </c>
      <c r="T1812" t="s">
        <v>35</v>
      </c>
      <c r="U1812" t="s">
        <v>44</v>
      </c>
      <c r="W1812">
        <v>100</v>
      </c>
      <c r="X1812">
        <v>100</v>
      </c>
      <c r="Y1812">
        <v>0</v>
      </c>
      <c r="Z1812">
        <v>0</v>
      </c>
    </row>
    <row r="1813" spans="1:26" hidden="1" x14ac:dyDescent="0.25">
      <c r="A1813" t="s">
        <v>4067</v>
      </c>
      <c r="B1813" t="s">
        <v>2153</v>
      </c>
      <c r="C1813" s="4">
        <v>44818</v>
      </c>
      <c r="F1813" s="4">
        <v>46266</v>
      </c>
      <c r="H1813" t="s">
        <v>2751</v>
      </c>
      <c r="K1813" t="s">
        <v>83</v>
      </c>
      <c r="L1813" t="s">
        <v>3121</v>
      </c>
      <c r="M1813" t="s">
        <v>84</v>
      </c>
      <c r="N1813" t="s">
        <v>2160</v>
      </c>
      <c r="O1813" t="s">
        <v>32</v>
      </c>
      <c r="P1813" t="s">
        <v>4068</v>
      </c>
      <c r="Q1813">
        <v>133</v>
      </c>
      <c r="R1813">
        <v>133</v>
      </c>
      <c r="S1813" t="s">
        <v>34</v>
      </c>
      <c r="T1813" t="s">
        <v>35</v>
      </c>
      <c r="U1813" t="s">
        <v>44</v>
      </c>
      <c r="W1813">
        <v>133</v>
      </c>
      <c r="X1813">
        <v>133</v>
      </c>
      <c r="Y1813">
        <v>0</v>
      </c>
      <c r="Z1813">
        <v>0</v>
      </c>
    </row>
    <row r="1814" spans="1:26" hidden="1" x14ac:dyDescent="0.25">
      <c r="A1814" t="s">
        <v>4069</v>
      </c>
      <c r="B1814" t="s">
        <v>38</v>
      </c>
      <c r="C1814" s="4">
        <v>44818</v>
      </c>
      <c r="D1814" s="4">
        <v>45009</v>
      </c>
      <c r="F1814" s="4">
        <v>46266</v>
      </c>
      <c r="G1814" t="s">
        <v>72</v>
      </c>
      <c r="H1814" t="s">
        <v>2201</v>
      </c>
      <c r="K1814" t="s">
        <v>209</v>
      </c>
      <c r="L1814" t="s">
        <v>3121</v>
      </c>
      <c r="M1814" t="s">
        <v>42</v>
      </c>
      <c r="N1814" t="s">
        <v>3122</v>
      </c>
      <c r="O1814" t="s">
        <v>32</v>
      </c>
      <c r="P1814" t="s">
        <v>4070</v>
      </c>
      <c r="Q1814">
        <v>100</v>
      </c>
      <c r="R1814">
        <v>100</v>
      </c>
      <c r="S1814" t="s">
        <v>159</v>
      </c>
      <c r="T1814" t="s">
        <v>159</v>
      </c>
      <c r="U1814" t="s">
        <v>44</v>
      </c>
      <c r="W1814">
        <v>0</v>
      </c>
      <c r="X1814">
        <v>0</v>
      </c>
      <c r="Y1814">
        <v>0</v>
      </c>
      <c r="Z1814">
        <v>0</v>
      </c>
    </row>
    <row r="1815" spans="1:26" hidden="1" x14ac:dyDescent="0.25">
      <c r="A1815" t="s">
        <v>4071</v>
      </c>
      <c r="B1815" t="s">
        <v>2153</v>
      </c>
      <c r="C1815" s="4">
        <v>44818</v>
      </c>
      <c r="F1815" s="4">
        <v>46266</v>
      </c>
      <c r="G1815" t="s">
        <v>72</v>
      </c>
      <c r="H1815" t="s">
        <v>2201</v>
      </c>
      <c r="K1815" t="s">
        <v>209</v>
      </c>
      <c r="L1815" t="s">
        <v>3121</v>
      </c>
      <c r="M1815" t="s">
        <v>42</v>
      </c>
      <c r="N1815" t="s">
        <v>3122</v>
      </c>
      <c r="O1815" t="s">
        <v>32</v>
      </c>
      <c r="P1815" t="s">
        <v>3558</v>
      </c>
      <c r="Q1815">
        <v>210</v>
      </c>
      <c r="R1815">
        <v>210</v>
      </c>
      <c r="S1815" t="s">
        <v>34</v>
      </c>
      <c r="T1815" t="s">
        <v>35</v>
      </c>
      <c r="U1815" t="s">
        <v>44</v>
      </c>
      <c r="W1815">
        <v>210</v>
      </c>
      <c r="X1815">
        <v>210</v>
      </c>
      <c r="Y1815">
        <v>0</v>
      </c>
      <c r="Z1815">
        <v>0</v>
      </c>
    </row>
    <row r="1816" spans="1:26" hidden="1" x14ac:dyDescent="0.25">
      <c r="A1816" t="s">
        <v>4072</v>
      </c>
      <c r="B1816" t="s">
        <v>2153</v>
      </c>
      <c r="C1816" s="4">
        <v>44818</v>
      </c>
      <c r="F1816" s="4">
        <v>46266</v>
      </c>
      <c r="G1816" t="s">
        <v>52</v>
      </c>
      <c r="H1816" t="s">
        <v>1445</v>
      </c>
      <c r="K1816" t="s">
        <v>53</v>
      </c>
      <c r="L1816" t="s">
        <v>3121</v>
      </c>
      <c r="M1816" t="s">
        <v>54</v>
      </c>
      <c r="N1816" t="s">
        <v>3122</v>
      </c>
      <c r="O1816" t="s">
        <v>32</v>
      </c>
      <c r="P1816" t="s">
        <v>4073</v>
      </c>
      <c r="Q1816">
        <v>140</v>
      </c>
      <c r="R1816">
        <v>140</v>
      </c>
      <c r="S1816" t="s">
        <v>34</v>
      </c>
      <c r="T1816" t="s">
        <v>35</v>
      </c>
      <c r="U1816" t="s">
        <v>44</v>
      </c>
      <c r="W1816">
        <v>140</v>
      </c>
      <c r="X1816">
        <v>140</v>
      </c>
      <c r="Y1816">
        <v>0</v>
      </c>
      <c r="Z1816">
        <v>0</v>
      </c>
    </row>
    <row r="1817" spans="1:26" hidden="1" x14ac:dyDescent="0.25">
      <c r="A1817" t="s">
        <v>4074</v>
      </c>
      <c r="B1817" t="s">
        <v>38</v>
      </c>
      <c r="C1817" s="4">
        <v>44817</v>
      </c>
      <c r="D1817" s="4">
        <v>45009</v>
      </c>
      <c r="F1817" s="4">
        <v>46433</v>
      </c>
      <c r="G1817" t="s">
        <v>52</v>
      </c>
      <c r="H1817" t="s">
        <v>2351</v>
      </c>
      <c r="K1817" t="s">
        <v>53</v>
      </c>
      <c r="L1817" t="s">
        <v>3121</v>
      </c>
      <c r="M1817" t="s">
        <v>54</v>
      </c>
      <c r="N1817" t="s">
        <v>3122</v>
      </c>
      <c r="O1817" t="s">
        <v>32</v>
      </c>
      <c r="P1817" t="s">
        <v>4075</v>
      </c>
      <c r="Q1817">
        <v>195</v>
      </c>
      <c r="R1817">
        <v>195</v>
      </c>
      <c r="S1817" t="s">
        <v>34</v>
      </c>
      <c r="T1817" t="s">
        <v>35</v>
      </c>
      <c r="U1817" t="s">
        <v>44</v>
      </c>
      <c r="W1817">
        <v>0</v>
      </c>
      <c r="X1817">
        <v>0</v>
      </c>
      <c r="Y1817">
        <v>0</v>
      </c>
      <c r="Z1817">
        <v>0</v>
      </c>
    </row>
    <row r="1818" spans="1:26" hidden="1" x14ac:dyDescent="0.25">
      <c r="A1818" t="s">
        <v>4076</v>
      </c>
      <c r="B1818" t="s">
        <v>2153</v>
      </c>
      <c r="C1818" s="4">
        <v>44811</v>
      </c>
      <c r="F1818" s="4">
        <v>46068</v>
      </c>
      <c r="G1818" t="s">
        <v>52</v>
      </c>
      <c r="H1818" t="s">
        <v>2258</v>
      </c>
      <c r="K1818" t="s">
        <v>53</v>
      </c>
      <c r="L1818" t="s">
        <v>3121</v>
      </c>
      <c r="M1818" t="s">
        <v>54</v>
      </c>
      <c r="N1818" t="s">
        <v>3122</v>
      </c>
      <c r="O1818" t="s">
        <v>32</v>
      </c>
      <c r="P1818" t="s">
        <v>4077</v>
      </c>
      <c r="Q1818">
        <v>220</v>
      </c>
      <c r="R1818">
        <v>220</v>
      </c>
      <c r="S1818" t="s">
        <v>34</v>
      </c>
      <c r="T1818" t="s">
        <v>35</v>
      </c>
      <c r="U1818" t="s">
        <v>44</v>
      </c>
      <c r="V1818" s="4">
        <v>46473</v>
      </c>
      <c r="W1818">
        <v>220</v>
      </c>
      <c r="X1818">
        <v>220</v>
      </c>
      <c r="Y1818">
        <v>0</v>
      </c>
      <c r="Z1818">
        <v>0</v>
      </c>
    </row>
    <row r="1819" spans="1:26" hidden="1" x14ac:dyDescent="0.25">
      <c r="A1819" t="s">
        <v>4078</v>
      </c>
      <c r="B1819" t="s">
        <v>2338</v>
      </c>
      <c r="C1819" s="4">
        <v>44803</v>
      </c>
      <c r="F1819" s="4">
        <v>45703</v>
      </c>
      <c r="G1819" t="s">
        <v>52</v>
      </c>
      <c r="H1819" t="s">
        <v>1530</v>
      </c>
      <c r="K1819" t="s">
        <v>53</v>
      </c>
      <c r="L1819" t="s">
        <v>3121</v>
      </c>
      <c r="M1819" t="s">
        <v>54</v>
      </c>
      <c r="N1819" t="s">
        <v>3122</v>
      </c>
      <c r="O1819" t="s">
        <v>32</v>
      </c>
      <c r="P1819" t="s">
        <v>4079</v>
      </c>
      <c r="Q1819">
        <v>140</v>
      </c>
      <c r="R1819">
        <v>140</v>
      </c>
      <c r="S1819" t="s">
        <v>34</v>
      </c>
      <c r="T1819" t="s">
        <v>35</v>
      </c>
      <c r="U1819" t="s">
        <v>44</v>
      </c>
      <c r="V1819" s="4">
        <v>46067</v>
      </c>
      <c r="W1819">
        <v>140</v>
      </c>
      <c r="X1819">
        <v>140</v>
      </c>
      <c r="Y1819">
        <v>0</v>
      </c>
      <c r="Z1819">
        <v>0</v>
      </c>
    </row>
    <row r="1820" spans="1:26" hidden="1" x14ac:dyDescent="0.25">
      <c r="A1820" t="s">
        <v>4080</v>
      </c>
      <c r="B1820" t="s">
        <v>2153</v>
      </c>
      <c r="C1820" s="4">
        <v>44812</v>
      </c>
      <c r="F1820" s="4">
        <v>47057</v>
      </c>
      <c r="H1820" t="s">
        <v>1571</v>
      </c>
      <c r="K1820" t="s">
        <v>146</v>
      </c>
      <c r="L1820" t="s">
        <v>3121</v>
      </c>
      <c r="M1820" t="s">
        <v>68</v>
      </c>
      <c r="N1820" t="s">
        <v>3122</v>
      </c>
      <c r="O1820" t="s">
        <v>122</v>
      </c>
      <c r="P1820" t="s">
        <v>4081</v>
      </c>
      <c r="Q1820">
        <v>100</v>
      </c>
      <c r="R1820">
        <v>100</v>
      </c>
      <c r="S1820" t="s">
        <v>34</v>
      </c>
      <c r="T1820" t="s">
        <v>35</v>
      </c>
      <c r="U1820" t="s">
        <v>44</v>
      </c>
      <c r="W1820">
        <v>100</v>
      </c>
      <c r="X1820">
        <v>0</v>
      </c>
      <c r="Y1820">
        <v>0</v>
      </c>
      <c r="Z1820">
        <v>0</v>
      </c>
    </row>
    <row r="1821" spans="1:26" hidden="1" x14ac:dyDescent="0.25">
      <c r="A1821" t="s">
        <v>4082</v>
      </c>
      <c r="B1821" t="s">
        <v>38</v>
      </c>
      <c r="C1821" s="4">
        <v>44813</v>
      </c>
      <c r="D1821" s="4">
        <v>45869</v>
      </c>
      <c r="F1821" s="4">
        <v>45565</v>
      </c>
      <c r="G1821" t="s">
        <v>2944</v>
      </c>
      <c r="H1821" t="s">
        <v>1962</v>
      </c>
      <c r="K1821" t="s">
        <v>151</v>
      </c>
      <c r="L1821" t="s">
        <v>3121</v>
      </c>
      <c r="M1821" t="s">
        <v>68</v>
      </c>
      <c r="N1821" t="s">
        <v>3122</v>
      </c>
      <c r="O1821" t="s">
        <v>32</v>
      </c>
      <c r="P1821" t="s">
        <v>4083</v>
      </c>
      <c r="Q1821">
        <v>120</v>
      </c>
      <c r="R1821">
        <v>120</v>
      </c>
      <c r="S1821" t="s">
        <v>34</v>
      </c>
      <c r="T1821" t="s">
        <v>35</v>
      </c>
      <c r="U1821" t="s">
        <v>44</v>
      </c>
      <c r="W1821">
        <v>0</v>
      </c>
      <c r="X1821">
        <v>0</v>
      </c>
      <c r="Y1821">
        <v>0</v>
      </c>
      <c r="Z1821">
        <v>0</v>
      </c>
    </row>
    <row r="1822" spans="1:26" hidden="1" x14ac:dyDescent="0.25">
      <c r="A1822" t="s">
        <v>4084</v>
      </c>
      <c r="B1822" t="s">
        <v>2153</v>
      </c>
      <c r="C1822" s="4">
        <v>45957</v>
      </c>
      <c r="F1822" s="4">
        <v>45717</v>
      </c>
      <c r="G1822" t="s">
        <v>1326</v>
      </c>
      <c r="H1822" t="s">
        <v>1571</v>
      </c>
      <c r="K1822" t="s">
        <v>67</v>
      </c>
      <c r="L1822" t="s">
        <v>3121</v>
      </c>
      <c r="M1822" t="s">
        <v>68</v>
      </c>
      <c r="N1822" t="s">
        <v>3122</v>
      </c>
      <c r="O1822" t="s">
        <v>32</v>
      </c>
      <c r="P1822" t="s">
        <v>4085</v>
      </c>
      <c r="Q1822">
        <v>130</v>
      </c>
      <c r="R1822">
        <v>130</v>
      </c>
      <c r="S1822" t="s">
        <v>597</v>
      </c>
      <c r="T1822" t="s">
        <v>598</v>
      </c>
      <c r="U1822" t="s">
        <v>44</v>
      </c>
      <c r="W1822">
        <v>130</v>
      </c>
      <c r="X1822">
        <v>0</v>
      </c>
      <c r="Y1822">
        <v>0</v>
      </c>
      <c r="Z1822">
        <v>0</v>
      </c>
    </row>
    <row r="1823" spans="1:26" hidden="1" x14ac:dyDescent="0.25">
      <c r="A1823" t="s">
        <v>4086</v>
      </c>
      <c r="B1823" t="s">
        <v>2153</v>
      </c>
      <c r="C1823" s="4">
        <v>45957</v>
      </c>
      <c r="F1823" s="4">
        <v>45689</v>
      </c>
      <c r="G1823" t="s">
        <v>1408</v>
      </c>
      <c r="H1823" t="s">
        <v>3438</v>
      </c>
      <c r="K1823" t="s">
        <v>146</v>
      </c>
      <c r="L1823" t="s">
        <v>3121</v>
      </c>
      <c r="M1823" t="s">
        <v>68</v>
      </c>
      <c r="N1823" t="s">
        <v>3122</v>
      </c>
      <c r="O1823" t="s">
        <v>32</v>
      </c>
      <c r="P1823" t="s">
        <v>4087</v>
      </c>
      <c r="Q1823">
        <v>80</v>
      </c>
      <c r="R1823">
        <v>80</v>
      </c>
      <c r="S1823" t="s">
        <v>597</v>
      </c>
      <c r="T1823" t="s">
        <v>598</v>
      </c>
      <c r="U1823" t="s">
        <v>44</v>
      </c>
      <c r="W1823">
        <v>80</v>
      </c>
      <c r="X1823">
        <v>0</v>
      </c>
      <c r="Y1823">
        <v>0</v>
      </c>
      <c r="Z1823">
        <v>0</v>
      </c>
    </row>
    <row r="1824" spans="1:26" hidden="1" x14ac:dyDescent="0.25">
      <c r="A1824" t="s">
        <v>4088</v>
      </c>
      <c r="B1824" t="s">
        <v>38</v>
      </c>
      <c r="C1824" s="4">
        <v>44812</v>
      </c>
      <c r="D1824" s="4">
        <v>45957</v>
      </c>
      <c r="F1824" s="4">
        <v>45717</v>
      </c>
      <c r="G1824" t="s">
        <v>681</v>
      </c>
      <c r="H1824" t="s">
        <v>2499</v>
      </c>
      <c r="K1824" t="s">
        <v>683</v>
      </c>
      <c r="L1824" t="s">
        <v>3121</v>
      </c>
      <c r="M1824" t="s">
        <v>84</v>
      </c>
      <c r="N1824" t="s">
        <v>2160</v>
      </c>
      <c r="O1824" t="s">
        <v>32</v>
      </c>
      <c r="P1824" t="s">
        <v>4089</v>
      </c>
      <c r="Q1824">
        <v>35</v>
      </c>
      <c r="R1824">
        <v>35</v>
      </c>
      <c r="S1824" t="s">
        <v>597</v>
      </c>
      <c r="T1824" t="s">
        <v>598</v>
      </c>
      <c r="U1824" t="s">
        <v>44</v>
      </c>
      <c r="W1824">
        <v>0</v>
      </c>
      <c r="X1824">
        <v>0</v>
      </c>
      <c r="Y1824">
        <v>0</v>
      </c>
      <c r="Z1824">
        <v>0</v>
      </c>
    </row>
    <row r="1825" spans="1:26" hidden="1" x14ac:dyDescent="0.25">
      <c r="A1825" t="s">
        <v>4090</v>
      </c>
      <c r="B1825" t="s">
        <v>38</v>
      </c>
      <c r="C1825" s="4">
        <v>44812</v>
      </c>
      <c r="D1825" s="4">
        <v>45957</v>
      </c>
      <c r="F1825" s="4">
        <v>45717</v>
      </c>
      <c r="G1825" t="s">
        <v>681</v>
      </c>
      <c r="H1825" t="s">
        <v>2526</v>
      </c>
      <c r="K1825" t="s">
        <v>683</v>
      </c>
      <c r="L1825" t="s">
        <v>3121</v>
      </c>
      <c r="M1825" t="s">
        <v>84</v>
      </c>
      <c r="N1825" t="s">
        <v>2160</v>
      </c>
      <c r="O1825" t="s">
        <v>32</v>
      </c>
      <c r="P1825" t="s">
        <v>4091</v>
      </c>
      <c r="Q1825">
        <v>30</v>
      </c>
      <c r="R1825">
        <v>30</v>
      </c>
      <c r="S1825" t="s">
        <v>597</v>
      </c>
      <c r="T1825" t="s">
        <v>598</v>
      </c>
      <c r="U1825" t="s">
        <v>44</v>
      </c>
      <c r="W1825">
        <v>0</v>
      </c>
      <c r="X1825">
        <v>0</v>
      </c>
      <c r="Y1825">
        <v>0</v>
      </c>
      <c r="Z1825">
        <v>0</v>
      </c>
    </row>
    <row r="1826" spans="1:26" hidden="1" x14ac:dyDescent="0.25">
      <c r="A1826" t="s">
        <v>4092</v>
      </c>
      <c r="B1826" t="s">
        <v>2153</v>
      </c>
      <c r="C1826" s="4">
        <v>44812</v>
      </c>
      <c r="F1826" s="4">
        <v>45717</v>
      </c>
      <c r="G1826" t="s">
        <v>52</v>
      </c>
      <c r="H1826" t="s">
        <v>2165</v>
      </c>
      <c r="K1826" t="s">
        <v>53</v>
      </c>
      <c r="L1826" t="s">
        <v>3121</v>
      </c>
      <c r="M1826" t="s">
        <v>54</v>
      </c>
      <c r="N1826" t="s">
        <v>3122</v>
      </c>
      <c r="O1826" t="s">
        <v>32</v>
      </c>
      <c r="P1826" t="s">
        <v>4093</v>
      </c>
      <c r="Q1826">
        <v>200</v>
      </c>
      <c r="R1826">
        <v>200</v>
      </c>
      <c r="S1826" t="s">
        <v>159</v>
      </c>
      <c r="T1826" t="s">
        <v>159</v>
      </c>
      <c r="U1826" t="s">
        <v>44</v>
      </c>
      <c r="W1826">
        <v>200</v>
      </c>
      <c r="X1826">
        <v>200</v>
      </c>
      <c r="Y1826">
        <v>0</v>
      </c>
      <c r="Z1826">
        <v>0</v>
      </c>
    </row>
    <row r="1827" spans="1:26" hidden="1" x14ac:dyDescent="0.25">
      <c r="A1827" t="s">
        <v>4094</v>
      </c>
      <c r="B1827" t="s">
        <v>38</v>
      </c>
      <c r="C1827" s="4">
        <v>44813</v>
      </c>
      <c r="D1827" s="4">
        <v>45957</v>
      </c>
      <c r="F1827" s="4">
        <v>45717</v>
      </c>
      <c r="G1827" t="s">
        <v>101</v>
      </c>
      <c r="H1827" t="s">
        <v>1279</v>
      </c>
      <c r="K1827" t="s">
        <v>98</v>
      </c>
      <c r="L1827" t="s">
        <v>3121</v>
      </c>
      <c r="M1827" t="s">
        <v>84</v>
      </c>
      <c r="N1827" t="s">
        <v>2160</v>
      </c>
      <c r="O1827" t="s">
        <v>32</v>
      </c>
      <c r="P1827" t="s">
        <v>4095</v>
      </c>
      <c r="Q1827">
        <v>200</v>
      </c>
      <c r="R1827">
        <v>200</v>
      </c>
      <c r="S1827" t="s">
        <v>159</v>
      </c>
      <c r="T1827" t="s">
        <v>159</v>
      </c>
      <c r="U1827" t="s">
        <v>44</v>
      </c>
      <c r="W1827">
        <v>0</v>
      </c>
      <c r="X1827">
        <v>0</v>
      </c>
      <c r="Y1827">
        <v>0</v>
      </c>
      <c r="Z1827">
        <v>0</v>
      </c>
    </row>
    <row r="1828" spans="1:26" hidden="1" x14ac:dyDescent="0.25">
      <c r="A1828" t="s">
        <v>4096</v>
      </c>
      <c r="B1828" t="s">
        <v>38</v>
      </c>
      <c r="C1828" s="4">
        <v>44816</v>
      </c>
      <c r="D1828" s="4">
        <v>45869</v>
      </c>
      <c r="F1828" s="4">
        <v>45717</v>
      </c>
      <c r="G1828" t="s">
        <v>1311</v>
      </c>
      <c r="H1828" t="s">
        <v>3893</v>
      </c>
      <c r="K1828" t="s">
        <v>114</v>
      </c>
      <c r="L1828" t="s">
        <v>3121</v>
      </c>
      <c r="M1828" t="s">
        <v>68</v>
      </c>
      <c r="N1828" t="s">
        <v>3122</v>
      </c>
      <c r="O1828" t="s">
        <v>32</v>
      </c>
      <c r="P1828" t="s">
        <v>4097</v>
      </c>
      <c r="Q1828">
        <v>70</v>
      </c>
      <c r="R1828">
        <v>70</v>
      </c>
      <c r="S1828" t="s">
        <v>597</v>
      </c>
      <c r="T1828" t="s">
        <v>598</v>
      </c>
      <c r="U1828" t="s">
        <v>44</v>
      </c>
      <c r="W1828">
        <v>0</v>
      </c>
      <c r="X1828">
        <v>0</v>
      </c>
      <c r="Y1828">
        <v>0</v>
      </c>
      <c r="Z1828">
        <v>0</v>
      </c>
    </row>
    <row r="1829" spans="1:26" hidden="1" x14ac:dyDescent="0.25">
      <c r="A1829" t="s">
        <v>4098</v>
      </c>
      <c r="B1829" t="s">
        <v>38</v>
      </c>
      <c r="C1829" s="4">
        <v>44817</v>
      </c>
      <c r="D1829" s="4">
        <v>45869</v>
      </c>
      <c r="F1829" s="4">
        <v>45717</v>
      </c>
      <c r="G1829" t="s">
        <v>1311</v>
      </c>
      <c r="H1829" t="s">
        <v>3896</v>
      </c>
      <c r="K1829" t="s">
        <v>114</v>
      </c>
      <c r="L1829" t="s">
        <v>3121</v>
      </c>
      <c r="M1829" t="s">
        <v>68</v>
      </c>
      <c r="N1829" t="s">
        <v>3122</v>
      </c>
      <c r="O1829" t="s">
        <v>32</v>
      </c>
      <c r="P1829" t="s">
        <v>4099</v>
      </c>
      <c r="Q1829">
        <v>100</v>
      </c>
      <c r="R1829">
        <v>100</v>
      </c>
      <c r="S1829" t="s">
        <v>597</v>
      </c>
      <c r="T1829" t="s">
        <v>598</v>
      </c>
      <c r="U1829" t="s">
        <v>44</v>
      </c>
      <c r="W1829">
        <v>0</v>
      </c>
      <c r="X1829">
        <v>0</v>
      </c>
      <c r="Y1829">
        <v>0</v>
      </c>
      <c r="Z1829">
        <v>0</v>
      </c>
    </row>
    <row r="1830" spans="1:26" hidden="1" x14ac:dyDescent="0.25">
      <c r="A1830" t="s">
        <v>4100</v>
      </c>
      <c r="B1830" t="s">
        <v>2153</v>
      </c>
      <c r="C1830" s="4">
        <v>44819</v>
      </c>
      <c r="F1830" s="4">
        <v>46539</v>
      </c>
      <c r="G1830" t="s">
        <v>138</v>
      </c>
      <c r="H1830" t="s">
        <v>1676</v>
      </c>
      <c r="K1830" t="s">
        <v>98</v>
      </c>
      <c r="L1830" t="s">
        <v>3121</v>
      </c>
      <c r="M1830" t="s">
        <v>84</v>
      </c>
      <c r="N1830" t="s">
        <v>2160</v>
      </c>
      <c r="O1830" t="s">
        <v>32</v>
      </c>
      <c r="P1830" t="s">
        <v>4101</v>
      </c>
      <c r="Q1830">
        <v>125</v>
      </c>
      <c r="R1830">
        <v>125</v>
      </c>
      <c r="S1830" t="s">
        <v>597</v>
      </c>
      <c r="T1830" t="s">
        <v>598</v>
      </c>
      <c r="U1830" t="s">
        <v>44</v>
      </c>
      <c r="W1830">
        <v>125</v>
      </c>
      <c r="X1830">
        <v>125</v>
      </c>
      <c r="Y1830">
        <v>0</v>
      </c>
      <c r="Z1830">
        <v>0</v>
      </c>
    </row>
    <row r="1831" spans="1:26" hidden="1" x14ac:dyDescent="0.25">
      <c r="A1831" t="s">
        <v>4102</v>
      </c>
      <c r="B1831" t="s">
        <v>38</v>
      </c>
      <c r="C1831" s="4">
        <v>44817</v>
      </c>
      <c r="D1831" s="4">
        <v>45869</v>
      </c>
      <c r="F1831" s="4">
        <v>45717</v>
      </c>
      <c r="G1831" t="s">
        <v>1311</v>
      </c>
      <c r="H1831" t="s">
        <v>1673</v>
      </c>
      <c r="K1831" t="s">
        <v>114</v>
      </c>
      <c r="L1831" t="s">
        <v>3121</v>
      </c>
      <c r="M1831" t="s">
        <v>68</v>
      </c>
      <c r="N1831" t="s">
        <v>3122</v>
      </c>
      <c r="O1831" t="s">
        <v>32</v>
      </c>
      <c r="P1831" t="s">
        <v>4103</v>
      </c>
      <c r="Q1831">
        <v>200</v>
      </c>
      <c r="R1831">
        <v>200</v>
      </c>
      <c r="S1831" t="s">
        <v>597</v>
      </c>
      <c r="T1831" t="s">
        <v>598</v>
      </c>
      <c r="U1831" t="s">
        <v>44</v>
      </c>
      <c r="W1831">
        <v>0</v>
      </c>
      <c r="X1831">
        <v>0</v>
      </c>
      <c r="Y1831">
        <v>0</v>
      </c>
      <c r="Z1831">
        <v>0</v>
      </c>
    </row>
    <row r="1832" spans="1:26" hidden="1" x14ac:dyDescent="0.25">
      <c r="A1832" t="s">
        <v>4104</v>
      </c>
      <c r="B1832" t="s">
        <v>38</v>
      </c>
      <c r="C1832" s="4">
        <v>44819</v>
      </c>
      <c r="D1832" s="4">
        <v>45869</v>
      </c>
      <c r="F1832" s="4">
        <v>45717</v>
      </c>
      <c r="G1832" t="s">
        <v>65</v>
      </c>
      <c r="H1832" t="s">
        <v>1887</v>
      </c>
      <c r="K1832" t="s">
        <v>67</v>
      </c>
      <c r="L1832" t="s">
        <v>3121</v>
      </c>
      <c r="M1832" t="s">
        <v>68</v>
      </c>
      <c r="N1832" t="s">
        <v>3122</v>
      </c>
      <c r="O1832" t="s">
        <v>32</v>
      </c>
      <c r="P1832" t="s">
        <v>4105</v>
      </c>
      <c r="Q1832">
        <v>50</v>
      </c>
      <c r="R1832">
        <v>50</v>
      </c>
      <c r="S1832" t="s">
        <v>597</v>
      </c>
      <c r="T1832" t="s">
        <v>598</v>
      </c>
      <c r="U1832" t="s">
        <v>44</v>
      </c>
      <c r="W1832">
        <v>0</v>
      </c>
      <c r="X1832">
        <v>0</v>
      </c>
      <c r="Y1832">
        <v>0</v>
      </c>
      <c r="Z1832">
        <v>0</v>
      </c>
    </row>
    <row r="1833" spans="1:26" hidden="1" x14ac:dyDescent="0.25">
      <c r="A1833" t="s">
        <v>4106</v>
      </c>
      <c r="B1833" t="s">
        <v>38</v>
      </c>
      <c r="C1833" s="4">
        <v>44819</v>
      </c>
      <c r="D1833" s="4">
        <v>45957</v>
      </c>
      <c r="F1833" s="4">
        <v>45717</v>
      </c>
      <c r="G1833" t="s">
        <v>101</v>
      </c>
      <c r="H1833" t="s">
        <v>2878</v>
      </c>
      <c r="K1833" t="s">
        <v>98</v>
      </c>
      <c r="L1833" t="s">
        <v>3121</v>
      </c>
      <c r="M1833" t="s">
        <v>84</v>
      </c>
      <c r="N1833" t="s">
        <v>2160</v>
      </c>
      <c r="O1833" t="s">
        <v>32</v>
      </c>
      <c r="P1833" t="s">
        <v>4107</v>
      </c>
      <c r="Q1833">
        <v>30</v>
      </c>
      <c r="R1833">
        <v>30</v>
      </c>
      <c r="S1833" t="s">
        <v>597</v>
      </c>
      <c r="T1833" t="s">
        <v>598</v>
      </c>
      <c r="U1833" t="s">
        <v>44</v>
      </c>
      <c r="W1833">
        <v>0</v>
      </c>
      <c r="X1833">
        <v>0</v>
      </c>
      <c r="Y1833">
        <v>0</v>
      </c>
      <c r="Z1833">
        <v>0</v>
      </c>
    </row>
    <row r="1834" spans="1:26" hidden="1" x14ac:dyDescent="0.25">
      <c r="A1834" t="s">
        <v>4108</v>
      </c>
      <c r="B1834" t="s">
        <v>38</v>
      </c>
      <c r="C1834" s="4">
        <v>44817</v>
      </c>
      <c r="D1834" s="4">
        <v>45957</v>
      </c>
      <c r="F1834" s="4">
        <v>45717</v>
      </c>
      <c r="G1834" t="s">
        <v>138</v>
      </c>
      <c r="H1834" t="s">
        <v>4109</v>
      </c>
      <c r="K1834" t="s">
        <v>98</v>
      </c>
      <c r="L1834" t="s">
        <v>3121</v>
      </c>
      <c r="M1834" t="s">
        <v>84</v>
      </c>
      <c r="N1834" t="s">
        <v>2160</v>
      </c>
      <c r="O1834" t="s">
        <v>32</v>
      </c>
      <c r="P1834" t="s">
        <v>4110</v>
      </c>
      <c r="Q1834">
        <v>50</v>
      </c>
      <c r="R1834">
        <v>50</v>
      </c>
      <c r="S1834" t="s">
        <v>597</v>
      </c>
      <c r="T1834" t="s">
        <v>598</v>
      </c>
      <c r="U1834" t="s">
        <v>44</v>
      </c>
      <c r="W1834">
        <v>0</v>
      </c>
      <c r="X1834">
        <v>0</v>
      </c>
      <c r="Y1834">
        <v>0</v>
      </c>
      <c r="Z1834">
        <v>0</v>
      </c>
    </row>
    <row r="1835" spans="1:26" hidden="1" x14ac:dyDescent="0.25">
      <c r="A1835" t="s">
        <v>4111</v>
      </c>
      <c r="B1835" t="s">
        <v>38</v>
      </c>
      <c r="C1835" s="4">
        <v>44819</v>
      </c>
      <c r="D1835" s="4">
        <v>45869</v>
      </c>
      <c r="F1835" s="4">
        <v>46478</v>
      </c>
      <c r="G1835" t="s">
        <v>616</v>
      </c>
      <c r="H1835" t="s">
        <v>4112</v>
      </c>
      <c r="K1835" t="s">
        <v>146</v>
      </c>
      <c r="L1835" t="s">
        <v>3121</v>
      </c>
      <c r="M1835" t="s">
        <v>68</v>
      </c>
      <c r="N1835" t="s">
        <v>3122</v>
      </c>
      <c r="O1835" t="s">
        <v>32</v>
      </c>
      <c r="P1835" t="s">
        <v>4113</v>
      </c>
      <c r="Q1835">
        <v>36</v>
      </c>
      <c r="R1835">
        <v>36</v>
      </c>
      <c r="S1835" t="s">
        <v>637</v>
      </c>
      <c r="T1835" t="s">
        <v>638</v>
      </c>
      <c r="U1835" t="s">
        <v>44</v>
      </c>
      <c r="W1835">
        <v>0</v>
      </c>
      <c r="X1835">
        <v>0</v>
      </c>
      <c r="Y1835">
        <v>0</v>
      </c>
      <c r="Z1835">
        <v>0</v>
      </c>
    </row>
    <row r="1836" spans="1:26" hidden="1" x14ac:dyDescent="0.25">
      <c r="A1836" t="s">
        <v>4114</v>
      </c>
      <c r="B1836" t="s">
        <v>38</v>
      </c>
      <c r="C1836" s="4">
        <v>44818</v>
      </c>
      <c r="D1836" s="4">
        <v>45869</v>
      </c>
      <c r="F1836" s="4">
        <v>45717</v>
      </c>
      <c r="G1836" t="s">
        <v>144</v>
      </c>
      <c r="H1836" t="s">
        <v>3851</v>
      </c>
      <c r="K1836" t="s">
        <v>146</v>
      </c>
      <c r="L1836" t="s">
        <v>3121</v>
      </c>
      <c r="M1836" t="s">
        <v>68</v>
      </c>
      <c r="N1836" t="s">
        <v>3122</v>
      </c>
      <c r="O1836" t="s">
        <v>32</v>
      </c>
      <c r="P1836" t="s">
        <v>4115</v>
      </c>
      <c r="Q1836">
        <v>110</v>
      </c>
      <c r="R1836">
        <v>110</v>
      </c>
      <c r="S1836" t="s">
        <v>597</v>
      </c>
      <c r="T1836" t="s">
        <v>598</v>
      </c>
      <c r="U1836" t="s">
        <v>44</v>
      </c>
      <c r="W1836">
        <v>0</v>
      </c>
      <c r="X1836">
        <v>0</v>
      </c>
      <c r="Y1836">
        <v>0</v>
      </c>
      <c r="Z1836">
        <v>0</v>
      </c>
    </row>
    <row r="1837" spans="1:26" hidden="1" x14ac:dyDescent="0.25">
      <c r="A1837" t="s">
        <v>4116</v>
      </c>
      <c r="B1837" t="s">
        <v>38</v>
      </c>
      <c r="C1837" s="4">
        <v>44816</v>
      </c>
      <c r="D1837" s="4">
        <v>45868</v>
      </c>
      <c r="F1837" s="4">
        <v>45717</v>
      </c>
      <c r="G1837" t="s">
        <v>1278</v>
      </c>
      <c r="H1837" t="s">
        <v>1315</v>
      </c>
      <c r="K1837" t="s">
        <v>28</v>
      </c>
      <c r="L1837" t="s">
        <v>3121</v>
      </c>
      <c r="M1837" t="s">
        <v>30</v>
      </c>
      <c r="N1837" t="s">
        <v>3122</v>
      </c>
      <c r="O1837" t="s">
        <v>32</v>
      </c>
      <c r="P1837" t="s">
        <v>4117</v>
      </c>
      <c r="Q1837">
        <v>40</v>
      </c>
      <c r="R1837">
        <v>40</v>
      </c>
      <c r="S1837" t="s">
        <v>597</v>
      </c>
      <c r="T1837" t="s">
        <v>598</v>
      </c>
      <c r="U1837" t="s">
        <v>44</v>
      </c>
      <c r="W1837">
        <v>0</v>
      </c>
      <c r="X1837">
        <v>0</v>
      </c>
      <c r="Y1837">
        <v>0</v>
      </c>
      <c r="Z1837">
        <v>0</v>
      </c>
    </row>
    <row r="1838" spans="1:26" hidden="1" x14ac:dyDescent="0.25">
      <c r="A1838" t="s">
        <v>4118</v>
      </c>
      <c r="B1838" t="s">
        <v>38</v>
      </c>
      <c r="C1838" s="4">
        <v>44818</v>
      </c>
      <c r="D1838" s="4">
        <v>45868</v>
      </c>
      <c r="F1838" s="4">
        <v>45717</v>
      </c>
      <c r="G1838" t="s">
        <v>1278</v>
      </c>
      <c r="H1838" t="s">
        <v>1862</v>
      </c>
      <c r="K1838" t="s">
        <v>28</v>
      </c>
      <c r="L1838" t="s">
        <v>3121</v>
      </c>
      <c r="M1838" t="s">
        <v>30</v>
      </c>
      <c r="N1838" t="s">
        <v>3122</v>
      </c>
      <c r="O1838" t="s">
        <v>32</v>
      </c>
      <c r="P1838" t="s">
        <v>4119</v>
      </c>
      <c r="Q1838">
        <v>50</v>
      </c>
      <c r="R1838">
        <v>50</v>
      </c>
      <c r="S1838" t="s">
        <v>597</v>
      </c>
      <c r="T1838" t="s">
        <v>598</v>
      </c>
      <c r="U1838" t="s">
        <v>44</v>
      </c>
      <c r="W1838">
        <v>0</v>
      </c>
      <c r="X1838">
        <v>0</v>
      </c>
      <c r="Y1838">
        <v>0</v>
      </c>
      <c r="Z1838">
        <v>0</v>
      </c>
    </row>
    <row r="1839" spans="1:26" hidden="1" x14ac:dyDescent="0.25">
      <c r="A1839" t="s">
        <v>4120</v>
      </c>
      <c r="B1839" t="s">
        <v>38</v>
      </c>
      <c r="C1839" s="4">
        <v>44817</v>
      </c>
      <c r="D1839" s="4">
        <v>45957</v>
      </c>
      <c r="F1839" s="4">
        <v>45717</v>
      </c>
      <c r="G1839" t="s">
        <v>101</v>
      </c>
      <c r="H1839" t="s">
        <v>1279</v>
      </c>
      <c r="K1839" t="s">
        <v>98</v>
      </c>
      <c r="L1839" t="s">
        <v>3121</v>
      </c>
      <c r="M1839" t="s">
        <v>84</v>
      </c>
      <c r="N1839" t="s">
        <v>2160</v>
      </c>
      <c r="O1839" t="s">
        <v>32</v>
      </c>
      <c r="P1839" t="s">
        <v>4121</v>
      </c>
      <c r="Q1839">
        <v>50</v>
      </c>
      <c r="R1839">
        <v>50</v>
      </c>
      <c r="S1839" t="s">
        <v>597</v>
      </c>
      <c r="T1839" t="s">
        <v>598</v>
      </c>
      <c r="U1839" t="s">
        <v>44</v>
      </c>
      <c r="W1839">
        <v>0</v>
      </c>
      <c r="X1839">
        <v>0</v>
      </c>
      <c r="Y1839">
        <v>0</v>
      </c>
      <c r="Z1839">
        <v>0</v>
      </c>
    </row>
    <row r="1840" spans="1:26" hidden="1" x14ac:dyDescent="0.25">
      <c r="A1840" t="s">
        <v>4122</v>
      </c>
      <c r="B1840" t="s">
        <v>38</v>
      </c>
      <c r="C1840" s="4">
        <v>44816</v>
      </c>
      <c r="D1840" s="4">
        <v>45957</v>
      </c>
      <c r="F1840" s="4">
        <v>45717</v>
      </c>
      <c r="G1840" t="s">
        <v>681</v>
      </c>
      <c r="H1840" t="s">
        <v>1396</v>
      </c>
      <c r="K1840" t="s">
        <v>683</v>
      </c>
      <c r="L1840" t="s">
        <v>3121</v>
      </c>
      <c r="M1840" t="s">
        <v>84</v>
      </c>
      <c r="N1840" t="s">
        <v>2160</v>
      </c>
      <c r="O1840" t="s">
        <v>32</v>
      </c>
      <c r="P1840" t="s">
        <v>4123</v>
      </c>
      <c r="Q1840">
        <v>45</v>
      </c>
      <c r="R1840">
        <v>45</v>
      </c>
      <c r="S1840" t="s">
        <v>597</v>
      </c>
      <c r="T1840" t="s">
        <v>598</v>
      </c>
      <c r="U1840" t="s">
        <v>44</v>
      </c>
      <c r="W1840">
        <v>0</v>
      </c>
      <c r="X1840">
        <v>0</v>
      </c>
      <c r="Y1840">
        <v>0</v>
      </c>
      <c r="Z1840">
        <v>0</v>
      </c>
    </row>
    <row r="1841" spans="1:26" hidden="1" x14ac:dyDescent="0.25">
      <c r="A1841" t="s">
        <v>4124</v>
      </c>
      <c r="B1841" t="s">
        <v>38</v>
      </c>
      <c r="C1841" s="4">
        <v>44817</v>
      </c>
      <c r="D1841" s="4">
        <v>45957</v>
      </c>
      <c r="F1841" s="4">
        <v>45717</v>
      </c>
      <c r="G1841" t="s">
        <v>101</v>
      </c>
      <c r="H1841" t="s">
        <v>4109</v>
      </c>
      <c r="K1841" t="s">
        <v>98</v>
      </c>
      <c r="L1841" t="s">
        <v>3121</v>
      </c>
      <c r="M1841" t="s">
        <v>84</v>
      </c>
      <c r="N1841" t="s">
        <v>2160</v>
      </c>
      <c r="O1841" t="s">
        <v>32</v>
      </c>
      <c r="P1841" t="s">
        <v>4125</v>
      </c>
      <c r="Q1841">
        <v>50</v>
      </c>
      <c r="R1841">
        <v>50</v>
      </c>
      <c r="S1841" t="s">
        <v>597</v>
      </c>
      <c r="T1841" t="s">
        <v>598</v>
      </c>
      <c r="U1841" t="s">
        <v>44</v>
      </c>
      <c r="W1841">
        <v>0</v>
      </c>
      <c r="X1841">
        <v>0</v>
      </c>
      <c r="Y1841">
        <v>0</v>
      </c>
      <c r="Z1841">
        <v>0</v>
      </c>
    </row>
    <row r="1842" spans="1:26" hidden="1" x14ac:dyDescent="0.25">
      <c r="A1842" t="s">
        <v>4126</v>
      </c>
      <c r="B1842" t="s">
        <v>2153</v>
      </c>
      <c r="C1842" s="4">
        <v>45957</v>
      </c>
      <c r="F1842" s="4">
        <v>45717</v>
      </c>
      <c r="H1842" t="s">
        <v>2457</v>
      </c>
      <c r="K1842" t="s">
        <v>146</v>
      </c>
      <c r="L1842" t="s">
        <v>3121</v>
      </c>
      <c r="M1842" t="s">
        <v>68</v>
      </c>
      <c r="N1842" t="s">
        <v>3122</v>
      </c>
      <c r="O1842" t="s">
        <v>32</v>
      </c>
      <c r="P1842" t="s">
        <v>2458</v>
      </c>
      <c r="Q1842">
        <v>150</v>
      </c>
      <c r="R1842">
        <v>150</v>
      </c>
      <c r="S1842" t="s">
        <v>597</v>
      </c>
      <c r="T1842" t="s">
        <v>598</v>
      </c>
      <c r="U1842" t="s">
        <v>44</v>
      </c>
      <c r="W1842">
        <v>150</v>
      </c>
      <c r="X1842">
        <v>0</v>
      </c>
      <c r="Y1842">
        <v>0</v>
      </c>
      <c r="Z1842">
        <v>0</v>
      </c>
    </row>
    <row r="1843" spans="1:26" hidden="1" x14ac:dyDescent="0.25">
      <c r="A1843" t="s">
        <v>4127</v>
      </c>
      <c r="B1843" t="s">
        <v>38</v>
      </c>
      <c r="C1843" s="4">
        <v>44819</v>
      </c>
      <c r="D1843" s="4">
        <v>45869</v>
      </c>
      <c r="F1843" s="4">
        <v>45945</v>
      </c>
      <c r="G1843" t="s">
        <v>144</v>
      </c>
      <c r="H1843" t="s">
        <v>1614</v>
      </c>
      <c r="K1843" t="s">
        <v>146</v>
      </c>
      <c r="L1843" t="s">
        <v>3121</v>
      </c>
      <c r="M1843" t="s">
        <v>68</v>
      </c>
      <c r="N1843" t="s">
        <v>3122</v>
      </c>
      <c r="O1843" t="s">
        <v>32</v>
      </c>
      <c r="P1843" t="s">
        <v>4128</v>
      </c>
      <c r="Q1843">
        <v>200</v>
      </c>
      <c r="R1843">
        <v>200</v>
      </c>
      <c r="S1843" t="s">
        <v>34</v>
      </c>
      <c r="T1843" t="s">
        <v>35</v>
      </c>
      <c r="U1843" t="s">
        <v>44</v>
      </c>
      <c r="W1843">
        <v>0</v>
      </c>
      <c r="X1843">
        <v>0</v>
      </c>
      <c r="Y1843">
        <v>0</v>
      </c>
      <c r="Z1843">
        <v>0</v>
      </c>
    </row>
    <row r="1844" spans="1:26" hidden="1" x14ac:dyDescent="0.25">
      <c r="A1844" t="s">
        <v>4129</v>
      </c>
      <c r="B1844" t="s">
        <v>2338</v>
      </c>
      <c r="C1844" s="4">
        <v>44819</v>
      </c>
      <c r="F1844" s="4">
        <v>45930</v>
      </c>
      <c r="G1844" t="s">
        <v>1274</v>
      </c>
      <c r="H1844" t="s">
        <v>1275</v>
      </c>
      <c r="K1844" t="s">
        <v>41</v>
      </c>
      <c r="L1844" t="s">
        <v>3121</v>
      </c>
      <c r="M1844" t="s">
        <v>42</v>
      </c>
      <c r="N1844" t="s">
        <v>3122</v>
      </c>
      <c r="O1844" t="s">
        <v>32</v>
      </c>
      <c r="P1844" t="s">
        <v>2267</v>
      </c>
      <c r="Q1844">
        <v>200</v>
      </c>
      <c r="R1844">
        <v>200</v>
      </c>
      <c r="S1844" t="s">
        <v>159</v>
      </c>
      <c r="T1844" t="s">
        <v>159</v>
      </c>
      <c r="U1844" t="s">
        <v>44</v>
      </c>
      <c r="W1844">
        <v>200</v>
      </c>
      <c r="X1844">
        <v>200</v>
      </c>
      <c r="Y1844">
        <v>0</v>
      </c>
      <c r="Z1844">
        <v>0</v>
      </c>
    </row>
    <row r="1845" spans="1:26" hidden="1" x14ac:dyDescent="0.25">
      <c r="A1845" t="s">
        <v>4130</v>
      </c>
      <c r="B1845" t="s">
        <v>2153</v>
      </c>
      <c r="C1845" s="4">
        <v>44819</v>
      </c>
      <c r="F1845" s="4">
        <v>45931</v>
      </c>
      <c r="G1845" t="s">
        <v>1326</v>
      </c>
      <c r="H1845" t="s">
        <v>2079</v>
      </c>
      <c r="K1845" t="s">
        <v>67</v>
      </c>
      <c r="L1845" t="s">
        <v>3121</v>
      </c>
      <c r="M1845" t="s">
        <v>68</v>
      </c>
      <c r="N1845" t="s">
        <v>3122</v>
      </c>
      <c r="O1845" t="s">
        <v>32</v>
      </c>
      <c r="P1845" t="s">
        <v>4131</v>
      </c>
      <c r="Q1845">
        <v>500</v>
      </c>
      <c r="R1845">
        <v>500</v>
      </c>
      <c r="S1845" t="s">
        <v>56</v>
      </c>
      <c r="T1845" t="s">
        <v>57</v>
      </c>
      <c r="U1845" t="s">
        <v>44</v>
      </c>
      <c r="W1845">
        <v>500</v>
      </c>
      <c r="X1845">
        <v>500</v>
      </c>
      <c r="Y1845">
        <v>0</v>
      </c>
      <c r="Z1845">
        <v>0</v>
      </c>
    </row>
    <row r="1846" spans="1:26" hidden="1" x14ac:dyDescent="0.25">
      <c r="A1846" t="s">
        <v>4132</v>
      </c>
      <c r="B1846" t="s">
        <v>38</v>
      </c>
      <c r="C1846" s="4">
        <v>44819</v>
      </c>
      <c r="D1846" s="4">
        <v>45009</v>
      </c>
      <c r="F1846" s="4">
        <v>45931</v>
      </c>
      <c r="G1846" t="s">
        <v>117</v>
      </c>
      <c r="H1846" t="s">
        <v>3260</v>
      </c>
      <c r="K1846" t="s">
        <v>83</v>
      </c>
      <c r="L1846" t="s">
        <v>3121</v>
      </c>
      <c r="M1846" t="s">
        <v>84</v>
      </c>
      <c r="N1846" t="s">
        <v>2160</v>
      </c>
      <c r="O1846" t="s">
        <v>32</v>
      </c>
      <c r="P1846" t="s">
        <v>4133</v>
      </c>
      <c r="Q1846">
        <v>200</v>
      </c>
      <c r="R1846">
        <v>200</v>
      </c>
      <c r="S1846" t="s">
        <v>159</v>
      </c>
      <c r="T1846" t="s">
        <v>159</v>
      </c>
      <c r="U1846" t="s">
        <v>44</v>
      </c>
      <c r="W1846">
        <v>0</v>
      </c>
      <c r="X1846">
        <v>0</v>
      </c>
      <c r="Y1846">
        <v>0</v>
      </c>
      <c r="Z1846">
        <v>0</v>
      </c>
    </row>
    <row r="1847" spans="1:26" hidden="1" x14ac:dyDescent="0.25">
      <c r="A1847" t="s">
        <v>4134</v>
      </c>
      <c r="B1847" t="s">
        <v>38</v>
      </c>
      <c r="C1847" s="4">
        <v>44819</v>
      </c>
      <c r="D1847" s="4">
        <v>45957</v>
      </c>
      <c r="F1847" s="4">
        <v>45931</v>
      </c>
      <c r="G1847" t="s">
        <v>101</v>
      </c>
      <c r="H1847" t="s">
        <v>2994</v>
      </c>
      <c r="K1847" t="s">
        <v>98</v>
      </c>
      <c r="L1847" t="s">
        <v>3121</v>
      </c>
      <c r="M1847" t="s">
        <v>84</v>
      </c>
      <c r="N1847" t="s">
        <v>2160</v>
      </c>
      <c r="O1847" t="s">
        <v>32</v>
      </c>
      <c r="P1847" t="s">
        <v>4135</v>
      </c>
      <c r="Q1847">
        <v>110</v>
      </c>
      <c r="R1847">
        <v>110</v>
      </c>
      <c r="S1847" t="s">
        <v>56</v>
      </c>
      <c r="T1847" t="s">
        <v>57</v>
      </c>
      <c r="U1847" t="s">
        <v>44</v>
      </c>
      <c r="W1847">
        <v>0</v>
      </c>
      <c r="X1847">
        <v>0</v>
      </c>
      <c r="Y1847">
        <v>0</v>
      </c>
      <c r="Z1847">
        <v>0</v>
      </c>
    </row>
    <row r="1848" spans="1:26" hidden="1" x14ac:dyDescent="0.25">
      <c r="A1848" t="s">
        <v>4136</v>
      </c>
      <c r="B1848" t="s">
        <v>2153</v>
      </c>
      <c r="C1848" s="4">
        <v>44818</v>
      </c>
      <c r="F1848" s="4">
        <v>45931</v>
      </c>
      <c r="H1848" t="s">
        <v>1578</v>
      </c>
      <c r="K1848" t="s">
        <v>683</v>
      </c>
      <c r="L1848" t="s">
        <v>3121</v>
      </c>
      <c r="M1848" t="s">
        <v>84</v>
      </c>
      <c r="N1848" t="s">
        <v>2160</v>
      </c>
      <c r="O1848" t="s">
        <v>32</v>
      </c>
      <c r="P1848" t="s">
        <v>4137</v>
      </c>
      <c r="Q1848">
        <v>200</v>
      </c>
      <c r="R1848">
        <v>200</v>
      </c>
      <c r="S1848" t="s">
        <v>159</v>
      </c>
      <c r="T1848" t="s">
        <v>159</v>
      </c>
      <c r="U1848" t="s">
        <v>44</v>
      </c>
      <c r="W1848">
        <v>200</v>
      </c>
      <c r="X1848">
        <v>200</v>
      </c>
      <c r="Y1848">
        <v>0</v>
      </c>
      <c r="Z1848">
        <v>0</v>
      </c>
    </row>
    <row r="1849" spans="1:26" hidden="1" x14ac:dyDescent="0.25">
      <c r="A1849" t="s">
        <v>4138</v>
      </c>
      <c r="B1849" t="s">
        <v>2153</v>
      </c>
      <c r="C1849" s="4">
        <v>45953</v>
      </c>
      <c r="F1849" s="4">
        <v>45945</v>
      </c>
      <c r="G1849" t="s">
        <v>72</v>
      </c>
      <c r="H1849" t="s">
        <v>2581</v>
      </c>
      <c r="K1849" t="s">
        <v>41</v>
      </c>
      <c r="L1849" t="s">
        <v>3121</v>
      </c>
      <c r="M1849" t="s">
        <v>42</v>
      </c>
      <c r="N1849" t="s">
        <v>3122</v>
      </c>
      <c r="O1849" t="s">
        <v>32</v>
      </c>
      <c r="P1849" t="s">
        <v>4139</v>
      </c>
      <c r="Q1849">
        <v>200</v>
      </c>
      <c r="R1849">
        <v>200</v>
      </c>
      <c r="S1849" t="s">
        <v>34</v>
      </c>
      <c r="T1849" t="s">
        <v>35</v>
      </c>
      <c r="U1849" t="s">
        <v>44</v>
      </c>
      <c r="W1849">
        <v>200</v>
      </c>
      <c r="X1849">
        <v>200</v>
      </c>
      <c r="Y1849">
        <v>0</v>
      </c>
      <c r="Z1849">
        <v>0</v>
      </c>
    </row>
    <row r="1850" spans="1:26" hidden="1" x14ac:dyDescent="0.25">
      <c r="A1850" t="s">
        <v>4140</v>
      </c>
      <c r="B1850" t="s">
        <v>2153</v>
      </c>
      <c r="C1850" s="4">
        <v>44819</v>
      </c>
      <c r="F1850" s="4">
        <v>45992</v>
      </c>
      <c r="G1850" t="s">
        <v>1690</v>
      </c>
      <c r="H1850" t="s">
        <v>1887</v>
      </c>
      <c r="K1850" t="s">
        <v>98</v>
      </c>
      <c r="L1850" t="s">
        <v>3121</v>
      </c>
      <c r="M1850" t="s">
        <v>84</v>
      </c>
      <c r="N1850" t="s">
        <v>2160</v>
      </c>
      <c r="O1850" t="s">
        <v>32</v>
      </c>
      <c r="P1850" t="s">
        <v>4141</v>
      </c>
      <c r="Q1850">
        <v>700</v>
      </c>
      <c r="R1850">
        <v>700</v>
      </c>
      <c r="S1850" t="s">
        <v>34</v>
      </c>
      <c r="T1850" t="s">
        <v>35</v>
      </c>
      <c r="U1850" t="s">
        <v>44</v>
      </c>
      <c r="W1850">
        <v>700</v>
      </c>
      <c r="X1850">
        <v>700</v>
      </c>
      <c r="Y1850">
        <v>0</v>
      </c>
      <c r="Z1850">
        <v>0</v>
      </c>
    </row>
    <row r="1851" spans="1:26" hidden="1" x14ac:dyDescent="0.25">
      <c r="A1851" t="s">
        <v>4142</v>
      </c>
      <c r="B1851" t="s">
        <v>2153</v>
      </c>
      <c r="C1851" s="4">
        <v>44819</v>
      </c>
      <c r="F1851" s="4">
        <v>46235</v>
      </c>
      <c r="G1851" t="s">
        <v>1690</v>
      </c>
      <c r="H1851" t="s">
        <v>1787</v>
      </c>
      <c r="K1851" t="s">
        <v>98</v>
      </c>
      <c r="L1851" t="s">
        <v>3121</v>
      </c>
      <c r="M1851" t="s">
        <v>84</v>
      </c>
      <c r="N1851" t="s">
        <v>2160</v>
      </c>
      <c r="O1851" t="s">
        <v>32</v>
      </c>
      <c r="P1851" t="s">
        <v>4143</v>
      </c>
      <c r="Q1851">
        <v>180</v>
      </c>
      <c r="R1851">
        <v>180</v>
      </c>
      <c r="S1851" t="s">
        <v>34</v>
      </c>
      <c r="T1851" t="s">
        <v>35</v>
      </c>
      <c r="U1851" t="s">
        <v>44</v>
      </c>
      <c r="W1851">
        <v>180</v>
      </c>
      <c r="X1851">
        <v>180</v>
      </c>
      <c r="Y1851">
        <v>0</v>
      </c>
      <c r="Z1851">
        <v>0</v>
      </c>
    </row>
    <row r="1852" spans="1:26" hidden="1" x14ac:dyDescent="0.25">
      <c r="A1852" t="s">
        <v>4144</v>
      </c>
      <c r="B1852" t="s">
        <v>2153</v>
      </c>
      <c r="C1852" s="4">
        <v>45980</v>
      </c>
      <c r="F1852" s="4">
        <v>45870</v>
      </c>
      <c r="G1852" t="s">
        <v>1257</v>
      </c>
      <c r="H1852" t="s">
        <v>3459</v>
      </c>
      <c r="K1852" t="s">
        <v>98</v>
      </c>
      <c r="L1852" t="s">
        <v>3121</v>
      </c>
      <c r="M1852" t="s">
        <v>84</v>
      </c>
      <c r="N1852" t="s">
        <v>2160</v>
      </c>
      <c r="O1852" t="s">
        <v>32</v>
      </c>
      <c r="P1852" t="s">
        <v>4145</v>
      </c>
      <c r="Q1852">
        <v>200</v>
      </c>
      <c r="R1852">
        <v>200</v>
      </c>
      <c r="S1852" t="s">
        <v>34</v>
      </c>
      <c r="T1852" t="s">
        <v>35</v>
      </c>
      <c r="U1852" t="s">
        <v>44</v>
      </c>
      <c r="W1852">
        <v>200</v>
      </c>
      <c r="X1852">
        <v>200</v>
      </c>
      <c r="Y1852">
        <v>0</v>
      </c>
      <c r="Z1852">
        <v>0</v>
      </c>
    </row>
    <row r="1853" spans="1:26" hidden="1" x14ac:dyDescent="0.25">
      <c r="A1853" t="s">
        <v>4146</v>
      </c>
      <c r="B1853" t="s">
        <v>2153</v>
      </c>
      <c r="C1853" s="4">
        <v>44819</v>
      </c>
      <c r="F1853" s="4">
        <v>45992</v>
      </c>
      <c r="G1853" t="s">
        <v>1690</v>
      </c>
      <c r="H1853" t="s">
        <v>1887</v>
      </c>
      <c r="K1853" t="s">
        <v>98</v>
      </c>
      <c r="L1853" t="s">
        <v>3121</v>
      </c>
      <c r="M1853" t="s">
        <v>84</v>
      </c>
      <c r="N1853" t="s">
        <v>2160</v>
      </c>
      <c r="O1853" t="s">
        <v>32</v>
      </c>
      <c r="P1853" t="s">
        <v>4141</v>
      </c>
      <c r="Q1853">
        <v>245</v>
      </c>
      <c r="R1853">
        <v>245</v>
      </c>
      <c r="S1853" t="s">
        <v>34</v>
      </c>
      <c r="T1853" t="s">
        <v>35</v>
      </c>
      <c r="U1853" t="s">
        <v>44</v>
      </c>
      <c r="W1853">
        <v>245</v>
      </c>
      <c r="X1853">
        <v>245</v>
      </c>
      <c r="Y1853">
        <v>0</v>
      </c>
      <c r="Z1853">
        <v>0</v>
      </c>
    </row>
    <row r="1854" spans="1:26" hidden="1" x14ac:dyDescent="0.25">
      <c r="A1854" t="s">
        <v>4147</v>
      </c>
      <c r="B1854" t="s">
        <v>38</v>
      </c>
      <c r="C1854" s="4">
        <v>44819</v>
      </c>
      <c r="D1854" s="4">
        <v>45847</v>
      </c>
      <c r="F1854" s="4">
        <v>46539</v>
      </c>
      <c r="G1854" t="s">
        <v>65</v>
      </c>
      <c r="H1854" t="s">
        <v>2764</v>
      </c>
      <c r="K1854" t="s">
        <v>67</v>
      </c>
      <c r="L1854" t="s">
        <v>3121</v>
      </c>
      <c r="M1854" t="s">
        <v>68</v>
      </c>
      <c r="N1854" t="s">
        <v>3122</v>
      </c>
      <c r="O1854" t="s">
        <v>32</v>
      </c>
      <c r="P1854" t="s">
        <v>4148</v>
      </c>
      <c r="Q1854">
        <v>250</v>
      </c>
      <c r="R1854">
        <v>250</v>
      </c>
      <c r="S1854" t="s">
        <v>34</v>
      </c>
      <c r="T1854" t="s">
        <v>35</v>
      </c>
      <c r="U1854" t="s">
        <v>44</v>
      </c>
      <c r="W1854">
        <v>0</v>
      </c>
      <c r="X1854">
        <v>0</v>
      </c>
      <c r="Y1854">
        <v>0</v>
      </c>
      <c r="Z1854">
        <v>0</v>
      </c>
    </row>
    <row r="1855" spans="1:26" hidden="1" x14ac:dyDescent="0.25">
      <c r="A1855" t="s">
        <v>4149</v>
      </c>
      <c r="B1855" t="s">
        <v>38</v>
      </c>
      <c r="C1855" s="4">
        <v>44819</v>
      </c>
      <c r="D1855" s="4">
        <v>44904</v>
      </c>
      <c r="F1855" s="4">
        <v>46539</v>
      </c>
      <c r="G1855" t="s">
        <v>149</v>
      </c>
      <c r="H1855" t="s">
        <v>1750</v>
      </c>
      <c r="K1855" t="s">
        <v>151</v>
      </c>
      <c r="L1855" t="s">
        <v>3121</v>
      </c>
      <c r="M1855" t="s">
        <v>68</v>
      </c>
      <c r="N1855" t="s">
        <v>3122</v>
      </c>
      <c r="O1855" t="s">
        <v>32</v>
      </c>
      <c r="P1855" t="s">
        <v>4150</v>
      </c>
      <c r="Q1855">
        <v>250</v>
      </c>
      <c r="R1855">
        <v>250</v>
      </c>
      <c r="S1855" t="s">
        <v>34</v>
      </c>
      <c r="T1855" t="s">
        <v>35</v>
      </c>
      <c r="U1855" t="s">
        <v>44</v>
      </c>
      <c r="W1855">
        <v>0</v>
      </c>
      <c r="X1855">
        <v>0</v>
      </c>
      <c r="Y1855">
        <v>0</v>
      </c>
      <c r="Z1855">
        <v>0</v>
      </c>
    </row>
    <row r="1856" spans="1:26" hidden="1" x14ac:dyDescent="0.25">
      <c r="A1856" t="s">
        <v>4151</v>
      </c>
      <c r="B1856" t="s">
        <v>2153</v>
      </c>
      <c r="C1856" s="4">
        <v>44818</v>
      </c>
      <c r="F1856" s="4">
        <v>45777</v>
      </c>
      <c r="G1856" t="s">
        <v>1499</v>
      </c>
      <c r="H1856" t="s">
        <v>4152</v>
      </c>
      <c r="K1856" t="s">
        <v>62</v>
      </c>
      <c r="L1856" t="s">
        <v>3121</v>
      </c>
      <c r="M1856" t="s">
        <v>42</v>
      </c>
      <c r="N1856" t="s">
        <v>3122</v>
      </c>
      <c r="O1856" t="s">
        <v>122</v>
      </c>
      <c r="P1856" t="s">
        <v>4153</v>
      </c>
      <c r="Q1856">
        <v>200</v>
      </c>
      <c r="R1856">
        <v>200</v>
      </c>
      <c r="S1856" t="s">
        <v>159</v>
      </c>
      <c r="T1856" t="s">
        <v>159</v>
      </c>
      <c r="U1856" t="s">
        <v>44</v>
      </c>
      <c r="W1856">
        <v>200</v>
      </c>
      <c r="X1856">
        <v>0</v>
      </c>
      <c r="Y1856">
        <v>0</v>
      </c>
      <c r="Z1856">
        <v>0</v>
      </c>
    </row>
    <row r="1857" spans="1:26" hidden="1" x14ac:dyDescent="0.25">
      <c r="A1857" t="s">
        <v>4154</v>
      </c>
      <c r="B1857" t="s">
        <v>38</v>
      </c>
      <c r="C1857" s="4">
        <v>44818</v>
      </c>
      <c r="D1857" s="4">
        <v>45957</v>
      </c>
      <c r="F1857" s="4">
        <v>46264</v>
      </c>
      <c r="G1857" t="s">
        <v>1594</v>
      </c>
      <c r="H1857" t="s">
        <v>1291</v>
      </c>
      <c r="K1857" t="s">
        <v>83</v>
      </c>
      <c r="L1857" t="s">
        <v>3121</v>
      </c>
      <c r="M1857" t="s">
        <v>84</v>
      </c>
      <c r="N1857" t="s">
        <v>2160</v>
      </c>
      <c r="O1857" t="s">
        <v>32</v>
      </c>
      <c r="P1857" t="s">
        <v>4155</v>
      </c>
      <c r="Q1857">
        <v>100</v>
      </c>
      <c r="R1857">
        <v>100</v>
      </c>
      <c r="S1857" t="s">
        <v>159</v>
      </c>
      <c r="T1857" t="s">
        <v>159</v>
      </c>
      <c r="U1857" t="s">
        <v>44</v>
      </c>
      <c r="W1857">
        <v>0</v>
      </c>
      <c r="X1857">
        <v>0</v>
      </c>
      <c r="Y1857">
        <v>0</v>
      </c>
      <c r="Z1857">
        <v>0</v>
      </c>
    </row>
    <row r="1858" spans="1:26" hidden="1" x14ac:dyDescent="0.25">
      <c r="A1858" t="s">
        <v>4156</v>
      </c>
      <c r="B1858" t="s">
        <v>38</v>
      </c>
      <c r="C1858" s="4">
        <v>44819</v>
      </c>
      <c r="D1858" s="4">
        <v>45869</v>
      </c>
      <c r="F1858" s="4">
        <v>45473</v>
      </c>
      <c r="G1858" t="s">
        <v>65</v>
      </c>
      <c r="H1858" t="s">
        <v>1640</v>
      </c>
      <c r="K1858" t="s">
        <v>67</v>
      </c>
      <c r="L1858" t="s">
        <v>3121</v>
      </c>
      <c r="M1858" t="s">
        <v>68</v>
      </c>
      <c r="N1858" t="s">
        <v>3122</v>
      </c>
      <c r="O1858" t="s">
        <v>32</v>
      </c>
      <c r="P1858" t="s">
        <v>4157</v>
      </c>
      <c r="Q1858">
        <v>150</v>
      </c>
      <c r="R1858">
        <v>150</v>
      </c>
      <c r="S1858" t="s">
        <v>597</v>
      </c>
      <c r="T1858" t="s">
        <v>598</v>
      </c>
      <c r="U1858" t="s">
        <v>44</v>
      </c>
      <c r="W1858">
        <v>0</v>
      </c>
      <c r="X1858">
        <v>0</v>
      </c>
      <c r="Y1858">
        <v>0</v>
      </c>
      <c r="Z1858">
        <v>0</v>
      </c>
    </row>
    <row r="1859" spans="1:26" hidden="1" x14ac:dyDescent="0.25">
      <c r="A1859" t="s">
        <v>4158</v>
      </c>
      <c r="B1859" t="s">
        <v>38</v>
      </c>
      <c r="C1859" s="4">
        <v>44818</v>
      </c>
      <c r="D1859" s="4">
        <v>45957</v>
      </c>
      <c r="F1859" s="4">
        <v>46082</v>
      </c>
      <c r="G1859" t="s">
        <v>101</v>
      </c>
      <c r="H1859" t="s">
        <v>1470</v>
      </c>
      <c r="K1859" t="s">
        <v>98</v>
      </c>
      <c r="L1859" t="s">
        <v>3121</v>
      </c>
      <c r="M1859" t="s">
        <v>84</v>
      </c>
      <c r="N1859" t="s">
        <v>2160</v>
      </c>
      <c r="O1859" t="s">
        <v>32</v>
      </c>
      <c r="P1859" t="s">
        <v>4159</v>
      </c>
      <c r="Q1859">
        <v>100</v>
      </c>
      <c r="R1859">
        <v>100</v>
      </c>
      <c r="S1859" t="s">
        <v>597</v>
      </c>
      <c r="T1859" t="s">
        <v>598</v>
      </c>
      <c r="U1859" t="s">
        <v>44</v>
      </c>
      <c r="W1859">
        <v>0</v>
      </c>
      <c r="X1859">
        <v>0</v>
      </c>
      <c r="Y1859">
        <v>0</v>
      </c>
      <c r="Z1859">
        <v>0</v>
      </c>
    </row>
    <row r="1860" spans="1:26" hidden="1" x14ac:dyDescent="0.25">
      <c r="A1860" t="s">
        <v>4160</v>
      </c>
      <c r="B1860" t="s">
        <v>38</v>
      </c>
      <c r="C1860" s="4">
        <v>44819</v>
      </c>
      <c r="D1860" s="4">
        <v>45869</v>
      </c>
      <c r="F1860" s="4">
        <v>45473</v>
      </c>
      <c r="G1860" t="s">
        <v>1311</v>
      </c>
      <c r="H1860" t="s">
        <v>1279</v>
      </c>
      <c r="K1860" t="s">
        <v>114</v>
      </c>
      <c r="L1860" t="s">
        <v>3121</v>
      </c>
      <c r="M1860" t="s">
        <v>68</v>
      </c>
      <c r="N1860" t="s">
        <v>3122</v>
      </c>
      <c r="O1860" t="s">
        <v>32</v>
      </c>
      <c r="P1860" t="s">
        <v>4161</v>
      </c>
      <c r="Q1860">
        <v>500</v>
      </c>
      <c r="R1860">
        <v>500</v>
      </c>
      <c r="S1860" t="s">
        <v>597</v>
      </c>
      <c r="T1860" t="s">
        <v>598</v>
      </c>
      <c r="U1860" t="s">
        <v>44</v>
      </c>
      <c r="W1860">
        <v>0</v>
      </c>
      <c r="X1860">
        <v>0</v>
      </c>
      <c r="Y1860">
        <v>0</v>
      </c>
      <c r="Z1860">
        <v>0</v>
      </c>
    </row>
    <row r="1861" spans="1:26" hidden="1" x14ac:dyDescent="0.25">
      <c r="A1861" t="s">
        <v>4162</v>
      </c>
      <c r="B1861" t="s">
        <v>38</v>
      </c>
      <c r="C1861" s="4">
        <v>44819</v>
      </c>
      <c r="D1861" s="4">
        <v>45869</v>
      </c>
      <c r="F1861" s="4">
        <v>45473</v>
      </c>
      <c r="G1861" t="s">
        <v>1311</v>
      </c>
      <c r="H1861" t="s">
        <v>2496</v>
      </c>
      <c r="K1861" t="s">
        <v>114</v>
      </c>
      <c r="L1861" t="s">
        <v>3121</v>
      </c>
      <c r="M1861" t="s">
        <v>68</v>
      </c>
      <c r="N1861" t="s">
        <v>3122</v>
      </c>
      <c r="O1861" t="s">
        <v>32</v>
      </c>
      <c r="P1861" t="s">
        <v>4163</v>
      </c>
      <c r="Q1861">
        <v>150</v>
      </c>
      <c r="R1861">
        <v>150</v>
      </c>
      <c r="S1861" t="s">
        <v>597</v>
      </c>
      <c r="T1861" t="s">
        <v>598</v>
      </c>
      <c r="U1861" t="s">
        <v>44</v>
      </c>
      <c r="W1861">
        <v>0</v>
      </c>
      <c r="X1861">
        <v>0</v>
      </c>
      <c r="Y1861">
        <v>0</v>
      </c>
      <c r="Z1861">
        <v>0</v>
      </c>
    </row>
    <row r="1862" spans="1:26" hidden="1" x14ac:dyDescent="0.25">
      <c r="A1862" t="s">
        <v>4164</v>
      </c>
      <c r="B1862" t="s">
        <v>38</v>
      </c>
      <c r="C1862" s="4">
        <v>44819</v>
      </c>
      <c r="D1862" s="4">
        <v>45869</v>
      </c>
      <c r="F1862" s="4">
        <v>45981</v>
      </c>
      <c r="G1862" t="s">
        <v>144</v>
      </c>
      <c r="H1862" t="s">
        <v>1462</v>
      </c>
      <c r="K1862" t="s">
        <v>146</v>
      </c>
      <c r="L1862" t="s">
        <v>3121</v>
      </c>
      <c r="M1862" t="s">
        <v>68</v>
      </c>
      <c r="N1862" t="s">
        <v>3122</v>
      </c>
      <c r="O1862" t="s">
        <v>32</v>
      </c>
      <c r="P1862" t="s">
        <v>4165</v>
      </c>
      <c r="Q1862">
        <v>110</v>
      </c>
      <c r="R1862">
        <v>110</v>
      </c>
      <c r="S1862" t="s">
        <v>34</v>
      </c>
      <c r="T1862" t="s">
        <v>35</v>
      </c>
      <c r="U1862" t="s">
        <v>44</v>
      </c>
      <c r="W1862">
        <v>0</v>
      </c>
      <c r="X1862">
        <v>0</v>
      </c>
      <c r="Y1862">
        <v>0</v>
      </c>
      <c r="Z1862">
        <v>0</v>
      </c>
    </row>
    <row r="1863" spans="1:26" hidden="1" x14ac:dyDescent="0.25">
      <c r="A1863" t="s">
        <v>4166</v>
      </c>
      <c r="B1863" t="s">
        <v>38</v>
      </c>
      <c r="C1863" s="4">
        <v>44819</v>
      </c>
      <c r="D1863" s="4">
        <v>45869</v>
      </c>
      <c r="F1863" s="4">
        <v>45981</v>
      </c>
      <c r="G1863" t="s">
        <v>65</v>
      </c>
      <c r="H1863" t="s">
        <v>1876</v>
      </c>
      <c r="K1863" t="s">
        <v>67</v>
      </c>
      <c r="L1863" t="s">
        <v>3121</v>
      </c>
      <c r="M1863" t="s">
        <v>68</v>
      </c>
      <c r="N1863" t="s">
        <v>3122</v>
      </c>
      <c r="O1863" t="s">
        <v>32</v>
      </c>
      <c r="P1863" t="s">
        <v>4167</v>
      </c>
      <c r="Q1863">
        <v>125</v>
      </c>
      <c r="R1863">
        <v>125</v>
      </c>
      <c r="S1863" t="s">
        <v>34</v>
      </c>
      <c r="T1863" t="s">
        <v>35</v>
      </c>
      <c r="U1863" t="s">
        <v>44</v>
      </c>
      <c r="W1863">
        <v>0</v>
      </c>
      <c r="X1863">
        <v>0</v>
      </c>
      <c r="Y1863">
        <v>0</v>
      </c>
      <c r="Z1863">
        <v>0</v>
      </c>
    </row>
    <row r="1864" spans="1:26" hidden="1" x14ac:dyDescent="0.25">
      <c r="A1864" t="s">
        <v>4168</v>
      </c>
      <c r="B1864" t="s">
        <v>38</v>
      </c>
      <c r="C1864" s="4">
        <v>44819</v>
      </c>
      <c r="D1864" s="4">
        <v>45869</v>
      </c>
      <c r="F1864" s="4">
        <v>46326</v>
      </c>
      <c r="G1864" t="s">
        <v>616</v>
      </c>
      <c r="H1864" t="s">
        <v>1656</v>
      </c>
      <c r="K1864" t="s">
        <v>146</v>
      </c>
      <c r="L1864" t="s">
        <v>3121</v>
      </c>
      <c r="M1864" t="s">
        <v>68</v>
      </c>
      <c r="N1864" t="s">
        <v>3122</v>
      </c>
      <c r="O1864" t="s">
        <v>32</v>
      </c>
      <c r="P1864" t="s">
        <v>4169</v>
      </c>
      <c r="Q1864">
        <v>200</v>
      </c>
      <c r="R1864">
        <v>200</v>
      </c>
      <c r="S1864" t="s">
        <v>34</v>
      </c>
      <c r="T1864" t="s">
        <v>35</v>
      </c>
      <c r="U1864" t="s">
        <v>44</v>
      </c>
      <c r="W1864">
        <v>0</v>
      </c>
      <c r="X1864">
        <v>0</v>
      </c>
      <c r="Y1864">
        <v>0</v>
      </c>
      <c r="Z1864">
        <v>0</v>
      </c>
    </row>
    <row r="1865" spans="1:26" hidden="1" x14ac:dyDescent="0.25">
      <c r="A1865" t="s">
        <v>4170</v>
      </c>
      <c r="B1865" t="s">
        <v>2153</v>
      </c>
      <c r="C1865" s="4">
        <v>44817</v>
      </c>
      <c r="F1865" s="4">
        <v>47361</v>
      </c>
      <c r="G1865" t="s">
        <v>1294</v>
      </c>
      <c r="H1865" t="s">
        <v>2057</v>
      </c>
      <c r="K1865" t="s">
        <v>41</v>
      </c>
      <c r="L1865" t="s">
        <v>3121</v>
      </c>
      <c r="M1865" t="s">
        <v>42</v>
      </c>
      <c r="N1865" t="s">
        <v>3122</v>
      </c>
      <c r="O1865" t="s">
        <v>32</v>
      </c>
      <c r="P1865" t="s">
        <v>4171</v>
      </c>
      <c r="Q1865">
        <v>147</v>
      </c>
      <c r="R1865">
        <v>147</v>
      </c>
      <c r="S1865" t="s">
        <v>34</v>
      </c>
      <c r="T1865" t="s">
        <v>35</v>
      </c>
      <c r="U1865" t="s">
        <v>44</v>
      </c>
      <c r="W1865">
        <v>147</v>
      </c>
      <c r="X1865">
        <v>147</v>
      </c>
      <c r="Y1865">
        <v>0</v>
      </c>
      <c r="Z1865">
        <v>0</v>
      </c>
    </row>
    <row r="1866" spans="1:26" hidden="1" x14ac:dyDescent="0.25">
      <c r="A1866" t="s">
        <v>4172</v>
      </c>
      <c r="B1866" t="s">
        <v>38</v>
      </c>
      <c r="C1866" s="4">
        <v>44817</v>
      </c>
      <c r="D1866" s="4">
        <v>45009</v>
      </c>
      <c r="F1866" s="4">
        <v>46630</v>
      </c>
      <c r="G1866" t="s">
        <v>65</v>
      </c>
      <c r="H1866" t="s">
        <v>3734</v>
      </c>
      <c r="K1866" t="s">
        <v>67</v>
      </c>
      <c r="L1866" t="s">
        <v>3121</v>
      </c>
      <c r="M1866" t="s">
        <v>68</v>
      </c>
      <c r="N1866" t="s">
        <v>3122</v>
      </c>
      <c r="O1866" t="s">
        <v>32</v>
      </c>
      <c r="P1866" t="s">
        <v>4173</v>
      </c>
      <c r="Q1866">
        <v>150</v>
      </c>
      <c r="R1866">
        <v>150</v>
      </c>
      <c r="S1866" t="s">
        <v>34</v>
      </c>
      <c r="T1866" t="s">
        <v>35</v>
      </c>
      <c r="U1866" t="s">
        <v>44</v>
      </c>
      <c r="W1866">
        <v>0</v>
      </c>
      <c r="X1866">
        <v>0</v>
      </c>
      <c r="Y1866">
        <v>0</v>
      </c>
      <c r="Z1866">
        <v>0</v>
      </c>
    </row>
    <row r="1867" spans="1:26" hidden="1" x14ac:dyDescent="0.25">
      <c r="A1867" t="s">
        <v>4174</v>
      </c>
      <c r="B1867" t="s">
        <v>38</v>
      </c>
      <c r="C1867" s="4">
        <v>44817</v>
      </c>
      <c r="D1867" s="4">
        <v>45950</v>
      </c>
      <c r="F1867" s="4">
        <v>46630</v>
      </c>
      <c r="G1867" t="s">
        <v>871</v>
      </c>
      <c r="H1867" t="s">
        <v>4175</v>
      </c>
      <c r="K1867" t="s">
        <v>41</v>
      </c>
      <c r="L1867" t="s">
        <v>3121</v>
      </c>
      <c r="M1867" t="s">
        <v>42</v>
      </c>
      <c r="N1867" t="s">
        <v>3122</v>
      </c>
      <c r="O1867" t="s">
        <v>32</v>
      </c>
      <c r="P1867" t="s">
        <v>1345</v>
      </c>
      <c r="Q1867">
        <v>125</v>
      </c>
      <c r="R1867">
        <v>125</v>
      </c>
      <c r="S1867" t="s">
        <v>34</v>
      </c>
      <c r="T1867" t="s">
        <v>35</v>
      </c>
      <c r="U1867" t="s">
        <v>44</v>
      </c>
      <c r="W1867">
        <v>0</v>
      </c>
      <c r="X1867">
        <v>0</v>
      </c>
      <c r="Y1867">
        <v>0</v>
      </c>
      <c r="Z1867">
        <v>0</v>
      </c>
    </row>
    <row r="1868" spans="1:26" hidden="1" x14ac:dyDescent="0.25">
      <c r="A1868" t="s">
        <v>4176</v>
      </c>
      <c r="B1868" t="s">
        <v>2153</v>
      </c>
      <c r="C1868" s="4">
        <v>44817</v>
      </c>
      <c r="F1868" s="4">
        <v>46691</v>
      </c>
      <c r="G1868" t="s">
        <v>1326</v>
      </c>
      <c r="H1868" t="s">
        <v>2954</v>
      </c>
      <c r="K1868" t="s">
        <v>67</v>
      </c>
      <c r="L1868" t="s">
        <v>3121</v>
      </c>
      <c r="M1868" t="s">
        <v>68</v>
      </c>
      <c r="N1868" t="s">
        <v>3122</v>
      </c>
      <c r="O1868" t="s">
        <v>32</v>
      </c>
      <c r="P1868" t="s">
        <v>4177</v>
      </c>
      <c r="Q1868">
        <v>375</v>
      </c>
      <c r="R1868">
        <v>375</v>
      </c>
      <c r="S1868" t="s">
        <v>34</v>
      </c>
      <c r="T1868" t="s">
        <v>35</v>
      </c>
      <c r="U1868" t="s">
        <v>44</v>
      </c>
      <c r="W1868">
        <v>375</v>
      </c>
      <c r="X1868">
        <v>375</v>
      </c>
      <c r="Y1868">
        <v>0</v>
      </c>
      <c r="Z1868">
        <v>0</v>
      </c>
    </row>
    <row r="1869" spans="1:26" hidden="1" x14ac:dyDescent="0.25">
      <c r="A1869" t="s">
        <v>4178</v>
      </c>
      <c r="B1869" t="s">
        <v>2153</v>
      </c>
      <c r="C1869" s="4">
        <v>44817</v>
      </c>
      <c r="F1869" s="4">
        <v>46630</v>
      </c>
      <c r="G1869" t="s">
        <v>1326</v>
      </c>
      <c r="H1869" t="s">
        <v>1571</v>
      </c>
      <c r="K1869" t="s">
        <v>67</v>
      </c>
      <c r="L1869" t="s">
        <v>3121</v>
      </c>
      <c r="M1869" t="s">
        <v>68</v>
      </c>
      <c r="N1869" t="s">
        <v>3122</v>
      </c>
      <c r="O1869" t="s">
        <v>32</v>
      </c>
      <c r="P1869" t="s">
        <v>4179</v>
      </c>
      <c r="Q1869">
        <v>375</v>
      </c>
      <c r="R1869">
        <v>375</v>
      </c>
      <c r="S1869" t="s">
        <v>34</v>
      </c>
      <c r="T1869" t="s">
        <v>35</v>
      </c>
      <c r="U1869" t="s">
        <v>44</v>
      </c>
      <c r="W1869">
        <v>375</v>
      </c>
      <c r="X1869">
        <v>375</v>
      </c>
      <c r="Y1869">
        <v>0</v>
      </c>
      <c r="Z1869">
        <v>0</v>
      </c>
    </row>
    <row r="1870" spans="1:26" hidden="1" x14ac:dyDescent="0.25">
      <c r="A1870" t="s">
        <v>4180</v>
      </c>
      <c r="B1870" t="s">
        <v>2153</v>
      </c>
      <c r="C1870" s="4">
        <v>44817</v>
      </c>
      <c r="F1870" s="4">
        <v>46630</v>
      </c>
      <c r="G1870" t="s">
        <v>1326</v>
      </c>
      <c r="H1870" t="s">
        <v>2954</v>
      </c>
      <c r="K1870" t="s">
        <v>67</v>
      </c>
      <c r="L1870" t="s">
        <v>3121</v>
      </c>
      <c r="M1870" t="s">
        <v>68</v>
      </c>
      <c r="N1870" t="s">
        <v>3122</v>
      </c>
      <c r="O1870" t="s">
        <v>32</v>
      </c>
      <c r="P1870" t="s">
        <v>4181</v>
      </c>
      <c r="Q1870">
        <v>375</v>
      </c>
      <c r="R1870">
        <v>375</v>
      </c>
      <c r="S1870" t="s">
        <v>34</v>
      </c>
      <c r="T1870" t="s">
        <v>35</v>
      </c>
      <c r="U1870" t="s">
        <v>44</v>
      </c>
      <c r="W1870">
        <v>375</v>
      </c>
      <c r="X1870">
        <v>375</v>
      </c>
      <c r="Y1870">
        <v>0</v>
      </c>
      <c r="Z1870">
        <v>0</v>
      </c>
    </row>
    <row r="1871" spans="1:26" hidden="1" x14ac:dyDescent="0.25">
      <c r="A1871" t="s">
        <v>4182</v>
      </c>
      <c r="B1871" t="s">
        <v>2153</v>
      </c>
      <c r="C1871" s="4">
        <v>44816</v>
      </c>
      <c r="F1871" s="4">
        <v>47361</v>
      </c>
      <c r="G1871" t="s">
        <v>1274</v>
      </c>
      <c r="H1871" t="s">
        <v>3651</v>
      </c>
      <c r="K1871" t="s">
        <v>41</v>
      </c>
      <c r="L1871" t="s">
        <v>3121</v>
      </c>
      <c r="M1871" t="s">
        <v>42</v>
      </c>
      <c r="N1871" t="s">
        <v>3122</v>
      </c>
      <c r="O1871" t="s">
        <v>32</v>
      </c>
      <c r="P1871" t="s">
        <v>4183</v>
      </c>
      <c r="Q1871">
        <v>50</v>
      </c>
      <c r="R1871">
        <v>50</v>
      </c>
      <c r="S1871" t="s">
        <v>34</v>
      </c>
      <c r="T1871" t="s">
        <v>35</v>
      </c>
      <c r="U1871" t="s">
        <v>44</v>
      </c>
      <c r="W1871">
        <v>50</v>
      </c>
      <c r="X1871">
        <v>50</v>
      </c>
      <c r="Y1871">
        <v>0</v>
      </c>
      <c r="Z1871">
        <v>0</v>
      </c>
    </row>
    <row r="1872" spans="1:26" hidden="1" x14ac:dyDescent="0.25">
      <c r="A1872" t="s">
        <v>4184</v>
      </c>
      <c r="B1872" t="s">
        <v>38</v>
      </c>
      <c r="C1872" s="4">
        <v>44819</v>
      </c>
      <c r="D1872" s="4">
        <v>45873</v>
      </c>
      <c r="F1872" s="4">
        <v>46357</v>
      </c>
      <c r="G1872" t="s">
        <v>39</v>
      </c>
      <c r="H1872" t="s">
        <v>1437</v>
      </c>
      <c r="K1872" t="s">
        <v>28</v>
      </c>
      <c r="L1872" t="s">
        <v>3121</v>
      </c>
      <c r="M1872" t="s">
        <v>54</v>
      </c>
      <c r="N1872" t="s">
        <v>3122</v>
      </c>
      <c r="O1872" t="s">
        <v>32</v>
      </c>
      <c r="P1872" t="s">
        <v>4185</v>
      </c>
      <c r="Q1872">
        <v>46.2</v>
      </c>
      <c r="R1872">
        <v>46.2</v>
      </c>
      <c r="S1872" t="s">
        <v>34</v>
      </c>
      <c r="T1872" t="s">
        <v>35</v>
      </c>
      <c r="U1872" t="s">
        <v>44</v>
      </c>
      <c r="W1872">
        <v>0</v>
      </c>
      <c r="X1872">
        <v>0</v>
      </c>
      <c r="Y1872">
        <v>0</v>
      </c>
      <c r="Z1872">
        <v>0</v>
      </c>
    </row>
    <row r="1873" spans="1:26" hidden="1" x14ac:dyDescent="0.25">
      <c r="A1873" t="s">
        <v>4186</v>
      </c>
      <c r="B1873" t="s">
        <v>2153</v>
      </c>
      <c r="C1873" s="4">
        <v>44819</v>
      </c>
      <c r="F1873" s="4">
        <v>46539</v>
      </c>
      <c r="H1873" t="s">
        <v>3060</v>
      </c>
      <c r="K1873" t="s">
        <v>114</v>
      </c>
      <c r="L1873" t="s">
        <v>3121</v>
      </c>
      <c r="M1873" t="s">
        <v>68</v>
      </c>
      <c r="N1873" t="s">
        <v>3122</v>
      </c>
      <c r="O1873" t="s">
        <v>32</v>
      </c>
      <c r="P1873" t="s">
        <v>4187</v>
      </c>
      <c r="Q1873">
        <v>150</v>
      </c>
      <c r="R1873">
        <v>150</v>
      </c>
      <c r="S1873" t="s">
        <v>597</v>
      </c>
      <c r="T1873" t="s">
        <v>598</v>
      </c>
      <c r="U1873" t="s">
        <v>44</v>
      </c>
      <c r="W1873">
        <v>150</v>
      </c>
      <c r="X1873">
        <v>150</v>
      </c>
      <c r="Y1873">
        <v>0</v>
      </c>
      <c r="Z1873">
        <v>0</v>
      </c>
    </row>
    <row r="1874" spans="1:26" hidden="1" x14ac:dyDescent="0.25">
      <c r="A1874" t="s">
        <v>4188</v>
      </c>
      <c r="B1874" t="s">
        <v>2153</v>
      </c>
      <c r="C1874" s="4">
        <v>44819</v>
      </c>
      <c r="F1874" s="4">
        <v>46357</v>
      </c>
      <c r="G1874" t="s">
        <v>1278</v>
      </c>
      <c r="H1874" t="s">
        <v>4189</v>
      </c>
      <c r="K1874" t="s">
        <v>28</v>
      </c>
      <c r="L1874" t="s">
        <v>3121</v>
      </c>
      <c r="M1874" t="s">
        <v>30</v>
      </c>
      <c r="N1874" t="s">
        <v>3122</v>
      </c>
      <c r="O1874" t="s">
        <v>32</v>
      </c>
      <c r="P1874" t="s">
        <v>4190</v>
      </c>
      <c r="Q1874">
        <v>243.6</v>
      </c>
      <c r="R1874">
        <v>243.6</v>
      </c>
      <c r="S1874" t="s">
        <v>34</v>
      </c>
      <c r="T1874" t="s">
        <v>35</v>
      </c>
      <c r="U1874" t="s">
        <v>44</v>
      </c>
      <c r="W1874">
        <v>243.6</v>
      </c>
      <c r="X1874">
        <v>243.6</v>
      </c>
      <c r="Y1874">
        <v>0</v>
      </c>
      <c r="Z1874">
        <v>0</v>
      </c>
    </row>
    <row r="1875" spans="1:26" hidden="1" x14ac:dyDescent="0.25">
      <c r="A1875" t="s">
        <v>4191</v>
      </c>
      <c r="B1875" t="s">
        <v>2153</v>
      </c>
      <c r="C1875" s="4">
        <v>45957</v>
      </c>
      <c r="F1875" s="4">
        <v>45717</v>
      </c>
      <c r="H1875" t="s">
        <v>1327</v>
      </c>
      <c r="K1875" t="s">
        <v>67</v>
      </c>
      <c r="L1875" t="s">
        <v>3121</v>
      </c>
      <c r="M1875" t="s">
        <v>68</v>
      </c>
      <c r="N1875" t="s">
        <v>3122</v>
      </c>
      <c r="O1875" t="s">
        <v>122</v>
      </c>
      <c r="P1875" t="s">
        <v>4192</v>
      </c>
      <c r="Q1875">
        <v>70</v>
      </c>
      <c r="R1875">
        <v>70</v>
      </c>
      <c r="S1875" t="s">
        <v>597</v>
      </c>
      <c r="T1875" t="s">
        <v>598</v>
      </c>
      <c r="U1875" t="s">
        <v>44</v>
      </c>
      <c r="W1875">
        <v>70</v>
      </c>
      <c r="X1875">
        <v>0</v>
      </c>
      <c r="Y1875">
        <v>0</v>
      </c>
      <c r="Z1875">
        <v>0</v>
      </c>
    </row>
    <row r="1876" spans="1:26" hidden="1" x14ac:dyDescent="0.25">
      <c r="A1876" t="s">
        <v>4193</v>
      </c>
      <c r="B1876" t="s">
        <v>38</v>
      </c>
      <c r="C1876" s="4">
        <v>44818</v>
      </c>
      <c r="D1876" s="4">
        <v>45868</v>
      </c>
      <c r="F1876" s="4">
        <v>45992</v>
      </c>
      <c r="G1876" t="s">
        <v>39</v>
      </c>
      <c r="H1876" t="s">
        <v>2111</v>
      </c>
      <c r="K1876" t="s">
        <v>41</v>
      </c>
      <c r="L1876" t="s">
        <v>3121</v>
      </c>
      <c r="M1876" t="s">
        <v>42</v>
      </c>
      <c r="N1876" t="s">
        <v>3122</v>
      </c>
      <c r="O1876" t="s">
        <v>32</v>
      </c>
      <c r="P1876" t="s">
        <v>4194</v>
      </c>
      <c r="Q1876">
        <v>150</v>
      </c>
      <c r="R1876">
        <v>150</v>
      </c>
      <c r="S1876" t="s">
        <v>159</v>
      </c>
      <c r="T1876" t="s">
        <v>159</v>
      </c>
      <c r="U1876" t="s">
        <v>44</v>
      </c>
      <c r="W1876">
        <v>0</v>
      </c>
      <c r="X1876">
        <v>0</v>
      </c>
      <c r="Y1876">
        <v>0</v>
      </c>
      <c r="Z1876">
        <v>0</v>
      </c>
    </row>
    <row r="1877" spans="1:26" hidden="1" x14ac:dyDescent="0.25">
      <c r="A1877" t="s">
        <v>4195</v>
      </c>
      <c r="B1877" t="s">
        <v>2153</v>
      </c>
      <c r="C1877" s="4">
        <v>44817</v>
      </c>
      <c r="F1877" s="4">
        <v>46661</v>
      </c>
      <c r="G1877" t="s">
        <v>2365</v>
      </c>
      <c r="H1877" t="s">
        <v>4196</v>
      </c>
      <c r="K1877" t="s">
        <v>114</v>
      </c>
      <c r="L1877" t="s">
        <v>3121</v>
      </c>
      <c r="M1877" t="s">
        <v>68</v>
      </c>
      <c r="N1877" t="s">
        <v>3122</v>
      </c>
      <c r="O1877" t="s">
        <v>32</v>
      </c>
      <c r="P1877" t="s">
        <v>4197</v>
      </c>
      <c r="Q1877">
        <v>165</v>
      </c>
      <c r="R1877">
        <v>165</v>
      </c>
      <c r="S1877" t="s">
        <v>34</v>
      </c>
      <c r="T1877" t="s">
        <v>35</v>
      </c>
      <c r="U1877" t="s">
        <v>44</v>
      </c>
      <c r="W1877">
        <v>165</v>
      </c>
      <c r="X1877">
        <v>165</v>
      </c>
      <c r="Y1877">
        <v>0</v>
      </c>
      <c r="Z1877">
        <v>0</v>
      </c>
    </row>
    <row r="1878" spans="1:26" hidden="1" x14ac:dyDescent="0.25">
      <c r="A1878" t="s">
        <v>4198</v>
      </c>
      <c r="B1878" t="s">
        <v>2153</v>
      </c>
      <c r="C1878" s="4">
        <v>44804</v>
      </c>
      <c r="F1878" s="4">
        <v>45976</v>
      </c>
      <c r="G1878" t="s">
        <v>52</v>
      </c>
      <c r="H1878" t="s">
        <v>2288</v>
      </c>
      <c r="K1878" t="s">
        <v>53</v>
      </c>
      <c r="L1878" t="s">
        <v>3121</v>
      </c>
      <c r="M1878" t="s">
        <v>54</v>
      </c>
      <c r="N1878" t="s">
        <v>3122</v>
      </c>
      <c r="O1878" t="s">
        <v>32</v>
      </c>
      <c r="P1878" t="s">
        <v>4199</v>
      </c>
      <c r="Q1878">
        <v>85</v>
      </c>
      <c r="R1878">
        <v>85</v>
      </c>
      <c r="S1878" t="s">
        <v>34</v>
      </c>
      <c r="T1878" t="s">
        <v>35</v>
      </c>
      <c r="U1878" t="s">
        <v>44</v>
      </c>
      <c r="V1878" s="4">
        <v>46266</v>
      </c>
      <c r="W1878">
        <v>85</v>
      </c>
      <c r="X1878">
        <v>85</v>
      </c>
      <c r="Y1878">
        <v>0</v>
      </c>
      <c r="Z1878">
        <v>0</v>
      </c>
    </row>
    <row r="1879" spans="1:26" hidden="1" x14ac:dyDescent="0.25">
      <c r="A1879" t="s">
        <v>4200</v>
      </c>
      <c r="B1879" t="s">
        <v>2153</v>
      </c>
      <c r="C1879" s="4">
        <v>44818</v>
      </c>
      <c r="F1879" s="4">
        <v>45962</v>
      </c>
      <c r="H1879" t="s">
        <v>2298</v>
      </c>
      <c r="K1879" t="s">
        <v>53</v>
      </c>
      <c r="L1879" t="s">
        <v>3121</v>
      </c>
      <c r="M1879" t="s">
        <v>54</v>
      </c>
      <c r="N1879" t="s">
        <v>3122</v>
      </c>
      <c r="O1879" t="s">
        <v>32</v>
      </c>
      <c r="P1879" t="s">
        <v>4201</v>
      </c>
      <c r="Q1879">
        <v>150</v>
      </c>
      <c r="R1879">
        <v>150</v>
      </c>
      <c r="S1879" t="s">
        <v>34</v>
      </c>
      <c r="T1879" t="s">
        <v>35</v>
      </c>
      <c r="U1879" t="s">
        <v>44</v>
      </c>
      <c r="W1879">
        <v>150</v>
      </c>
      <c r="X1879">
        <v>150</v>
      </c>
      <c r="Y1879">
        <v>0</v>
      </c>
      <c r="Z1879">
        <v>0</v>
      </c>
    </row>
    <row r="1880" spans="1:26" hidden="1" x14ac:dyDescent="0.25">
      <c r="A1880" t="s">
        <v>4202</v>
      </c>
      <c r="B1880" t="s">
        <v>38</v>
      </c>
      <c r="C1880" s="4">
        <v>44818</v>
      </c>
      <c r="D1880" s="4">
        <v>46093</v>
      </c>
      <c r="F1880" s="4">
        <v>45962</v>
      </c>
      <c r="G1880" t="s">
        <v>52</v>
      </c>
      <c r="H1880" t="s">
        <v>3448</v>
      </c>
      <c r="K1880" t="s">
        <v>53</v>
      </c>
      <c r="L1880" t="s">
        <v>3121</v>
      </c>
      <c r="M1880" t="s">
        <v>54</v>
      </c>
      <c r="N1880" t="s">
        <v>3122</v>
      </c>
      <c r="O1880" t="s">
        <v>32</v>
      </c>
      <c r="P1880" t="s">
        <v>3794</v>
      </c>
      <c r="Q1880">
        <v>175</v>
      </c>
      <c r="R1880">
        <v>175</v>
      </c>
      <c r="S1880" t="s">
        <v>34</v>
      </c>
      <c r="T1880" t="s">
        <v>35</v>
      </c>
      <c r="U1880" t="s">
        <v>44</v>
      </c>
      <c r="W1880">
        <v>175</v>
      </c>
      <c r="X1880">
        <v>175</v>
      </c>
      <c r="Y1880">
        <v>0</v>
      </c>
      <c r="Z1880">
        <v>0</v>
      </c>
    </row>
    <row r="1881" spans="1:26" hidden="1" x14ac:dyDescent="0.25">
      <c r="A1881" t="s">
        <v>4203</v>
      </c>
      <c r="B1881" t="s">
        <v>2153</v>
      </c>
      <c r="C1881" s="4">
        <v>44818</v>
      </c>
      <c r="F1881" s="4">
        <v>45962</v>
      </c>
      <c r="G1881" t="s">
        <v>52</v>
      </c>
      <c r="H1881" t="s">
        <v>1330</v>
      </c>
      <c r="K1881" t="s">
        <v>53</v>
      </c>
      <c r="L1881" t="s">
        <v>3121</v>
      </c>
      <c r="M1881" t="s">
        <v>54</v>
      </c>
      <c r="N1881" t="s">
        <v>3122</v>
      </c>
      <c r="O1881" t="s">
        <v>32</v>
      </c>
      <c r="P1881" t="s">
        <v>4204</v>
      </c>
      <c r="Q1881">
        <v>129</v>
      </c>
      <c r="R1881">
        <v>129</v>
      </c>
      <c r="S1881" t="s">
        <v>34</v>
      </c>
      <c r="T1881" t="s">
        <v>35</v>
      </c>
      <c r="U1881" t="s">
        <v>44</v>
      </c>
      <c r="W1881">
        <v>129</v>
      </c>
      <c r="X1881">
        <v>129</v>
      </c>
      <c r="Y1881">
        <v>0</v>
      </c>
      <c r="Z1881">
        <v>0</v>
      </c>
    </row>
    <row r="1882" spans="1:26" hidden="1" x14ac:dyDescent="0.25">
      <c r="A1882" t="s">
        <v>4205</v>
      </c>
      <c r="B1882" t="s">
        <v>38</v>
      </c>
      <c r="C1882" s="4">
        <v>44818</v>
      </c>
      <c r="D1882" s="4">
        <v>46093</v>
      </c>
      <c r="F1882" s="4">
        <v>45962</v>
      </c>
      <c r="G1882" t="s">
        <v>907</v>
      </c>
      <c r="H1882" t="s">
        <v>1450</v>
      </c>
      <c r="K1882" t="s">
        <v>53</v>
      </c>
      <c r="L1882" t="s">
        <v>3121</v>
      </c>
      <c r="M1882" t="s">
        <v>54</v>
      </c>
      <c r="N1882" t="s">
        <v>3122</v>
      </c>
      <c r="O1882" t="s">
        <v>32</v>
      </c>
      <c r="P1882" t="s">
        <v>3787</v>
      </c>
      <c r="Q1882">
        <v>200</v>
      </c>
      <c r="R1882">
        <v>200</v>
      </c>
      <c r="S1882" t="s">
        <v>34</v>
      </c>
      <c r="T1882" t="s">
        <v>35</v>
      </c>
      <c r="U1882" t="s">
        <v>44</v>
      </c>
      <c r="W1882">
        <v>200</v>
      </c>
      <c r="X1882">
        <v>200</v>
      </c>
      <c r="Y1882">
        <v>0</v>
      </c>
      <c r="Z1882">
        <v>0</v>
      </c>
    </row>
    <row r="1883" spans="1:26" hidden="1" x14ac:dyDescent="0.25">
      <c r="A1883" t="s">
        <v>4206</v>
      </c>
      <c r="B1883" t="s">
        <v>2153</v>
      </c>
      <c r="C1883" s="4">
        <v>44818</v>
      </c>
      <c r="F1883" s="4">
        <v>45931</v>
      </c>
      <c r="G1883" t="s">
        <v>39</v>
      </c>
      <c r="H1883" t="s">
        <v>1302</v>
      </c>
      <c r="K1883" t="s">
        <v>41</v>
      </c>
      <c r="L1883" t="s">
        <v>3121</v>
      </c>
      <c r="M1883" t="s">
        <v>42</v>
      </c>
      <c r="N1883" t="s">
        <v>3122</v>
      </c>
      <c r="O1883" t="s">
        <v>32</v>
      </c>
      <c r="P1883" t="s">
        <v>4207</v>
      </c>
      <c r="Q1883">
        <v>80</v>
      </c>
      <c r="R1883">
        <v>80</v>
      </c>
      <c r="S1883" t="s">
        <v>159</v>
      </c>
      <c r="T1883" t="s">
        <v>159</v>
      </c>
      <c r="U1883" t="s">
        <v>44</v>
      </c>
      <c r="W1883">
        <v>80</v>
      </c>
      <c r="X1883">
        <v>80</v>
      </c>
      <c r="Y1883">
        <v>0</v>
      </c>
      <c r="Z1883">
        <v>0</v>
      </c>
    </row>
    <row r="1884" spans="1:26" hidden="1" x14ac:dyDescent="0.25">
      <c r="A1884" t="s">
        <v>4208</v>
      </c>
      <c r="B1884" t="s">
        <v>2153</v>
      </c>
      <c r="C1884" s="4">
        <v>44818</v>
      </c>
      <c r="F1884" s="4">
        <v>46234</v>
      </c>
      <c r="G1884" t="s">
        <v>1326</v>
      </c>
      <c r="H1884" t="s">
        <v>1279</v>
      </c>
      <c r="K1884" t="s">
        <v>67</v>
      </c>
      <c r="L1884" t="s">
        <v>3121</v>
      </c>
      <c r="M1884" t="s">
        <v>68</v>
      </c>
      <c r="N1884" t="s">
        <v>3122</v>
      </c>
      <c r="O1884" t="s">
        <v>32</v>
      </c>
      <c r="P1884" t="s">
        <v>2488</v>
      </c>
      <c r="Q1884">
        <v>150</v>
      </c>
      <c r="R1884">
        <v>150</v>
      </c>
      <c r="S1884" t="s">
        <v>597</v>
      </c>
      <c r="T1884" t="s">
        <v>598</v>
      </c>
      <c r="U1884" t="s">
        <v>44</v>
      </c>
      <c r="W1884">
        <v>150</v>
      </c>
      <c r="X1884">
        <v>150</v>
      </c>
      <c r="Y1884">
        <v>0</v>
      </c>
      <c r="Z1884">
        <v>0</v>
      </c>
    </row>
    <row r="1885" spans="1:26" hidden="1" x14ac:dyDescent="0.25">
      <c r="A1885" t="s">
        <v>4209</v>
      </c>
      <c r="B1885" t="s">
        <v>2153</v>
      </c>
      <c r="C1885" s="4">
        <v>44818</v>
      </c>
      <c r="F1885" s="4">
        <v>46234</v>
      </c>
      <c r="H1885" t="s">
        <v>1279</v>
      </c>
      <c r="K1885" t="s">
        <v>67</v>
      </c>
      <c r="L1885" t="s">
        <v>3121</v>
      </c>
      <c r="M1885" t="s">
        <v>68</v>
      </c>
      <c r="N1885" t="s">
        <v>3122</v>
      </c>
      <c r="O1885" t="s">
        <v>32</v>
      </c>
      <c r="P1885" t="s">
        <v>4210</v>
      </c>
      <c r="Q1885">
        <v>125</v>
      </c>
      <c r="R1885">
        <v>125</v>
      </c>
      <c r="S1885" t="s">
        <v>34</v>
      </c>
      <c r="T1885" t="s">
        <v>35</v>
      </c>
      <c r="U1885" t="s">
        <v>44</v>
      </c>
      <c r="W1885">
        <v>125</v>
      </c>
      <c r="X1885">
        <v>125</v>
      </c>
      <c r="Y1885">
        <v>0</v>
      </c>
      <c r="Z1885">
        <v>0</v>
      </c>
    </row>
    <row r="1886" spans="1:26" hidden="1" x14ac:dyDescent="0.25">
      <c r="A1886" t="s">
        <v>4211</v>
      </c>
      <c r="B1886" t="s">
        <v>38</v>
      </c>
      <c r="C1886" s="4">
        <v>44818</v>
      </c>
      <c r="D1886" s="4">
        <v>45869</v>
      </c>
      <c r="F1886" s="4">
        <v>46631</v>
      </c>
      <c r="G1886" t="s">
        <v>616</v>
      </c>
      <c r="H1886" t="s">
        <v>1656</v>
      </c>
      <c r="K1886" t="s">
        <v>146</v>
      </c>
      <c r="L1886" t="s">
        <v>3121</v>
      </c>
      <c r="M1886" t="s">
        <v>68</v>
      </c>
      <c r="N1886" t="s">
        <v>3122</v>
      </c>
      <c r="O1886" t="s">
        <v>32</v>
      </c>
      <c r="P1886" t="s">
        <v>4212</v>
      </c>
      <c r="Q1886">
        <v>410</v>
      </c>
      <c r="R1886">
        <v>410</v>
      </c>
      <c r="S1886" t="s">
        <v>597</v>
      </c>
      <c r="T1886" t="s">
        <v>598</v>
      </c>
      <c r="U1886" t="s">
        <v>44</v>
      </c>
      <c r="W1886">
        <v>0</v>
      </c>
      <c r="X1886">
        <v>0</v>
      </c>
      <c r="Y1886">
        <v>0</v>
      </c>
      <c r="Z1886">
        <v>0</v>
      </c>
    </row>
    <row r="1887" spans="1:26" hidden="1" x14ac:dyDescent="0.25">
      <c r="A1887" t="s">
        <v>4213</v>
      </c>
      <c r="B1887" t="s">
        <v>38</v>
      </c>
      <c r="C1887" s="4">
        <v>44819</v>
      </c>
      <c r="D1887" s="4">
        <v>45957</v>
      </c>
      <c r="F1887" s="4">
        <v>46631</v>
      </c>
      <c r="G1887" t="s">
        <v>183</v>
      </c>
      <c r="H1887" t="s">
        <v>3782</v>
      </c>
      <c r="K1887" t="s">
        <v>185</v>
      </c>
      <c r="L1887" t="s">
        <v>3121</v>
      </c>
      <c r="M1887" t="s">
        <v>42</v>
      </c>
      <c r="N1887" t="s">
        <v>3122</v>
      </c>
      <c r="O1887" t="s">
        <v>32</v>
      </c>
      <c r="P1887" t="s">
        <v>3783</v>
      </c>
      <c r="Q1887">
        <v>347</v>
      </c>
      <c r="R1887">
        <v>347</v>
      </c>
      <c r="S1887" t="s">
        <v>597</v>
      </c>
      <c r="T1887" t="s">
        <v>598</v>
      </c>
      <c r="U1887" t="s">
        <v>44</v>
      </c>
      <c r="W1887">
        <v>0</v>
      </c>
      <c r="X1887">
        <v>0</v>
      </c>
      <c r="Y1887">
        <v>0</v>
      </c>
      <c r="Z1887">
        <v>0</v>
      </c>
    </row>
    <row r="1888" spans="1:26" hidden="1" x14ac:dyDescent="0.25">
      <c r="A1888" t="s">
        <v>4214</v>
      </c>
      <c r="B1888" t="s">
        <v>38</v>
      </c>
      <c r="C1888" s="4">
        <v>44818</v>
      </c>
      <c r="D1888" s="4">
        <v>45869</v>
      </c>
      <c r="F1888" s="4">
        <v>46631</v>
      </c>
      <c r="G1888" t="s">
        <v>616</v>
      </c>
      <c r="H1888" t="s">
        <v>1656</v>
      </c>
      <c r="K1888" t="s">
        <v>146</v>
      </c>
      <c r="L1888" t="s">
        <v>3121</v>
      </c>
      <c r="M1888" t="s">
        <v>68</v>
      </c>
      <c r="N1888" t="s">
        <v>3122</v>
      </c>
      <c r="O1888" t="s">
        <v>32</v>
      </c>
      <c r="P1888" t="s">
        <v>4215</v>
      </c>
      <c r="Q1888">
        <v>276</v>
      </c>
      <c r="R1888">
        <v>276</v>
      </c>
      <c r="S1888" t="s">
        <v>597</v>
      </c>
      <c r="T1888" t="s">
        <v>598</v>
      </c>
      <c r="U1888" t="s">
        <v>44</v>
      </c>
      <c r="W1888">
        <v>0</v>
      </c>
      <c r="X1888">
        <v>0</v>
      </c>
      <c r="Y1888">
        <v>0</v>
      </c>
      <c r="Z1888">
        <v>0</v>
      </c>
    </row>
    <row r="1889" spans="1:26" hidden="1" x14ac:dyDescent="0.25">
      <c r="A1889" t="s">
        <v>4216</v>
      </c>
      <c r="B1889" t="s">
        <v>2153</v>
      </c>
      <c r="C1889" s="4">
        <v>44810</v>
      </c>
      <c r="F1889" s="4">
        <v>45667</v>
      </c>
      <c r="G1889" t="s">
        <v>1499</v>
      </c>
      <c r="H1889" t="s">
        <v>4217</v>
      </c>
      <c r="K1889" t="s">
        <v>41</v>
      </c>
      <c r="L1889" t="s">
        <v>3121</v>
      </c>
      <c r="M1889" t="s">
        <v>42</v>
      </c>
      <c r="N1889" t="s">
        <v>3122</v>
      </c>
      <c r="O1889" t="s">
        <v>32</v>
      </c>
      <c r="P1889" t="s">
        <v>4218</v>
      </c>
      <c r="Q1889">
        <v>130</v>
      </c>
      <c r="R1889">
        <v>130</v>
      </c>
      <c r="S1889" t="s">
        <v>34</v>
      </c>
      <c r="T1889" t="s">
        <v>35</v>
      </c>
      <c r="U1889" t="s">
        <v>44</v>
      </c>
      <c r="W1889">
        <v>130</v>
      </c>
      <c r="X1889">
        <v>130</v>
      </c>
      <c r="Y1889">
        <v>0</v>
      </c>
      <c r="Z1889">
        <v>0</v>
      </c>
    </row>
    <row r="1890" spans="1:26" hidden="1" x14ac:dyDescent="0.25">
      <c r="A1890" t="s">
        <v>4219</v>
      </c>
      <c r="B1890" t="s">
        <v>2153</v>
      </c>
      <c r="C1890" s="4">
        <v>44819</v>
      </c>
      <c r="F1890" s="4">
        <v>47378</v>
      </c>
      <c r="H1890" t="s">
        <v>1291</v>
      </c>
      <c r="K1890" t="s">
        <v>83</v>
      </c>
      <c r="L1890" t="s">
        <v>3121</v>
      </c>
      <c r="M1890" t="s">
        <v>84</v>
      </c>
      <c r="N1890" t="s">
        <v>2160</v>
      </c>
      <c r="O1890" t="s">
        <v>32</v>
      </c>
      <c r="P1890" t="s">
        <v>4220</v>
      </c>
      <c r="Q1890">
        <v>115</v>
      </c>
      <c r="R1890">
        <v>115</v>
      </c>
      <c r="S1890" t="s">
        <v>597</v>
      </c>
      <c r="T1890" t="s">
        <v>598</v>
      </c>
      <c r="U1890" t="s">
        <v>44</v>
      </c>
      <c r="W1890">
        <v>115</v>
      </c>
      <c r="X1890">
        <v>115</v>
      </c>
      <c r="Y1890">
        <v>0</v>
      </c>
      <c r="Z1890">
        <v>0</v>
      </c>
    </row>
    <row r="1891" spans="1:26" hidden="1" x14ac:dyDescent="0.25">
      <c r="A1891" t="s">
        <v>4221</v>
      </c>
      <c r="B1891" t="s">
        <v>38</v>
      </c>
      <c r="C1891" s="4">
        <v>44817</v>
      </c>
      <c r="D1891" s="4">
        <v>45869</v>
      </c>
      <c r="F1891" s="4">
        <v>46661</v>
      </c>
      <c r="G1891" t="s">
        <v>112</v>
      </c>
      <c r="H1891" t="s">
        <v>4196</v>
      </c>
      <c r="K1891" t="s">
        <v>114</v>
      </c>
      <c r="L1891" t="s">
        <v>3121</v>
      </c>
      <c r="M1891" t="s">
        <v>68</v>
      </c>
      <c r="N1891" t="s">
        <v>3122</v>
      </c>
      <c r="O1891" t="s">
        <v>32</v>
      </c>
      <c r="P1891" t="s">
        <v>4197</v>
      </c>
      <c r="Q1891">
        <v>50</v>
      </c>
      <c r="R1891">
        <v>50</v>
      </c>
      <c r="S1891" t="s">
        <v>159</v>
      </c>
      <c r="T1891" t="s">
        <v>159</v>
      </c>
      <c r="U1891" t="s">
        <v>44</v>
      </c>
      <c r="W1891">
        <v>0</v>
      </c>
      <c r="X1891">
        <v>0</v>
      </c>
      <c r="Y1891">
        <v>0</v>
      </c>
      <c r="Z1891">
        <v>0</v>
      </c>
    </row>
    <row r="1892" spans="1:26" hidden="1" x14ac:dyDescent="0.25">
      <c r="A1892" t="s">
        <v>4222</v>
      </c>
      <c r="B1892" t="s">
        <v>38</v>
      </c>
      <c r="C1892" s="4">
        <v>44819</v>
      </c>
      <c r="D1892" s="4">
        <v>45869</v>
      </c>
      <c r="F1892" s="4">
        <v>46280</v>
      </c>
      <c r="G1892" t="s">
        <v>144</v>
      </c>
      <c r="H1892" t="s">
        <v>1320</v>
      </c>
      <c r="K1892" t="s">
        <v>146</v>
      </c>
      <c r="L1892" t="s">
        <v>3121</v>
      </c>
      <c r="M1892" t="s">
        <v>68</v>
      </c>
      <c r="N1892" t="s">
        <v>3122</v>
      </c>
      <c r="O1892" t="s">
        <v>32</v>
      </c>
      <c r="P1892" t="s">
        <v>4223</v>
      </c>
      <c r="Q1892">
        <v>500</v>
      </c>
      <c r="R1892">
        <v>500</v>
      </c>
      <c r="S1892" t="s">
        <v>34</v>
      </c>
      <c r="T1892" t="s">
        <v>35</v>
      </c>
      <c r="U1892" t="s">
        <v>44</v>
      </c>
      <c r="W1892">
        <v>0</v>
      </c>
      <c r="X1892">
        <v>0</v>
      </c>
      <c r="Y1892">
        <v>0</v>
      </c>
      <c r="Z1892">
        <v>0</v>
      </c>
    </row>
    <row r="1893" spans="1:26" hidden="1" x14ac:dyDescent="0.25">
      <c r="A1893" t="s">
        <v>4224</v>
      </c>
      <c r="B1893" t="s">
        <v>2338</v>
      </c>
      <c r="C1893" s="4">
        <v>44818</v>
      </c>
      <c r="F1893" s="4">
        <v>45870</v>
      </c>
      <c r="G1893" t="s">
        <v>52</v>
      </c>
      <c r="H1893" t="s">
        <v>4025</v>
      </c>
      <c r="K1893" t="s">
        <v>53</v>
      </c>
      <c r="L1893" t="s">
        <v>3121</v>
      </c>
      <c r="M1893" t="s">
        <v>54</v>
      </c>
      <c r="N1893" t="s">
        <v>3122</v>
      </c>
      <c r="O1893" t="s">
        <v>32</v>
      </c>
      <c r="P1893" t="s">
        <v>4225</v>
      </c>
      <c r="Q1893">
        <v>200</v>
      </c>
      <c r="R1893">
        <v>200</v>
      </c>
      <c r="S1893" t="s">
        <v>159</v>
      </c>
      <c r="T1893" t="s">
        <v>159</v>
      </c>
      <c r="U1893" t="s">
        <v>44</v>
      </c>
      <c r="W1893">
        <v>200</v>
      </c>
      <c r="X1893">
        <v>200</v>
      </c>
      <c r="Y1893">
        <v>0</v>
      </c>
      <c r="Z1893">
        <v>0</v>
      </c>
    </row>
    <row r="1894" spans="1:26" hidden="1" x14ac:dyDescent="0.25">
      <c r="A1894" t="s">
        <v>4226</v>
      </c>
      <c r="B1894" t="s">
        <v>38</v>
      </c>
      <c r="C1894" s="4">
        <v>44818</v>
      </c>
      <c r="D1894" s="4">
        <v>45869</v>
      </c>
      <c r="F1894" s="4">
        <v>46631</v>
      </c>
      <c r="G1894" t="s">
        <v>144</v>
      </c>
      <c r="H1894" t="s">
        <v>1405</v>
      </c>
      <c r="K1894" t="s">
        <v>146</v>
      </c>
      <c r="L1894" t="s">
        <v>3121</v>
      </c>
      <c r="M1894" t="s">
        <v>68</v>
      </c>
      <c r="N1894" t="s">
        <v>3122</v>
      </c>
      <c r="O1894" t="s">
        <v>32</v>
      </c>
      <c r="P1894" t="s">
        <v>4227</v>
      </c>
      <c r="Q1894">
        <v>440</v>
      </c>
      <c r="R1894">
        <v>440</v>
      </c>
      <c r="S1894" t="s">
        <v>597</v>
      </c>
      <c r="T1894" t="s">
        <v>598</v>
      </c>
      <c r="U1894" t="s">
        <v>44</v>
      </c>
      <c r="W1894">
        <v>0</v>
      </c>
      <c r="X1894">
        <v>0</v>
      </c>
      <c r="Y1894">
        <v>0</v>
      </c>
      <c r="Z1894">
        <v>0</v>
      </c>
    </row>
    <row r="1895" spans="1:26" hidden="1" x14ac:dyDescent="0.25">
      <c r="A1895" t="s">
        <v>4228</v>
      </c>
      <c r="B1895" t="s">
        <v>2153</v>
      </c>
      <c r="C1895" s="4">
        <v>45300</v>
      </c>
      <c r="F1895" s="4">
        <v>46203</v>
      </c>
      <c r="G1895" t="s">
        <v>1278</v>
      </c>
      <c r="H1895" t="s">
        <v>2007</v>
      </c>
      <c r="K1895" t="s">
        <v>28</v>
      </c>
      <c r="L1895" t="s">
        <v>3121</v>
      </c>
      <c r="M1895" t="s">
        <v>30</v>
      </c>
      <c r="N1895" t="s">
        <v>3122</v>
      </c>
      <c r="O1895" t="s">
        <v>32</v>
      </c>
      <c r="P1895" t="s">
        <v>1345</v>
      </c>
      <c r="Q1895">
        <v>50</v>
      </c>
      <c r="R1895">
        <v>50</v>
      </c>
      <c r="S1895" t="s">
        <v>34</v>
      </c>
      <c r="T1895" t="s">
        <v>35</v>
      </c>
      <c r="U1895" t="s">
        <v>44</v>
      </c>
      <c r="W1895">
        <v>50</v>
      </c>
      <c r="X1895">
        <v>50</v>
      </c>
      <c r="Y1895">
        <v>0</v>
      </c>
      <c r="Z1895">
        <v>0</v>
      </c>
    </row>
    <row r="1896" spans="1:26" hidden="1" x14ac:dyDescent="0.25">
      <c r="A1896" t="s">
        <v>4229</v>
      </c>
      <c r="B1896" t="s">
        <v>38</v>
      </c>
      <c r="C1896" s="4">
        <v>44819</v>
      </c>
      <c r="D1896" s="4">
        <v>45911</v>
      </c>
      <c r="F1896" s="4">
        <v>46203</v>
      </c>
      <c r="G1896" t="s">
        <v>72</v>
      </c>
      <c r="H1896" t="s">
        <v>1424</v>
      </c>
      <c r="K1896" t="s">
        <v>209</v>
      </c>
      <c r="L1896" t="s">
        <v>3121</v>
      </c>
      <c r="M1896" t="s">
        <v>42</v>
      </c>
      <c r="N1896" t="s">
        <v>3122</v>
      </c>
      <c r="O1896" t="s">
        <v>32</v>
      </c>
      <c r="P1896" t="s">
        <v>4230</v>
      </c>
      <c r="Q1896">
        <v>200</v>
      </c>
      <c r="R1896">
        <v>200</v>
      </c>
      <c r="S1896" t="s">
        <v>56</v>
      </c>
      <c r="T1896" t="s">
        <v>57</v>
      </c>
      <c r="U1896" t="s">
        <v>44</v>
      </c>
      <c r="W1896">
        <v>200</v>
      </c>
      <c r="X1896">
        <v>200</v>
      </c>
      <c r="Y1896">
        <v>0</v>
      </c>
      <c r="Z1896">
        <v>0</v>
      </c>
    </row>
    <row r="1897" spans="1:26" hidden="1" x14ac:dyDescent="0.25">
      <c r="A1897" t="s">
        <v>4231</v>
      </c>
      <c r="B1897" t="s">
        <v>2338</v>
      </c>
      <c r="C1897" s="4">
        <v>44819</v>
      </c>
      <c r="F1897" s="4">
        <v>46617</v>
      </c>
      <c r="G1897" t="s">
        <v>1753</v>
      </c>
      <c r="H1897" t="s">
        <v>3909</v>
      </c>
      <c r="K1897" t="s">
        <v>114</v>
      </c>
      <c r="L1897" t="s">
        <v>3121</v>
      </c>
      <c r="M1897" t="s">
        <v>68</v>
      </c>
      <c r="N1897" t="s">
        <v>3122</v>
      </c>
      <c r="O1897" t="s">
        <v>32</v>
      </c>
      <c r="P1897" t="s">
        <v>4232</v>
      </c>
      <c r="Q1897">
        <v>200</v>
      </c>
      <c r="R1897">
        <v>200</v>
      </c>
      <c r="S1897" t="s">
        <v>597</v>
      </c>
      <c r="T1897" t="s">
        <v>598</v>
      </c>
      <c r="U1897" t="s">
        <v>44</v>
      </c>
      <c r="W1897">
        <v>200</v>
      </c>
      <c r="X1897">
        <v>0</v>
      </c>
      <c r="Y1897">
        <v>0</v>
      </c>
      <c r="Z1897">
        <v>0</v>
      </c>
    </row>
    <row r="1898" spans="1:26" hidden="1" x14ac:dyDescent="0.25">
      <c r="A1898" t="s">
        <v>4233</v>
      </c>
      <c r="B1898" t="s">
        <v>38</v>
      </c>
      <c r="C1898" s="4">
        <v>44818</v>
      </c>
      <c r="D1898" s="4">
        <v>45957</v>
      </c>
      <c r="F1898" s="4">
        <v>45784</v>
      </c>
      <c r="G1898" t="s">
        <v>101</v>
      </c>
      <c r="H1898" t="s">
        <v>2994</v>
      </c>
      <c r="K1898" t="s">
        <v>98</v>
      </c>
      <c r="L1898" t="s">
        <v>3121</v>
      </c>
      <c r="M1898" t="s">
        <v>84</v>
      </c>
      <c r="N1898" t="s">
        <v>2160</v>
      </c>
      <c r="O1898" t="s">
        <v>32</v>
      </c>
      <c r="P1898" t="s">
        <v>4234</v>
      </c>
      <c r="Q1898">
        <v>22.77</v>
      </c>
      <c r="R1898">
        <v>22.77</v>
      </c>
      <c r="S1898" t="s">
        <v>34</v>
      </c>
      <c r="T1898" t="s">
        <v>35</v>
      </c>
      <c r="U1898" t="s">
        <v>44</v>
      </c>
      <c r="W1898">
        <v>0</v>
      </c>
      <c r="X1898">
        <v>0</v>
      </c>
      <c r="Y1898">
        <v>0</v>
      </c>
      <c r="Z1898">
        <v>0</v>
      </c>
    </row>
    <row r="1899" spans="1:26" hidden="1" x14ac:dyDescent="0.25">
      <c r="A1899" t="s">
        <v>4235</v>
      </c>
      <c r="B1899" t="s">
        <v>38</v>
      </c>
      <c r="C1899" s="4">
        <v>44819</v>
      </c>
      <c r="D1899" s="4">
        <v>45888</v>
      </c>
      <c r="F1899" s="4">
        <v>45777</v>
      </c>
      <c r="G1899" t="s">
        <v>101</v>
      </c>
      <c r="H1899" t="s">
        <v>1550</v>
      </c>
      <c r="K1899" t="s">
        <v>98</v>
      </c>
      <c r="L1899" t="s">
        <v>3121</v>
      </c>
      <c r="M1899" t="s">
        <v>84</v>
      </c>
      <c r="N1899" t="s">
        <v>2160</v>
      </c>
      <c r="O1899" t="s">
        <v>32</v>
      </c>
      <c r="P1899" t="s">
        <v>4236</v>
      </c>
      <c r="Q1899">
        <v>120</v>
      </c>
      <c r="R1899">
        <v>120</v>
      </c>
      <c r="S1899" t="s">
        <v>597</v>
      </c>
      <c r="T1899" t="s">
        <v>598</v>
      </c>
      <c r="U1899" t="s">
        <v>44</v>
      </c>
      <c r="W1899">
        <v>120</v>
      </c>
      <c r="X1899">
        <v>0</v>
      </c>
      <c r="Y1899">
        <v>0</v>
      </c>
      <c r="Z1899">
        <v>0</v>
      </c>
    </row>
    <row r="1900" spans="1:26" hidden="1" x14ac:dyDescent="0.25">
      <c r="A1900" t="s">
        <v>4237</v>
      </c>
      <c r="B1900" t="s">
        <v>38</v>
      </c>
      <c r="C1900" s="4">
        <v>44818</v>
      </c>
      <c r="D1900" s="4">
        <v>45009</v>
      </c>
      <c r="F1900" s="4">
        <v>45777</v>
      </c>
      <c r="G1900" t="s">
        <v>1499</v>
      </c>
      <c r="H1900" t="s">
        <v>2664</v>
      </c>
      <c r="K1900" t="s">
        <v>185</v>
      </c>
      <c r="L1900" t="s">
        <v>3121</v>
      </c>
      <c r="M1900" t="s">
        <v>42</v>
      </c>
      <c r="N1900" t="s">
        <v>3122</v>
      </c>
      <c r="O1900" t="s">
        <v>32</v>
      </c>
      <c r="P1900" t="s">
        <v>4238</v>
      </c>
      <c r="Q1900">
        <v>80</v>
      </c>
      <c r="R1900">
        <v>80</v>
      </c>
      <c r="S1900" t="s">
        <v>159</v>
      </c>
      <c r="T1900" t="s">
        <v>159</v>
      </c>
      <c r="U1900" t="s">
        <v>44</v>
      </c>
      <c r="W1900">
        <v>0</v>
      </c>
      <c r="X1900">
        <v>0</v>
      </c>
      <c r="Y1900">
        <v>0</v>
      </c>
      <c r="Z1900">
        <v>0</v>
      </c>
    </row>
    <row r="1901" spans="1:26" hidden="1" x14ac:dyDescent="0.25">
      <c r="A1901" t="s">
        <v>4239</v>
      </c>
      <c r="B1901" t="s">
        <v>2153</v>
      </c>
      <c r="C1901" s="4">
        <v>44819</v>
      </c>
      <c r="F1901" s="4">
        <v>45777</v>
      </c>
      <c r="G1901" t="s">
        <v>1749</v>
      </c>
      <c r="H1901" t="s">
        <v>2624</v>
      </c>
      <c r="K1901" t="s">
        <v>151</v>
      </c>
      <c r="L1901" t="s">
        <v>3121</v>
      </c>
      <c r="M1901" t="s">
        <v>68</v>
      </c>
      <c r="N1901" t="s">
        <v>3122</v>
      </c>
      <c r="O1901" t="s">
        <v>122</v>
      </c>
      <c r="P1901" t="s">
        <v>4240</v>
      </c>
      <c r="Q1901">
        <v>150</v>
      </c>
      <c r="R1901">
        <v>150</v>
      </c>
      <c r="S1901" t="s">
        <v>597</v>
      </c>
      <c r="T1901" t="s">
        <v>598</v>
      </c>
      <c r="U1901" t="s">
        <v>44</v>
      </c>
      <c r="W1901">
        <v>150</v>
      </c>
      <c r="X1901">
        <v>0</v>
      </c>
      <c r="Y1901">
        <v>0</v>
      </c>
      <c r="Z1901">
        <v>0</v>
      </c>
    </row>
    <row r="1902" spans="1:26" hidden="1" x14ac:dyDescent="0.25">
      <c r="A1902" t="s">
        <v>4241</v>
      </c>
      <c r="B1902" t="s">
        <v>38</v>
      </c>
      <c r="C1902" s="4">
        <v>44819</v>
      </c>
      <c r="D1902" s="4">
        <v>45869</v>
      </c>
      <c r="F1902" s="4">
        <v>46142</v>
      </c>
      <c r="G1902" t="s">
        <v>1311</v>
      </c>
      <c r="H1902" t="s">
        <v>2515</v>
      </c>
      <c r="K1902" t="s">
        <v>114</v>
      </c>
      <c r="L1902" t="s">
        <v>3121</v>
      </c>
      <c r="M1902" t="s">
        <v>68</v>
      </c>
      <c r="N1902" t="s">
        <v>3122</v>
      </c>
      <c r="O1902" t="s">
        <v>32</v>
      </c>
      <c r="P1902" t="s">
        <v>4242</v>
      </c>
      <c r="Q1902">
        <v>200</v>
      </c>
      <c r="R1902">
        <v>200</v>
      </c>
      <c r="S1902" t="s">
        <v>597</v>
      </c>
      <c r="T1902" t="s">
        <v>598</v>
      </c>
      <c r="U1902" t="s">
        <v>44</v>
      </c>
      <c r="W1902">
        <v>0</v>
      </c>
      <c r="X1902">
        <v>0</v>
      </c>
      <c r="Y1902">
        <v>0</v>
      </c>
      <c r="Z1902">
        <v>0</v>
      </c>
    </row>
    <row r="1903" spans="1:26" hidden="1" x14ac:dyDescent="0.25">
      <c r="A1903" t="s">
        <v>4243</v>
      </c>
      <c r="B1903" t="s">
        <v>2153</v>
      </c>
      <c r="C1903" s="4">
        <v>44818</v>
      </c>
      <c r="F1903" s="4">
        <v>46142</v>
      </c>
      <c r="H1903" t="s">
        <v>1405</v>
      </c>
      <c r="K1903" t="s">
        <v>146</v>
      </c>
      <c r="L1903" t="s">
        <v>3121</v>
      </c>
      <c r="M1903" t="s">
        <v>68</v>
      </c>
      <c r="N1903" t="s">
        <v>3122</v>
      </c>
      <c r="O1903" t="s">
        <v>122</v>
      </c>
      <c r="P1903" t="s">
        <v>4244</v>
      </c>
      <c r="Q1903">
        <v>250</v>
      </c>
      <c r="R1903">
        <v>250</v>
      </c>
      <c r="S1903" t="s">
        <v>597</v>
      </c>
      <c r="T1903" t="s">
        <v>598</v>
      </c>
      <c r="U1903" t="s">
        <v>44</v>
      </c>
      <c r="W1903">
        <v>250</v>
      </c>
      <c r="X1903">
        <v>0</v>
      </c>
      <c r="Y1903">
        <v>0</v>
      </c>
      <c r="Z1903">
        <v>0</v>
      </c>
    </row>
    <row r="1904" spans="1:26" hidden="1" x14ac:dyDescent="0.25">
      <c r="A1904" t="s">
        <v>4245</v>
      </c>
      <c r="B1904" t="s">
        <v>38</v>
      </c>
      <c r="C1904" s="4">
        <v>44819</v>
      </c>
      <c r="D1904" s="4">
        <v>45869</v>
      </c>
      <c r="F1904" s="4">
        <v>46142</v>
      </c>
      <c r="G1904" t="s">
        <v>1311</v>
      </c>
      <c r="H1904" t="s">
        <v>2515</v>
      </c>
      <c r="K1904" t="s">
        <v>114</v>
      </c>
      <c r="L1904" t="s">
        <v>3121</v>
      </c>
      <c r="M1904" t="s">
        <v>68</v>
      </c>
      <c r="N1904" t="s">
        <v>3122</v>
      </c>
      <c r="O1904" t="s">
        <v>32</v>
      </c>
      <c r="P1904" t="s">
        <v>4242</v>
      </c>
      <c r="Q1904">
        <v>400</v>
      </c>
      <c r="R1904">
        <v>400</v>
      </c>
      <c r="S1904" t="s">
        <v>597</v>
      </c>
      <c r="T1904" t="s">
        <v>598</v>
      </c>
      <c r="U1904" t="s">
        <v>44</v>
      </c>
      <c r="W1904">
        <v>0</v>
      </c>
      <c r="X1904">
        <v>0</v>
      </c>
      <c r="Y1904">
        <v>0</v>
      </c>
      <c r="Z1904">
        <v>0</v>
      </c>
    </row>
    <row r="1905" spans="1:26" hidden="1" x14ac:dyDescent="0.25">
      <c r="A1905" t="s">
        <v>4246</v>
      </c>
      <c r="B1905" t="s">
        <v>2153</v>
      </c>
      <c r="C1905" s="4">
        <v>44817</v>
      </c>
      <c r="F1905" s="4">
        <v>46661</v>
      </c>
      <c r="G1905" t="s">
        <v>1326</v>
      </c>
      <c r="H1905" t="s">
        <v>1645</v>
      </c>
      <c r="K1905" t="s">
        <v>67</v>
      </c>
      <c r="L1905" t="s">
        <v>3121</v>
      </c>
      <c r="M1905" t="s">
        <v>68</v>
      </c>
      <c r="N1905" t="s">
        <v>3122</v>
      </c>
      <c r="O1905" t="s">
        <v>122</v>
      </c>
      <c r="P1905" t="s">
        <v>4247</v>
      </c>
      <c r="Q1905">
        <v>140</v>
      </c>
      <c r="R1905">
        <v>140</v>
      </c>
      <c r="S1905" t="s">
        <v>34</v>
      </c>
      <c r="T1905" t="s">
        <v>35</v>
      </c>
      <c r="U1905" t="s">
        <v>44</v>
      </c>
      <c r="W1905">
        <v>140</v>
      </c>
      <c r="X1905">
        <v>0</v>
      </c>
      <c r="Y1905">
        <v>0</v>
      </c>
      <c r="Z1905">
        <v>0</v>
      </c>
    </row>
    <row r="1906" spans="1:26" hidden="1" x14ac:dyDescent="0.25">
      <c r="A1906" t="s">
        <v>4248</v>
      </c>
      <c r="B1906" t="s">
        <v>38</v>
      </c>
      <c r="C1906" s="4">
        <v>44817</v>
      </c>
      <c r="D1906" s="4">
        <v>45009</v>
      </c>
      <c r="F1906" s="4">
        <v>46661</v>
      </c>
      <c r="G1906" t="s">
        <v>1311</v>
      </c>
      <c r="H1906" t="s">
        <v>1996</v>
      </c>
      <c r="K1906" t="s">
        <v>114</v>
      </c>
      <c r="L1906" t="s">
        <v>3121</v>
      </c>
      <c r="M1906" t="s">
        <v>68</v>
      </c>
      <c r="N1906" t="s">
        <v>3122</v>
      </c>
      <c r="O1906" t="s">
        <v>32</v>
      </c>
      <c r="P1906" t="s">
        <v>4249</v>
      </c>
      <c r="Q1906">
        <v>70</v>
      </c>
      <c r="R1906">
        <v>70</v>
      </c>
      <c r="S1906" t="s">
        <v>159</v>
      </c>
      <c r="T1906" t="s">
        <v>159</v>
      </c>
      <c r="U1906" t="s">
        <v>44</v>
      </c>
      <c r="W1906">
        <v>0</v>
      </c>
      <c r="X1906">
        <v>0</v>
      </c>
      <c r="Y1906">
        <v>0</v>
      </c>
      <c r="Z1906">
        <v>0</v>
      </c>
    </row>
    <row r="1907" spans="1:26" hidden="1" x14ac:dyDescent="0.25">
      <c r="A1907" t="s">
        <v>4250</v>
      </c>
      <c r="B1907" t="s">
        <v>38</v>
      </c>
      <c r="C1907" s="4">
        <v>44813</v>
      </c>
      <c r="D1907" s="4">
        <v>45869</v>
      </c>
      <c r="F1907" s="4">
        <v>45689</v>
      </c>
      <c r="G1907" t="s">
        <v>112</v>
      </c>
      <c r="H1907" t="s">
        <v>3025</v>
      </c>
      <c r="K1907" t="s">
        <v>114</v>
      </c>
      <c r="L1907" t="s">
        <v>3121</v>
      </c>
      <c r="M1907" t="s">
        <v>68</v>
      </c>
      <c r="N1907" t="s">
        <v>3122</v>
      </c>
      <c r="O1907" t="s">
        <v>32</v>
      </c>
      <c r="P1907" t="s">
        <v>4251</v>
      </c>
      <c r="Q1907">
        <v>130</v>
      </c>
      <c r="R1907">
        <v>130</v>
      </c>
      <c r="S1907" t="s">
        <v>597</v>
      </c>
      <c r="T1907" t="s">
        <v>598</v>
      </c>
      <c r="U1907" t="s">
        <v>44</v>
      </c>
      <c r="W1907">
        <v>0</v>
      </c>
      <c r="X1907">
        <v>0</v>
      </c>
      <c r="Y1907">
        <v>0</v>
      </c>
      <c r="Z1907">
        <v>0</v>
      </c>
    </row>
    <row r="1908" spans="1:26" hidden="1" x14ac:dyDescent="0.25">
      <c r="A1908" t="s">
        <v>4252</v>
      </c>
      <c r="B1908" t="s">
        <v>38</v>
      </c>
      <c r="C1908" s="4">
        <v>44813</v>
      </c>
      <c r="D1908" s="4">
        <v>45869</v>
      </c>
      <c r="F1908" s="4">
        <v>45809</v>
      </c>
      <c r="G1908" t="s">
        <v>144</v>
      </c>
      <c r="H1908" t="s">
        <v>2382</v>
      </c>
      <c r="K1908" t="s">
        <v>146</v>
      </c>
      <c r="L1908" t="s">
        <v>3121</v>
      </c>
      <c r="M1908" t="s">
        <v>68</v>
      </c>
      <c r="N1908" t="s">
        <v>3122</v>
      </c>
      <c r="O1908" t="s">
        <v>32</v>
      </c>
      <c r="P1908" t="s">
        <v>4253</v>
      </c>
      <c r="Q1908">
        <v>150</v>
      </c>
      <c r="R1908">
        <v>150</v>
      </c>
      <c r="S1908" t="s">
        <v>597</v>
      </c>
      <c r="T1908" t="s">
        <v>598</v>
      </c>
      <c r="U1908" t="s">
        <v>44</v>
      </c>
      <c r="W1908">
        <v>0</v>
      </c>
      <c r="X1908">
        <v>0</v>
      </c>
      <c r="Y1908">
        <v>0</v>
      </c>
      <c r="Z1908">
        <v>0</v>
      </c>
    </row>
    <row r="1909" spans="1:26" hidden="1" x14ac:dyDescent="0.25">
      <c r="A1909" t="s">
        <v>4254</v>
      </c>
      <c r="B1909" t="s">
        <v>38</v>
      </c>
      <c r="C1909" s="4">
        <v>44813</v>
      </c>
      <c r="D1909" s="4">
        <v>45869</v>
      </c>
      <c r="F1909" s="4">
        <v>45717</v>
      </c>
      <c r="G1909" t="s">
        <v>112</v>
      </c>
      <c r="H1909" t="s">
        <v>1302</v>
      </c>
      <c r="K1909" t="s">
        <v>114</v>
      </c>
      <c r="L1909" t="s">
        <v>3121</v>
      </c>
      <c r="M1909" t="s">
        <v>68</v>
      </c>
      <c r="N1909" t="s">
        <v>3122</v>
      </c>
      <c r="O1909" t="s">
        <v>32</v>
      </c>
      <c r="P1909" t="s">
        <v>4255</v>
      </c>
      <c r="Q1909">
        <v>100</v>
      </c>
      <c r="R1909">
        <v>100</v>
      </c>
      <c r="S1909" t="s">
        <v>597</v>
      </c>
      <c r="T1909" t="s">
        <v>598</v>
      </c>
      <c r="U1909" t="s">
        <v>44</v>
      </c>
      <c r="W1909">
        <v>0</v>
      </c>
      <c r="X1909">
        <v>0</v>
      </c>
      <c r="Y1909">
        <v>0</v>
      </c>
      <c r="Z1909">
        <v>0</v>
      </c>
    </row>
    <row r="1910" spans="1:26" hidden="1" x14ac:dyDescent="0.25">
      <c r="A1910" t="s">
        <v>4256</v>
      </c>
      <c r="B1910" t="s">
        <v>2338</v>
      </c>
      <c r="C1910" s="4">
        <v>44819</v>
      </c>
      <c r="F1910" s="4">
        <v>45565</v>
      </c>
      <c r="G1910" t="s">
        <v>52</v>
      </c>
      <c r="H1910" t="s">
        <v>2258</v>
      </c>
      <c r="K1910" t="s">
        <v>53</v>
      </c>
      <c r="L1910" t="s">
        <v>3121</v>
      </c>
      <c r="M1910" t="s">
        <v>54</v>
      </c>
      <c r="N1910" t="s">
        <v>3122</v>
      </c>
      <c r="O1910" t="s">
        <v>32</v>
      </c>
      <c r="P1910" t="s">
        <v>4257</v>
      </c>
      <c r="Q1910">
        <v>200</v>
      </c>
      <c r="R1910">
        <v>200</v>
      </c>
      <c r="S1910" t="s">
        <v>159</v>
      </c>
      <c r="T1910" t="s">
        <v>159</v>
      </c>
      <c r="U1910" t="s">
        <v>44</v>
      </c>
      <c r="W1910">
        <v>200</v>
      </c>
      <c r="X1910">
        <v>200</v>
      </c>
      <c r="Y1910">
        <v>0</v>
      </c>
      <c r="Z1910">
        <v>0</v>
      </c>
    </row>
    <row r="1911" spans="1:26" hidden="1" x14ac:dyDescent="0.25">
      <c r="A1911" t="s">
        <v>4258</v>
      </c>
      <c r="B1911" t="s">
        <v>2153</v>
      </c>
      <c r="C1911" s="4">
        <v>44819</v>
      </c>
      <c r="F1911" s="4">
        <v>46168</v>
      </c>
      <c r="G1911" t="s">
        <v>1326</v>
      </c>
      <c r="H1911" t="s">
        <v>1505</v>
      </c>
      <c r="K1911" t="s">
        <v>67</v>
      </c>
      <c r="L1911" t="s">
        <v>3121</v>
      </c>
      <c r="M1911" t="s">
        <v>68</v>
      </c>
      <c r="N1911" t="s">
        <v>3122</v>
      </c>
      <c r="O1911" t="s">
        <v>32</v>
      </c>
      <c r="P1911" t="s">
        <v>4259</v>
      </c>
      <c r="Q1911">
        <v>400</v>
      </c>
      <c r="R1911">
        <v>400</v>
      </c>
      <c r="S1911" t="s">
        <v>597</v>
      </c>
      <c r="T1911" t="s">
        <v>598</v>
      </c>
      <c r="U1911" t="s">
        <v>44</v>
      </c>
      <c r="W1911">
        <v>400</v>
      </c>
      <c r="X1911">
        <v>400</v>
      </c>
      <c r="Y1911">
        <v>0</v>
      </c>
      <c r="Z1911">
        <v>0</v>
      </c>
    </row>
    <row r="1912" spans="1:26" hidden="1" x14ac:dyDescent="0.25">
      <c r="A1912" t="s">
        <v>4260</v>
      </c>
      <c r="B1912" t="s">
        <v>2153</v>
      </c>
      <c r="C1912" s="4">
        <v>44769</v>
      </c>
      <c r="F1912" s="4">
        <v>45137</v>
      </c>
      <c r="G1912" t="s">
        <v>117</v>
      </c>
      <c r="H1912" t="s">
        <v>1607</v>
      </c>
      <c r="K1912" t="s">
        <v>83</v>
      </c>
      <c r="L1912" t="s">
        <v>3121</v>
      </c>
      <c r="M1912" t="s">
        <v>84</v>
      </c>
      <c r="N1912" t="s">
        <v>2160</v>
      </c>
      <c r="O1912" t="s">
        <v>251</v>
      </c>
      <c r="P1912" t="s">
        <v>4261</v>
      </c>
      <c r="Q1912">
        <v>30</v>
      </c>
      <c r="R1912">
        <v>30</v>
      </c>
      <c r="S1912" t="s">
        <v>34</v>
      </c>
      <c r="T1912" t="s">
        <v>35</v>
      </c>
      <c r="U1912" t="s">
        <v>44</v>
      </c>
      <c r="W1912">
        <v>30</v>
      </c>
      <c r="X1912">
        <v>30</v>
      </c>
      <c r="Y1912">
        <v>0</v>
      </c>
      <c r="Z1912">
        <v>0</v>
      </c>
    </row>
    <row r="1913" spans="1:26" hidden="1" x14ac:dyDescent="0.25">
      <c r="A1913" t="s">
        <v>4262</v>
      </c>
      <c r="B1913" t="s">
        <v>38</v>
      </c>
      <c r="C1913" s="4">
        <v>44818</v>
      </c>
      <c r="D1913" s="4">
        <v>45012</v>
      </c>
      <c r="F1913" s="4">
        <v>46553</v>
      </c>
      <c r="G1913" t="s">
        <v>65</v>
      </c>
      <c r="H1913" t="s">
        <v>1876</v>
      </c>
      <c r="K1913" t="s">
        <v>67</v>
      </c>
      <c r="L1913" t="s">
        <v>3121</v>
      </c>
      <c r="M1913" t="s">
        <v>68</v>
      </c>
      <c r="N1913" t="s">
        <v>3122</v>
      </c>
      <c r="O1913" t="s">
        <v>122</v>
      </c>
      <c r="P1913" t="s">
        <v>4263</v>
      </c>
      <c r="Q1913">
        <v>200</v>
      </c>
      <c r="R1913">
        <v>200</v>
      </c>
      <c r="S1913" t="s">
        <v>34</v>
      </c>
      <c r="T1913" t="s">
        <v>35</v>
      </c>
      <c r="U1913" t="s">
        <v>44</v>
      </c>
      <c r="W1913">
        <v>0</v>
      </c>
      <c r="X1913">
        <v>0</v>
      </c>
      <c r="Y1913">
        <v>0</v>
      </c>
      <c r="Z1913">
        <v>0</v>
      </c>
    </row>
    <row r="1914" spans="1:26" hidden="1" x14ac:dyDescent="0.25">
      <c r="A1914" t="s">
        <v>4264</v>
      </c>
      <c r="B1914" t="s">
        <v>38</v>
      </c>
      <c r="C1914" s="4">
        <v>44818</v>
      </c>
      <c r="D1914" s="4">
        <v>45007</v>
      </c>
      <c r="F1914" s="4">
        <v>46187</v>
      </c>
      <c r="G1914" t="s">
        <v>149</v>
      </c>
      <c r="H1914" t="s">
        <v>2082</v>
      </c>
      <c r="K1914" t="s">
        <v>151</v>
      </c>
      <c r="L1914" t="s">
        <v>3121</v>
      </c>
      <c r="M1914" t="s">
        <v>68</v>
      </c>
      <c r="N1914" t="s">
        <v>3122</v>
      </c>
      <c r="O1914" t="s">
        <v>122</v>
      </c>
      <c r="P1914" t="s">
        <v>4265</v>
      </c>
      <c r="Q1914">
        <v>303</v>
      </c>
      <c r="R1914">
        <v>303</v>
      </c>
      <c r="S1914" t="s">
        <v>56</v>
      </c>
      <c r="T1914" t="s">
        <v>57</v>
      </c>
      <c r="U1914" t="s">
        <v>44</v>
      </c>
      <c r="W1914">
        <v>0</v>
      </c>
      <c r="X1914">
        <v>0</v>
      </c>
      <c r="Y1914">
        <v>0</v>
      </c>
      <c r="Z1914">
        <v>0</v>
      </c>
    </row>
    <row r="1915" spans="1:26" hidden="1" x14ac:dyDescent="0.25">
      <c r="A1915" t="s">
        <v>4266</v>
      </c>
      <c r="B1915" t="s">
        <v>38</v>
      </c>
      <c r="C1915" s="4">
        <v>44819</v>
      </c>
      <c r="D1915" s="4">
        <v>45869</v>
      </c>
      <c r="F1915" s="4">
        <v>46631</v>
      </c>
      <c r="G1915" t="s">
        <v>616</v>
      </c>
      <c r="H1915" t="s">
        <v>1656</v>
      </c>
      <c r="K1915" t="s">
        <v>146</v>
      </c>
      <c r="L1915" t="s">
        <v>3121</v>
      </c>
      <c r="M1915" t="s">
        <v>68</v>
      </c>
      <c r="N1915" t="s">
        <v>3122</v>
      </c>
      <c r="O1915" t="s">
        <v>32</v>
      </c>
      <c r="P1915" t="s">
        <v>4267</v>
      </c>
      <c r="Q1915">
        <v>810</v>
      </c>
      <c r="R1915">
        <v>810</v>
      </c>
      <c r="S1915" t="s">
        <v>597</v>
      </c>
      <c r="T1915" t="s">
        <v>598</v>
      </c>
      <c r="U1915" t="s">
        <v>44</v>
      </c>
      <c r="W1915">
        <v>0</v>
      </c>
      <c r="X1915">
        <v>0</v>
      </c>
      <c r="Y1915">
        <v>0</v>
      </c>
      <c r="Z1915">
        <v>0</v>
      </c>
    </row>
    <row r="1916" spans="1:26" hidden="1" x14ac:dyDescent="0.25">
      <c r="A1916" t="s">
        <v>4268</v>
      </c>
      <c r="B1916" t="s">
        <v>38</v>
      </c>
      <c r="C1916" s="4">
        <v>44819</v>
      </c>
      <c r="D1916" s="4">
        <v>45957</v>
      </c>
      <c r="F1916" s="4">
        <v>46631</v>
      </c>
      <c r="G1916" t="s">
        <v>183</v>
      </c>
      <c r="H1916" t="s">
        <v>3782</v>
      </c>
      <c r="K1916" t="s">
        <v>185</v>
      </c>
      <c r="L1916" t="s">
        <v>3121</v>
      </c>
      <c r="M1916" t="s">
        <v>42</v>
      </c>
      <c r="N1916" t="s">
        <v>3122</v>
      </c>
      <c r="O1916" t="s">
        <v>32</v>
      </c>
      <c r="P1916" t="s">
        <v>3783</v>
      </c>
      <c r="Q1916">
        <v>347</v>
      </c>
      <c r="R1916">
        <v>347</v>
      </c>
      <c r="S1916" t="s">
        <v>597</v>
      </c>
      <c r="T1916" t="s">
        <v>598</v>
      </c>
      <c r="U1916" t="s">
        <v>44</v>
      </c>
      <c r="W1916">
        <v>0</v>
      </c>
      <c r="X1916">
        <v>0</v>
      </c>
      <c r="Y1916">
        <v>0</v>
      </c>
      <c r="Z1916">
        <v>0</v>
      </c>
    </row>
    <row r="1917" spans="1:26" hidden="1" x14ac:dyDescent="0.25">
      <c r="A1917" t="s">
        <v>4269</v>
      </c>
      <c r="B1917" t="s">
        <v>2153</v>
      </c>
      <c r="C1917" s="4">
        <v>44819</v>
      </c>
      <c r="F1917" s="4">
        <v>45777</v>
      </c>
      <c r="H1917" t="s">
        <v>2664</v>
      </c>
      <c r="K1917" t="s">
        <v>185</v>
      </c>
      <c r="L1917" t="s">
        <v>3121</v>
      </c>
      <c r="M1917" t="s">
        <v>42</v>
      </c>
      <c r="N1917" t="s">
        <v>3122</v>
      </c>
      <c r="O1917" t="s">
        <v>122</v>
      </c>
      <c r="P1917" t="s">
        <v>4270</v>
      </c>
      <c r="Q1917">
        <v>90</v>
      </c>
      <c r="R1917">
        <v>90</v>
      </c>
      <c r="S1917" t="s">
        <v>159</v>
      </c>
      <c r="T1917" t="s">
        <v>159</v>
      </c>
      <c r="U1917" t="s">
        <v>44</v>
      </c>
      <c r="W1917">
        <v>90</v>
      </c>
      <c r="X1917">
        <v>0</v>
      </c>
      <c r="Y1917">
        <v>0</v>
      </c>
      <c r="Z1917">
        <v>0</v>
      </c>
    </row>
    <row r="1918" spans="1:26" hidden="1" x14ac:dyDescent="0.25">
      <c r="A1918" t="s">
        <v>4271</v>
      </c>
      <c r="B1918" t="s">
        <v>2153</v>
      </c>
      <c r="C1918" s="4">
        <v>44818</v>
      </c>
      <c r="F1918" s="4">
        <v>46142</v>
      </c>
      <c r="G1918" t="s">
        <v>1408</v>
      </c>
      <c r="H1918" t="s">
        <v>1759</v>
      </c>
      <c r="K1918" t="s">
        <v>146</v>
      </c>
      <c r="L1918" t="s">
        <v>3121</v>
      </c>
      <c r="M1918" t="s">
        <v>68</v>
      </c>
      <c r="N1918" t="s">
        <v>3122</v>
      </c>
      <c r="O1918" t="s">
        <v>122</v>
      </c>
      <c r="P1918" t="s">
        <v>3087</v>
      </c>
      <c r="Q1918">
        <v>450</v>
      </c>
      <c r="R1918">
        <v>450</v>
      </c>
      <c r="S1918" t="s">
        <v>597</v>
      </c>
      <c r="T1918" t="s">
        <v>598</v>
      </c>
      <c r="U1918" t="s">
        <v>44</v>
      </c>
      <c r="W1918">
        <v>450</v>
      </c>
      <c r="X1918">
        <v>0</v>
      </c>
      <c r="Y1918">
        <v>0</v>
      </c>
      <c r="Z1918">
        <v>0</v>
      </c>
    </row>
    <row r="1919" spans="1:26" hidden="1" x14ac:dyDescent="0.25">
      <c r="A1919" t="s">
        <v>4272</v>
      </c>
      <c r="B1919" t="s">
        <v>38</v>
      </c>
      <c r="C1919" s="4">
        <v>44819</v>
      </c>
      <c r="D1919" s="4">
        <v>45957</v>
      </c>
      <c r="F1919" s="4">
        <v>46952</v>
      </c>
      <c r="G1919" t="s">
        <v>1251</v>
      </c>
      <c r="H1919" t="s">
        <v>1550</v>
      </c>
      <c r="K1919" t="s">
        <v>109</v>
      </c>
      <c r="L1919" t="s">
        <v>3121</v>
      </c>
      <c r="M1919" t="s">
        <v>84</v>
      </c>
      <c r="N1919" t="s">
        <v>2160</v>
      </c>
      <c r="O1919" t="s">
        <v>32</v>
      </c>
      <c r="P1919" t="s">
        <v>1345</v>
      </c>
      <c r="Q1919">
        <v>223</v>
      </c>
      <c r="R1919">
        <v>223</v>
      </c>
      <c r="S1919" t="s">
        <v>56</v>
      </c>
      <c r="T1919" t="s">
        <v>57</v>
      </c>
      <c r="U1919" t="s">
        <v>44</v>
      </c>
      <c r="W1919">
        <v>0</v>
      </c>
      <c r="X1919">
        <v>0</v>
      </c>
      <c r="Y1919">
        <v>0</v>
      </c>
      <c r="Z1919">
        <v>0</v>
      </c>
    </row>
    <row r="1920" spans="1:26" hidden="1" x14ac:dyDescent="0.25">
      <c r="A1920" t="s">
        <v>4273</v>
      </c>
      <c r="B1920" t="s">
        <v>38</v>
      </c>
      <c r="C1920" s="4">
        <v>44818</v>
      </c>
      <c r="D1920" s="4">
        <v>45869</v>
      </c>
      <c r="F1920" s="4">
        <v>46326</v>
      </c>
      <c r="G1920" t="s">
        <v>616</v>
      </c>
      <c r="H1920" t="s">
        <v>2467</v>
      </c>
      <c r="K1920" t="s">
        <v>146</v>
      </c>
      <c r="L1920" t="s">
        <v>3121</v>
      </c>
      <c r="M1920" t="s">
        <v>68</v>
      </c>
      <c r="N1920" t="s">
        <v>3122</v>
      </c>
      <c r="O1920" t="s">
        <v>32</v>
      </c>
      <c r="P1920" t="s">
        <v>4274</v>
      </c>
      <c r="Q1920">
        <v>400</v>
      </c>
      <c r="R1920">
        <v>400</v>
      </c>
      <c r="S1920" t="s">
        <v>34</v>
      </c>
      <c r="T1920" t="s">
        <v>35</v>
      </c>
      <c r="U1920" t="s">
        <v>44</v>
      </c>
      <c r="W1920">
        <v>0</v>
      </c>
      <c r="X1920">
        <v>0</v>
      </c>
      <c r="Y1920">
        <v>0</v>
      </c>
      <c r="Z1920">
        <v>0</v>
      </c>
    </row>
    <row r="1921" spans="1:26" hidden="1" x14ac:dyDescent="0.25">
      <c r="A1921" t="s">
        <v>4275</v>
      </c>
      <c r="B1921" t="s">
        <v>2153</v>
      </c>
      <c r="C1921" s="4">
        <v>44818</v>
      </c>
      <c r="F1921" s="4">
        <v>46082</v>
      </c>
      <c r="H1921" t="s">
        <v>1571</v>
      </c>
      <c r="K1921" t="s">
        <v>146</v>
      </c>
      <c r="L1921" t="s">
        <v>3121</v>
      </c>
      <c r="M1921" t="s">
        <v>68</v>
      </c>
      <c r="N1921" t="s">
        <v>3122</v>
      </c>
      <c r="O1921" t="s">
        <v>32</v>
      </c>
      <c r="P1921" t="s">
        <v>4276</v>
      </c>
      <c r="Q1921">
        <v>80</v>
      </c>
      <c r="R1921">
        <v>80</v>
      </c>
      <c r="S1921" t="s">
        <v>34</v>
      </c>
      <c r="T1921" t="s">
        <v>35</v>
      </c>
      <c r="U1921" t="s">
        <v>44</v>
      </c>
      <c r="W1921">
        <v>80</v>
      </c>
      <c r="X1921">
        <v>80</v>
      </c>
      <c r="Y1921">
        <v>0</v>
      </c>
      <c r="Z1921">
        <v>0</v>
      </c>
    </row>
    <row r="1922" spans="1:26" hidden="1" x14ac:dyDescent="0.25">
      <c r="A1922" t="s">
        <v>4277</v>
      </c>
      <c r="B1922" t="s">
        <v>2153</v>
      </c>
      <c r="C1922" s="4">
        <v>44818</v>
      </c>
      <c r="F1922" s="4">
        <v>45717</v>
      </c>
      <c r="H1922" t="s">
        <v>2366</v>
      </c>
      <c r="K1922" t="s">
        <v>83</v>
      </c>
      <c r="L1922" t="s">
        <v>3121</v>
      </c>
      <c r="M1922" t="s">
        <v>84</v>
      </c>
      <c r="N1922" t="s">
        <v>2160</v>
      </c>
      <c r="O1922" t="s">
        <v>32</v>
      </c>
      <c r="P1922" t="s">
        <v>4278</v>
      </c>
      <c r="Q1922">
        <v>97</v>
      </c>
      <c r="R1922">
        <v>97</v>
      </c>
      <c r="S1922" t="s">
        <v>34</v>
      </c>
      <c r="T1922" t="s">
        <v>35</v>
      </c>
      <c r="U1922" t="s">
        <v>44</v>
      </c>
      <c r="W1922">
        <v>97</v>
      </c>
      <c r="X1922">
        <v>25</v>
      </c>
      <c r="Y1922">
        <v>0</v>
      </c>
      <c r="Z1922">
        <v>0</v>
      </c>
    </row>
    <row r="1923" spans="1:26" hidden="1" x14ac:dyDescent="0.25">
      <c r="A1923" t="s">
        <v>4279</v>
      </c>
      <c r="B1923" t="s">
        <v>38</v>
      </c>
      <c r="C1923" s="4">
        <v>44818</v>
      </c>
      <c r="D1923" s="4">
        <v>45957</v>
      </c>
      <c r="F1923" s="4">
        <v>46539</v>
      </c>
      <c r="G1923" t="s">
        <v>101</v>
      </c>
      <c r="H1923" t="s">
        <v>2013</v>
      </c>
      <c r="K1923" t="s">
        <v>98</v>
      </c>
      <c r="L1923" t="s">
        <v>3121</v>
      </c>
      <c r="M1923" t="s">
        <v>84</v>
      </c>
      <c r="N1923" t="s">
        <v>2160</v>
      </c>
      <c r="O1923" t="s">
        <v>32</v>
      </c>
      <c r="P1923" t="s">
        <v>4280</v>
      </c>
      <c r="Q1923">
        <v>142.59</v>
      </c>
      <c r="R1923">
        <v>142.59</v>
      </c>
      <c r="S1923" t="s">
        <v>56</v>
      </c>
      <c r="T1923" t="s">
        <v>57</v>
      </c>
      <c r="U1923" t="s">
        <v>44</v>
      </c>
      <c r="W1923">
        <v>0</v>
      </c>
      <c r="X1923">
        <v>0</v>
      </c>
      <c r="Y1923">
        <v>0</v>
      </c>
      <c r="Z1923">
        <v>0</v>
      </c>
    </row>
    <row r="1924" spans="1:26" hidden="1" x14ac:dyDescent="0.25">
      <c r="A1924" t="s">
        <v>4281</v>
      </c>
      <c r="B1924" t="s">
        <v>2153</v>
      </c>
      <c r="C1924" s="4">
        <v>44819</v>
      </c>
      <c r="F1924" s="4">
        <v>45627</v>
      </c>
      <c r="G1924" t="s">
        <v>1108</v>
      </c>
      <c r="H1924" t="s">
        <v>1756</v>
      </c>
      <c r="K1924" t="s">
        <v>146</v>
      </c>
      <c r="L1924" t="s">
        <v>3121</v>
      </c>
      <c r="M1924" t="s">
        <v>68</v>
      </c>
      <c r="N1924" t="s">
        <v>3122</v>
      </c>
      <c r="O1924" t="s">
        <v>122</v>
      </c>
      <c r="P1924" t="s">
        <v>4282</v>
      </c>
      <c r="Q1924">
        <v>92</v>
      </c>
      <c r="R1924">
        <v>92</v>
      </c>
      <c r="S1924" t="s">
        <v>34</v>
      </c>
      <c r="T1924" t="s">
        <v>35</v>
      </c>
      <c r="U1924" t="s">
        <v>44</v>
      </c>
      <c r="W1924">
        <v>92</v>
      </c>
      <c r="X1924">
        <v>0</v>
      </c>
      <c r="Y1924">
        <v>0</v>
      </c>
      <c r="Z1924">
        <v>0</v>
      </c>
    </row>
    <row r="1925" spans="1:26" hidden="1" x14ac:dyDescent="0.25">
      <c r="A1925" t="s">
        <v>4283</v>
      </c>
      <c r="B1925" t="s">
        <v>2153</v>
      </c>
      <c r="C1925" s="4">
        <v>44819</v>
      </c>
      <c r="F1925" s="4">
        <v>46265</v>
      </c>
      <c r="H1925" t="s">
        <v>1530</v>
      </c>
      <c r="K1925" t="s">
        <v>53</v>
      </c>
      <c r="L1925" t="s">
        <v>3121</v>
      </c>
      <c r="M1925" t="s">
        <v>54</v>
      </c>
      <c r="N1925" t="s">
        <v>3122</v>
      </c>
      <c r="O1925" t="s">
        <v>32</v>
      </c>
      <c r="P1925" t="s">
        <v>1345</v>
      </c>
      <c r="Q1925">
        <v>250</v>
      </c>
      <c r="R1925">
        <v>250</v>
      </c>
      <c r="S1925" t="s">
        <v>34</v>
      </c>
      <c r="T1925" t="s">
        <v>35</v>
      </c>
      <c r="U1925" t="s">
        <v>44</v>
      </c>
      <c r="W1925">
        <v>250</v>
      </c>
      <c r="X1925">
        <v>250</v>
      </c>
      <c r="Y1925">
        <v>0</v>
      </c>
      <c r="Z1925">
        <v>0</v>
      </c>
    </row>
    <row r="1926" spans="1:26" hidden="1" x14ac:dyDescent="0.25">
      <c r="A1926" t="s">
        <v>4284</v>
      </c>
      <c r="B1926" t="s">
        <v>2153</v>
      </c>
      <c r="C1926" s="4">
        <v>44818</v>
      </c>
      <c r="F1926" s="4">
        <v>46844</v>
      </c>
      <c r="G1926" t="s">
        <v>117</v>
      </c>
      <c r="H1926" t="s">
        <v>2366</v>
      </c>
      <c r="K1926" t="s">
        <v>83</v>
      </c>
      <c r="L1926" t="s">
        <v>3121</v>
      </c>
      <c r="M1926" t="s">
        <v>84</v>
      </c>
      <c r="N1926" t="s">
        <v>2160</v>
      </c>
      <c r="O1926" t="s">
        <v>122</v>
      </c>
      <c r="P1926" t="s">
        <v>2741</v>
      </c>
      <c r="Q1926">
        <v>250</v>
      </c>
      <c r="R1926">
        <v>250</v>
      </c>
      <c r="S1926" t="s">
        <v>34</v>
      </c>
      <c r="T1926" t="s">
        <v>35</v>
      </c>
      <c r="U1926" t="s">
        <v>44</v>
      </c>
      <c r="W1926">
        <v>250</v>
      </c>
      <c r="X1926">
        <v>0</v>
      </c>
      <c r="Y1926">
        <v>0</v>
      </c>
      <c r="Z1926">
        <v>0</v>
      </c>
    </row>
    <row r="1927" spans="1:26" hidden="1" x14ac:dyDescent="0.25">
      <c r="A1927" t="s">
        <v>4285</v>
      </c>
      <c r="B1927" t="s">
        <v>38</v>
      </c>
      <c r="C1927" s="4">
        <v>44819</v>
      </c>
      <c r="D1927" s="4">
        <v>45869</v>
      </c>
      <c r="F1927" s="4">
        <v>46903</v>
      </c>
      <c r="G1927" t="s">
        <v>65</v>
      </c>
      <c r="H1927" t="s">
        <v>1645</v>
      </c>
      <c r="K1927" t="s">
        <v>67</v>
      </c>
      <c r="L1927" t="s">
        <v>3121</v>
      </c>
      <c r="M1927" t="s">
        <v>68</v>
      </c>
      <c r="N1927" t="s">
        <v>3122</v>
      </c>
      <c r="O1927" t="s">
        <v>32</v>
      </c>
      <c r="P1927" t="s">
        <v>4286</v>
      </c>
      <c r="Q1927">
        <v>240</v>
      </c>
      <c r="R1927">
        <v>240</v>
      </c>
      <c r="S1927" t="s">
        <v>597</v>
      </c>
      <c r="T1927" t="s">
        <v>598</v>
      </c>
      <c r="U1927" t="s">
        <v>44</v>
      </c>
      <c r="W1927">
        <v>0</v>
      </c>
      <c r="X1927">
        <v>0</v>
      </c>
      <c r="Y1927">
        <v>0</v>
      </c>
      <c r="Z1927">
        <v>0</v>
      </c>
    </row>
    <row r="1928" spans="1:26" hidden="1" x14ac:dyDescent="0.25">
      <c r="A1928" t="s">
        <v>4287</v>
      </c>
      <c r="B1928" t="s">
        <v>2153</v>
      </c>
      <c r="C1928" s="4">
        <v>44819</v>
      </c>
      <c r="F1928" s="4">
        <v>46691</v>
      </c>
      <c r="G1928" t="s">
        <v>1326</v>
      </c>
      <c r="H1928" t="s">
        <v>1645</v>
      </c>
      <c r="K1928" t="s">
        <v>67</v>
      </c>
      <c r="L1928" t="s">
        <v>3121</v>
      </c>
      <c r="M1928" t="s">
        <v>68</v>
      </c>
      <c r="N1928" t="s">
        <v>3122</v>
      </c>
      <c r="O1928" t="s">
        <v>32</v>
      </c>
      <c r="P1928" t="s">
        <v>4288</v>
      </c>
      <c r="Q1928">
        <v>222</v>
      </c>
      <c r="R1928">
        <v>222</v>
      </c>
      <c r="S1928" t="s">
        <v>597</v>
      </c>
      <c r="T1928" t="s">
        <v>598</v>
      </c>
      <c r="U1928" t="s">
        <v>44</v>
      </c>
      <c r="W1928">
        <v>222</v>
      </c>
      <c r="X1928">
        <v>222</v>
      </c>
      <c r="Y1928">
        <v>0</v>
      </c>
      <c r="Z1928">
        <v>0</v>
      </c>
    </row>
    <row r="1929" spans="1:26" hidden="1" x14ac:dyDescent="0.25">
      <c r="A1929" t="s">
        <v>4289</v>
      </c>
      <c r="B1929" t="s">
        <v>38</v>
      </c>
      <c r="C1929" s="4">
        <v>44819</v>
      </c>
      <c r="D1929" s="4">
        <v>45957</v>
      </c>
      <c r="F1929" s="4">
        <v>46234</v>
      </c>
      <c r="G1929" t="s">
        <v>117</v>
      </c>
      <c r="H1929" t="s">
        <v>1703</v>
      </c>
      <c r="K1929" t="s">
        <v>83</v>
      </c>
      <c r="L1929" t="s">
        <v>3121</v>
      </c>
      <c r="M1929" t="s">
        <v>84</v>
      </c>
      <c r="N1929" t="s">
        <v>2160</v>
      </c>
      <c r="O1929" t="s">
        <v>32</v>
      </c>
      <c r="P1929" t="s">
        <v>4290</v>
      </c>
      <c r="Q1929">
        <v>150</v>
      </c>
      <c r="R1929">
        <v>150</v>
      </c>
      <c r="S1929" t="s">
        <v>34</v>
      </c>
      <c r="T1929" t="s">
        <v>35</v>
      </c>
      <c r="U1929" t="s">
        <v>44</v>
      </c>
      <c r="W1929">
        <v>0</v>
      </c>
      <c r="X1929">
        <v>0</v>
      </c>
      <c r="Y1929">
        <v>0</v>
      </c>
      <c r="Z1929">
        <v>0</v>
      </c>
    </row>
    <row r="1930" spans="1:26" hidden="1" x14ac:dyDescent="0.25">
      <c r="A1930" t="s">
        <v>4291</v>
      </c>
      <c r="B1930" t="s">
        <v>38</v>
      </c>
      <c r="C1930" s="4">
        <v>44819</v>
      </c>
      <c r="D1930" s="4">
        <v>45957</v>
      </c>
      <c r="F1930" s="4">
        <v>46234</v>
      </c>
      <c r="G1930" t="s">
        <v>117</v>
      </c>
      <c r="H1930" t="s">
        <v>1424</v>
      </c>
      <c r="K1930" t="s">
        <v>83</v>
      </c>
      <c r="L1930" t="s">
        <v>3121</v>
      </c>
      <c r="M1930" t="s">
        <v>84</v>
      </c>
      <c r="N1930" t="s">
        <v>2160</v>
      </c>
      <c r="O1930" t="s">
        <v>32</v>
      </c>
      <c r="P1930" t="s">
        <v>4292</v>
      </c>
      <c r="Q1930">
        <v>100</v>
      </c>
      <c r="R1930">
        <v>100</v>
      </c>
      <c r="S1930" t="s">
        <v>34</v>
      </c>
      <c r="T1930" t="s">
        <v>35</v>
      </c>
      <c r="U1930" t="s">
        <v>44</v>
      </c>
      <c r="W1930">
        <v>0</v>
      </c>
      <c r="X1930">
        <v>0</v>
      </c>
      <c r="Y1930">
        <v>0</v>
      </c>
      <c r="Z1930">
        <v>0</v>
      </c>
    </row>
    <row r="1931" spans="1:26" hidden="1" x14ac:dyDescent="0.25">
      <c r="A1931" t="s">
        <v>4293</v>
      </c>
      <c r="B1931" t="s">
        <v>38</v>
      </c>
      <c r="C1931" s="4">
        <v>44819</v>
      </c>
      <c r="D1931" s="4">
        <v>45957</v>
      </c>
      <c r="F1931" s="4">
        <v>46234</v>
      </c>
      <c r="G1931" t="s">
        <v>117</v>
      </c>
      <c r="H1931" t="s">
        <v>3240</v>
      </c>
      <c r="K1931" t="s">
        <v>83</v>
      </c>
      <c r="L1931" t="s">
        <v>3121</v>
      </c>
      <c r="M1931" t="s">
        <v>84</v>
      </c>
      <c r="N1931" t="s">
        <v>2160</v>
      </c>
      <c r="O1931" t="s">
        <v>32</v>
      </c>
      <c r="P1931" t="s">
        <v>4294</v>
      </c>
      <c r="Q1931">
        <v>100</v>
      </c>
      <c r="R1931">
        <v>100</v>
      </c>
      <c r="S1931" t="s">
        <v>34</v>
      </c>
      <c r="T1931" t="s">
        <v>35</v>
      </c>
      <c r="U1931" t="s">
        <v>44</v>
      </c>
      <c r="W1931">
        <v>0</v>
      </c>
      <c r="X1931">
        <v>0</v>
      </c>
      <c r="Y1931">
        <v>0</v>
      </c>
      <c r="Z1931">
        <v>0</v>
      </c>
    </row>
    <row r="1932" spans="1:26" hidden="1" x14ac:dyDescent="0.25">
      <c r="A1932" t="s">
        <v>4295</v>
      </c>
      <c r="B1932" t="s">
        <v>38</v>
      </c>
      <c r="C1932" s="4">
        <v>44806</v>
      </c>
      <c r="D1932" s="4">
        <v>45009</v>
      </c>
      <c r="F1932" s="4">
        <v>46266</v>
      </c>
      <c r="G1932" t="s">
        <v>52</v>
      </c>
      <c r="H1932" t="s">
        <v>3247</v>
      </c>
      <c r="K1932" t="s">
        <v>67</v>
      </c>
      <c r="L1932" t="s">
        <v>3121</v>
      </c>
      <c r="M1932" t="s">
        <v>68</v>
      </c>
      <c r="N1932" t="s">
        <v>3122</v>
      </c>
      <c r="O1932" t="s">
        <v>32</v>
      </c>
      <c r="P1932" t="s">
        <v>4296</v>
      </c>
      <c r="Q1932">
        <v>160</v>
      </c>
      <c r="R1932">
        <v>160</v>
      </c>
      <c r="S1932" t="s">
        <v>34</v>
      </c>
      <c r="T1932" t="s">
        <v>35</v>
      </c>
      <c r="U1932" t="s">
        <v>44</v>
      </c>
      <c r="W1932">
        <v>0</v>
      </c>
      <c r="X1932">
        <v>0</v>
      </c>
      <c r="Y1932">
        <v>0</v>
      </c>
      <c r="Z1932">
        <v>0</v>
      </c>
    </row>
    <row r="1933" spans="1:26" hidden="1" x14ac:dyDescent="0.25">
      <c r="A1933" t="s">
        <v>4297</v>
      </c>
      <c r="B1933" t="s">
        <v>38</v>
      </c>
      <c r="C1933" s="4">
        <v>44818</v>
      </c>
      <c r="D1933" s="4">
        <v>45009</v>
      </c>
      <c r="F1933" s="4">
        <v>45931</v>
      </c>
      <c r="G1933" t="s">
        <v>681</v>
      </c>
      <c r="H1933" t="s">
        <v>1578</v>
      </c>
      <c r="K1933" t="s">
        <v>683</v>
      </c>
      <c r="L1933" t="s">
        <v>3121</v>
      </c>
      <c r="M1933" t="s">
        <v>84</v>
      </c>
      <c r="N1933" t="s">
        <v>2160</v>
      </c>
      <c r="O1933" t="s">
        <v>32</v>
      </c>
      <c r="P1933" t="s">
        <v>4298</v>
      </c>
      <c r="Q1933">
        <v>200</v>
      </c>
      <c r="R1933">
        <v>200</v>
      </c>
      <c r="S1933" t="s">
        <v>34</v>
      </c>
      <c r="T1933" t="s">
        <v>35</v>
      </c>
      <c r="U1933" t="s">
        <v>44</v>
      </c>
      <c r="W1933">
        <v>0</v>
      </c>
      <c r="X1933">
        <v>0</v>
      </c>
      <c r="Y1933">
        <v>0</v>
      </c>
      <c r="Z1933">
        <v>0</v>
      </c>
    </row>
    <row r="1934" spans="1:26" hidden="1" x14ac:dyDescent="0.25">
      <c r="A1934" t="s">
        <v>4299</v>
      </c>
      <c r="B1934" t="s">
        <v>2153</v>
      </c>
      <c r="C1934" s="4">
        <v>44818</v>
      </c>
      <c r="F1934" s="4">
        <v>45931</v>
      </c>
      <c r="H1934" t="s">
        <v>1578</v>
      </c>
      <c r="K1934" t="s">
        <v>683</v>
      </c>
      <c r="L1934" t="s">
        <v>3121</v>
      </c>
      <c r="M1934" t="s">
        <v>84</v>
      </c>
      <c r="N1934" t="s">
        <v>2160</v>
      </c>
      <c r="O1934" t="s">
        <v>32</v>
      </c>
      <c r="P1934" t="s">
        <v>4137</v>
      </c>
      <c r="Q1934">
        <v>200</v>
      </c>
      <c r="R1934">
        <v>200</v>
      </c>
      <c r="S1934" t="s">
        <v>56</v>
      </c>
      <c r="T1934" t="s">
        <v>57</v>
      </c>
      <c r="U1934" t="s">
        <v>44</v>
      </c>
      <c r="W1934">
        <v>200</v>
      </c>
      <c r="X1934">
        <v>200</v>
      </c>
      <c r="Y1934">
        <v>0</v>
      </c>
      <c r="Z1934">
        <v>0</v>
      </c>
    </row>
    <row r="1935" spans="1:26" hidden="1" x14ac:dyDescent="0.25">
      <c r="A1935" t="s">
        <v>4300</v>
      </c>
      <c r="B1935" t="s">
        <v>2153</v>
      </c>
      <c r="C1935" s="4">
        <v>44818</v>
      </c>
      <c r="F1935" s="4">
        <v>45931</v>
      </c>
      <c r="H1935" t="s">
        <v>1578</v>
      </c>
      <c r="K1935" t="s">
        <v>683</v>
      </c>
      <c r="L1935" t="s">
        <v>3121</v>
      </c>
      <c r="M1935" t="s">
        <v>84</v>
      </c>
      <c r="N1935" t="s">
        <v>2160</v>
      </c>
      <c r="O1935" t="s">
        <v>32</v>
      </c>
      <c r="P1935" t="s">
        <v>4137</v>
      </c>
      <c r="Q1935">
        <v>400</v>
      </c>
      <c r="R1935">
        <v>400</v>
      </c>
      <c r="S1935" t="s">
        <v>34</v>
      </c>
      <c r="T1935" t="s">
        <v>35</v>
      </c>
      <c r="U1935" t="s">
        <v>44</v>
      </c>
      <c r="W1935">
        <v>400</v>
      </c>
      <c r="X1935">
        <v>225</v>
      </c>
      <c r="Y1935">
        <v>0</v>
      </c>
      <c r="Z1935">
        <v>0</v>
      </c>
    </row>
    <row r="1936" spans="1:26" hidden="1" x14ac:dyDescent="0.25">
      <c r="A1936" t="s">
        <v>4301</v>
      </c>
      <c r="B1936" t="s">
        <v>38</v>
      </c>
      <c r="C1936" s="4">
        <v>44818</v>
      </c>
      <c r="D1936" s="4">
        <v>45009</v>
      </c>
      <c r="F1936" s="4">
        <v>45931</v>
      </c>
      <c r="G1936" t="s">
        <v>681</v>
      </c>
      <c r="H1936" t="s">
        <v>1578</v>
      </c>
      <c r="K1936" t="s">
        <v>683</v>
      </c>
      <c r="L1936" t="s">
        <v>3121</v>
      </c>
      <c r="M1936" t="s">
        <v>84</v>
      </c>
      <c r="N1936" t="s">
        <v>2160</v>
      </c>
      <c r="O1936" t="s">
        <v>32</v>
      </c>
      <c r="P1936" t="s">
        <v>4298</v>
      </c>
      <c r="Q1936">
        <v>100</v>
      </c>
      <c r="R1936">
        <v>100</v>
      </c>
      <c r="S1936" t="s">
        <v>159</v>
      </c>
      <c r="T1936" t="s">
        <v>159</v>
      </c>
      <c r="U1936" t="s">
        <v>44</v>
      </c>
      <c r="W1936">
        <v>0</v>
      </c>
      <c r="X1936">
        <v>0</v>
      </c>
      <c r="Y1936">
        <v>0</v>
      </c>
      <c r="Z1936">
        <v>0</v>
      </c>
    </row>
    <row r="1937" spans="1:26" hidden="1" x14ac:dyDescent="0.25">
      <c r="A1937" t="s">
        <v>4302</v>
      </c>
      <c r="B1937" t="s">
        <v>38</v>
      </c>
      <c r="C1937" s="4">
        <v>44818</v>
      </c>
      <c r="D1937" s="4">
        <v>45009</v>
      </c>
      <c r="F1937" s="4">
        <v>45962</v>
      </c>
      <c r="G1937" t="s">
        <v>52</v>
      </c>
      <c r="H1937" t="s">
        <v>2288</v>
      </c>
      <c r="K1937" t="s">
        <v>53</v>
      </c>
      <c r="L1937" t="s">
        <v>3121</v>
      </c>
      <c r="M1937" t="s">
        <v>54</v>
      </c>
      <c r="N1937" t="s">
        <v>3122</v>
      </c>
      <c r="O1937" t="s">
        <v>32</v>
      </c>
      <c r="P1937" t="s">
        <v>2289</v>
      </c>
      <c r="Q1937">
        <v>200</v>
      </c>
      <c r="R1937">
        <v>200</v>
      </c>
      <c r="S1937" t="s">
        <v>34</v>
      </c>
      <c r="T1937" t="s">
        <v>35</v>
      </c>
      <c r="U1937" t="s">
        <v>44</v>
      </c>
      <c r="W1937">
        <v>0</v>
      </c>
      <c r="X1937">
        <v>0</v>
      </c>
      <c r="Y1937">
        <v>0</v>
      </c>
      <c r="Z1937">
        <v>0</v>
      </c>
    </row>
    <row r="1938" spans="1:26" hidden="1" x14ac:dyDescent="0.25">
      <c r="A1938" t="s">
        <v>4303</v>
      </c>
      <c r="B1938" t="s">
        <v>38</v>
      </c>
      <c r="C1938" s="4">
        <v>44818</v>
      </c>
      <c r="D1938" s="4">
        <v>45870</v>
      </c>
      <c r="F1938" s="4">
        <v>45962</v>
      </c>
      <c r="G1938" t="s">
        <v>52</v>
      </c>
      <c r="H1938" t="s">
        <v>2351</v>
      </c>
      <c r="K1938" t="s">
        <v>53</v>
      </c>
      <c r="L1938" t="s">
        <v>3121</v>
      </c>
      <c r="M1938" t="s">
        <v>54</v>
      </c>
      <c r="N1938" t="s">
        <v>3122</v>
      </c>
      <c r="O1938" t="s">
        <v>32</v>
      </c>
      <c r="P1938" t="s">
        <v>4304</v>
      </c>
      <c r="Q1938">
        <v>200</v>
      </c>
      <c r="R1938">
        <v>200</v>
      </c>
      <c r="S1938" t="s">
        <v>34</v>
      </c>
      <c r="T1938" t="s">
        <v>35</v>
      </c>
      <c r="U1938" t="s">
        <v>44</v>
      </c>
      <c r="W1938">
        <v>0</v>
      </c>
      <c r="X1938">
        <v>0</v>
      </c>
      <c r="Y1938">
        <v>0</v>
      </c>
      <c r="Z1938">
        <v>0</v>
      </c>
    </row>
    <row r="1939" spans="1:26" hidden="1" x14ac:dyDescent="0.25">
      <c r="A1939" t="s">
        <v>4305</v>
      </c>
      <c r="B1939" t="s">
        <v>38</v>
      </c>
      <c r="C1939" s="4">
        <v>44818</v>
      </c>
      <c r="D1939" s="4">
        <v>45870</v>
      </c>
      <c r="F1939" s="4">
        <v>45962</v>
      </c>
      <c r="G1939" t="s">
        <v>52</v>
      </c>
      <c r="H1939" t="s">
        <v>2351</v>
      </c>
      <c r="K1939" t="s">
        <v>53</v>
      </c>
      <c r="L1939" t="s">
        <v>3121</v>
      </c>
      <c r="M1939" t="s">
        <v>54</v>
      </c>
      <c r="N1939" t="s">
        <v>3122</v>
      </c>
      <c r="O1939" t="s">
        <v>32</v>
      </c>
      <c r="P1939" t="s">
        <v>4304</v>
      </c>
      <c r="Q1939">
        <v>200</v>
      </c>
      <c r="R1939">
        <v>200</v>
      </c>
      <c r="S1939" t="s">
        <v>34</v>
      </c>
      <c r="T1939" t="s">
        <v>35</v>
      </c>
      <c r="U1939" t="s">
        <v>44</v>
      </c>
      <c r="W1939">
        <v>0</v>
      </c>
      <c r="X1939">
        <v>0</v>
      </c>
      <c r="Y1939">
        <v>0</v>
      </c>
      <c r="Z1939">
        <v>0</v>
      </c>
    </row>
    <row r="1940" spans="1:26" hidden="1" x14ac:dyDescent="0.25">
      <c r="A1940" t="s">
        <v>4306</v>
      </c>
      <c r="B1940" t="s">
        <v>38</v>
      </c>
      <c r="C1940" s="4">
        <v>44819</v>
      </c>
      <c r="D1940" s="4">
        <v>44987</v>
      </c>
      <c r="F1940" s="4">
        <v>45961</v>
      </c>
      <c r="G1940" t="s">
        <v>65</v>
      </c>
      <c r="H1940" t="s">
        <v>1437</v>
      </c>
      <c r="K1940" t="s">
        <v>67</v>
      </c>
      <c r="L1940" t="s">
        <v>3121</v>
      </c>
      <c r="M1940" t="s">
        <v>68</v>
      </c>
      <c r="N1940" t="s">
        <v>3122</v>
      </c>
      <c r="O1940" t="s">
        <v>32</v>
      </c>
      <c r="P1940" t="s">
        <v>4307</v>
      </c>
      <c r="Q1940">
        <v>500</v>
      </c>
      <c r="R1940">
        <v>500</v>
      </c>
      <c r="S1940" t="s">
        <v>34</v>
      </c>
      <c r="T1940" t="s">
        <v>35</v>
      </c>
      <c r="U1940" t="s">
        <v>44</v>
      </c>
      <c r="W1940">
        <v>0</v>
      </c>
      <c r="X1940">
        <v>0</v>
      </c>
      <c r="Y1940">
        <v>0</v>
      </c>
      <c r="Z1940">
        <v>0</v>
      </c>
    </row>
    <row r="1941" spans="1:26" hidden="1" x14ac:dyDescent="0.25">
      <c r="A1941" t="s">
        <v>4308</v>
      </c>
      <c r="B1941" t="s">
        <v>2153</v>
      </c>
      <c r="C1941" s="4">
        <v>44819</v>
      </c>
      <c r="F1941" s="4">
        <v>45838</v>
      </c>
      <c r="H1941" t="s">
        <v>2013</v>
      </c>
      <c r="K1941" t="s">
        <v>83</v>
      </c>
      <c r="L1941" t="s">
        <v>3121</v>
      </c>
      <c r="M1941" t="s">
        <v>84</v>
      </c>
      <c r="N1941" t="s">
        <v>2160</v>
      </c>
      <c r="O1941" t="s">
        <v>32</v>
      </c>
      <c r="P1941" t="s">
        <v>4309</v>
      </c>
      <c r="Q1941">
        <v>186</v>
      </c>
      <c r="R1941">
        <v>186</v>
      </c>
      <c r="S1941" t="s">
        <v>34</v>
      </c>
      <c r="T1941" t="s">
        <v>35</v>
      </c>
      <c r="U1941" t="s">
        <v>44</v>
      </c>
      <c r="W1941">
        <v>186</v>
      </c>
      <c r="X1941">
        <v>93</v>
      </c>
      <c r="Y1941">
        <v>0</v>
      </c>
      <c r="Z1941">
        <v>0</v>
      </c>
    </row>
    <row r="1942" spans="1:26" hidden="1" x14ac:dyDescent="0.25">
      <c r="A1942" t="s">
        <v>4310</v>
      </c>
      <c r="B1942" t="s">
        <v>2153</v>
      </c>
      <c r="C1942" s="4">
        <v>44819</v>
      </c>
      <c r="F1942" s="4">
        <v>45838</v>
      </c>
      <c r="G1942" t="s">
        <v>117</v>
      </c>
      <c r="H1942" t="s">
        <v>1387</v>
      </c>
      <c r="K1942" t="s">
        <v>83</v>
      </c>
      <c r="L1942" t="s">
        <v>3121</v>
      </c>
      <c r="M1942" t="s">
        <v>84</v>
      </c>
      <c r="N1942" t="s">
        <v>2160</v>
      </c>
      <c r="O1942" t="s">
        <v>32</v>
      </c>
      <c r="P1942" t="s">
        <v>4311</v>
      </c>
      <c r="Q1942">
        <v>200</v>
      </c>
      <c r="R1942">
        <v>200</v>
      </c>
      <c r="S1942" t="s">
        <v>56</v>
      </c>
      <c r="T1942" t="s">
        <v>57</v>
      </c>
      <c r="U1942" t="s">
        <v>44</v>
      </c>
      <c r="W1942">
        <v>200</v>
      </c>
      <c r="X1942">
        <v>200</v>
      </c>
      <c r="Y1942">
        <v>0</v>
      </c>
      <c r="Z1942">
        <v>0</v>
      </c>
    </row>
    <row r="1943" spans="1:26" hidden="1" x14ac:dyDescent="0.25">
      <c r="A1943" t="s">
        <v>4312</v>
      </c>
      <c r="B1943" t="s">
        <v>38</v>
      </c>
      <c r="C1943" s="4">
        <v>44818</v>
      </c>
      <c r="D1943" s="4">
        <v>45869</v>
      </c>
      <c r="F1943" s="4">
        <v>45991</v>
      </c>
      <c r="G1943" t="s">
        <v>112</v>
      </c>
      <c r="H1943" t="s">
        <v>2496</v>
      </c>
      <c r="K1943" t="s">
        <v>114</v>
      </c>
      <c r="L1943" t="s">
        <v>3121</v>
      </c>
      <c r="M1943" t="s">
        <v>68</v>
      </c>
      <c r="N1943" t="s">
        <v>3122</v>
      </c>
      <c r="O1943" t="s">
        <v>32</v>
      </c>
      <c r="P1943" t="s">
        <v>4313</v>
      </c>
      <c r="Q1943">
        <v>150</v>
      </c>
      <c r="R1943">
        <v>150</v>
      </c>
      <c r="S1943" t="s">
        <v>34</v>
      </c>
      <c r="T1943" t="s">
        <v>35</v>
      </c>
      <c r="U1943" t="s">
        <v>44</v>
      </c>
      <c r="W1943">
        <v>0</v>
      </c>
      <c r="X1943">
        <v>0</v>
      </c>
      <c r="Y1943">
        <v>0</v>
      </c>
      <c r="Z1943">
        <v>0</v>
      </c>
    </row>
    <row r="1944" spans="1:26" hidden="1" x14ac:dyDescent="0.25">
      <c r="A1944" t="s">
        <v>4314</v>
      </c>
      <c r="B1944" t="s">
        <v>38</v>
      </c>
      <c r="C1944" s="4">
        <v>44818</v>
      </c>
      <c r="D1944" s="4">
        <v>45009</v>
      </c>
      <c r="F1944" s="4">
        <v>45991</v>
      </c>
      <c r="G1944" t="s">
        <v>1311</v>
      </c>
      <c r="H1944" t="s">
        <v>3826</v>
      </c>
      <c r="K1944" t="s">
        <v>114</v>
      </c>
      <c r="L1944" t="s">
        <v>3121</v>
      </c>
      <c r="M1944" t="s">
        <v>68</v>
      </c>
      <c r="N1944" t="s">
        <v>3122</v>
      </c>
      <c r="O1944" t="s">
        <v>32</v>
      </c>
      <c r="P1944" t="s">
        <v>4315</v>
      </c>
      <c r="Q1944">
        <v>100</v>
      </c>
      <c r="R1944">
        <v>100</v>
      </c>
      <c r="S1944" t="s">
        <v>34</v>
      </c>
      <c r="T1944" t="s">
        <v>35</v>
      </c>
      <c r="U1944" t="s">
        <v>44</v>
      </c>
      <c r="W1944">
        <v>0</v>
      </c>
      <c r="X1944">
        <v>0</v>
      </c>
      <c r="Y1944">
        <v>0</v>
      </c>
      <c r="Z1944">
        <v>0</v>
      </c>
    </row>
    <row r="1945" spans="1:26" hidden="1" x14ac:dyDescent="0.25">
      <c r="A1945" t="s">
        <v>4316</v>
      </c>
      <c r="B1945" t="s">
        <v>38</v>
      </c>
      <c r="C1945" s="4">
        <v>44818</v>
      </c>
      <c r="D1945" s="4">
        <v>45009</v>
      </c>
      <c r="F1945" s="4">
        <v>45991</v>
      </c>
      <c r="G1945" t="s">
        <v>65</v>
      </c>
      <c r="H1945" t="s">
        <v>2764</v>
      </c>
      <c r="K1945" t="s">
        <v>67</v>
      </c>
      <c r="L1945" t="s">
        <v>3121</v>
      </c>
      <c r="M1945" t="s">
        <v>68</v>
      </c>
      <c r="N1945" t="s">
        <v>3122</v>
      </c>
      <c r="O1945" t="s">
        <v>32</v>
      </c>
      <c r="P1945" t="s">
        <v>4317</v>
      </c>
      <c r="Q1945">
        <v>100</v>
      </c>
      <c r="R1945">
        <v>100</v>
      </c>
      <c r="S1945" t="s">
        <v>34</v>
      </c>
      <c r="T1945" t="s">
        <v>35</v>
      </c>
      <c r="U1945" t="s">
        <v>44</v>
      </c>
      <c r="W1945">
        <v>0</v>
      </c>
      <c r="X1945">
        <v>0</v>
      </c>
      <c r="Y1945">
        <v>0</v>
      </c>
      <c r="Z1945">
        <v>0</v>
      </c>
    </row>
    <row r="1946" spans="1:26" hidden="1" x14ac:dyDescent="0.25">
      <c r="A1946" t="s">
        <v>4318</v>
      </c>
      <c r="B1946" t="s">
        <v>38</v>
      </c>
      <c r="C1946" s="4">
        <v>44817</v>
      </c>
      <c r="D1946" s="4">
        <v>45869</v>
      </c>
      <c r="F1946" s="4">
        <v>45961</v>
      </c>
      <c r="G1946" t="s">
        <v>616</v>
      </c>
      <c r="H1946" t="s">
        <v>1656</v>
      </c>
      <c r="K1946" t="s">
        <v>146</v>
      </c>
      <c r="L1946" t="s">
        <v>3121</v>
      </c>
      <c r="M1946" t="s">
        <v>68</v>
      </c>
      <c r="N1946" t="s">
        <v>3122</v>
      </c>
      <c r="O1946" t="s">
        <v>1110</v>
      </c>
      <c r="P1946" t="s">
        <v>4319</v>
      </c>
      <c r="Q1946">
        <v>200</v>
      </c>
      <c r="R1946">
        <v>200</v>
      </c>
      <c r="S1946" t="s">
        <v>34</v>
      </c>
      <c r="T1946" t="s">
        <v>35</v>
      </c>
      <c r="U1946" t="s">
        <v>44</v>
      </c>
      <c r="W1946">
        <v>0</v>
      </c>
      <c r="X1946">
        <v>0</v>
      </c>
      <c r="Y1946">
        <v>0</v>
      </c>
      <c r="Z1946">
        <v>0</v>
      </c>
    </row>
    <row r="1947" spans="1:26" hidden="1" x14ac:dyDescent="0.25">
      <c r="A1947" t="s">
        <v>4320</v>
      </c>
      <c r="B1947" t="s">
        <v>38</v>
      </c>
      <c r="C1947" s="4">
        <v>44818</v>
      </c>
      <c r="D1947" s="4">
        <v>45010</v>
      </c>
      <c r="F1947" s="4">
        <v>46326</v>
      </c>
      <c r="G1947" t="s">
        <v>144</v>
      </c>
      <c r="H1947" t="s">
        <v>1618</v>
      </c>
      <c r="K1947" t="s">
        <v>146</v>
      </c>
      <c r="L1947" t="s">
        <v>3121</v>
      </c>
      <c r="M1947" t="s">
        <v>68</v>
      </c>
      <c r="N1947" t="s">
        <v>3122</v>
      </c>
      <c r="O1947" t="s">
        <v>32</v>
      </c>
      <c r="P1947" t="s">
        <v>3178</v>
      </c>
      <c r="Q1947">
        <v>140</v>
      </c>
      <c r="R1947">
        <v>140</v>
      </c>
      <c r="S1947" t="s">
        <v>159</v>
      </c>
      <c r="T1947" t="s">
        <v>159</v>
      </c>
      <c r="U1947" t="s">
        <v>44</v>
      </c>
      <c r="W1947">
        <v>0</v>
      </c>
      <c r="X1947">
        <v>0</v>
      </c>
      <c r="Y1947">
        <v>0</v>
      </c>
      <c r="Z1947">
        <v>0</v>
      </c>
    </row>
    <row r="1948" spans="1:26" hidden="1" x14ac:dyDescent="0.25">
      <c r="A1948" t="s">
        <v>4321</v>
      </c>
      <c r="B1948" t="s">
        <v>2153</v>
      </c>
      <c r="C1948" s="4">
        <v>44819</v>
      </c>
      <c r="F1948" s="4">
        <v>46478</v>
      </c>
      <c r="G1948" t="s">
        <v>1278</v>
      </c>
      <c r="H1948" t="s">
        <v>1493</v>
      </c>
      <c r="K1948" t="s">
        <v>28</v>
      </c>
      <c r="L1948" t="s">
        <v>3121</v>
      </c>
      <c r="M1948" t="s">
        <v>30</v>
      </c>
      <c r="N1948" t="s">
        <v>3122</v>
      </c>
      <c r="O1948" t="s">
        <v>32</v>
      </c>
      <c r="P1948" t="s">
        <v>4322</v>
      </c>
      <c r="Q1948">
        <v>350</v>
      </c>
      <c r="R1948">
        <v>350</v>
      </c>
      <c r="S1948" t="s">
        <v>389</v>
      </c>
      <c r="T1948" t="s">
        <v>2129</v>
      </c>
      <c r="U1948" t="s">
        <v>44</v>
      </c>
      <c r="W1948">
        <v>350</v>
      </c>
      <c r="X1948">
        <v>350</v>
      </c>
      <c r="Y1948">
        <v>0</v>
      </c>
      <c r="Z1948">
        <v>0</v>
      </c>
    </row>
    <row r="1949" spans="1:26" hidden="1" x14ac:dyDescent="0.25">
      <c r="A1949" t="s">
        <v>4323</v>
      </c>
      <c r="B1949" t="s">
        <v>2153</v>
      </c>
      <c r="C1949" s="4">
        <v>44819</v>
      </c>
      <c r="F1949" s="4">
        <v>46478</v>
      </c>
      <c r="H1949" t="s">
        <v>1302</v>
      </c>
      <c r="K1949" t="s">
        <v>209</v>
      </c>
      <c r="L1949" t="s">
        <v>3121</v>
      </c>
      <c r="M1949" t="s">
        <v>84</v>
      </c>
      <c r="N1949" t="s">
        <v>2160</v>
      </c>
      <c r="O1949" t="s">
        <v>32</v>
      </c>
      <c r="P1949" t="s">
        <v>4324</v>
      </c>
      <c r="Q1949">
        <v>350</v>
      </c>
      <c r="R1949">
        <v>350</v>
      </c>
      <c r="S1949" t="s">
        <v>389</v>
      </c>
      <c r="T1949" t="s">
        <v>2635</v>
      </c>
      <c r="U1949" t="s">
        <v>44</v>
      </c>
      <c r="W1949">
        <v>350</v>
      </c>
      <c r="X1949">
        <v>350</v>
      </c>
      <c r="Y1949">
        <v>0</v>
      </c>
      <c r="Z1949">
        <v>0</v>
      </c>
    </row>
    <row r="1950" spans="1:26" hidden="1" x14ac:dyDescent="0.25">
      <c r="A1950" t="s">
        <v>4325</v>
      </c>
      <c r="B1950" t="s">
        <v>2153</v>
      </c>
      <c r="C1950" s="4">
        <v>44819</v>
      </c>
      <c r="F1950" s="4">
        <v>46478</v>
      </c>
      <c r="G1950" t="s">
        <v>72</v>
      </c>
      <c r="H1950" t="s">
        <v>4326</v>
      </c>
      <c r="K1950" t="s">
        <v>209</v>
      </c>
      <c r="L1950" t="s">
        <v>3121</v>
      </c>
      <c r="M1950" t="s">
        <v>42</v>
      </c>
      <c r="N1950" t="s">
        <v>3122</v>
      </c>
      <c r="O1950" t="s">
        <v>32</v>
      </c>
      <c r="P1950" t="s">
        <v>4327</v>
      </c>
      <c r="Q1950">
        <v>160</v>
      </c>
      <c r="R1950">
        <v>160</v>
      </c>
      <c r="S1950" t="s">
        <v>389</v>
      </c>
      <c r="T1950" t="s">
        <v>2129</v>
      </c>
      <c r="U1950" t="s">
        <v>44</v>
      </c>
      <c r="W1950">
        <v>160</v>
      </c>
      <c r="X1950">
        <v>160</v>
      </c>
      <c r="Y1950">
        <v>0</v>
      </c>
      <c r="Z1950">
        <v>0</v>
      </c>
    </row>
    <row r="1951" spans="1:26" hidden="1" x14ac:dyDescent="0.25">
      <c r="A1951" t="s">
        <v>4328</v>
      </c>
      <c r="B1951" t="s">
        <v>2153</v>
      </c>
      <c r="C1951" s="4">
        <v>44819</v>
      </c>
      <c r="F1951" s="4">
        <v>46113</v>
      </c>
      <c r="G1951" t="s">
        <v>1278</v>
      </c>
      <c r="H1951" t="s">
        <v>1485</v>
      </c>
      <c r="K1951" t="s">
        <v>28</v>
      </c>
      <c r="L1951" t="s">
        <v>3121</v>
      </c>
      <c r="M1951" t="s">
        <v>30</v>
      </c>
      <c r="N1951" t="s">
        <v>3122</v>
      </c>
      <c r="O1951" t="s">
        <v>32</v>
      </c>
      <c r="P1951" t="s">
        <v>4329</v>
      </c>
      <c r="Q1951">
        <v>205</v>
      </c>
      <c r="R1951">
        <v>205</v>
      </c>
      <c r="S1951" t="s">
        <v>389</v>
      </c>
      <c r="T1951" t="s">
        <v>2129</v>
      </c>
      <c r="U1951" t="s">
        <v>44</v>
      </c>
      <c r="W1951">
        <v>205</v>
      </c>
      <c r="X1951">
        <v>205</v>
      </c>
      <c r="Y1951">
        <v>0</v>
      </c>
      <c r="Z1951">
        <v>0</v>
      </c>
    </row>
    <row r="1952" spans="1:26" hidden="1" x14ac:dyDescent="0.25">
      <c r="A1952" t="s">
        <v>4330</v>
      </c>
      <c r="B1952" t="s">
        <v>2153</v>
      </c>
      <c r="C1952" s="4">
        <v>44819</v>
      </c>
      <c r="F1952" s="4">
        <v>45536</v>
      </c>
      <c r="G1952" t="s">
        <v>72</v>
      </c>
      <c r="H1952" t="s">
        <v>1500</v>
      </c>
      <c r="K1952" t="s">
        <v>209</v>
      </c>
      <c r="L1952" t="s">
        <v>3121</v>
      </c>
      <c r="M1952" t="s">
        <v>42</v>
      </c>
      <c r="N1952" t="s">
        <v>3122</v>
      </c>
      <c r="O1952" t="s">
        <v>32</v>
      </c>
      <c r="P1952" t="s">
        <v>4331</v>
      </c>
      <c r="Q1952">
        <v>75</v>
      </c>
      <c r="R1952">
        <v>75</v>
      </c>
      <c r="S1952" t="s">
        <v>389</v>
      </c>
      <c r="T1952" t="s">
        <v>390</v>
      </c>
      <c r="U1952" t="s">
        <v>44</v>
      </c>
      <c r="W1952">
        <v>75</v>
      </c>
      <c r="X1952">
        <v>75</v>
      </c>
      <c r="Y1952">
        <v>0</v>
      </c>
      <c r="Z1952">
        <v>0</v>
      </c>
    </row>
    <row r="1953" spans="1:26" hidden="1" x14ac:dyDescent="0.25">
      <c r="A1953" t="s">
        <v>4332</v>
      </c>
      <c r="B1953" t="s">
        <v>2153</v>
      </c>
      <c r="C1953" s="4">
        <v>44818</v>
      </c>
      <c r="F1953" s="4">
        <v>46568</v>
      </c>
      <c r="G1953" t="s">
        <v>72</v>
      </c>
      <c r="H1953" t="s">
        <v>1500</v>
      </c>
      <c r="K1953" t="s">
        <v>209</v>
      </c>
      <c r="L1953" t="s">
        <v>3121</v>
      </c>
      <c r="M1953" t="s">
        <v>42</v>
      </c>
      <c r="N1953" t="s">
        <v>3122</v>
      </c>
      <c r="O1953" t="s">
        <v>32</v>
      </c>
      <c r="P1953" t="s">
        <v>4333</v>
      </c>
      <c r="Q1953">
        <v>100</v>
      </c>
      <c r="R1953">
        <v>100</v>
      </c>
      <c r="S1953" t="s">
        <v>159</v>
      </c>
      <c r="T1953" t="s">
        <v>159</v>
      </c>
      <c r="U1953" t="s">
        <v>44</v>
      </c>
      <c r="W1953">
        <v>100</v>
      </c>
      <c r="X1953">
        <v>100</v>
      </c>
      <c r="Y1953">
        <v>0</v>
      </c>
      <c r="Z1953">
        <v>0</v>
      </c>
    </row>
    <row r="1954" spans="1:26" hidden="1" x14ac:dyDescent="0.25">
      <c r="A1954" t="s">
        <v>4334</v>
      </c>
      <c r="B1954" t="s">
        <v>38</v>
      </c>
      <c r="C1954" s="4">
        <v>44819</v>
      </c>
      <c r="D1954" s="4">
        <v>45957</v>
      </c>
      <c r="F1954" s="4">
        <v>43358</v>
      </c>
      <c r="G1954" t="s">
        <v>1381</v>
      </c>
      <c r="H1954" t="s">
        <v>1542</v>
      </c>
      <c r="K1954" t="s">
        <v>209</v>
      </c>
      <c r="L1954" t="s">
        <v>3121</v>
      </c>
      <c r="M1954" t="s">
        <v>42</v>
      </c>
      <c r="N1954" t="s">
        <v>3122</v>
      </c>
      <c r="O1954" t="s">
        <v>1110</v>
      </c>
      <c r="P1954" t="s">
        <v>728</v>
      </c>
      <c r="Q1954">
        <v>299.3</v>
      </c>
      <c r="R1954">
        <v>299.3</v>
      </c>
      <c r="S1954" t="s">
        <v>56</v>
      </c>
      <c r="T1954" t="s">
        <v>57</v>
      </c>
      <c r="U1954" t="s">
        <v>44</v>
      </c>
      <c r="W1954">
        <v>0</v>
      </c>
      <c r="X1954">
        <v>0</v>
      </c>
      <c r="Y1954">
        <v>0</v>
      </c>
      <c r="Z1954">
        <v>0</v>
      </c>
    </row>
    <row r="1955" spans="1:26" hidden="1" x14ac:dyDescent="0.25">
      <c r="A1955" t="s">
        <v>4335</v>
      </c>
      <c r="B1955" t="s">
        <v>2153</v>
      </c>
      <c r="C1955" s="4">
        <v>44809</v>
      </c>
      <c r="F1955" s="4">
        <v>45444</v>
      </c>
      <c r="G1955" t="s">
        <v>72</v>
      </c>
      <c r="H1955" t="s">
        <v>1285</v>
      </c>
      <c r="K1955" t="s">
        <v>209</v>
      </c>
      <c r="L1955" t="s">
        <v>3121</v>
      </c>
      <c r="M1955" t="s">
        <v>42</v>
      </c>
      <c r="N1955" t="s">
        <v>3122</v>
      </c>
      <c r="O1955" t="s">
        <v>1110</v>
      </c>
      <c r="P1955" t="s">
        <v>4336</v>
      </c>
      <c r="Q1955">
        <v>50</v>
      </c>
      <c r="R1955">
        <v>50</v>
      </c>
      <c r="S1955" t="s">
        <v>34</v>
      </c>
      <c r="T1955" t="s">
        <v>598</v>
      </c>
      <c r="U1955" t="s">
        <v>44</v>
      </c>
      <c r="W1955">
        <v>0</v>
      </c>
      <c r="X1955">
        <v>50</v>
      </c>
      <c r="Y1955">
        <v>0</v>
      </c>
      <c r="Z1955">
        <v>0</v>
      </c>
    </row>
    <row r="1956" spans="1:26" hidden="1" x14ac:dyDescent="0.25">
      <c r="A1956" t="s">
        <v>4337</v>
      </c>
      <c r="B1956" t="s">
        <v>2153</v>
      </c>
      <c r="C1956" s="4">
        <v>44818</v>
      </c>
      <c r="F1956" s="4">
        <v>46295</v>
      </c>
      <c r="G1956" t="s">
        <v>1749</v>
      </c>
      <c r="H1956" t="s">
        <v>2082</v>
      </c>
      <c r="K1956" t="s">
        <v>151</v>
      </c>
      <c r="L1956" t="s">
        <v>3121</v>
      </c>
      <c r="M1956" t="s">
        <v>68</v>
      </c>
      <c r="N1956" t="s">
        <v>3122</v>
      </c>
      <c r="O1956" t="s">
        <v>32</v>
      </c>
      <c r="P1956" t="s">
        <v>4338</v>
      </c>
      <c r="Q1956">
        <v>100</v>
      </c>
      <c r="R1956">
        <v>100</v>
      </c>
      <c r="S1956" t="s">
        <v>34</v>
      </c>
      <c r="T1956" t="s">
        <v>35</v>
      </c>
      <c r="U1956" t="s">
        <v>44</v>
      </c>
      <c r="W1956">
        <v>100</v>
      </c>
      <c r="X1956">
        <v>100</v>
      </c>
      <c r="Y1956">
        <v>0</v>
      </c>
      <c r="Z1956">
        <v>0</v>
      </c>
    </row>
    <row r="1957" spans="1:26" hidden="1" x14ac:dyDescent="0.25">
      <c r="A1957" t="s">
        <v>4339</v>
      </c>
      <c r="B1957" t="s">
        <v>38</v>
      </c>
      <c r="C1957" s="4">
        <v>44818</v>
      </c>
      <c r="D1957" s="4">
        <v>45869</v>
      </c>
      <c r="F1957" s="4">
        <v>46295</v>
      </c>
      <c r="G1957" t="s">
        <v>149</v>
      </c>
      <c r="H1957" t="s">
        <v>1629</v>
      </c>
      <c r="K1957" t="s">
        <v>151</v>
      </c>
      <c r="L1957" t="s">
        <v>3121</v>
      </c>
      <c r="M1957" t="s">
        <v>68</v>
      </c>
      <c r="N1957" t="s">
        <v>3122</v>
      </c>
      <c r="O1957" t="s">
        <v>32</v>
      </c>
      <c r="P1957" t="s">
        <v>4340</v>
      </c>
      <c r="Q1957">
        <v>400</v>
      </c>
      <c r="R1957">
        <v>400</v>
      </c>
      <c r="S1957" t="s">
        <v>597</v>
      </c>
      <c r="T1957" t="s">
        <v>598</v>
      </c>
      <c r="U1957" t="s">
        <v>44</v>
      </c>
      <c r="W1957">
        <v>0</v>
      </c>
      <c r="X1957">
        <v>0</v>
      </c>
      <c r="Y1957">
        <v>0</v>
      </c>
      <c r="Z1957">
        <v>0</v>
      </c>
    </row>
    <row r="1958" spans="1:26" hidden="1" x14ac:dyDescent="0.25">
      <c r="A1958" t="s">
        <v>4341</v>
      </c>
      <c r="B1958" t="s">
        <v>2153</v>
      </c>
      <c r="C1958" s="4">
        <v>44818</v>
      </c>
      <c r="F1958" s="4">
        <v>46295</v>
      </c>
      <c r="G1958" t="s">
        <v>1326</v>
      </c>
      <c r="H1958" t="s">
        <v>1542</v>
      </c>
      <c r="K1958" t="s">
        <v>67</v>
      </c>
      <c r="L1958" t="s">
        <v>3121</v>
      </c>
      <c r="M1958" t="s">
        <v>68</v>
      </c>
      <c r="N1958" t="s">
        <v>3122</v>
      </c>
      <c r="O1958" t="s">
        <v>32</v>
      </c>
      <c r="P1958" t="s">
        <v>4342</v>
      </c>
      <c r="Q1958">
        <v>100</v>
      </c>
      <c r="R1958">
        <v>100</v>
      </c>
      <c r="S1958" t="s">
        <v>34</v>
      </c>
      <c r="T1958" t="s">
        <v>35</v>
      </c>
      <c r="U1958" t="s">
        <v>44</v>
      </c>
      <c r="W1958">
        <v>100</v>
      </c>
      <c r="X1958">
        <v>100</v>
      </c>
      <c r="Y1958">
        <v>0</v>
      </c>
      <c r="Z1958">
        <v>0</v>
      </c>
    </row>
    <row r="1959" spans="1:26" hidden="1" x14ac:dyDescent="0.25">
      <c r="A1959" t="s">
        <v>4343</v>
      </c>
      <c r="B1959" t="s">
        <v>2153</v>
      </c>
      <c r="C1959" s="4">
        <v>45237</v>
      </c>
      <c r="F1959" s="4">
        <v>46295</v>
      </c>
      <c r="G1959" t="s">
        <v>1326</v>
      </c>
      <c r="H1959" t="s">
        <v>2777</v>
      </c>
      <c r="K1959" t="s">
        <v>67</v>
      </c>
      <c r="L1959" t="s">
        <v>3121</v>
      </c>
      <c r="M1959" t="s">
        <v>68</v>
      </c>
      <c r="N1959" t="s">
        <v>3122</v>
      </c>
      <c r="O1959" t="s">
        <v>32</v>
      </c>
      <c r="P1959" t="s">
        <v>4344</v>
      </c>
      <c r="Q1959">
        <v>150</v>
      </c>
      <c r="R1959">
        <v>150</v>
      </c>
      <c r="S1959" t="s">
        <v>34</v>
      </c>
      <c r="T1959" t="s">
        <v>35</v>
      </c>
      <c r="U1959" t="s">
        <v>44</v>
      </c>
      <c r="W1959">
        <v>150</v>
      </c>
      <c r="X1959">
        <v>150</v>
      </c>
      <c r="Y1959">
        <v>0</v>
      </c>
      <c r="Z1959">
        <v>0</v>
      </c>
    </row>
    <row r="1960" spans="1:26" hidden="1" x14ac:dyDescent="0.25">
      <c r="A1960" t="s">
        <v>4345</v>
      </c>
      <c r="B1960" t="s">
        <v>2153</v>
      </c>
      <c r="C1960" s="4">
        <v>44819</v>
      </c>
      <c r="F1960" s="4">
        <v>46447</v>
      </c>
      <c r="H1960" t="s">
        <v>1418</v>
      </c>
      <c r="K1960" t="s">
        <v>146</v>
      </c>
      <c r="L1960" t="s">
        <v>3121</v>
      </c>
      <c r="M1960" t="s">
        <v>68</v>
      </c>
      <c r="N1960" t="s">
        <v>3122</v>
      </c>
      <c r="O1960" t="s">
        <v>32</v>
      </c>
      <c r="P1960" t="s">
        <v>4346</v>
      </c>
      <c r="Q1960">
        <v>100</v>
      </c>
      <c r="R1960">
        <v>100</v>
      </c>
      <c r="S1960" t="s">
        <v>597</v>
      </c>
      <c r="T1960" t="s">
        <v>598</v>
      </c>
      <c r="U1960" t="s">
        <v>44</v>
      </c>
      <c r="W1960">
        <v>100</v>
      </c>
      <c r="X1960">
        <v>100</v>
      </c>
      <c r="Y1960">
        <v>0</v>
      </c>
      <c r="Z1960">
        <v>0</v>
      </c>
    </row>
    <row r="1961" spans="1:26" hidden="1" x14ac:dyDescent="0.25">
      <c r="A1961" t="s">
        <v>4347</v>
      </c>
      <c r="B1961" t="s">
        <v>2153</v>
      </c>
      <c r="C1961" s="4">
        <v>44819</v>
      </c>
      <c r="F1961" s="4">
        <v>46388</v>
      </c>
      <c r="G1961" t="s">
        <v>1753</v>
      </c>
      <c r="H1961" t="s">
        <v>3896</v>
      </c>
      <c r="K1961" t="s">
        <v>114</v>
      </c>
      <c r="L1961" t="s">
        <v>3121</v>
      </c>
      <c r="M1961" t="s">
        <v>68</v>
      </c>
      <c r="N1961" t="s">
        <v>3122</v>
      </c>
      <c r="O1961" t="s">
        <v>32</v>
      </c>
      <c r="P1961" t="s">
        <v>4348</v>
      </c>
      <c r="Q1961">
        <v>100</v>
      </c>
      <c r="R1961">
        <v>100</v>
      </c>
      <c r="S1961" t="s">
        <v>597</v>
      </c>
      <c r="T1961" t="s">
        <v>598</v>
      </c>
      <c r="U1961" t="s">
        <v>44</v>
      </c>
      <c r="W1961">
        <v>100</v>
      </c>
      <c r="X1961">
        <v>100</v>
      </c>
      <c r="Y1961">
        <v>0</v>
      </c>
      <c r="Z1961">
        <v>0</v>
      </c>
    </row>
    <row r="1962" spans="1:26" hidden="1" x14ac:dyDescent="0.25">
      <c r="A1962" t="s">
        <v>4349</v>
      </c>
      <c r="B1962" t="s">
        <v>38</v>
      </c>
      <c r="C1962" s="4">
        <v>44819</v>
      </c>
      <c r="D1962" s="4">
        <v>45869</v>
      </c>
      <c r="F1962" s="4">
        <v>46539</v>
      </c>
      <c r="G1962" t="s">
        <v>144</v>
      </c>
      <c r="H1962" t="s">
        <v>4350</v>
      </c>
      <c r="K1962" t="s">
        <v>146</v>
      </c>
      <c r="L1962" t="s">
        <v>3121</v>
      </c>
      <c r="M1962" t="s">
        <v>68</v>
      </c>
      <c r="N1962" t="s">
        <v>3122</v>
      </c>
      <c r="O1962" t="s">
        <v>32</v>
      </c>
      <c r="P1962" t="s">
        <v>4351</v>
      </c>
      <c r="Q1962">
        <v>100</v>
      </c>
      <c r="R1962">
        <v>100</v>
      </c>
      <c r="S1962" t="s">
        <v>597</v>
      </c>
      <c r="T1962" t="s">
        <v>598</v>
      </c>
      <c r="U1962" t="s">
        <v>44</v>
      </c>
      <c r="W1962">
        <v>0</v>
      </c>
      <c r="X1962">
        <v>0</v>
      </c>
      <c r="Y1962">
        <v>0</v>
      </c>
      <c r="Z1962">
        <v>0</v>
      </c>
    </row>
    <row r="1963" spans="1:26" hidden="1" x14ac:dyDescent="0.25">
      <c r="A1963" t="s">
        <v>4352</v>
      </c>
      <c r="B1963" t="s">
        <v>38</v>
      </c>
      <c r="C1963" s="4">
        <v>44819</v>
      </c>
      <c r="D1963" s="4">
        <v>45957</v>
      </c>
      <c r="F1963" s="4">
        <v>46539</v>
      </c>
      <c r="G1963" t="s">
        <v>254</v>
      </c>
      <c r="H1963" t="s">
        <v>1787</v>
      </c>
      <c r="K1963" t="s">
        <v>98</v>
      </c>
      <c r="L1963" t="s">
        <v>3121</v>
      </c>
      <c r="M1963" t="s">
        <v>84</v>
      </c>
      <c r="N1963" t="s">
        <v>2160</v>
      </c>
      <c r="O1963" t="s">
        <v>32</v>
      </c>
      <c r="P1963" t="s">
        <v>4353</v>
      </c>
      <c r="Q1963">
        <v>200</v>
      </c>
      <c r="R1963">
        <v>200</v>
      </c>
      <c r="S1963" t="s">
        <v>597</v>
      </c>
      <c r="T1963" t="s">
        <v>598</v>
      </c>
      <c r="U1963" t="s">
        <v>44</v>
      </c>
      <c r="W1963">
        <v>0</v>
      </c>
      <c r="X1963">
        <v>0</v>
      </c>
      <c r="Y1963">
        <v>0</v>
      </c>
      <c r="Z1963">
        <v>0</v>
      </c>
    </row>
    <row r="1964" spans="1:26" hidden="1" x14ac:dyDescent="0.25">
      <c r="A1964" t="s">
        <v>4354</v>
      </c>
      <c r="B1964" t="s">
        <v>38</v>
      </c>
      <c r="C1964" s="4">
        <v>44819</v>
      </c>
      <c r="D1964" s="4">
        <v>45957</v>
      </c>
      <c r="F1964" s="4">
        <v>46388</v>
      </c>
      <c r="G1964" t="s">
        <v>1679</v>
      </c>
      <c r="H1964" t="s">
        <v>1680</v>
      </c>
      <c r="K1964" t="s">
        <v>98</v>
      </c>
      <c r="L1964" t="s">
        <v>3121</v>
      </c>
      <c r="M1964" t="s">
        <v>84</v>
      </c>
      <c r="N1964" t="s">
        <v>2160</v>
      </c>
      <c r="O1964" t="s">
        <v>32</v>
      </c>
      <c r="P1964" t="s">
        <v>4355</v>
      </c>
      <c r="Q1964">
        <v>150</v>
      </c>
      <c r="R1964">
        <v>150</v>
      </c>
      <c r="S1964" t="s">
        <v>597</v>
      </c>
      <c r="T1964" t="s">
        <v>598</v>
      </c>
      <c r="U1964" t="s">
        <v>44</v>
      </c>
      <c r="W1964">
        <v>0</v>
      </c>
      <c r="X1964">
        <v>0</v>
      </c>
      <c r="Y1964">
        <v>0</v>
      </c>
      <c r="Z1964">
        <v>0</v>
      </c>
    </row>
    <row r="1965" spans="1:26" hidden="1" x14ac:dyDescent="0.25">
      <c r="A1965" t="s">
        <v>4356</v>
      </c>
      <c r="B1965" t="s">
        <v>38</v>
      </c>
      <c r="C1965" s="4">
        <v>44819</v>
      </c>
      <c r="D1965" s="4">
        <v>45957</v>
      </c>
      <c r="F1965" s="4">
        <v>46539</v>
      </c>
      <c r="G1965" t="s">
        <v>101</v>
      </c>
      <c r="H1965" t="s">
        <v>2499</v>
      </c>
      <c r="K1965" t="s">
        <v>98</v>
      </c>
      <c r="L1965" t="s">
        <v>3121</v>
      </c>
      <c r="M1965" t="s">
        <v>84</v>
      </c>
      <c r="N1965" t="s">
        <v>2160</v>
      </c>
      <c r="O1965" t="s">
        <v>32</v>
      </c>
      <c r="P1965" t="s">
        <v>4357</v>
      </c>
      <c r="Q1965">
        <v>100</v>
      </c>
      <c r="R1965">
        <v>100</v>
      </c>
      <c r="S1965" t="s">
        <v>597</v>
      </c>
      <c r="T1965" t="s">
        <v>598</v>
      </c>
      <c r="U1965" t="s">
        <v>44</v>
      </c>
      <c r="W1965">
        <v>0</v>
      </c>
      <c r="X1965">
        <v>0</v>
      </c>
      <c r="Y1965">
        <v>0</v>
      </c>
      <c r="Z1965">
        <v>0</v>
      </c>
    </row>
    <row r="1966" spans="1:26" hidden="1" x14ac:dyDescent="0.25">
      <c r="A1966" t="s">
        <v>4358</v>
      </c>
      <c r="B1966" t="s">
        <v>38</v>
      </c>
      <c r="C1966" s="4">
        <v>44819</v>
      </c>
      <c r="D1966" s="4">
        <v>45957</v>
      </c>
      <c r="F1966" s="4">
        <v>46357</v>
      </c>
      <c r="G1966" t="s">
        <v>365</v>
      </c>
      <c r="H1966" t="s">
        <v>3459</v>
      </c>
      <c r="K1966" t="s">
        <v>83</v>
      </c>
      <c r="L1966" t="s">
        <v>3121</v>
      </c>
      <c r="M1966" t="s">
        <v>84</v>
      </c>
      <c r="N1966" t="s">
        <v>2160</v>
      </c>
      <c r="O1966" t="s">
        <v>32</v>
      </c>
      <c r="P1966" t="s">
        <v>4359</v>
      </c>
      <c r="Q1966">
        <v>150</v>
      </c>
      <c r="R1966">
        <v>150</v>
      </c>
      <c r="S1966" t="s">
        <v>597</v>
      </c>
      <c r="T1966" t="s">
        <v>598</v>
      </c>
      <c r="U1966" t="s">
        <v>44</v>
      </c>
      <c r="W1966">
        <v>0</v>
      </c>
      <c r="X1966">
        <v>0</v>
      </c>
      <c r="Y1966">
        <v>0</v>
      </c>
      <c r="Z1966">
        <v>0</v>
      </c>
    </row>
    <row r="1967" spans="1:26" hidden="1" x14ac:dyDescent="0.25">
      <c r="A1967" t="s">
        <v>4360</v>
      </c>
      <c r="B1967" t="s">
        <v>2153</v>
      </c>
      <c r="C1967" s="4">
        <v>44818</v>
      </c>
      <c r="F1967" s="4">
        <v>45931</v>
      </c>
      <c r="H1967" t="s">
        <v>3260</v>
      </c>
      <c r="K1967" t="s">
        <v>83</v>
      </c>
      <c r="L1967" t="s">
        <v>3121</v>
      </c>
      <c r="M1967" t="s">
        <v>84</v>
      </c>
      <c r="N1967" t="s">
        <v>2160</v>
      </c>
      <c r="O1967" t="s">
        <v>32</v>
      </c>
      <c r="P1967" t="s">
        <v>4361</v>
      </c>
      <c r="Q1967">
        <v>200</v>
      </c>
      <c r="R1967">
        <v>200</v>
      </c>
      <c r="S1967" t="s">
        <v>56</v>
      </c>
      <c r="T1967" t="s">
        <v>57</v>
      </c>
      <c r="U1967" t="s">
        <v>44</v>
      </c>
      <c r="W1967">
        <v>200</v>
      </c>
      <c r="X1967">
        <v>200</v>
      </c>
      <c r="Y1967">
        <v>0</v>
      </c>
      <c r="Z1967">
        <v>0</v>
      </c>
    </row>
    <row r="1968" spans="1:26" hidden="1" x14ac:dyDescent="0.25">
      <c r="A1968" t="s">
        <v>4362</v>
      </c>
      <c r="B1968" t="s">
        <v>38</v>
      </c>
      <c r="C1968" s="4">
        <v>44819</v>
      </c>
      <c r="D1968" s="4">
        <v>45869</v>
      </c>
      <c r="F1968" s="4">
        <v>45931</v>
      </c>
      <c r="G1968" t="s">
        <v>1311</v>
      </c>
      <c r="H1968" t="s">
        <v>2843</v>
      </c>
      <c r="K1968" t="s">
        <v>114</v>
      </c>
      <c r="L1968" t="s">
        <v>3121</v>
      </c>
      <c r="M1968" t="s">
        <v>68</v>
      </c>
      <c r="N1968" t="s">
        <v>3122</v>
      </c>
      <c r="O1968" t="s">
        <v>32</v>
      </c>
      <c r="P1968" t="s">
        <v>3258</v>
      </c>
      <c r="Q1968">
        <v>220</v>
      </c>
      <c r="R1968">
        <v>220</v>
      </c>
      <c r="S1968" t="s">
        <v>56</v>
      </c>
      <c r="T1968" t="s">
        <v>57</v>
      </c>
      <c r="U1968" t="s">
        <v>44</v>
      </c>
      <c r="W1968">
        <v>0</v>
      </c>
      <c r="X1968">
        <v>0</v>
      </c>
      <c r="Y1968">
        <v>0</v>
      </c>
      <c r="Z1968">
        <v>0</v>
      </c>
    </row>
    <row r="1969" spans="1:26" hidden="1" x14ac:dyDescent="0.25">
      <c r="A1969" t="s">
        <v>4363</v>
      </c>
      <c r="B1969" t="s">
        <v>2153</v>
      </c>
      <c r="C1969" s="4">
        <v>44819</v>
      </c>
      <c r="F1969" s="4">
        <v>45931</v>
      </c>
      <c r="G1969" t="s">
        <v>1408</v>
      </c>
      <c r="H1969" t="s">
        <v>1418</v>
      </c>
      <c r="K1969" t="s">
        <v>146</v>
      </c>
      <c r="L1969" t="s">
        <v>3121</v>
      </c>
      <c r="M1969" t="s">
        <v>68</v>
      </c>
      <c r="N1969" t="s">
        <v>3122</v>
      </c>
      <c r="O1969" t="s">
        <v>32</v>
      </c>
      <c r="P1969" t="s">
        <v>4364</v>
      </c>
      <c r="Q1969">
        <v>180</v>
      </c>
      <c r="R1969">
        <v>180</v>
      </c>
      <c r="S1969" t="s">
        <v>56</v>
      </c>
      <c r="T1969" t="s">
        <v>57</v>
      </c>
      <c r="U1969" t="s">
        <v>44</v>
      </c>
      <c r="W1969">
        <v>180</v>
      </c>
      <c r="X1969">
        <v>180</v>
      </c>
      <c r="Y1969">
        <v>0</v>
      </c>
      <c r="Z1969">
        <v>0</v>
      </c>
    </row>
    <row r="1970" spans="1:26" hidden="1" x14ac:dyDescent="0.25">
      <c r="A1970" t="s">
        <v>4365</v>
      </c>
      <c r="B1970" t="s">
        <v>2153</v>
      </c>
      <c r="C1970" s="4">
        <v>44812</v>
      </c>
      <c r="F1970" s="4">
        <v>45945</v>
      </c>
      <c r="G1970" t="s">
        <v>1753</v>
      </c>
      <c r="H1970" t="s">
        <v>4366</v>
      </c>
      <c r="K1970" t="s">
        <v>114</v>
      </c>
      <c r="L1970" t="s">
        <v>3121</v>
      </c>
      <c r="M1970" t="s">
        <v>68</v>
      </c>
      <c r="N1970" t="s">
        <v>3122</v>
      </c>
      <c r="O1970" t="s">
        <v>32</v>
      </c>
      <c r="P1970" t="s">
        <v>4367</v>
      </c>
      <c r="Q1970">
        <v>450</v>
      </c>
      <c r="R1970">
        <v>450</v>
      </c>
      <c r="S1970" t="s">
        <v>34</v>
      </c>
      <c r="T1970" t="s">
        <v>35</v>
      </c>
      <c r="U1970" t="s">
        <v>44</v>
      </c>
      <c r="W1970">
        <v>450</v>
      </c>
      <c r="X1970">
        <v>0</v>
      </c>
      <c r="Y1970">
        <v>0</v>
      </c>
      <c r="Z1970">
        <v>0</v>
      </c>
    </row>
    <row r="1971" spans="1:26" hidden="1" x14ac:dyDescent="0.25">
      <c r="A1971" t="s">
        <v>4368</v>
      </c>
      <c r="B1971" t="s">
        <v>2153</v>
      </c>
      <c r="C1971" s="4">
        <v>44813</v>
      </c>
      <c r="F1971" s="4">
        <v>45945</v>
      </c>
      <c r="H1971" t="s">
        <v>1744</v>
      </c>
      <c r="K1971" t="s">
        <v>146</v>
      </c>
      <c r="L1971" t="s">
        <v>3121</v>
      </c>
      <c r="M1971" t="s">
        <v>68</v>
      </c>
      <c r="N1971" t="s">
        <v>3122</v>
      </c>
      <c r="O1971" t="s">
        <v>32</v>
      </c>
      <c r="P1971" t="s">
        <v>4369</v>
      </c>
      <c r="Q1971">
        <v>200</v>
      </c>
      <c r="R1971">
        <v>200</v>
      </c>
      <c r="S1971" t="s">
        <v>34</v>
      </c>
      <c r="T1971" t="s">
        <v>35</v>
      </c>
      <c r="U1971" t="s">
        <v>44</v>
      </c>
      <c r="W1971">
        <v>200</v>
      </c>
      <c r="X1971">
        <v>0</v>
      </c>
      <c r="Y1971">
        <v>0</v>
      </c>
      <c r="Z1971">
        <v>0</v>
      </c>
    </row>
    <row r="1972" spans="1:26" hidden="1" x14ac:dyDescent="0.25">
      <c r="A1972" t="s">
        <v>4370</v>
      </c>
      <c r="B1972" t="s">
        <v>38</v>
      </c>
      <c r="C1972" s="4">
        <v>44816</v>
      </c>
      <c r="D1972" s="4">
        <v>45869</v>
      </c>
      <c r="F1972" s="4">
        <v>45170</v>
      </c>
      <c r="G1972" t="s">
        <v>144</v>
      </c>
      <c r="H1972" t="s">
        <v>1744</v>
      </c>
      <c r="K1972" t="s">
        <v>146</v>
      </c>
      <c r="L1972" t="s">
        <v>3121</v>
      </c>
      <c r="M1972" t="s">
        <v>68</v>
      </c>
      <c r="N1972" t="s">
        <v>3122</v>
      </c>
      <c r="O1972" t="s">
        <v>1110</v>
      </c>
      <c r="P1972" t="s">
        <v>4371</v>
      </c>
      <c r="Q1972">
        <v>165</v>
      </c>
      <c r="R1972">
        <v>165</v>
      </c>
      <c r="S1972" t="s">
        <v>34</v>
      </c>
      <c r="T1972" t="s">
        <v>35</v>
      </c>
      <c r="U1972" t="s">
        <v>44</v>
      </c>
      <c r="W1972">
        <v>0</v>
      </c>
      <c r="X1972">
        <v>0</v>
      </c>
      <c r="Y1972">
        <v>0</v>
      </c>
      <c r="Z1972">
        <v>0</v>
      </c>
    </row>
    <row r="1973" spans="1:26" hidden="1" x14ac:dyDescent="0.25">
      <c r="A1973" t="s">
        <v>4372</v>
      </c>
      <c r="B1973" t="s">
        <v>2153</v>
      </c>
      <c r="C1973" s="4">
        <v>44816</v>
      </c>
      <c r="F1973" s="4">
        <v>37561</v>
      </c>
      <c r="G1973" t="s">
        <v>4373</v>
      </c>
      <c r="H1973" t="s">
        <v>4374</v>
      </c>
      <c r="K1973" t="s">
        <v>53</v>
      </c>
      <c r="L1973" t="s">
        <v>3121</v>
      </c>
      <c r="M1973" t="s">
        <v>54</v>
      </c>
      <c r="N1973" t="s">
        <v>3122</v>
      </c>
      <c r="O1973" t="s">
        <v>32</v>
      </c>
      <c r="P1973" t="s">
        <v>4375</v>
      </c>
      <c r="Q1973">
        <v>13.4</v>
      </c>
      <c r="R1973">
        <v>13.4</v>
      </c>
      <c r="S1973" t="s">
        <v>389</v>
      </c>
      <c r="T1973" t="s">
        <v>584</v>
      </c>
      <c r="U1973" t="s">
        <v>44</v>
      </c>
      <c r="W1973">
        <v>13.4</v>
      </c>
      <c r="X1973">
        <v>13.4</v>
      </c>
      <c r="Y1973">
        <v>0</v>
      </c>
      <c r="Z1973">
        <v>0</v>
      </c>
    </row>
    <row r="1974" spans="1:26" hidden="1" x14ac:dyDescent="0.25">
      <c r="A1974" t="s">
        <v>4376</v>
      </c>
      <c r="B1974" t="s">
        <v>2338</v>
      </c>
      <c r="C1974" s="4">
        <v>44819</v>
      </c>
      <c r="F1974" s="4">
        <v>46249</v>
      </c>
      <c r="G1974" t="s">
        <v>1679</v>
      </c>
      <c r="H1974" t="s">
        <v>4377</v>
      </c>
      <c r="K1974" t="s">
        <v>98</v>
      </c>
      <c r="L1974" t="s">
        <v>3121</v>
      </c>
      <c r="M1974" t="s">
        <v>84</v>
      </c>
      <c r="N1974" t="s">
        <v>2160</v>
      </c>
      <c r="O1974" t="s">
        <v>32</v>
      </c>
      <c r="P1974" t="s">
        <v>4378</v>
      </c>
      <c r="Q1974">
        <v>250</v>
      </c>
      <c r="R1974">
        <v>250</v>
      </c>
      <c r="S1974" t="s">
        <v>34</v>
      </c>
      <c r="T1974" t="s">
        <v>35</v>
      </c>
      <c r="U1974" t="s">
        <v>44</v>
      </c>
      <c r="W1974">
        <v>250</v>
      </c>
      <c r="X1974">
        <v>250</v>
      </c>
      <c r="Y1974">
        <v>0</v>
      </c>
      <c r="Z1974">
        <v>0</v>
      </c>
    </row>
    <row r="1975" spans="1:26" hidden="1" x14ac:dyDescent="0.25">
      <c r="A1975" t="s">
        <v>4379</v>
      </c>
      <c r="B1975" t="s">
        <v>38</v>
      </c>
      <c r="C1975" s="4">
        <v>44819</v>
      </c>
      <c r="D1975" s="4">
        <v>45009</v>
      </c>
      <c r="F1975" s="4">
        <v>46249</v>
      </c>
      <c r="G1975" t="s">
        <v>112</v>
      </c>
      <c r="H1975" t="s">
        <v>4380</v>
      </c>
      <c r="K1975" t="s">
        <v>114</v>
      </c>
      <c r="L1975" t="s">
        <v>3121</v>
      </c>
      <c r="M1975" t="s">
        <v>68</v>
      </c>
      <c r="N1975" t="s">
        <v>3122</v>
      </c>
      <c r="O1975" t="s">
        <v>32</v>
      </c>
      <c r="P1975" t="s">
        <v>4381</v>
      </c>
      <c r="Q1975">
        <v>280</v>
      </c>
      <c r="R1975">
        <v>280</v>
      </c>
      <c r="S1975" t="s">
        <v>34</v>
      </c>
      <c r="T1975" t="s">
        <v>35</v>
      </c>
      <c r="U1975" t="s">
        <v>44</v>
      </c>
      <c r="W1975">
        <v>0</v>
      </c>
      <c r="X1975">
        <v>0</v>
      </c>
      <c r="Y1975">
        <v>0</v>
      </c>
      <c r="Z1975">
        <v>0</v>
      </c>
    </row>
    <row r="1976" spans="1:26" hidden="1" x14ac:dyDescent="0.25">
      <c r="A1976" t="s">
        <v>4382</v>
      </c>
      <c r="B1976" t="s">
        <v>2153</v>
      </c>
      <c r="C1976" s="4">
        <v>44819</v>
      </c>
      <c r="F1976" s="4">
        <v>46249</v>
      </c>
      <c r="G1976" t="s">
        <v>117</v>
      </c>
      <c r="H1976" t="s">
        <v>1382</v>
      </c>
      <c r="K1976" t="s">
        <v>83</v>
      </c>
      <c r="L1976" t="s">
        <v>3121</v>
      </c>
      <c r="M1976" t="s">
        <v>84</v>
      </c>
      <c r="N1976" t="s">
        <v>2160</v>
      </c>
      <c r="O1976" t="s">
        <v>32</v>
      </c>
      <c r="P1976" t="s">
        <v>4383</v>
      </c>
      <c r="Q1976">
        <v>140</v>
      </c>
      <c r="R1976">
        <v>140</v>
      </c>
      <c r="S1976" t="s">
        <v>34</v>
      </c>
      <c r="T1976" t="s">
        <v>35</v>
      </c>
      <c r="U1976" t="s">
        <v>44</v>
      </c>
      <c r="W1976">
        <v>140</v>
      </c>
      <c r="X1976">
        <v>140</v>
      </c>
      <c r="Y1976">
        <v>0</v>
      </c>
      <c r="Z1976">
        <v>0</v>
      </c>
    </row>
    <row r="1977" spans="1:26" hidden="1" x14ac:dyDescent="0.25">
      <c r="A1977" t="s">
        <v>4384</v>
      </c>
      <c r="B1977" t="s">
        <v>2153</v>
      </c>
      <c r="C1977" s="4">
        <v>44819</v>
      </c>
      <c r="F1977" s="4">
        <v>46249</v>
      </c>
      <c r="G1977" t="s">
        <v>132</v>
      </c>
      <c r="H1977" t="s">
        <v>3392</v>
      </c>
      <c r="K1977" t="s">
        <v>83</v>
      </c>
      <c r="L1977" t="s">
        <v>3121</v>
      </c>
      <c r="M1977" t="s">
        <v>84</v>
      </c>
      <c r="N1977" t="s">
        <v>2160</v>
      </c>
      <c r="O1977" t="s">
        <v>32</v>
      </c>
      <c r="P1977" t="s">
        <v>4385</v>
      </c>
      <c r="Q1977">
        <v>250</v>
      </c>
      <c r="R1977">
        <v>250</v>
      </c>
      <c r="S1977" t="s">
        <v>34</v>
      </c>
      <c r="T1977" t="s">
        <v>35</v>
      </c>
      <c r="U1977" t="s">
        <v>44</v>
      </c>
      <c r="W1977">
        <v>250</v>
      </c>
      <c r="X1977">
        <v>250</v>
      </c>
      <c r="Y1977">
        <v>0</v>
      </c>
      <c r="Z1977">
        <v>0</v>
      </c>
    </row>
    <row r="1978" spans="1:26" hidden="1" x14ac:dyDescent="0.25">
      <c r="A1978" t="s">
        <v>4386</v>
      </c>
      <c r="B1978" t="s">
        <v>2153</v>
      </c>
      <c r="C1978" s="4">
        <v>44819</v>
      </c>
      <c r="F1978" s="4">
        <v>46249</v>
      </c>
      <c r="G1978" t="s">
        <v>117</v>
      </c>
      <c r="H1978" t="s">
        <v>1382</v>
      </c>
      <c r="K1978" t="s">
        <v>83</v>
      </c>
      <c r="L1978" t="s">
        <v>3121</v>
      </c>
      <c r="M1978" t="s">
        <v>84</v>
      </c>
      <c r="N1978" t="s">
        <v>2160</v>
      </c>
      <c r="O1978" t="s">
        <v>32</v>
      </c>
      <c r="P1978" t="s">
        <v>4383</v>
      </c>
      <c r="Q1978">
        <v>50</v>
      </c>
      <c r="R1978">
        <v>50</v>
      </c>
      <c r="S1978" t="s">
        <v>159</v>
      </c>
      <c r="T1978" t="s">
        <v>159</v>
      </c>
      <c r="U1978" t="s">
        <v>44</v>
      </c>
      <c r="W1978">
        <v>50</v>
      </c>
      <c r="X1978">
        <v>50</v>
      </c>
      <c r="Y1978">
        <v>0</v>
      </c>
      <c r="Z1978">
        <v>0</v>
      </c>
    </row>
    <row r="1979" spans="1:26" hidden="1" x14ac:dyDescent="0.25">
      <c r="A1979" t="s">
        <v>4387</v>
      </c>
      <c r="B1979" t="s">
        <v>38</v>
      </c>
      <c r="C1979" s="4">
        <v>44819</v>
      </c>
      <c r="D1979" s="4">
        <v>45869</v>
      </c>
      <c r="F1979" s="4">
        <v>45808</v>
      </c>
      <c r="G1979" t="s">
        <v>149</v>
      </c>
      <c r="H1979" t="s">
        <v>1279</v>
      </c>
      <c r="K1979" t="s">
        <v>151</v>
      </c>
      <c r="L1979" t="s">
        <v>3121</v>
      </c>
      <c r="M1979" t="s">
        <v>68</v>
      </c>
      <c r="N1979" t="s">
        <v>3122</v>
      </c>
      <c r="O1979" t="s">
        <v>32</v>
      </c>
      <c r="P1979" t="s">
        <v>4388</v>
      </c>
      <c r="Q1979">
        <v>44.1</v>
      </c>
      <c r="R1979">
        <v>44.1</v>
      </c>
      <c r="S1979" t="s">
        <v>597</v>
      </c>
      <c r="T1979" t="s">
        <v>598</v>
      </c>
      <c r="U1979" t="s">
        <v>44</v>
      </c>
      <c r="W1979">
        <v>0</v>
      </c>
      <c r="X1979">
        <v>0</v>
      </c>
      <c r="Y1979">
        <v>0</v>
      </c>
      <c r="Z1979">
        <v>0</v>
      </c>
    </row>
    <row r="1980" spans="1:26" hidden="1" x14ac:dyDescent="0.25">
      <c r="A1980" t="s">
        <v>4389</v>
      </c>
      <c r="B1980" t="s">
        <v>38</v>
      </c>
      <c r="C1980" s="4">
        <v>44819</v>
      </c>
      <c r="D1980" s="4">
        <v>45869</v>
      </c>
      <c r="F1980" s="4">
        <v>45808</v>
      </c>
      <c r="G1980" t="s">
        <v>2944</v>
      </c>
      <c r="H1980" t="s">
        <v>2366</v>
      </c>
      <c r="K1980" t="s">
        <v>151</v>
      </c>
      <c r="L1980" t="s">
        <v>3121</v>
      </c>
      <c r="M1980" t="s">
        <v>68</v>
      </c>
      <c r="N1980" t="s">
        <v>3122</v>
      </c>
      <c r="O1980" t="s">
        <v>32</v>
      </c>
      <c r="P1980" t="s">
        <v>4390</v>
      </c>
      <c r="Q1980">
        <v>50</v>
      </c>
      <c r="R1980">
        <v>50</v>
      </c>
      <c r="S1980" t="s">
        <v>597</v>
      </c>
      <c r="T1980" t="s">
        <v>598</v>
      </c>
      <c r="U1980" t="s">
        <v>44</v>
      </c>
      <c r="W1980">
        <v>0</v>
      </c>
      <c r="X1980">
        <v>0</v>
      </c>
      <c r="Y1980">
        <v>0</v>
      </c>
      <c r="Z1980">
        <v>0</v>
      </c>
    </row>
    <row r="1981" spans="1:26" hidden="1" x14ac:dyDescent="0.25">
      <c r="A1981" t="s">
        <v>4391</v>
      </c>
      <c r="B1981" t="s">
        <v>38</v>
      </c>
      <c r="C1981" s="4">
        <v>44817</v>
      </c>
      <c r="D1981" s="4">
        <v>45009</v>
      </c>
      <c r="F1981" s="4">
        <v>46630</v>
      </c>
      <c r="G1981" t="s">
        <v>65</v>
      </c>
      <c r="H1981" t="s">
        <v>3734</v>
      </c>
      <c r="K1981" t="s">
        <v>67</v>
      </c>
      <c r="L1981" t="s">
        <v>3121</v>
      </c>
      <c r="M1981" t="s">
        <v>68</v>
      </c>
      <c r="N1981" t="s">
        <v>3122</v>
      </c>
      <c r="O1981" t="s">
        <v>32</v>
      </c>
      <c r="P1981" t="s">
        <v>4392</v>
      </c>
      <c r="Q1981">
        <v>150</v>
      </c>
      <c r="R1981">
        <v>150</v>
      </c>
      <c r="S1981" t="s">
        <v>34</v>
      </c>
      <c r="T1981" t="s">
        <v>35</v>
      </c>
      <c r="U1981" t="s">
        <v>44</v>
      </c>
      <c r="W1981">
        <v>0</v>
      </c>
      <c r="X1981">
        <v>0</v>
      </c>
      <c r="Y1981">
        <v>0</v>
      </c>
      <c r="Z1981">
        <v>0</v>
      </c>
    </row>
    <row r="1982" spans="1:26" hidden="1" x14ac:dyDescent="0.25">
      <c r="A1982" t="s">
        <v>4393</v>
      </c>
      <c r="B1982" t="s">
        <v>38</v>
      </c>
      <c r="C1982" s="4">
        <v>44817</v>
      </c>
      <c r="D1982" s="4">
        <v>45010</v>
      </c>
      <c r="F1982" s="4">
        <v>46326</v>
      </c>
      <c r="G1982" t="s">
        <v>65</v>
      </c>
      <c r="H1982" t="s">
        <v>2526</v>
      </c>
      <c r="K1982" t="s">
        <v>67</v>
      </c>
      <c r="L1982" t="s">
        <v>3121</v>
      </c>
      <c r="M1982" t="s">
        <v>68</v>
      </c>
      <c r="N1982" t="s">
        <v>3122</v>
      </c>
      <c r="O1982" t="s">
        <v>32</v>
      </c>
      <c r="P1982" t="s">
        <v>4394</v>
      </c>
      <c r="Q1982">
        <v>100</v>
      </c>
      <c r="R1982">
        <v>100</v>
      </c>
      <c r="S1982" t="s">
        <v>159</v>
      </c>
      <c r="T1982" t="s">
        <v>159</v>
      </c>
      <c r="U1982" t="s">
        <v>44</v>
      </c>
      <c r="W1982">
        <v>0</v>
      </c>
      <c r="X1982">
        <v>0</v>
      </c>
      <c r="Y1982">
        <v>0</v>
      </c>
      <c r="Z1982">
        <v>0</v>
      </c>
    </row>
    <row r="1983" spans="1:26" hidden="1" x14ac:dyDescent="0.25">
      <c r="A1983" t="s">
        <v>4395</v>
      </c>
      <c r="B1983" t="s">
        <v>38</v>
      </c>
      <c r="C1983" s="4">
        <v>44817</v>
      </c>
      <c r="D1983" s="4">
        <v>45957</v>
      </c>
      <c r="F1983" s="4">
        <v>45199</v>
      </c>
      <c r="G1983" t="s">
        <v>117</v>
      </c>
      <c r="H1983" t="s">
        <v>3260</v>
      </c>
      <c r="K1983" t="s">
        <v>83</v>
      </c>
      <c r="L1983" t="s">
        <v>3121</v>
      </c>
      <c r="M1983" t="s">
        <v>84</v>
      </c>
      <c r="N1983" t="s">
        <v>2160</v>
      </c>
      <c r="O1983" t="s">
        <v>32</v>
      </c>
      <c r="P1983" t="s">
        <v>4396</v>
      </c>
      <c r="Q1983">
        <v>50</v>
      </c>
      <c r="R1983">
        <v>50</v>
      </c>
      <c r="S1983" t="s">
        <v>34</v>
      </c>
      <c r="T1983" t="s">
        <v>35</v>
      </c>
      <c r="U1983" t="s">
        <v>44</v>
      </c>
      <c r="W1983">
        <v>0</v>
      </c>
      <c r="X1983">
        <v>0</v>
      </c>
      <c r="Y1983">
        <v>0</v>
      </c>
      <c r="Z1983">
        <v>0</v>
      </c>
    </row>
    <row r="1984" spans="1:26" hidden="1" x14ac:dyDescent="0.25">
      <c r="A1984" t="s">
        <v>4397</v>
      </c>
      <c r="B1984" t="s">
        <v>38</v>
      </c>
      <c r="C1984" s="4">
        <v>44818</v>
      </c>
      <c r="D1984" s="4">
        <v>45869</v>
      </c>
      <c r="F1984" s="4">
        <v>45201</v>
      </c>
      <c r="G1984" t="s">
        <v>112</v>
      </c>
      <c r="H1984" t="s">
        <v>1813</v>
      </c>
      <c r="K1984" t="s">
        <v>114</v>
      </c>
      <c r="L1984" t="s">
        <v>3121</v>
      </c>
      <c r="M1984" t="s">
        <v>68</v>
      </c>
      <c r="N1984" t="s">
        <v>3122</v>
      </c>
      <c r="O1984" t="s">
        <v>32</v>
      </c>
      <c r="P1984" t="s">
        <v>4398</v>
      </c>
      <c r="Q1984">
        <v>100</v>
      </c>
      <c r="R1984">
        <v>100</v>
      </c>
      <c r="S1984" t="s">
        <v>34</v>
      </c>
      <c r="T1984" t="s">
        <v>35</v>
      </c>
      <c r="U1984" t="s">
        <v>44</v>
      </c>
      <c r="W1984">
        <v>0</v>
      </c>
      <c r="X1984">
        <v>0</v>
      </c>
      <c r="Y1984">
        <v>0</v>
      </c>
      <c r="Z1984">
        <v>0</v>
      </c>
    </row>
    <row r="1985" spans="1:26" hidden="1" x14ac:dyDescent="0.25">
      <c r="A1985" t="s">
        <v>4399</v>
      </c>
      <c r="B1985" t="s">
        <v>38</v>
      </c>
      <c r="C1985" s="4">
        <v>44818</v>
      </c>
      <c r="D1985" s="4">
        <v>45957</v>
      </c>
      <c r="F1985" s="4">
        <v>45199</v>
      </c>
      <c r="G1985" t="s">
        <v>1251</v>
      </c>
      <c r="H1985" t="s">
        <v>4400</v>
      </c>
      <c r="K1985" t="s">
        <v>109</v>
      </c>
      <c r="L1985" t="s">
        <v>3121</v>
      </c>
      <c r="M1985" t="s">
        <v>84</v>
      </c>
      <c r="N1985" t="s">
        <v>2160</v>
      </c>
      <c r="O1985" t="s">
        <v>32</v>
      </c>
      <c r="P1985" t="s">
        <v>4401</v>
      </c>
      <c r="Q1985">
        <v>30</v>
      </c>
      <c r="R1985">
        <v>30</v>
      </c>
      <c r="S1985" t="s">
        <v>34</v>
      </c>
      <c r="T1985" t="s">
        <v>35</v>
      </c>
      <c r="U1985" t="s">
        <v>44</v>
      </c>
      <c r="W1985">
        <v>0</v>
      </c>
      <c r="X1985">
        <v>0</v>
      </c>
      <c r="Y1985">
        <v>0</v>
      </c>
      <c r="Z1985">
        <v>0</v>
      </c>
    </row>
    <row r="1986" spans="1:26" hidden="1" x14ac:dyDescent="0.25">
      <c r="A1986" t="s">
        <v>4402</v>
      </c>
      <c r="B1986" t="s">
        <v>2153</v>
      </c>
      <c r="C1986" s="4">
        <v>44818</v>
      </c>
      <c r="F1986" s="4">
        <v>45199</v>
      </c>
      <c r="H1986" t="s">
        <v>1996</v>
      </c>
      <c r="K1986" t="s">
        <v>83</v>
      </c>
      <c r="L1986" t="s">
        <v>3121</v>
      </c>
      <c r="M1986" t="s">
        <v>84</v>
      </c>
      <c r="N1986" t="s">
        <v>2160</v>
      </c>
      <c r="O1986" t="s">
        <v>32</v>
      </c>
      <c r="P1986" t="s">
        <v>4403</v>
      </c>
      <c r="Q1986">
        <v>35</v>
      </c>
      <c r="R1986">
        <v>35</v>
      </c>
      <c r="S1986" t="s">
        <v>34</v>
      </c>
      <c r="T1986" t="s">
        <v>35</v>
      </c>
      <c r="U1986" t="s">
        <v>44</v>
      </c>
      <c r="W1986">
        <v>35</v>
      </c>
      <c r="X1986">
        <v>35</v>
      </c>
      <c r="Y1986">
        <v>0</v>
      </c>
      <c r="Z1986">
        <v>0</v>
      </c>
    </row>
    <row r="1987" spans="1:26" hidden="1" x14ac:dyDescent="0.25">
      <c r="A1987" t="s">
        <v>4404</v>
      </c>
      <c r="B1987" t="s">
        <v>2153</v>
      </c>
      <c r="C1987" s="4">
        <v>44819</v>
      </c>
      <c r="F1987" s="4">
        <v>45915</v>
      </c>
      <c r="G1987" t="s">
        <v>1326</v>
      </c>
      <c r="H1987" t="s">
        <v>1505</v>
      </c>
      <c r="K1987" t="s">
        <v>67</v>
      </c>
      <c r="L1987" t="s">
        <v>3121</v>
      </c>
      <c r="M1987" t="s">
        <v>68</v>
      </c>
      <c r="N1987" t="s">
        <v>3122</v>
      </c>
      <c r="O1987" t="s">
        <v>122</v>
      </c>
      <c r="P1987" t="s">
        <v>4405</v>
      </c>
      <c r="Q1987">
        <v>140</v>
      </c>
      <c r="R1987">
        <v>140</v>
      </c>
      <c r="S1987" t="s">
        <v>34</v>
      </c>
      <c r="T1987" t="s">
        <v>35</v>
      </c>
      <c r="U1987" t="s">
        <v>44</v>
      </c>
      <c r="W1987">
        <v>140</v>
      </c>
      <c r="X1987">
        <v>0</v>
      </c>
      <c r="Y1987">
        <v>0</v>
      </c>
      <c r="Z1987">
        <v>0</v>
      </c>
    </row>
    <row r="1988" spans="1:26" hidden="1" x14ac:dyDescent="0.25">
      <c r="A1988" t="s">
        <v>4406</v>
      </c>
      <c r="B1988" t="s">
        <v>38</v>
      </c>
      <c r="C1988" s="4">
        <v>44819</v>
      </c>
      <c r="D1988" s="4">
        <v>45869</v>
      </c>
      <c r="F1988" s="4">
        <v>45915</v>
      </c>
      <c r="G1988" t="s">
        <v>65</v>
      </c>
      <c r="H1988" t="s">
        <v>1542</v>
      </c>
      <c r="K1988" t="s">
        <v>67</v>
      </c>
      <c r="L1988" t="s">
        <v>3121</v>
      </c>
      <c r="M1988" t="s">
        <v>68</v>
      </c>
      <c r="N1988" t="s">
        <v>3122</v>
      </c>
      <c r="O1988" t="s">
        <v>32</v>
      </c>
      <c r="P1988" t="s">
        <v>4407</v>
      </c>
      <c r="Q1988">
        <v>150</v>
      </c>
      <c r="R1988">
        <v>150</v>
      </c>
      <c r="S1988" t="s">
        <v>34</v>
      </c>
      <c r="T1988" t="s">
        <v>35</v>
      </c>
      <c r="U1988" t="s">
        <v>44</v>
      </c>
      <c r="W1988">
        <v>0</v>
      </c>
      <c r="X1988">
        <v>0</v>
      </c>
      <c r="Y1988">
        <v>0</v>
      </c>
      <c r="Z1988">
        <v>0</v>
      </c>
    </row>
    <row r="1989" spans="1:26" hidden="1" x14ac:dyDescent="0.25">
      <c r="A1989" t="s">
        <v>4408</v>
      </c>
      <c r="B1989" t="s">
        <v>2153</v>
      </c>
      <c r="C1989" s="4">
        <v>44819</v>
      </c>
      <c r="F1989" s="4">
        <v>45915</v>
      </c>
      <c r="H1989" t="s">
        <v>2764</v>
      </c>
      <c r="K1989" t="s">
        <v>67</v>
      </c>
      <c r="L1989" t="s">
        <v>3121</v>
      </c>
      <c r="M1989" t="s">
        <v>68</v>
      </c>
      <c r="N1989" t="s">
        <v>3122</v>
      </c>
      <c r="O1989" t="s">
        <v>122</v>
      </c>
      <c r="P1989" t="s">
        <v>4409</v>
      </c>
      <c r="Q1989">
        <v>135</v>
      </c>
      <c r="R1989">
        <v>135</v>
      </c>
      <c r="S1989" t="s">
        <v>34</v>
      </c>
      <c r="T1989" t="s">
        <v>35</v>
      </c>
      <c r="U1989" t="s">
        <v>44</v>
      </c>
      <c r="W1989">
        <v>135</v>
      </c>
      <c r="X1989">
        <v>0</v>
      </c>
      <c r="Y1989">
        <v>0</v>
      </c>
      <c r="Z1989">
        <v>0</v>
      </c>
    </row>
    <row r="1990" spans="1:26" hidden="1" x14ac:dyDescent="0.25">
      <c r="A1990" t="s">
        <v>4410</v>
      </c>
      <c r="B1990" t="s">
        <v>2153</v>
      </c>
      <c r="C1990" s="4">
        <v>44819</v>
      </c>
      <c r="F1990" s="4">
        <v>45915</v>
      </c>
      <c r="H1990" t="s">
        <v>2482</v>
      </c>
      <c r="K1990" t="s">
        <v>67</v>
      </c>
      <c r="L1990" t="s">
        <v>3121</v>
      </c>
      <c r="M1990" t="s">
        <v>68</v>
      </c>
      <c r="N1990" t="s">
        <v>3122</v>
      </c>
      <c r="O1990" t="s">
        <v>122</v>
      </c>
      <c r="P1990" t="s">
        <v>4411</v>
      </c>
      <c r="Q1990">
        <v>80</v>
      </c>
      <c r="R1990">
        <v>80</v>
      </c>
      <c r="S1990" t="s">
        <v>34</v>
      </c>
      <c r="T1990" t="s">
        <v>35</v>
      </c>
      <c r="U1990" t="s">
        <v>44</v>
      </c>
      <c r="W1990">
        <v>80</v>
      </c>
      <c r="X1990">
        <v>0</v>
      </c>
      <c r="Y1990">
        <v>0</v>
      </c>
      <c r="Z1990">
        <v>0</v>
      </c>
    </row>
    <row r="1991" spans="1:26" hidden="1" x14ac:dyDescent="0.25">
      <c r="A1991" t="s">
        <v>4412</v>
      </c>
      <c r="B1991" t="s">
        <v>2153</v>
      </c>
      <c r="C1991" s="4">
        <v>44818</v>
      </c>
      <c r="F1991" s="4">
        <v>45915</v>
      </c>
      <c r="G1991" t="s">
        <v>138</v>
      </c>
      <c r="H1991" t="s">
        <v>1676</v>
      </c>
      <c r="K1991" t="s">
        <v>98</v>
      </c>
      <c r="L1991" t="s">
        <v>3121</v>
      </c>
      <c r="M1991" t="s">
        <v>84</v>
      </c>
      <c r="N1991" t="s">
        <v>2160</v>
      </c>
      <c r="O1991" t="s">
        <v>122</v>
      </c>
      <c r="P1991" t="s">
        <v>4413</v>
      </c>
      <c r="Q1991">
        <v>200</v>
      </c>
      <c r="R1991">
        <v>200</v>
      </c>
      <c r="S1991" t="s">
        <v>34</v>
      </c>
      <c r="T1991" t="s">
        <v>35</v>
      </c>
      <c r="U1991" t="s">
        <v>44</v>
      </c>
      <c r="W1991">
        <v>200</v>
      </c>
      <c r="X1991">
        <v>0</v>
      </c>
      <c r="Y1991">
        <v>0</v>
      </c>
      <c r="Z1991">
        <v>0</v>
      </c>
    </row>
    <row r="1992" spans="1:26" hidden="1" x14ac:dyDescent="0.25">
      <c r="A1992" t="s">
        <v>4414</v>
      </c>
      <c r="B1992" t="s">
        <v>2153</v>
      </c>
      <c r="C1992" s="4">
        <v>44818</v>
      </c>
      <c r="F1992" s="4">
        <v>45731</v>
      </c>
      <c r="G1992" t="s">
        <v>1368</v>
      </c>
      <c r="H1992" t="s">
        <v>2987</v>
      </c>
      <c r="K1992" t="s">
        <v>209</v>
      </c>
      <c r="L1992" t="s">
        <v>3121</v>
      </c>
      <c r="M1992" t="s">
        <v>42</v>
      </c>
      <c r="N1992" t="s">
        <v>3122</v>
      </c>
      <c r="O1992" t="s">
        <v>32</v>
      </c>
      <c r="P1992" t="s">
        <v>4415</v>
      </c>
      <c r="Q1992">
        <v>175</v>
      </c>
      <c r="R1992">
        <v>175</v>
      </c>
      <c r="S1992" t="s">
        <v>56</v>
      </c>
      <c r="T1992" t="s">
        <v>57</v>
      </c>
      <c r="U1992" t="s">
        <v>44</v>
      </c>
      <c r="W1992">
        <v>175</v>
      </c>
      <c r="X1992">
        <v>175</v>
      </c>
      <c r="Y1992">
        <v>0</v>
      </c>
      <c r="Z1992">
        <v>0</v>
      </c>
    </row>
    <row r="1993" spans="1:26" hidden="1" x14ac:dyDescent="0.25">
      <c r="A1993" t="s">
        <v>4416</v>
      </c>
      <c r="B1993" t="s">
        <v>2153</v>
      </c>
      <c r="C1993" s="4">
        <v>44818</v>
      </c>
      <c r="F1993" s="4">
        <v>45823</v>
      </c>
      <c r="G1993" t="s">
        <v>1368</v>
      </c>
      <c r="H1993" t="s">
        <v>2168</v>
      </c>
      <c r="K1993" t="s">
        <v>209</v>
      </c>
      <c r="L1993" t="s">
        <v>3121</v>
      </c>
      <c r="M1993" t="s">
        <v>42</v>
      </c>
      <c r="N1993" t="s">
        <v>3122</v>
      </c>
      <c r="O1993" t="s">
        <v>32</v>
      </c>
      <c r="P1993" t="s">
        <v>4417</v>
      </c>
      <c r="Q1993">
        <v>200</v>
      </c>
      <c r="R1993">
        <v>200</v>
      </c>
      <c r="S1993" t="s">
        <v>56</v>
      </c>
      <c r="T1993" t="s">
        <v>57</v>
      </c>
      <c r="U1993" t="s">
        <v>44</v>
      </c>
      <c r="W1993">
        <v>200</v>
      </c>
      <c r="X1993">
        <v>200</v>
      </c>
      <c r="Y1993">
        <v>0</v>
      </c>
      <c r="Z1993">
        <v>0</v>
      </c>
    </row>
    <row r="1994" spans="1:26" hidden="1" x14ac:dyDescent="0.25">
      <c r="A1994" t="s">
        <v>4418</v>
      </c>
      <c r="B1994" t="s">
        <v>2153</v>
      </c>
      <c r="C1994" s="4">
        <v>44818</v>
      </c>
      <c r="F1994" s="4">
        <v>45823</v>
      </c>
      <c r="G1994" t="s">
        <v>1368</v>
      </c>
      <c r="H1994" t="s">
        <v>2191</v>
      </c>
      <c r="K1994" t="s">
        <v>209</v>
      </c>
      <c r="L1994" t="s">
        <v>3121</v>
      </c>
      <c r="M1994" t="s">
        <v>42</v>
      </c>
      <c r="N1994" t="s">
        <v>3122</v>
      </c>
      <c r="O1994" t="s">
        <v>32</v>
      </c>
      <c r="P1994" t="s">
        <v>4419</v>
      </c>
      <c r="Q1994">
        <v>200</v>
      </c>
      <c r="R1994">
        <v>200</v>
      </c>
      <c r="S1994" t="s">
        <v>56</v>
      </c>
      <c r="T1994" t="s">
        <v>57</v>
      </c>
      <c r="U1994" t="s">
        <v>44</v>
      </c>
      <c r="W1994">
        <v>200</v>
      </c>
      <c r="X1994">
        <v>200</v>
      </c>
      <c r="Y1994">
        <v>0</v>
      </c>
      <c r="Z1994">
        <v>0</v>
      </c>
    </row>
    <row r="1995" spans="1:26" hidden="1" x14ac:dyDescent="0.25">
      <c r="A1995" t="s">
        <v>4420</v>
      </c>
      <c r="B1995" t="s">
        <v>2153</v>
      </c>
      <c r="C1995" s="4">
        <v>44818</v>
      </c>
      <c r="F1995" s="4">
        <v>45915</v>
      </c>
      <c r="G1995" t="s">
        <v>907</v>
      </c>
      <c r="H1995" t="s">
        <v>2052</v>
      </c>
      <c r="K1995" t="s">
        <v>53</v>
      </c>
      <c r="L1995" t="s">
        <v>3121</v>
      </c>
      <c r="M1995" t="s">
        <v>54</v>
      </c>
      <c r="N1995" t="s">
        <v>3122</v>
      </c>
      <c r="O1995" t="s">
        <v>32</v>
      </c>
      <c r="P1995" t="s">
        <v>4029</v>
      </c>
      <c r="Q1995">
        <v>200</v>
      </c>
      <c r="R1995">
        <v>200</v>
      </c>
      <c r="S1995" t="s">
        <v>159</v>
      </c>
      <c r="T1995" t="s">
        <v>159</v>
      </c>
      <c r="U1995" t="s">
        <v>44</v>
      </c>
      <c r="W1995">
        <v>200</v>
      </c>
      <c r="X1995">
        <v>200</v>
      </c>
      <c r="Y1995">
        <v>0</v>
      </c>
      <c r="Z1995">
        <v>0</v>
      </c>
    </row>
    <row r="1996" spans="1:26" hidden="1" x14ac:dyDescent="0.25">
      <c r="A1996" t="s">
        <v>4421</v>
      </c>
      <c r="B1996" t="s">
        <v>38</v>
      </c>
      <c r="C1996" s="4">
        <v>44819</v>
      </c>
      <c r="D1996" s="4">
        <v>45869</v>
      </c>
      <c r="F1996" s="4">
        <v>45915</v>
      </c>
      <c r="G1996" t="s">
        <v>112</v>
      </c>
      <c r="H1996" t="s">
        <v>1813</v>
      </c>
      <c r="K1996" t="s">
        <v>114</v>
      </c>
      <c r="L1996" t="s">
        <v>3121</v>
      </c>
      <c r="M1996" t="s">
        <v>68</v>
      </c>
      <c r="N1996" t="s">
        <v>3122</v>
      </c>
      <c r="O1996" t="s">
        <v>32</v>
      </c>
      <c r="P1996" t="s">
        <v>4422</v>
      </c>
      <c r="Q1996">
        <v>160</v>
      </c>
      <c r="R1996">
        <v>160</v>
      </c>
      <c r="S1996" t="s">
        <v>159</v>
      </c>
      <c r="T1996" t="s">
        <v>159</v>
      </c>
      <c r="U1996" t="s">
        <v>44</v>
      </c>
      <c r="W1996">
        <v>0</v>
      </c>
      <c r="X1996">
        <v>0</v>
      </c>
      <c r="Y1996">
        <v>0</v>
      </c>
      <c r="Z1996">
        <v>0</v>
      </c>
    </row>
    <row r="1997" spans="1:26" hidden="1" x14ac:dyDescent="0.25">
      <c r="A1997" t="s">
        <v>4423</v>
      </c>
      <c r="B1997" t="s">
        <v>38</v>
      </c>
      <c r="C1997" s="4">
        <v>44819</v>
      </c>
      <c r="D1997" s="4">
        <v>45009</v>
      </c>
      <c r="F1997" s="4">
        <v>45915</v>
      </c>
      <c r="G1997" t="s">
        <v>65</v>
      </c>
      <c r="H1997" t="s">
        <v>1505</v>
      </c>
      <c r="K1997" t="s">
        <v>67</v>
      </c>
      <c r="L1997" t="s">
        <v>3121</v>
      </c>
      <c r="M1997" t="s">
        <v>68</v>
      </c>
      <c r="N1997" t="s">
        <v>3122</v>
      </c>
      <c r="O1997" t="s">
        <v>32</v>
      </c>
      <c r="P1997" t="s">
        <v>4424</v>
      </c>
      <c r="Q1997">
        <v>80</v>
      </c>
      <c r="R1997">
        <v>80</v>
      </c>
      <c r="S1997" t="s">
        <v>159</v>
      </c>
      <c r="T1997" t="s">
        <v>159</v>
      </c>
      <c r="U1997" t="s">
        <v>44</v>
      </c>
      <c r="W1997">
        <v>0</v>
      </c>
      <c r="X1997">
        <v>0</v>
      </c>
      <c r="Y1997">
        <v>0</v>
      </c>
      <c r="Z1997">
        <v>0</v>
      </c>
    </row>
    <row r="1998" spans="1:26" hidden="1" x14ac:dyDescent="0.25">
      <c r="A1998" t="s">
        <v>4425</v>
      </c>
      <c r="B1998" t="s">
        <v>38</v>
      </c>
      <c r="C1998" s="4">
        <v>44819</v>
      </c>
      <c r="D1998" s="4">
        <v>45009</v>
      </c>
      <c r="F1998" s="4">
        <v>45915</v>
      </c>
      <c r="G1998" t="s">
        <v>1136</v>
      </c>
      <c r="H1998" t="s">
        <v>2482</v>
      </c>
      <c r="K1998" t="s">
        <v>67</v>
      </c>
      <c r="L1998" t="s">
        <v>3121</v>
      </c>
      <c r="M1998" t="s">
        <v>68</v>
      </c>
      <c r="N1998" t="s">
        <v>3122</v>
      </c>
      <c r="O1998" t="s">
        <v>32</v>
      </c>
      <c r="P1998" t="s">
        <v>4426</v>
      </c>
      <c r="Q1998">
        <v>40</v>
      </c>
      <c r="R1998">
        <v>40</v>
      </c>
      <c r="S1998" t="s">
        <v>159</v>
      </c>
      <c r="T1998" t="s">
        <v>159</v>
      </c>
      <c r="U1998" t="s">
        <v>44</v>
      </c>
      <c r="W1998">
        <v>0</v>
      </c>
      <c r="X1998">
        <v>0</v>
      </c>
      <c r="Y1998">
        <v>0</v>
      </c>
      <c r="Z1998">
        <v>0</v>
      </c>
    </row>
    <row r="1999" spans="1:26" hidden="1" x14ac:dyDescent="0.25">
      <c r="A1999" t="s">
        <v>4427</v>
      </c>
      <c r="B1999" t="s">
        <v>38</v>
      </c>
      <c r="C1999" s="4">
        <v>44819</v>
      </c>
      <c r="D1999" s="4">
        <v>45009</v>
      </c>
      <c r="F1999" s="4">
        <v>45915</v>
      </c>
      <c r="G1999" t="s">
        <v>65</v>
      </c>
      <c r="H1999" t="s">
        <v>2764</v>
      </c>
      <c r="K1999" t="s">
        <v>67</v>
      </c>
      <c r="L1999" t="s">
        <v>3121</v>
      </c>
      <c r="M1999" t="s">
        <v>68</v>
      </c>
      <c r="N1999" t="s">
        <v>3122</v>
      </c>
      <c r="O1999" t="s">
        <v>32</v>
      </c>
      <c r="P1999" t="s">
        <v>4428</v>
      </c>
      <c r="Q1999">
        <v>80</v>
      </c>
      <c r="R1999">
        <v>80</v>
      </c>
      <c r="S1999" t="s">
        <v>159</v>
      </c>
      <c r="T1999" t="s">
        <v>159</v>
      </c>
      <c r="U1999" t="s">
        <v>44</v>
      </c>
      <c r="W1999">
        <v>0</v>
      </c>
      <c r="X1999">
        <v>0</v>
      </c>
      <c r="Y1999">
        <v>0</v>
      </c>
      <c r="Z1999">
        <v>0</v>
      </c>
    </row>
    <row r="2000" spans="1:26" hidden="1" x14ac:dyDescent="0.25">
      <c r="A2000" t="s">
        <v>4429</v>
      </c>
      <c r="B2000" t="s">
        <v>38</v>
      </c>
      <c r="C2000" s="4">
        <v>44819</v>
      </c>
      <c r="D2000" s="4">
        <v>45869</v>
      </c>
      <c r="F2000" s="4">
        <v>45915</v>
      </c>
      <c r="G2000" t="s">
        <v>65</v>
      </c>
      <c r="H2000" t="s">
        <v>1542</v>
      </c>
      <c r="K2000" t="s">
        <v>67</v>
      </c>
      <c r="L2000" t="s">
        <v>3121</v>
      </c>
      <c r="M2000" t="s">
        <v>68</v>
      </c>
      <c r="N2000" t="s">
        <v>3122</v>
      </c>
      <c r="O2000" t="s">
        <v>32</v>
      </c>
      <c r="P2000" t="s">
        <v>4407</v>
      </c>
      <c r="Q2000">
        <v>50</v>
      </c>
      <c r="R2000">
        <v>50</v>
      </c>
      <c r="S2000" t="s">
        <v>159</v>
      </c>
      <c r="T2000" t="s">
        <v>159</v>
      </c>
      <c r="U2000" t="s">
        <v>44</v>
      </c>
      <c r="W2000">
        <v>0</v>
      </c>
      <c r="X2000">
        <v>0</v>
      </c>
      <c r="Y2000">
        <v>0</v>
      </c>
      <c r="Z2000">
        <v>0</v>
      </c>
    </row>
    <row r="2001" spans="1:26" hidden="1" x14ac:dyDescent="0.25">
      <c r="A2001" t="s">
        <v>4430</v>
      </c>
      <c r="B2001" t="s">
        <v>2153</v>
      </c>
      <c r="C2001" s="4">
        <v>44818</v>
      </c>
      <c r="F2001" s="4">
        <v>45915</v>
      </c>
      <c r="G2001" t="s">
        <v>907</v>
      </c>
      <c r="H2001" t="s">
        <v>1396</v>
      </c>
      <c r="K2001" t="s">
        <v>53</v>
      </c>
      <c r="L2001" t="s">
        <v>3121</v>
      </c>
      <c r="M2001" t="s">
        <v>54</v>
      </c>
      <c r="N2001" t="s">
        <v>3122</v>
      </c>
      <c r="O2001" t="s">
        <v>32</v>
      </c>
      <c r="P2001" t="s">
        <v>4431</v>
      </c>
      <c r="Q2001">
        <v>160</v>
      </c>
      <c r="R2001">
        <v>160</v>
      </c>
      <c r="S2001" t="s">
        <v>159</v>
      </c>
      <c r="T2001" t="s">
        <v>159</v>
      </c>
      <c r="U2001" t="s">
        <v>44</v>
      </c>
      <c r="W2001">
        <v>160</v>
      </c>
      <c r="X2001">
        <v>160</v>
      </c>
      <c r="Y2001">
        <v>0</v>
      </c>
      <c r="Z2001">
        <v>0</v>
      </c>
    </row>
    <row r="2002" spans="1:26" hidden="1" x14ac:dyDescent="0.25">
      <c r="A2002" t="s">
        <v>4432</v>
      </c>
      <c r="B2002" t="s">
        <v>2153</v>
      </c>
      <c r="C2002" s="4">
        <v>44818</v>
      </c>
      <c r="F2002" s="4">
        <v>45915</v>
      </c>
      <c r="G2002" t="s">
        <v>117</v>
      </c>
      <c r="H2002" t="s">
        <v>1333</v>
      </c>
      <c r="K2002" t="s">
        <v>83</v>
      </c>
      <c r="L2002" t="s">
        <v>3121</v>
      </c>
      <c r="M2002" t="s">
        <v>84</v>
      </c>
      <c r="N2002" t="s">
        <v>2160</v>
      </c>
      <c r="O2002" t="s">
        <v>32</v>
      </c>
      <c r="P2002" t="s">
        <v>4433</v>
      </c>
      <c r="Q2002">
        <v>200</v>
      </c>
      <c r="R2002">
        <v>200</v>
      </c>
      <c r="S2002" t="s">
        <v>159</v>
      </c>
      <c r="T2002" t="s">
        <v>159</v>
      </c>
      <c r="U2002" t="s">
        <v>44</v>
      </c>
      <c r="W2002">
        <v>200</v>
      </c>
      <c r="X2002">
        <v>200</v>
      </c>
      <c r="Y2002">
        <v>0</v>
      </c>
      <c r="Z2002">
        <v>0</v>
      </c>
    </row>
    <row r="2003" spans="1:26" hidden="1" x14ac:dyDescent="0.25">
      <c r="A2003" t="s">
        <v>4434</v>
      </c>
      <c r="B2003" t="s">
        <v>2153</v>
      </c>
      <c r="C2003" s="4">
        <v>44819</v>
      </c>
      <c r="F2003" s="4">
        <v>45915</v>
      </c>
      <c r="H2003" t="s">
        <v>1813</v>
      </c>
      <c r="K2003" t="s">
        <v>114</v>
      </c>
      <c r="L2003" t="s">
        <v>3121</v>
      </c>
      <c r="M2003" t="s">
        <v>68</v>
      </c>
      <c r="N2003" t="s">
        <v>3122</v>
      </c>
      <c r="O2003" t="s">
        <v>32</v>
      </c>
      <c r="P2003" t="s">
        <v>4435</v>
      </c>
      <c r="Q2003">
        <v>250</v>
      </c>
      <c r="R2003">
        <v>250</v>
      </c>
      <c r="S2003" t="s">
        <v>34</v>
      </c>
      <c r="T2003" t="s">
        <v>35</v>
      </c>
      <c r="U2003" t="s">
        <v>44</v>
      </c>
      <c r="W2003">
        <v>250</v>
      </c>
      <c r="X2003">
        <v>150</v>
      </c>
      <c r="Y2003">
        <v>0</v>
      </c>
      <c r="Z2003">
        <v>0</v>
      </c>
    </row>
    <row r="2004" spans="1:26" hidden="1" x14ac:dyDescent="0.25">
      <c r="A2004" t="s">
        <v>4436</v>
      </c>
      <c r="B2004" t="s">
        <v>38</v>
      </c>
      <c r="C2004" s="4">
        <v>44818</v>
      </c>
      <c r="D2004" s="4">
        <v>45957</v>
      </c>
      <c r="F2004" s="4">
        <v>45915</v>
      </c>
      <c r="G2004" t="s">
        <v>138</v>
      </c>
      <c r="H2004" t="s">
        <v>1676</v>
      </c>
      <c r="K2004" t="s">
        <v>98</v>
      </c>
      <c r="L2004" t="s">
        <v>3121</v>
      </c>
      <c r="M2004" t="s">
        <v>84</v>
      </c>
      <c r="N2004" t="s">
        <v>2160</v>
      </c>
      <c r="O2004" t="s">
        <v>32</v>
      </c>
      <c r="P2004" t="s">
        <v>4437</v>
      </c>
      <c r="Q2004">
        <v>80</v>
      </c>
      <c r="R2004">
        <v>80</v>
      </c>
      <c r="S2004" t="s">
        <v>159</v>
      </c>
      <c r="T2004" t="s">
        <v>159</v>
      </c>
      <c r="U2004" t="s">
        <v>44</v>
      </c>
      <c r="W2004">
        <v>0</v>
      </c>
      <c r="X2004">
        <v>0</v>
      </c>
      <c r="Y2004">
        <v>0</v>
      </c>
      <c r="Z2004">
        <v>0</v>
      </c>
    </row>
    <row r="2005" spans="1:26" hidden="1" x14ac:dyDescent="0.25">
      <c r="A2005" t="s">
        <v>4438</v>
      </c>
      <c r="B2005" t="s">
        <v>38</v>
      </c>
      <c r="C2005" s="4">
        <v>44819</v>
      </c>
      <c r="D2005" s="4">
        <v>45869</v>
      </c>
      <c r="F2005" s="4">
        <v>45915</v>
      </c>
      <c r="G2005" t="s">
        <v>65</v>
      </c>
      <c r="H2005" t="s">
        <v>1887</v>
      </c>
      <c r="K2005" t="s">
        <v>67</v>
      </c>
      <c r="L2005" t="s">
        <v>3121</v>
      </c>
      <c r="M2005" t="s">
        <v>68</v>
      </c>
      <c r="N2005" t="s">
        <v>3122</v>
      </c>
      <c r="O2005" t="s">
        <v>32</v>
      </c>
      <c r="P2005" t="s">
        <v>4439</v>
      </c>
      <c r="Q2005">
        <v>50</v>
      </c>
      <c r="R2005">
        <v>50</v>
      </c>
      <c r="S2005" t="s">
        <v>159</v>
      </c>
      <c r="T2005" t="s">
        <v>159</v>
      </c>
      <c r="U2005" t="s">
        <v>44</v>
      </c>
      <c r="W2005">
        <v>0</v>
      </c>
      <c r="X2005">
        <v>0</v>
      </c>
      <c r="Y2005">
        <v>0</v>
      </c>
      <c r="Z2005">
        <v>0</v>
      </c>
    </row>
    <row r="2006" spans="1:26" hidden="1" x14ac:dyDescent="0.25">
      <c r="A2006" t="s">
        <v>4440</v>
      </c>
      <c r="B2006" t="s">
        <v>2153</v>
      </c>
      <c r="C2006" s="4">
        <v>44819</v>
      </c>
      <c r="F2006" s="4">
        <v>45899</v>
      </c>
      <c r="G2006" t="s">
        <v>1597</v>
      </c>
      <c r="H2006" t="s">
        <v>4441</v>
      </c>
      <c r="K2006" t="s">
        <v>41</v>
      </c>
      <c r="L2006" t="s">
        <v>3121</v>
      </c>
      <c r="M2006" t="s">
        <v>42</v>
      </c>
      <c r="N2006" t="s">
        <v>3122</v>
      </c>
      <c r="O2006" t="s">
        <v>32</v>
      </c>
      <c r="P2006" t="s">
        <v>4442</v>
      </c>
      <c r="Q2006">
        <v>288</v>
      </c>
      <c r="R2006">
        <v>288</v>
      </c>
      <c r="S2006" t="s">
        <v>597</v>
      </c>
      <c r="T2006" t="s">
        <v>598</v>
      </c>
      <c r="U2006" t="s">
        <v>44</v>
      </c>
      <c r="W2006">
        <v>288</v>
      </c>
      <c r="X2006">
        <v>243.75</v>
      </c>
      <c r="Y2006">
        <v>0</v>
      </c>
      <c r="Z2006">
        <v>0</v>
      </c>
    </row>
    <row r="2007" spans="1:26" hidden="1" x14ac:dyDescent="0.25">
      <c r="A2007" t="s">
        <v>4443</v>
      </c>
      <c r="B2007" t="s">
        <v>2153</v>
      </c>
      <c r="C2007" s="4">
        <v>44819</v>
      </c>
      <c r="F2007" s="4">
        <v>45899</v>
      </c>
      <c r="H2007" t="s">
        <v>3260</v>
      </c>
      <c r="K2007" t="s">
        <v>83</v>
      </c>
      <c r="L2007" t="s">
        <v>3121</v>
      </c>
      <c r="M2007" t="s">
        <v>84</v>
      </c>
      <c r="N2007" t="s">
        <v>2160</v>
      </c>
      <c r="O2007" t="s">
        <v>32</v>
      </c>
      <c r="P2007" t="s">
        <v>4444</v>
      </c>
      <c r="Q2007">
        <v>180</v>
      </c>
      <c r="R2007">
        <v>180</v>
      </c>
      <c r="S2007" t="s">
        <v>597</v>
      </c>
      <c r="T2007" t="s">
        <v>598</v>
      </c>
      <c r="U2007" t="s">
        <v>44</v>
      </c>
      <c r="W2007">
        <v>180</v>
      </c>
      <c r="X2007">
        <v>135</v>
      </c>
      <c r="Y2007">
        <v>0</v>
      </c>
      <c r="Z2007">
        <v>0</v>
      </c>
    </row>
    <row r="2008" spans="1:26" hidden="1" x14ac:dyDescent="0.25">
      <c r="A2008" t="s">
        <v>4445</v>
      </c>
      <c r="B2008" t="s">
        <v>2153</v>
      </c>
      <c r="C2008" s="4">
        <v>44819</v>
      </c>
      <c r="F2008" s="4">
        <v>45899</v>
      </c>
      <c r="H2008" t="s">
        <v>3260</v>
      </c>
      <c r="K2008" t="s">
        <v>83</v>
      </c>
      <c r="L2008" t="s">
        <v>3121</v>
      </c>
      <c r="M2008" t="s">
        <v>84</v>
      </c>
      <c r="N2008" t="s">
        <v>2160</v>
      </c>
      <c r="O2008" t="s">
        <v>32</v>
      </c>
      <c r="P2008" t="s">
        <v>4446</v>
      </c>
      <c r="Q2008">
        <v>142</v>
      </c>
      <c r="R2008">
        <v>142</v>
      </c>
      <c r="S2008" t="s">
        <v>597</v>
      </c>
      <c r="T2008" t="s">
        <v>598</v>
      </c>
      <c r="U2008" t="s">
        <v>44</v>
      </c>
      <c r="W2008">
        <v>142</v>
      </c>
      <c r="X2008">
        <v>127.5</v>
      </c>
      <c r="Y2008">
        <v>0</v>
      </c>
      <c r="Z2008">
        <v>0</v>
      </c>
    </row>
    <row r="2009" spans="1:26" hidden="1" x14ac:dyDescent="0.25">
      <c r="A2009" t="s">
        <v>4447</v>
      </c>
      <c r="B2009" t="s">
        <v>38</v>
      </c>
      <c r="C2009" s="4">
        <v>44819</v>
      </c>
      <c r="D2009" s="4">
        <v>45957</v>
      </c>
      <c r="F2009" s="4">
        <v>45899</v>
      </c>
      <c r="G2009" t="s">
        <v>117</v>
      </c>
      <c r="H2009" t="s">
        <v>3260</v>
      </c>
      <c r="K2009" t="s">
        <v>83</v>
      </c>
      <c r="L2009" t="s">
        <v>3121</v>
      </c>
      <c r="M2009" t="s">
        <v>84</v>
      </c>
      <c r="N2009" t="s">
        <v>2160</v>
      </c>
      <c r="O2009" t="s">
        <v>32</v>
      </c>
      <c r="P2009" t="s">
        <v>4448</v>
      </c>
      <c r="Q2009">
        <v>150</v>
      </c>
      <c r="R2009">
        <v>150</v>
      </c>
      <c r="S2009" t="s">
        <v>597</v>
      </c>
      <c r="T2009" t="s">
        <v>598</v>
      </c>
      <c r="U2009" t="s">
        <v>44</v>
      </c>
      <c r="W2009">
        <v>0</v>
      </c>
      <c r="X2009">
        <v>0</v>
      </c>
      <c r="Y2009">
        <v>0</v>
      </c>
      <c r="Z2009">
        <v>0</v>
      </c>
    </row>
    <row r="2010" spans="1:26" hidden="1" x14ac:dyDescent="0.25">
      <c r="A2010" t="s">
        <v>4449</v>
      </c>
      <c r="B2010" t="s">
        <v>2153</v>
      </c>
      <c r="C2010" s="4">
        <v>45867</v>
      </c>
      <c r="F2010" s="4">
        <v>46813</v>
      </c>
      <c r="G2010" t="s">
        <v>1278</v>
      </c>
      <c r="H2010" t="s">
        <v>4450</v>
      </c>
      <c r="K2010" t="s">
        <v>28</v>
      </c>
      <c r="L2010" t="s">
        <v>3121</v>
      </c>
      <c r="M2010" t="s">
        <v>30</v>
      </c>
      <c r="N2010" t="s">
        <v>3122</v>
      </c>
      <c r="O2010" t="s">
        <v>32</v>
      </c>
      <c r="P2010" t="s">
        <v>4451</v>
      </c>
      <c r="Q2010">
        <v>300</v>
      </c>
      <c r="R2010">
        <v>300</v>
      </c>
      <c r="S2010" t="s">
        <v>159</v>
      </c>
      <c r="T2010" t="s">
        <v>159</v>
      </c>
      <c r="U2010" t="s">
        <v>44</v>
      </c>
      <c r="W2010">
        <v>300</v>
      </c>
      <c r="X2010">
        <v>300</v>
      </c>
      <c r="Y2010">
        <v>0</v>
      </c>
      <c r="Z2010">
        <v>0</v>
      </c>
    </row>
    <row r="2011" spans="1:26" hidden="1" x14ac:dyDescent="0.25">
      <c r="A2011" t="s">
        <v>4452</v>
      </c>
      <c r="B2011" t="s">
        <v>2153</v>
      </c>
      <c r="C2011" s="4">
        <v>44798</v>
      </c>
      <c r="F2011" s="4">
        <v>45792</v>
      </c>
      <c r="G2011" t="s">
        <v>52</v>
      </c>
      <c r="H2011" t="s">
        <v>3260</v>
      </c>
      <c r="K2011" t="s">
        <v>53</v>
      </c>
      <c r="L2011" t="s">
        <v>3121</v>
      </c>
      <c r="M2011" t="s">
        <v>54</v>
      </c>
      <c r="N2011" t="s">
        <v>3122</v>
      </c>
      <c r="O2011" t="s">
        <v>32</v>
      </c>
      <c r="P2011" t="s">
        <v>4453</v>
      </c>
      <c r="Q2011">
        <v>100</v>
      </c>
      <c r="R2011">
        <v>100</v>
      </c>
      <c r="S2011" t="s">
        <v>159</v>
      </c>
      <c r="T2011" t="s">
        <v>159</v>
      </c>
      <c r="U2011" t="s">
        <v>44</v>
      </c>
      <c r="W2011">
        <v>100</v>
      </c>
      <c r="X2011">
        <v>100</v>
      </c>
      <c r="Y2011">
        <v>0</v>
      </c>
      <c r="Z2011">
        <v>0</v>
      </c>
    </row>
    <row r="2012" spans="1:26" hidden="1" x14ac:dyDescent="0.25">
      <c r="A2012" t="s">
        <v>4454</v>
      </c>
      <c r="B2012" t="s">
        <v>38</v>
      </c>
      <c r="C2012" s="4">
        <v>44797</v>
      </c>
      <c r="D2012" s="4">
        <v>45009</v>
      </c>
      <c r="F2012" s="4">
        <v>45792</v>
      </c>
      <c r="G2012" t="s">
        <v>254</v>
      </c>
      <c r="H2012" t="s">
        <v>2708</v>
      </c>
      <c r="K2012" t="s">
        <v>83</v>
      </c>
      <c r="L2012" t="s">
        <v>3121</v>
      </c>
      <c r="M2012" t="s">
        <v>84</v>
      </c>
      <c r="N2012" t="s">
        <v>2160</v>
      </c>
      <c r="O2012" t="s">
        <v>32</v>
      </c>
      <c r="P2012" t="s">
        <v>4455</v>
      </c>
      <c r="Q2012">
        <v>270</v>
      </c>
      <c r="R2012">
        <v>270</v>
      </c>
      <c r="S2012" t="s">
        <v>159</v>
      </c>
      <c r="T2012" t="s">
        <v>159</v>
      </c>
      <c r="U2012" t="s">
        <v>44</v>
      </c>
      <c r="W2012">
        <v>0</v>
      </c>
      <c r="X2012">
        <v>0</v>
      </c>
      <c r="Y2012">
        <v>0</v>
      </c>
      <c r="Z2012">
        <v>0</v>
      </c>
    </row>
    <row r="2013" spans="1:26" hidden="1" x14ac:dyDescent="0.25">
      <c r="A2013" t="s">
        <v>4456</v>
      </c>
      <c r="B2013" t="s">
        <v>2153</v>
      </c>
      <c r="C2013" s="4">
        <v>44798</v>
      </c>
      <c r="F2013" s="4">
        <v>45792</v>
      </c>
      <c r="G2013" t="s">
        <v>907</v>
      </c>
      <c r="H2013" t="s">
        <v>1724</v>
      </c>
      <c r="K2013" t="s">
        <v>53</v>
      </c>
      <c r="L2013" t="s">
        <v>3121</v>
      </c>
      <c r="M2013" t="s">
        <v>54</v>
      </c>
      <c r="N2013" t="s">
        <v>3122</v>
      </c>
      <c r="O2013" t="s">
        <v>32</v>
      </c>
      <c r="P2013" t="s">
        <v>4457</v>
      </c>
      <c r="Q2013">
        <v>150</v>
      </c>
      <c r="R2013">
        <v>150</v>
      </c>
      <c r="S2013" t="s">
        <v>159</v>
      </c>
      <c r="T2013" t="s">
        <v>159</v>
      </c>
      <c r="U2013" t="s">
        <v>44</v>
      </c>
      <c r="W2013">
        <v>150</v>
      </c>
      <c r="X2013">
        <v>150</v>
      </c>
      <c r="Y2013">
        <v>0</v>
      </c>
      <c r="Z2013">
        <v>0</v>
      </c>
    </row>
    <row r="2014" spans="1:26" hidden="1" x14ac:dyDescent="0.25">
      <c r="A2014" t="s">
        <v>4458</v>
      </c>
      <c r="B2014" t="s">
        <v>38</v>
      </c>
      <c r="C2014" s="4">
        <v>44818</v>
      </c>
      <c r="D2014" s="4">
        <v>45957</v>
      </c>
      <c r="F2014" s="4">
        <v>46657</v>
      </c>
      <c r="G2014" t="s">
        <v>101</v>
      </c>
      <c r="H2014" t="s">
        <v>1542</v>
      </c>
      <c r="K2014" t="s">
        <v>98</v>
      </c>
      <c r="L2014" t="s">
        <v>3121</v>
      </c>
      <c r="M2014" t="s">
        <v>84</v>
      </c>
      <c r="N2014" t="s">
        <v>2160</v>
      </c>
      <c r="O2014" t="s">
        <v>122</v>
      </c>
      <c r="P2014" t="s">
        <v>4459</v>
      </c>
      <c r="Q2014">
        <v>60</v>
      </c>
      <c r="R2014">
        <v>60</v>
      </c>
      <c r="S2014" t="s">
        <v>34</v>
      </c>
      <c r="T2014" t="s">
        <v>35</v>
      </c>
      <c r="U2014" t="s">
        <v>44</v>
      </c>
      <c r="W2014">
        <v>0</v>
      </c>
      <c r="X2014">
        <v>0</v>
      </c>
      <c r="Y2014">
        <v>0</v>
      </c>
      <c r="Z2014">
        <v>0</v>
      </c>
    </row>
    <row r="2015" spans="1:26" hidden="1" x14ac:dyDescent="0.25">
      <c r="A2015" t="s">
        <v>4460</v>
      </c>
      <c r="B2015" t="s">
        <v>38</v>
      </c>
      <c r="C2015" s="4">
        <v>44818</v>
      </c>
      <c r="D2015" s="4">
        <v>45957</v>
      </c>
      <c r="F2015" s="4">
        <v>45962</v>
      </c>
      <c r="G2015" t="s">
        <v>117</v>
      </c>
      <c r="H2015" t="s">
        <v>1333</v>
      </c>
      <c r="K2015" t="s">
        <v>83</v>
      </c>
      <c r="L2015" t="s">
        <v>3121</v>
      </c>
      <c r="M2015" t="s">
        <v>84</v>
      </c>
      <c r="N2015" t="s">
        <v>2160</v>
      </c>
      <c r="O2015" t="s">
        <v>32</v>
      </c>
      <c r="P2015" t="s">
        <v>4461</v>
      </c>
      <c r="Q2015">
        <v>100</v>
      </c>
      <c r="R2015">
        <v>100</v>
      </c>
      <c r="S2015" t="s">
        <v>159</v>
      </c>
      <c r="T2015" t="s">
        <v>159</v>
      </c>
      <c r="U2015" t="s">
        <v>44</v>
      </c>
      <c r="W2015">
        <v>0</v>
      </c>
      <c r="X2015">
        <v>0</v>
      </c>
      <c r="Y2015">
        <v>0</v>
      </c>
      <c r="Z2015">
        <v>0</v>
      </c>
    </row>
    <row r="2016" spans="1:26" hidden="1" x14ac:dyDescent="0.25">
      <c r="A2016" t="s">
        <v>4462</v>
      </c>
      <c r="B2016" t="s">
        <v>2338</v>
      </c>
      <c r="C2016" s="4">
        <v>44818</v>
      </c>
      <c r="F2016" s="4">
        <v>46327</v>
      </c>
      <c r="H2016" t="s">
        <v>1954</v>
      </c>
      <c r="K2016" t="s">
        <v>83</v>
      </c>
      <c r="L2016" t="s">
        <v>3121</v>
      </c>
      <c r="M2016" t="s">
        <v>84</v>
      </c>
      <c r="N2016" t="s">
        <v>2160</v>
      </c>
      <c r="O2016" t="s">
        <v>122</v>
      </c>
      <c r="P2016" t="s">
        <v>4463</v>
      </c>
      <c r="Q2016">
        <v>287</v>
      </c>
      <c r="R2016">
        <v>287</v>
      </c>
      <c r="S2016" t="s">
        <v>34</v>
      </c>
      <c r="T2016" t="s">
        <v>35</v>
      </c>
      <c r="U2016" t="s">
        <v>44</v>
      </c>
      <c r="W2016">
        <v>287</v>
      </c>
      <c r="X2016">
        <v>0</v>
      </c>
      <c r="Y2016">
        <v>0</v>
      </c>
      <c r="Z2016">
        <v>0</v>
      </c>
    </row>
    <row r="2017" spans="1:26" hidden="1" x14ac:dyDescent="0.25">
      <c r="A2017" t="s">
        <v>4464</v>
      </c>
      <c r="B2017" t="s">
        <v>38</v>
      </c>
      <c r="C2017" s="4">
        <v>44818</v>
      </c>
      <c r="D2017" s="4">
        <v>45957</v>
      </c>
      <c r="F2017" s="4">
        <v>45962</v>
      </c>
      <c r="G2017" t="s">
        <v>117</v>
      </c>
      <c r="H2017" t="s">
        <v>1302</v>
      </c>
      <c r="K2017" t="s">
        <v>83</v>
      </c>
      <c r="L2017" t="s">
        <v>3121</v>
      </c>
      <c r="M2017" t="s">
        <v>84</v>
      </c>
      <c r="N2017" t="s">
        <v>2160</v>
      </c>
      <c r="O2017" t="s">
        <v>32</v>
      </c>
      <c r="P2017" t="s">
        <v>2033</v>
      </c>
      <c r="Q2017">
        <v>100</v>
      </c>
      <c r="R2017">
        <v>100</v>
      </c>
      <c r="S2017" t="s">
        <v>159</v>
      </c>
      <c r="T2017" t="s">
        <v>598</v>
      </c>
      <c r="U2017" t="s">
        <v>44</v>
      </c>
      <c r="W2017">
        <v>0</v>
      </c>
      <c r="X2017">
        <v>0</v>
      </c>
      <c r="Y2017">
        <v>0</v>
      </c>
      <c r="Z2017">
        <v>0</v>
      </c>
    </row>
    <row r="2018" spans="1:26" hidden="1" x14ac:dyDescent="0.25">
      <c r="A2018" t="s">
        <v>4465</v>
      </c>
      <c r="B2018" t="s">
        <v>2338</v>
      </c>
      <c r="C2018" s="4">
        <v>44819</v>
      </c>
      <c r="F2018" s="4">
        <v>46326</v>
      </c>
      <c r="G2018" t="s">
        <v>1108</v>
      </c>
      <c r="H2018" t="s">
        <v>2467</v>
      </c>
      <c r="K2018" t="s">
        <v>146</v>
      </c>
      <c r="L2018" t="s">
        <v>3121</v>
      </c>
      <c r="M2018" t="s">
        <v>68</v>
      </c>
      <c r="N2018" t="s">
        <v>3122</v>
      </c>
      <c r="O2018" t="s">
        <v>122</v>
      </c>
      <c r="P2018" t="s">
        <v>4466</v>
      </c>
      <c r="Q2018">
        <v>280</v>
      </c>
      <c r="R2018">
        <v>280</v>
      </c>
      <c r="S2018" t="s">
        <v>34</v>
      </c>
      <c r="T2018" t="s">
        <v>35</v>
      </c>
      <c r="U2018" t="s">
        <v>44</v>
      </c>
      <c r="W2018">
        <v>280</v>
      </c>
      <c r="X2018">
        <v>0</v>
      </c>
      <c r="Y2018">
        <v>0</v>
      </c>
      <c r="Z2018">
        <v>0</v>
      </c>
    </row>
    <row r="2019" spans="1:26" hidden="1" x14ac:dyDescent="0.25">
      <c r="A2019" t="s">
        <v>4467</v>
      </c>
      <c r="B2019" t="s">
        <v>2153</v>
      </c>
      <c r="C2019" s="4">
        <v>44818</v>
      </c>
      <c r="F2019" s="4">
        <v>46539</v>
      </c>
      <c r="H2019" t="s">
        <v>2751</v>
      </c>
      <c r="K2019" t="s">
        <v>83</v>
      </c>
      <c r="L2019" t="s">
        <v>3121</v>
      </c>
      <c r="M2019" t="s">
        <v>84</v>
      </c>
      <c r="N2019" t="s">
        <v>2160</v>
      </c>
      <c r="O2019" t="s">
        <v>122</v>
      </c>
      <c r="P2019" t="s">
        <v>4468</v>
      </c>
      <c r="Q2019">
        <v>400</v>
      </c>
      <c r="R2019">
        <v>400</v>
      </c>
      <c r="S2019" t="s">
        <v>597</v>
      </c>
      <c r="T2019" t="s">
        <v>2552</v>
      </c>
      <c r="U2019" t="s">
        <v>44</v>
      </c>
      <c r="W2019">
        <v>400</v>
      </c>
      <c r="X2019">
        <v>0</v>
      </c>
      <c r="Y2019">
        <v>0</v>
      </c>
      <c r="Z2019">
        <v>0</v>
      </c>
    </row>
    <row r="2020" spans="1:26" hidden="1" x14ac:dyDescent="0.25">
      <c r="A2020" t="s">
        <v>4469</v>
      </c>
      <c r="B2020" t="s">
        <v>38</v>
      </c>
      <c r="C2020" s="4">
        <v>44818</v>
      </c>
      <c r="D2020" s="4">
        <v>45957</v>
      </c>
      <c r="F2020" s="4">
        <v>46539</v>
      </c>
      <c r="G2020" t="s">
        <v>101</v>
      </c>
      <c r="H2020" t="s">
        <v>1402</v>
      </c>
      <c r="K2020" t="s">
        <v>98</v>
      </c>
      <c r="L2020" t="s">
        <v>3121</v>
      </c>
      <c r="M2020" t="s">
        <v>84</v>
      </c>
      <c r="N2020" t="s">
        <v>2160</v>
      </c>
      <c r="O2020" t="s">
        <v>32</v>
      </c>
      <c r="P2020" t="s">
        <v>4470</v>
      </c>
      <c r="Q2020">
        <v>150</v>
      </c>
      <c r="R2020">
        <v>150</v>
      </c>
      <c r="S2020" t="s">
        <v>597</v>
      </c>
      <c r="T2020" t="s">
        <v>598</v>
      </c>
      <c r="U2020" t="s">
        <v>44</v>
      </c>
      <c r="W2020">
        <v>0</v>
      </c>
      <c r="X2020">
        <v>0</v>
      </c>
      <c r="Y2020">
        <v>0</v>
      </c>
      <c r="Z2020">
        <v>0</v>
      </c>
    </row>
    <row r="2021" spans="1:26" hidden="1" x14ac:dyDescent="0.25">
      <c r="A2021" t="s">
        <v>4471</v>
      </c>
      <c r="B2021" t="s">
        <v>38</v>
      </c>
      <c r="C2021" s="4">
        <v>44818</v>
      </c>
      <c r="D2021" s="4">
        <v>45957</v>
      </c>
      <c r="F2021" s="4">
        <v>46539</v>
      </c>
      <c r="G2021" t="s">
        <v>177</v>
      </c>
      <c r="H2021" t="s">
        <v>1505</v>
      </c>
      <c r="K2021" t="s">
        <v>62</v>
      </c>
      <c r="L2021" t="s">
        <v>3121</v>
      </c>
      <c r="M2021" t="s">
        <v>42</v>
      </c>
      <c r="N2021" t="s">
        <v>3122</v>
      </c>
      <c r="O2021" t="s">
        <v>32</v>
      </c>
      <c r="P2021" t="s">
        <v>4472</v>
      </c>
      <c r="Q2021">
        <v>150</v>
      </c>
      <c r="R2021">
        <v>150</v>
      </c>
      <c r="S2021" t="s">
        <v>34</v>
      </c>
      <c r="T2021" t="s">
        <v>35</v>
      </c>
      <c r="U2021" t="s">
        <v>44</v>
      </c>
      <c r="W2021">
        <v>0</v>
      </c>
      <c r="X2021">
        <v>0</v>
      </c>
      <c r="Y2021">
        <v>0</v>
      </c>
      <c r="Z2021">
        <v>0</v>
      </c>
    </row>
    <row r="2022" spans="1:26" hidden="1" x14ac:dyDescent="0.25">
      <c r="A2022" t="s">
        <v>4473</v>
      </c>
      <c r="B2022" t="s">
        <v>38</v>
      </c>
      <c r="C2022" s="4">
        <v>44818</v>
      </c>
      <c r="D2022" s="4">
        <v>45009</v>
      </c>
      <c r="F2022" s="4">
        <v>46113</v>
      </c>
      <c r="G2022" t="s">
        <v>1368</v>
      </c>
      <c r="H2022" t="s">
        <v>2191</v>
      </c>
      <c r="K2022" t="s">
        <v>209</v>
      </c>
      <c r="L2022" t="s">
        <v>3121</v>
      </c>
      <c r="M2022" t="s">
        <v>42</v>
      </c>
      <c r="N2022" t="s">
        <v>3122</v>
      </c>
      <c r="O2022" t="s">
        <v>32</v>
      </c>
      <c r="P2022" t="s">
        <v>4474</v>
      </c>
      <c r="Q2022">
        <v>300</v>
      </c>
      <c r="R2022">
        <v>300</v>
      </c>
      <c r="S2022" t="s">
        <v>159</v>
      </c>
      <c r="T2022" t="s">
        <v>159</v>
      </c>
      <c r="U2022" t="s">
        <v>44</v>
      </c>
      <c r="W2022">
        <v>0</v>
      </c>
      <c r="X2022">
        <v>0</v>
      </c>
      <c r="Y2022">
        <v>0</v>
      </c>
      <c r="Z2022">
        <v>0</v>
      </c>
    </row>
    <row r="2023" spans="1:26" hidden="1" x14ac:dyDescent="0.25">
      <c r="A2023" t="s">
        <v>4475</v>
      </c>
      <c r="B2023" t="s">
        <v>38</v>
      </c>
      <c r="C2023" s="4">
        <v>44818</v>
      </c>
      <c r="D2023" s="4">
        <v>45869</v>
      </c>
      <c r="F2023" s="4">
        <v>46539</v>
      </c>
      <c r="G2023" t="s">
        <v>144</v>
      </c>
      <c r="H2023" t="s">
        <v>4476</v>
      </c>
      <c r="K2023" t="s">
        <v>146</v>
      </c>
      <c r="L2023" t="s">
        <v>3121</v>
      </c>
      <c r="M2023" t="s">
        <v>68</v>
      </c>
      <c r="N2023" t="s">
        <v>3122</v>
      </c>
      <c r="O2023" t="s">
        <v>32</v>
      </c>
      <c r="P2023" t="s">
        <v>4477</v>
      </c>
      <c r="Q2023">
        <v>180</v>
      </c>
      <c r="R2023">
        <v>180</v>
      </c>
      <c r="S2023" t="s">
        <v>597</v>
      </c>
      <c r="T2023" t="s">
        <v>598</v>
      </c>
      <c r="U2023" t="s">
        <v>44</v>
      </c>
      <c r="W2023">
        <v>0</v>
      </c>
      <c r="X2023">
        <v>0</v>
      </c>
      <c r="Y2023">
        <v>0</v>
      </c>
      <c r="Z2023">
        <v>0</v>
      </c>
    </row>
    <row r="2024" spans="1:26" hidden="1" x14ac:dyDescent="0.25">
      <c r="A2024" t="s">
        <v>4478</v>
      </c>
      <c r="B2024" t="s">
        <v>38</v>
      </c>
      <c r="C2024" s="4">
        <v>44818</v>
      </c>
      <c r="D2024" s="4">
        <v>45957</v>
      </c>
      <c r="F2024" s="4">
        <v>46539</v>
      </c>
      <c r="G2024" t="s">
        <v>39</v>
      </c>
      <c r="H2024" t="s">
        <v>4479</v>
      </c>
      <c r="K2024" t="s">
        <v>41</v>
      </c>
      <c r="L2024" t="s">
        <v>3121</v>
      </c>
      <c r="M2024" t="s">
        <v>42</v>
      </c>
      <c r="N2024" t="s">
        <v>3122</v>
      </c>
      <c r="O2024" t="s">
        <v>32</v>
      </c>
      <c r="P2024" t="s">
        <v>4480</v>
      </c>
      <c r="Q2024">
        <v>165</v>
      </c>
      <c r="R2024">
        <v>165</v>
      </c>
      <c r="S2024" t="s">
        <v>56</v>
      </c>
      <c r="T2024" t="s">
        <v>57</v>
      </c>
      <c r="U2024" t="s">
        <v>44</v>
      </c>
      <c r="W2024">
        <v>0</v>
      </c>
      <c r="X2024">
        <v>0</v>
      </c>
      <c r="Y2024">
        <v>0</v>
      </c>
      <c r="Z2024">
        <v>0</v>
      </c>
    </row>
    <row r="2025" spans="1:26" hidden="1" x14ac:dyDescent="0.25">
      <c r="A2025" t="s">
        <v>4481</v>
      </c>
      <c r="B2025" t="s">
        <v>2153</v>
      </c>
      <c r="C2025" s="4">
        <v>44818</v>
      </c>
      <c r="F2025" s="4">
        <v>46539</v>
      </c>
      <c r="G2025" t="s">
        <v>39</v>
      </c>
      <c r="H2025" t="s">
        <v>4479</v>
      </c>
      <c r="K2025" t="s">
        <v>41</v>
      </c>
      <c r="L2025" t="s">
        <v>3121</v>
      </c>
      <c r="M2025" t="s">
        <v>42</v>
      </c>
      <c r="N2025" t="s">
        <v>3122</v>
      </c>
      <c r="O2025" t="s">
        <v>122</v>
      </c>
      <c r="P2025" t="s">
        <v>4482</v>
      </c>
      <c r="Q2025">
        <v>235</v>
      </c>
      <c r="R2025">
        <v>235</v>
      </c>
      <c r="S2025" t="s">
        <v>34</v>
      </c>
      <c r="T2025" t="s">
        <v>35</v>
      </c>
      <c r="U2025" t="s">
        <v>44</v>
      </c>
      <c r="W2025">
        <v>235</v>
      </c>
      <c r="X2025">
        <v>0</v>
      </c>
      <c r="Y2025">
        <v>0</v>
      </c>
      <c r="Z2025">
        <v>0</v>
      </c>
    </row>
    <row r="2026" spans="1:26" hidden="1" x14ac:dyDescent="0.25">
      <c r="A2026" t="s">
        <v>4483</v>
      </c>
      <c r="B2026" t="s">
        <v>38</v>
      </c>
      <c r="C2026" s="4">
        <v>44818</v>
      </c>
      <c r="D2026" s="4">
        <v>45009</v>
      </c>
      <c r="F2026" s="4">
        <v>46113</v>
      </c>
      <c r="G2026" t="s">
        <v>1368</v>
      </c>
      <c r="H2026" t="s">
        <v>2811</v>
      </c>
      <c r="K2026" t="s">
        <v>209</v>
      </c>
      <c r="L2026" t="s">
        <v>3121</v>
      </c>
      <c r="M2026" t="s">
        <v>42</v>
      </c>
      <c r="N2026" t="s">
        <v>3122</v>
      </c>
      <c r="O2026" t="s">
        <v>32</v>
      </c>
      <c r="P2026" t="s">
        <v>4484</v>
      </c>
      <c r="Q2026">
        <v>400</v>
      </c>
      <c r="R2026">
        <v>400</v>
      </c>
      <c r="S2026" t="s">
        <v>159</v>
      </c>
      <c r="T2026" t="s">
        <v>159</v>
      </c>
      <c r="U2026" t="s">
        <v>44</v>
      </c>
      <c r="W2026">
        <v>0</v>
      </c>
      <c r="X2026">
        <v>0</v>
      </c>
      <c r="Y2026">
        <v>0</v>
      </c>
      <c r="Z2026">
        <v>0</v>
      </c>
    </row>
    <row r="2027" spans="1:26" hidden="1" x14ac:dyDescent="0.25">
      <c r="A2027" t="s">
        <v>4485</v>
      </c>
      <c r="B2027" t="s">
        <v>38</v>
      </c>
      <c r="C2027" s="4">
        <v>44818</v>
      </c>
      <c r="D2027" s="4">
        <v>45009</v>
      </c>
      <c r="F2027" s="4">
        <v>46113</v>
      </c>
      <c r="G2027" t="s">
        <v>65</v>
      </c>
      <c r="H2027" t="s">
        <v>3701</v>
      </c>
      <c r="K2027" t="s">
        <v>67</v>
      </c>
      <c r="L2027" t="s">
        <v>3121</v>
      </c>
      <c r="M2027" t="s">
        <v>68</v>
      </c>
      <c r="N2027" t="s">
        <v>3122</v>
      </c>
      <c r="O2027" t="s">
        <v>32</v>
      </c>
      <c r="P2027" t="s">
        <v>4486</v>
      </c>
      <c r="Q2027">
        <v>400</v>
      </c>
      <c r="R2027">
        <v>400</v>
      </c>
      <c r="S2027" t="s">
        <v>159</v>
      </c>
      <c r="T2027" t="s">
        <v>159</v>
      </c>
      <c r="U2027" t="s">
        <v>44</v>
      </c>
      <c r="W2027">
        <v>0</v>
      </c>
      <c r="X2027">
        <v>0</v>
      </c>
      <c r="Y2027">
        <v>0</v>
      </c>
      <c r="Z2027">
        <v>0</v>
      </c>
    </row>
    <row r="2028" spans="1:26" hidden="1" x14ac:dyDescent="0.25">
      <c r="A2028" t="s">
        <v>4487</v>
      </c>
      <c r="B2028" t="s">
        <v>38</v>
      </c>
      <c r="C2028" s="4">
        <v>44816</v>
      </c>
      <c r="D2028" s="4">
        <v>45012</v>
      </c>
      <c r="F2028" s="4">
        <v>46088</v>
      </c>
      <c r="G2028" t="s">
        <v>72</v>
      </c>
      <c r="H2028" t="s">
        <v>3601</v>
      </c>
      <c r="K2028" t="s">
        <v>209</v>
      </c>
      <c r="L2028" t="s">
        <v>3121</v>
      </c>
      <c r="M2028" t="s">
        <v>42</v>
      </c>
      <c r="N2028" t="s">
        <v>3122</v>
      </c>
      <c r="O2028" t="s">
        <v>32</v>
      </c>
      <c r="P2028" t="s">
        <v>4488</v>
      </c>
      <c r="Q2028">
        <v>100</v>
      </c>
      <c r="R2028">
        <v>100</v>
      </c>
      <c r="S2028" t="s">
        <v>159</v>
      </c>
      <c r="T2028" t="s">
        <v>159</v>
      </c>
      <c r="U2028" t="s">
        <v>44</v>
      </c>
      <c r="W2028">
        <v>0</v>
      </c>
      <c r="X2028">
        <v>0</v>
      </c>
      <c r="Y2028">
        <v>0</v>
      </c>
      <c r="Z2028">
        <v>0</v>
      </c>
    </row>
    <row r="2029" spans="1:26" hidden="1" x14ac:dyDescent="0.25">
      <c r="A2029" t="s">
        <v>4489</v>
      </c>
      <c r="B2029" t="s">
        <v>38</v>
      </c>
      <c r="C2029" s="4">
        <v>44818</v>
      </c>
      <c r="D2029" s="4">
        <v>45957</v>
      </c>
      <c r="F2029" s="4">
        <v>46539</v>
      </c>
      <c r="G2029" t="s">
        <v>177</v>
      </c>
      <c r="H2029" t="s">
        <v>3032</v>
      </c>
      <c r="K2029" t="s">
        <v>41</v>
      </c>
      <c r="L2029" t="s">
        <v>3121</v>
      </c>
      <c r="M2029" t="s">
        <v>42</v>
      </c>
      <c r="N2029" t="s">
        <v>3122</v>
      </c>
      <c r="O2029" t="s">
        <v>32</v>
      </c>
      <c r="P2029" t="s">
        <v>4490</v>
      </c>
      <c r="Q2029">
        <v>188</v>
      </c>
      <c r="R2029">
        <v>188</v>
      </c>
      <c r="S2029" t="s">
        <v>34</v>
      </c>
      <c r="T2029" t="s">
        <v>35</v>
      </c>
      <c r="U2029" t="s">
        <v>44</v>
      </c>
      <c r="W2029">
        <v>0</v>
      </c>
      <c r="X2029">
        <v>0</v>
      </c>
      <c r="Y2029">
        <v>0</v>
      </c>
      <c r="Z2029">
        <v>0</v>
      </c>
    </row>
    <row r="2030" spans="1:26" hidden="1" x14ac:dyDescent="0.25">
      <c r="A2030" t="s">
        <v>4491</v>
      </c>
      <c r="B2030" t="s">
        <v>38</v>
      </c>
      <c r="C2030" s="4">
        <v>44818</v>
      </c>
      <c r="D2030" s="4">
        <v>45869</v>
      </c>
      <c r="F2030" s="4">
        <v>46326</v>
      </c>
      <c r="G2030" t="s">
        <v>616</v>
      </c>
      <c r="H2030" t="s">
        <v>1656</v>
      </c>
      <c r="K2030" t="s">
        <v>146</v>
      </c>
      <c r="L2030" t="s">
        <v>3121</v>
      </c>
      <c r="M2030" t="s">
        <v>68</v>
      </c>
      <c r="N2030" t="s">
        <v>3122</v>
      </c>
      <c r="O2030" t="s">
        <v>32</v>
      </c>
      <c r="P2030" t="s">
        <v>4492</v>
      </c>
      <c r="Q2030">
        <v>175</v>
      </c>
      <c r="R2030">
        <v>175</v>
      </c>
      <c r="S2030" t="s">
        <v>159</v>
      </c>
      <c r="T2030" t="s">
        <v>159</v>
      </c>
      <c r="U2030" t="s">
        <v>44</v>
      </c>
      <c r="W2030">
        <v>0</v>
      </c>
      <c r="X2030">
        <v>0</v>
      </c>
      <c r="Y2030">
        <v>0</v>
      </c>
      <c r="Z2030">
        <v>0</v>
      </c>
    </row>
    <row r="2031" spans="1:26" hidden="1" x14ac:dyDescent="0.25">
      <c r="A2031" t="s">
        <v>4493</v>
      </c>
      <c r="B2031" t="s">
        <v>2153</v>
      </c>
      <c r="C2031" s="4">
        <v>44818</v>
      </c>
      <c r="F2031" s="4">
        <v>46539</v>
      </c>
      <c r="H2031" t="s">
        <v>4494</v>
      </c>
      <c r="K2031" t="s">
        <v>83</v>
      </c>
      <c r="L2031" t="s">
        <v>3121</v>
      </c>
      <c r="M2031" t="s">
        <v>84</v>
      </c>
      <c r="N2031" t="s">
        <v>2160</v>
      </c>
      <c r="O2031" t="s">
        <v>32</v>
      </c>
      <c r="P2031" t="s">
        <v>4495</v>
      </c>
      <c r="Q2031">
        <v>300</v>
      </c>
      <c r="R2031">
        <v>300</v>
      </c>
      <c r="S2031" t="s">
        <v>597</v>
      </c>
      <c r="T2031" t="s">
        <v>2552</v>
      </c>
      <c r="U2031" t="s">
        <v>44</v>
      </c>
      <c r="W2031">
        <v>300</v>
      </c>
      <c r="X2031">
        <v>300</v>
      </c>
      <c r="Y2031">
        <v>0</v>
      </c>
      <c r="Z2031">
        <v>0</v>
      </c>
    </row>
    <row r="2032" spans="1:26" hidden="1" x14ac:dyDescent="0.25">
      <c r="A2032" t="s">
        <v>4496</v>
      </c>
      <c r="B2032" t="s">
        <v>2153</v>
      </c>
      <c r="C2032" s="4">
        <v>44818</v>
      </c>
      <c r="F2032" s="4">
        <v>46539</v>
      </c>
      <c r="H2032" t="s">
        <v>1813</v>
      </c>
      <c r="K2032" t="s">
        <v>114</v>
      </c>
      <c r="L2032" t="s">
        <v>3121</v>
      </c>
      <c r="M2032" t="s">
        <v>68</v>
      </c>
      <c r="N2032" t="s">
        <v>3122</v>
      </c>
      <c r="O2032" t="s">
        <v>32</v>
      </c>
      <c r="P2032" t="s">
        <v>4497</v>
      </c>
      <c r="Q2032">
        <v>100</v>
      </c>
      <c r="R2032">
        <v>100</v>
      </c>
      <c r="S2032" t="s">
        <v>597</v>
      </c>
      <c r="T2032" t="s">
        <v>598</v>
      </c>
      <c r="U2032" t="s">
        <v>44</v>
      </c>
      <c r="W2032">
        <v>100</v>
      </c>
      <c r="X2032">
        <v>100</v>
      </c>
      <c r="Y2032">
        <v>0</v>
      </c>
      <c r="Z2032">
        <v>0</v>
      </c>
    </row>
    <row r="2033" spans="1:26" hidden="1" x14ac:dyDescent="0.25">
      <c r="A2033" t="s">
        <v>4498</v>
      </c>
      <c r="B2033" t="s">
        <v>38</v>
      </c>
      <c r="C2033" s="4">
        <v>44819</v>
      </c>
      <c r="D2033" s="4">
        <v>45996</v>
      </c>
      <c r="F2033" s="4">
        <v>46203</v>
      </c>
      <c r="G2033" t="s">
        <v>72</v>
      </c>
      <c r="H2033" t="s">
        <v>2581</v>
      </c>
      <c r="K2033" t="s">
        <v>41</v>
      </c>
      <c r="L2033" t="s">
        <v>3121</v>
      </c>
      <c r="M2033" t="s">
        <v>42</v>
      </c>
      <c r="N2033" t="s">
        <v>3122</v>
      </c>
      <c r="O2033" t="s">
        <v>32</v>
      </c>
      <c r="P2033" t="s">
        <v>2581</v>
      </c>
      <c r="Q2033">
        <v>153</v>
      </c>
      <c r="R2033">
        <v>153</v>
      </c>
      <c r="S2033" t="s">
        <v>56</v>
      </c>
      <c r="T2033" t="s">
        <v>57</v>
      </c>
      <c r="U2033" t="s">
        <v>44</v>
      </c>
      <c r="W2033">
        <v>153</v>
      </c>
      <c r="X2033">
        <v>153</v>
      </c>
      <c r="Y2033">
        <v>0</v>
      </c>
      <c r="Z2033">
        <v>0</v>
      </c>
    </row>
    <row r="2034" spans="1:26" hidden="1" x14ac:dyDescent="0.25">
      <c r="A2034" t="s">
        <v>4499</v>
      </c>
      <c r="B2034" t="s">
        <v>2153</v>
      </c>
      <c r="C2034" s="4">
        <v>44818</v>
      </c>
      <c r="F2034" s="4">
        <v>46539</v>
      </c>
      <c r="G2034" t="s">
        <v>1326</v>
      </c>
      <c r="H2034" t="s">
        <v>1279</v>
      </c>
      <c r="K2034" t="s">
        <v>67</v>
      </c>
      <c r="L2034" t="s">
        <v>3121</v>
      </c>
      <c r="M2034" t="s">
        <v>68</v>
      </c>
      <c r="N2034" t="s">
        <v>3122</v>
      </c>
      <c r="O2034" t="s">
        <v>122</v>
      </c>
      <c r="P2034" t="s">
        <v>4500</v>
      </c>
      <c r="Q2034">
        <v>450</v>
      </c>
      <c r="R2034">
        <v>450</v>
      </c>
      <c r="S2034" t="s">
        <v>597</v>
      </c>
      <c r="T2034" t="s">
        <v>598</v>
      </c>
      <c r="U2034" t="s">
        <v>44</v>
      </c>
      <c r="W2034">
        <v>450</v>
      </c>
      <c r="X2034">
        <v>0</v>
      </c>
      <c r="Y2034">
        <v>0</v>
      </c>
      <c r="Z2034">
        <v>0</v>
      </c>
    </row>
    <row r="2035" spans="1:26" hidden="1" x14ac:dyDescent="0.25">
      <c r="A2035" t="s">
        <v>4501</v>
      </c>
      <c r="B2035" t="s">
        <v>2153</v>
      </c>
      <c r="C2035" s="4">
        <v>44818</v>
      </c>
      <c r="F2035" s="4">
        <v>46326</v>
      </c>
      <c r="G2035" t="s">
        <v>117</v>
      </c>
      <c r="H2035" t="s">
        <v>1279</v>
      </c>
      <c r="K2035" t="s">
        <v>83</v>
      </c>
      <c r="L2035" t="s">
        <v>3121</v>
      </c>
      <c r="M2035" t="s">
        <v>84</v>
      </c>
      <c r="N2035" t="s">
        <v>2160</v>
      </c>
      <c r="O2035" t="s">
        <v>32</v>
      </c>
      <c r="P2035" t="s">
        <v>4502</v>
      </c>
      <c r="Q2035">
        <v>200</v>
      </c>
      <c r="R2035">
        <v>200</v>
      </c>
      <c r="S2035" t="s">
        <v>159</v>
      </c>
      <c r="T2035" t="s">
        <v>159</v>
      </c>
      <c r="U2035" t="s">
        <v>44</v>
      </c>
      <c r="W2035">
        <v>200</v>
      </c>
      <c r="X2035">
        <v>200</v>
      </c>
      <c r="Y2035">
        <v>0</v>
      </c>
      <c r="Z2035">
        <v>0</v>
      </c>
    </row>
    <row r="2036" spans="1:26" hidden="1" x14ac:dyDescent="0.25">
      <c r="A2036" t="s">
        <v>4503</v>
      </c>
      <c r="B2036" t="s">
        <v>38</v>
      </c>
      <c r="C2036" s="4">
        <v>44818</v>
      </c>
      <c r="D2036" s="4">
        <v>45869</v>
      </c>
      <c r="F2036" s="4">
        <v>46327</v>
      </c>
      <c r="G2036" t="s">
        <v>144</v>
      </c>
      <c r="H2036" t="s">
        <v>1618</v>
      </c>
      <c r="K2036" t="s">
        <v>146</v>
      </c>
      <c r="L2036" t="s">
        <v>3121</v>
      </c>
      <c r="M2036" t="s">
        <v>68</v>
      </c>
      <c r="N2036" t="s">
        <v>3122</v>
      </c>
      <c r="O2036" t="s">
        <v>32</v>
      </c>
      <c r="P2036" t="s">
        <v>4504</v>
      </c>
      <c r="Q2036">
        <v>500</v>
      </c>
      <c r="R2036">
        <v>500</v>
      </c>
      <c r="S2036" t="s">
        <v>34</v>
      </c>
      <c r="T2036" t="s">
        <v>35</v>
      </c>
      <c r="U2036" t="s">
        <v>44</v>
      </c>
      <c r="W2036">
        <v>0</v>
      </c>
      <c r="X2036">
        <v>0</v>
      </c>
      <c r="Y2036">
        <v>0</v>
      </c>
      <c r="Z2036">
        <v>0</v>
      </c>
    </row>
    <row r="2037" spans="1:26" hidden="1" x14ac:dyDescent="0.25">
      <c r="A2037" t="s">
        <v>4505</v>
      </c>
      <c r="B2037" t="s">
        <v>38</v>
      </c>
      <c r="C2037" s="4">
        <v>44818</v>
      </c>
      <c r="D2037" s="4">
        <v>45957</v>
      </c>
      <c r="F2037" s="4">
        <v>46326</v>
      </c>
      <c r="G2037" t="s">
        <v>681</v>
      </c>
      <c r="H2037" t="s">
        <v>1618</v>
      </c>
      <c r="K2037" t="s">
        <v>683</v>
      </c>
      <c r="L2037" t="s">
        <v>3121</v>
      </c>
      <c r="M2037" t="s">
        <v>84</v>
      </c>
      <c r="N2037" t="s">
        <v>2160</v>
      </c>
      <c r="O2037" t="s">
        <v>32</v>
      </c>
      <c r="P2037" t="s">
        <v>4506</v>
      </c>
      <c r="Q2037">
        <v>75</v>
      </c>
      <c r="R2037">
        <v>75</v>
      </c>
      <c r="S2037" t="s">
        <v>159</v>
      </c>
      <c r="T2037" t="s">
        <v>159</v>
      </c>
      <c r="U2037" t="s">
        <v>44</v>
      </c>
      <c r="W2037">
        <v>0</v>
      </c>
      <c r="X2037">
        <v>0</v>
      </c>
      <c r="Y2037">
        <v>0</v>
      </c>
      <c r="Z2037">
        <v>0</v>
      </c>
    </row>
    <row r="2038" spans="1:26" hidden="1" x14ac:dyDescent="0.25">
      <c r="A2038" t="s">
        <v>4507</v>
      </c>
      <c r="B2038" t="s">
        <v>38</v>
      </c>
      <c r="C2038" s="4">
        <v>44819</v>
      </c>
      <c r="D2038" s="4">
        <v>45869</v>
      </c>
      <c r="F2038" s="4">
        <v>46238</v>
      </c>
      <c r="G2038" t="s">
        <v>65</v>
      </c>
      <c r="H2038" t="s">
        <v>1421</v>
      </c>
      <c r="K2038" t="s">
        <v>67</v>
      </c>
      <c r="L2038" t="s">
        <v>3121</v>
      </c>
      <c r="M2038" t="s">
        <v>68</v>
      </c>
      <c r="N2038" t="s">
        <v>3122</v>
      </c>
      <c r="O2038" t="s">
        <v>32</v>
      </c>
      <c r="P2038" t="s">
        <v>4508</v>
      </c>
      <c r="Q2038">
        <v>100</v>
      </c>
      <c r="R2038">
        <v>100</v>
      </c>
      <c r="S2038" t="s">
        <v>34</v>
      </c>
      <c r="T2038" t="s">
        <v>35</v>
      </c>
      <c r="U2038" t="s">
        <v>44</v>
      </c>
      <c r="W2038">
        <v>0</v>
      </c>
      <c r="X2038">
        <v>0</v>
      </c>
      <c r="Y2038">
        <v>0</v>
      </c>
      <c r="Z2038">
        <v>0</v>
      </c>
    </row>
    <row r="2039" spans="1:26" hidden="1" x14ac:dyDescent="0.25">
      <c r="A2039" t="s">
        <v>4509</v>
      </c>
      <c r="B2039" t="s">
        <v>2153</v>
      </c>
      <c r="C2039" s="4">
        <v>44819</v>
      </c>
      <c r="F2039" s="4">
        <v>46238</v>
      </c>
      <c r="G2039" t="s">
        <v>1326</v>
      </c>
      <c r="H2039" t="s">
        <v>4510</v>
      </c>
      <c r="K2039" t="s">
        <v>67</v>
      </c>
      <c r="L2039" t="s">
        <v>3121</v>
      </c>
      <c r="M2039" t="s">
        <v>68</v>
      </c>
      <c r="N2039" t="s">
        <v>3122</v>
      </c>
      <c r="O2039" t="s">
        <v>32</v>
      </c>
      <c r="P2039" t="s">
        <v>4511</v>
      </c>
      <c r="Q2039">
        <v>100</v>
      </c>
      <c r="R2039">
        <v>100</v>
      </c>
      <c r="S2039" t="s">
        <v>34</v>
      </c>
      <c r="T2039" t="s">
        <v>35</v>
      </c>
      <c r="U2039" t="s">
        <v>44</v>
      </c>
      <c r="W2039">
        <v>100</v>
      </c>
      <c r="X2039">
        <v>0</v>
      </c>
      <c r="Y2039">
        <v>0</v>
      </c>
      <c r="Z2039">
        <v>0</v>
      </c>
    </row>
    <row r="2040" spans="1:26" hidden="1" x14ac:dyDescent="0.25">
      <c r="A2040" t="s">
        <v>4512</v>
      </c>
      <c r="B2040" t="s">
        <v>38</v>
      </c>
      <c r="C2040" s="4">
        <v>44819</v>
      </c>
      <c r="D2040" s="4">
        <v>45869</v>
      </c>
      <c r="F2040" s="4">
        <v>46235</v>
      </c>
      <c r="G2040" t="s">
        <v>65</v>
      </c>
      <c r="H2040" t="s">
        <v>1876</v>
      </c>
      <c r="K2040" t="s">
        <v>67</v>
      </c>
      <c r="L2040" t="s">
        <v>3121</v>
      </c>
      <c r="M2040" t="s">
        <v>68</v>
      </c>
      <c r="N2040" t="s">
        <v>3122</v>
      </c>
      <c r="O2040" t="s">
        <v>32</v>
      </c>
      <c r="P2040" t="s">
        <v>4513</v>
      </c>
      <c r="Q2040">
        <v>105</v>
      </c>
      <c r="R2040">
        <v>105</v>
      </c>
      <c r="S2040" t="s">
        <v>34</v>
      </c>
      <c r="T2040" t="s">
        <v>35</v>
      </c>
      <c r="U2040" t="s">
        <v>44</v>
      </c>
      <c r="W2040">
        <v>0</v>
      </c>
      <c r="X2040">
        <v>0</v>
      </c>
      <c r="Y2040">
        <v>0</v>
      </c>
      <c r="Z2040">
        <v>0</v>
      </c>
    </row>
    <row r="2041" spans="1:26" hidden="1" x14ac:dyDescent="0.25">
      <c r="A2041" t="s">
        <v>4514</v>
      </c>
      <c r="B2041" t="s">
        <v>38</v>
      </c>
      <c r="C2041" s="4">
        <v>44817</v>
      </c>
      <c r="D2041" s="4">
        <v>45869</v>
      </c>
      <c r="F2041" s="4">
        <v>46630</v>
      </c>
      <c r="G2041" t="s">
        <v>65</v>
      </c>
      <c r="H2041" t="s">
        <v>1285</v>
      </c>
      <c r="K2041" t="s">
        <v>67</v>
      </c>
      <c r="L2041" t="s">
        <v>3121</v>
      </c>
      <c r="M2041" t="s">
        <v>68</v>
      </c>
      <c r="N2041" t="s">
        <v>3122</v>
      </c>
      <c r="O2041" t="s">
        <v>32</v>
      </c>
      <c r="P2041" t="s">
        <v>4515</v>
      </c>
      <c r="Q2041">
        <v>150</v>
      </c>
      <c r="R2041">
        <v>150</v>
      </c>
      <c r="S2041" t="s">
        <v>34</v>
      </c>
      <c r="T2041" t="s">
        <v>35</v>
      </c>
      <c r="U2041" t="s">
        <v>44</v>
      </c>
      <c r="W2041">
        <v>0</v>
      </c>
      <c r="X2041">
        <v>0</v>
      </c>
      <c r="Y2041">
        <v>0</v>
      </c>
      <c r="Z2041">
        <v>0</v>
      </c>
    </row>
    <row r="2042" spans="1:26" hidden="1" x14ac:dyDescent="0.25">
      <c r="A2042" t="s">
        <v>4516</v>
      </c>
      <c r="B2042" t="s">
        <v>38</v>
      </c>
      <c r="C2042" s="4">
        <v>44817</v>
      </c>
      <c r="D2042" s="4">
        <v>45868</v>
      </c>
      <c r="F2042" s="4">
        <v>46630</v>
      </c>
      <c r="G2042" t="s">
        <v>65</v>
      </c>
      <c r="H2042" t="s">
        <v>1285</v>
      </c>
      <c r="K2042" t="s">
        <v>67</v>
      </c>
      <c r="L2042" t="s">
        <v>3121</v>
      </c>
      <c r="M2042" t="s">
        <v>68</v>
      </c>
      <c r="N2042" t="s">
        <v>3122</v>
      </c>
      <c r="O2042" t="s">
        <v>32</v>
      </c>
      <c r="P2042" t="s">
        <v>4517</v>
      </c>
      <c r="Q2042">
        <v>150</v>
      </c>
      <c r="R2042">
        <v>150</v>
      </c>
      <c r="S2042" t="s">
        <v>34</v>
      </c>
      <c r="T2042" t="s">
        <v>35</v>
      </c>
      <c r="U2042" t="s">
        <v>44</v>
      </c>
      <c r="W2042">
        <v>0</v>
      </c>
      <c r="X2042">
        <v>0</v>
      </c>
      <c r="Y2042">
        <v>0</v>
      </c>
      <c r="Z2042">
        <v>0</v>
      </c>
    </row>
    <row r="2043" spans="1:26" hidden="1" x14ac:dyDescent="0.25">
      <c r="A2043" t="s">
        <v>4518</v>
      </c>
      <c r="B2043" t="s">
        <v>2153</v>
      </c>
      <c r="C2043" s="4">
        <v>44817</v>
      </c>
      <c r="F2043" s="4">
        <v>47361</v>
      </c>
      <c r="G2043" t="s">
        <v>1274</v>
      </c>
      <c r="H2043" t="s">
        <v>1275</v>
      </c>
      <c r="K2043" t="s">
        <v>41</v>
      </c>
      <c r="L2043" t="s">
        <v>3121</v>
      </c>
      <c r="M2043" t="s">
        <v>42</v>
      </c>
      <c r="N2043" t="s">
        <v>3122</v>
      </c>
      <c r="O2043" t="s">
        <v>32</v>
      </c>
      <c r="P2043" t="s">
        <v>1276</v>
      </c>
      <c r="Q2043">
        <v>200</v>
      </c>
      <c r="R2043">
        <v>200</v>
      </c>
      <c r="S2043" t="s">
        <v>34</v>
      </c>
      <c r="T2043" t="s">
        <v>35</v>
      </c>
      <c r="U2043" t="s">
        <v>44</v>
      </c>
      <c r="W2043">
        <v>200</v>
      </c>
      <c r="X2043">
        <v>200</v>
      </c>
      <c r="Y2043">
        <v>0</v>
      </c>
      <c r="Z2043">
        <v>0</v>
      </c>
    </row>
    <row r="2044" spans="1:26" hidden="1" x14ac:dyDescent="0.25">
      <c r="A2044" t="s">
        <v>4519</v>
      </c>
      <c r="B2044" t="s">
        <v>2153</v>
      </c>
      <c r="C2044" s="4">
        <v>44817</v>
      </c>
      <c r="F2044" s="4">
        <v>46691</v>
      </c>
      <c r="G2044" t="s">
        <v>1326</v>
      </c>
      <c r="H2044" t="s">
        <v>1571</v>
      </c>
      <c r="K2044" t="s">
        <v>67</v>
      </c>
      <c r="L2044" t="s">
        <v>3121</v>
      </c>
      <c r="M2044" t="s">
        <v>68</v>
      </c>
      <c r="N2044" t="s">
        <v>3122</v>
      </c>
      <c r="O2044" t="s">
        <v>32</v>
      </c>
      <c r="P2044" t="s">
        <v>4520</v>
      </c>
      <c r="Q2044">
        <v>290</v>
      </c>
      <c r="R2044">
        <v>290</v>
      </c>
      <c r="S2044" t="s">
        <v>34</v>
      </c>
      <c r="T2044" t="s">
        <v>35</v>
      </c>
      <c r="U2044" t="s">
        <v>44</v>
      </c>
      <c r="W2044">
        <v>290</v>
      </c>
      <c r="X2044">
        <v>290</v>
      </c>
      <c r="Y2044">
        <v>0</v>
      </c>
      <c r="Z2044">
        <v>0</v>
      </c>
    </row>
    <row r="2045" spans="1:26" hidden="1" x14ac:dyDescent="0.25">
      <c r="A2045" t="s">
        <v>4521</v>
      </c>
      <c r="B2045" t="s">
        <v>2153</v>
      </c>
      <c r="C2045" s="4">
        <v>44817</v>
      </c>
      <c r="F2045" s="4">
        <v>47361</v>
      </c>
      <c r="G2045" t="s">
        <v>1274</v>
      </c>
      <c r="H2045" t="s">
        <v>1275</v>
      </c>
      <c r="K2045" t="s">
        <v>41</v>
      </c>
      <c r="L2045" t="s">
        <v>3121</v>
      </c>
      <c r="M2045" t="s">
        <v>42</v>
      </c>
      <c r="N2045" t="s">
        <v>3122</v>
      </c>
      <c r="O2045" t="s">
        <v>32</v>
      </c>
      <c r="P2045" t="s">
        <v>1276</v>
      </c>
      <c r="Q2045">
        <v>200</v>
      </c>
      <c r="R2045">
        <v>200</v>
      </c>
      <c r="S2045" t="s">
        <v>34</v>
      </c>
      <c r="T2045" t="s">
        <v>35</v>
      </c>
      <c r="U2045" t="s">
        <v>44</v>
      </c>
      <c r="W2045">
        <v>200</v>
      </c>
      <c r="X2045">
        <v>200</v>
      </c>
      <c r="Y2045">
        <v>0</v>
      </c>
      <c r="Z2045">
        <v>0</v>
      </c>
    </row>
    <row r="2046" spans="1:26" hidden="1" x14ac:dyDescent="0.25">
      <c r="A2046" t="s">
        <v>4522</v>
      </c>
      <c r="B2046" t="s">
        <v>2153</v>
      </c>
      <c r="C2046" s="4">
        <v>44819</v>
      </c>
      <c r="F2046" s="4">
        <v>46023</v>
      </c>
      <c r="H2046" t="s">
        <v>2049</v>
      </c>
      <c r="K2046" t="s">
        <v>146</v>
      </c>
      <c r="L2046" t="s">
        <v>3121</v>
      </c>
      <c r="M2046" t="s">
        <v>68</v>
      </c>
      <c r="N2046" t="s">
        <v>3122</v>
      </c>
      <c r="O2046" t="s">
        <v>122</v>
      </c>
      <c r="P2046" t="s">
        <v>4523</v>
      </c>
      <c r="Q2046">
        <v>150</v>
      </c>
      <c r="R2046">
        <v>150</v>
      </c>
      <c r="S2046" t="s">
        <v>34</v>
      </c>
      <c r="T2046" t="s">
        <v>35</v>
      </c>
      <c r="U2046" t="s">
        <v>44</v>
      </c>
      <c r="W2046">
        <v>150</v>
      </c>
      <c r="X2046">
        <v>0</v>
      </c>
      <c r="Y2046">
        <v>0</v>
      </c>
      <c r="Z2046">
        <v>0</v>
      </c>
    </row>
    <row r="2047" spans="1:26" hidden="1" x14ac:dyDescent="0.25">
      <c r="A2047" t="s">
        <v>4524</v>
      </c>
      <c r="B2047" t="s">
        <v>38</v>
      </c>
      <c r="C2047" s="4">
        <v>44818</v>
      </c>
      <c r="D2047" s="4">
        <v>45957</v>
      </c>
      <c r="F2047" s="4">
        <v>45962</v>
      </c>
      <c r="G2047" t="s">
        <v>117</v>
      </c>
      <c r="H2047" t="s">
        <v>1711</v>
      </c>
      <c r="K2047" t="s">
        <v>83</v>
      </c>
      <c r="L2047" t="s">
        <v>3121</v>
      </c>
      <c r="M2047" t="s">
        <v>84</v>
      </c>
      <c r="N2047" t="s">
        <v>2160</v>
      </c>
      <c r="O2047" t="s">
        <v>32</v>
      </c>
      <c r="P2047" t="s">
        <v>1511</v>
      </c>
      <c r="Q2047">
        <v>200</v>
      </c>
      <c r="R2047">
        <v>200</v>
      </c>
      <c r="S2047" t="s">
        <v>159</v>
      </c>
      <c r="T2047" t="s">
        <v>159</v>
      </c>
      <c r="U2047" t="s">
        <v>44</v>
      </c>
      <c r="W2047">
        <v>0</v>
      </c>
      <c r="X2047">
        <v>0</v>
      </c>
      <c r="Y2047">
        <v>0</v>
      </c>
      <c r="Z2047">
        <v>0</v>
      </c>
    </row>
    <row r="2048" spans="1:26" hidden="1" x14ac:dyDescent="0.25">
      <c r="A2048" t="s">
        <v>4525</v>
      </c>
      <c r="B2048" t="s">
        <v>38</v>
      </c>
      <c r="C2048" s="4">
        <v>44818</v>
      </c>
      <c r="D2048" s="4">
        <v>45957</v>
      </c>
      <c r="F2048" s="4">
        <v>46327</v>
      </c>
      <c r="G2048" t="s">
        <v>117</v>
      </c>
      <c r="H2048" t="s">
        <v>1711</v>
      </c>
      <c r="K2048" t="s">
        <v>83</v>
      </c>
      <c r="L2048" t="s">
        <v>3121</v>
      </c>
      <c r="M2048" t="s">
        <v>84</v>
      </c>
      <c r="N2048" t="s">
        <v>2160</v>
      </c>
      <c r="O2048" t="s">
        <v>32</v>
      </c>
      <c r="P2048" t="s">
        <v>1511</v>
      </c>
      <c r="Q2048">
        <v>200</v>
      </c>
      <c r="R2048">
        <v>200</v>
      </c>
      <c r="S2048" t="s">
        <v>34</v>
      </c>
      <c r="T2048" t="s">
        <v>35</v>
      </c>
      <c r="U2048" t="s">
        <v>44</v>
      </c>
      <c r="W2048">
        <v>0</v>
      </c>
      <c r="X2048">
        <v>0</v>
      </c>
      <c r="Y2048">
        <v>0</v>
      </c>
      <c r="Z2048">
        <v>0</v>
      </c>
    </row>
    <row r="2049" spans="1:26" hidden="1" x14ac:dyDescent="0.25">
      <c r="A2049" t="s">
        <v>4526</v>
      </c>
      <c r="B2049" t="s">
        <v>2153</v>
      </c>
      <c r="C2049" s="4">
        <v>44818</v>
      </c>
      <c r="F2049" s="4">
        <v>46296</v>
      </c>
      <c r="G2049" t="s">
        <v>1749</v>
      </c>
      <c r="H2049" t="s">
        <v>1629</v>
      </c>
      <c r="K2049" t="s">
        <v>151</v>
      </c>
      <c r="L2049" t="s">
        <v>3121</v>
      </c>
      <c r="M2049" t="s">
        <v>68</v>
      </c>
      <c r="N2049" t="s">
        <v>3122</v>
      </c>
      <c r="O2049" t="s">
        <v>32</v>
      </c>
      <c r="P2049" t="s">
        <v>4527</v>
      </c>
      <c r="Q2049">
        <v>300</v>
      </c>
      <c r="R2049">
        <v>300</v>
      </c>
      <c r="S2049" t="s">
        <v>34</v>
      </c>
      <c r="T2049" t="s">
        <v>35</v>
      </c>
      <c r="U2049" t="s">
        <v>44</v>
      </c>
      <c r="W2049">
        <v>300</v>
      </c>
      <c r="X2049">
        <v>0</v>
      </c>
      <c r="Y2049">
        <v>0</v>
      </c>
      <c r="Z2049">
        <v>0</v>
      </c>
    </row>
    <row r="2050" spans="1:26" hidden="1" x14ac:dyDescent="0.25">
      <c r="A2050" t="s">
        <v>4528</v>
      </c>
      <c r="B2050" t="s">
        <v>38</v>
      </c>
      <c r="C2050" s="4">
        <v>44818</v>
      </c>
      <c r="D2050" s="4">
        <v>45010</v>
      </c>
      <c r="F2050" s="4">
        <v>45870</v>
      </c>
      <c r="G2050" t="s">
        <v>144</v>
      </c>
      <c r="H2050" t="s">
        <v>2382</v>
      </c>
      <c r="K2050" t="s">
        <v>146</v>
      </c>
      <c r="L2050" t="s">
        <v>3121</v>
      </c>
      <c r="M2050" t="s">
        <v>68</v>
      </c>
      <c r="N2050" t="s">
        <v>3122</v>
      </c>
      <c r="O2050" t="s">
        <v>32</v>
      </c>
      <c r="P2050" t="s">
        <v>3422</v>
      </c>
      <c r="Q2050">
        <v>140</v>
      </c>
      <c r="R2050">
        <v>140</v>
      </c>
      <c r="S2050" t="s">
        <v>159</v>
      </c>
      <c r="T2050" t="s">
        <v>159</v>
      </c>
      <c r="U2050" t="s">
        <v>44</v>
      </c>
      <c r="W2050">
        <v>0</v>
      </c>
      <c r="X2050">
        <v>0</v>
      </c>
      <c r="Y2050">
        <v>0</v>
      </c>
      <c r="Z2050">
        <v>0</v>
      </c>
    </row>
    <row r="2051" spans="1:26" hidden="1" x14ac:dyDescent="0.25">
      <c r="A2051" t="s">
        <v>4529</v>
      </c>
      <c r="B2051" t="s">
        <v>2153</v>
      </c>
      <c r="C2051" s="4">
        <v>44819</v>
      </c>
      <c r="F2051" s="4">
        <v>46631</v>
      </c>
      <c r="G2051" t="s">
        <v>1368</v>
      </c>
      <c r="H2051" t="s">
        <v>2761</v>
      </c>
      <c r="K2051" t="s">
        <v>209</v>
      </c>
      <c r="L2051" t="s">
        <v>3121</v>
      </c>
      <c r="M2051" t="s">
        <v>42</v>
      </c>
      <c r="N2051" t="s">
        <v>3122</v>
      </c>
      <c r="O2051" t="s">
        <v>32</v>
      </c>
      <c r="P2051" t="s">
        <v>4530</v>
      </c>
      <c r="Q2051">
        <v>263</v>
      </c>
      <c r="R2051">
        <v>263</v>
      </c>
      <c r="S2051" t="s">
        <v>389</v>
      </c>
      <c r="T2051" t="s">
        <v>584</v>
      </c>
      <c r="U2051" t="s">
        <v>44</v>
      </c>
      <c r="W2051">
        <v>263</v>
      </c>
      <c r="X2051">
        <v>263</v>
      </c>
      <c r="Y2051">
        <v>0</v>
      </c>
      <c r="Z2051">
        <v>0</v>
      </c>
    </row>
    <row r="2052" spans="1:26" hidden="1" x14ac:dyDescent="0.25">
      <c r="A2052" t="s">
        <v>4531</v>
      </c>
      <c r="B2052" t="s">
        <v>38</v>
      </c>
      <c r="C2052" s="4">
        <v>44819</v>
      </c>
      <c r="D2052" s="4">
        <v>45868</v>
      </c>
      <c r="F2052" s="4">
        <v>46478</v>
      </c>
      <c r="G2052" t="s">
        <v>65</v>
      </c>
      <c r="H2052" t="s">
        <v>4532</v>
      </c>
      <c r="K2052" t="s">
        <v>67</v>
      </c>
      <c r="L2052" t="s">
        <v>3121</v>
      </c>
      <c r="M2052" t="s">
        <v>68</v>
      </c>
      <c r="N2052" t="s">
        <v>3122</v>
      </c>
      <c r="O2052" t="s">
        <v>32</v>
      </c>
      <c r="P2052" t="s">
        <v>4533</v>
      </c>
      <c r="Q2052">
        <v>300</v>
      </c>
      <c r="R2052">
        <v>300</v>
      </c>
      <c r="S2052" t="s">
        <v>34</v>
      </c>
      <c r="T2052" t="s">
        <v>35</v>
      </c>
      <c r="U2052" t="s">
        <v>44</v>
      </c>
      <c r="W2052">
        <v>0</v>
      </c>
      <c r="X2052">
        <v>0</v>
      </c>
      <c r="Y2052">
        <v>0</v>
      </c>
      <c r="Z2052">
        <v>0</v>
      </c>
    </row>
    <row r="2053" spans="1:26" hidden="1" x14ac:dyDescent="0.25">
      <c r="A2053" t="s">
        <v>4534</v>
      </c>
      <c r="B2053" t="s">
        <v>2153</v>
      </c>
      <c r="C2053" s="4">
        <v>44819</v>
      </c>
      <c r="F2053" s="4">
        <v>45627</v>
      </c>
      <c r="G2053" t="s">
        <v>1753</v>
      </c>
      <c r="H2053" t="s">
        <v>1648</v>
      </c>
      <c r="K2053" t="s">
        <v>114</v>
      </c>
      <c r="L2053" t="s">
        <v>3121</v>
      </c>
      <c r="M2053" t="s">
        <v>68</v>
      </c>
      <c r="N2053" t="s">
        <v>3122</v>
      </c>
      <c r="O2053" t="s">
        <v>122</v>
      </c>
      <c r="P2053" t="s">
        <v>4535</v>
      </c>
      <c r="Q2053">
        <v>188</v>
      </c>
      <c r="R2053">
        <v>188</v>
      </c>
      <c r="S2053" t="s">
        <v>34</v>
      </c>
      <c r="T2053" t="s">
        <v>35</v>
      </c>
      <c r="U2053" t="s">
        <v>44</v>
      </c>
      <c r="W2053">
        <v>188</v>
      </c>
      <c r="X2053">
        <v>0</v>
      </c>
      <c r="Y2053">
        <v>0</v>
      </c>
      <c r="Z2053">
        <v>0</v>
      </c>
    </row>
    <row r="2054" spans="1:26" hidden="1" x14ac:dyDescent="0.25">
      <c r="A2054" t="s">
        <v>4536</v>
      </c>
      <c r="B2054" t="s">
        <v>2153</v>
      </c>
      <c r="C2054" s="4">
        <v>45867</v>
      </c>
      <c r="F2054" s="4">
        <v>46478</v>
      </c>
      <c r="G2054" t="s">
        <v>52</v>
      </c>
      <c r="H2054" t="s">
        <v>1530</v>
      </c>
      <c r="K2054" t="s">
        <v>53</v>
      </c>
      <c r="L2054" t="s">
        <v>3121</v>
      </c>
      <c r="M2054" t="s">
        <v>54</v>
      </c>
      <c r="N2054" t="s">
        <v>3122</v>
      </c>
      <c r="O2054" t="s">
        <v>32</v>
      </c>
      <c r="P2054" t="s">
        <v>4537</v>
      </c>
      <c r="Q2054">
        <v>255</v>
      </c>
      <c r="R2054">
        <v>255</v>
      </c>
      <c r="S2054" t="s">
        <v>34</v>
      </c>
      <c r="T2054" t="s">
        <v>35</v>
      </c>
      <c r="U2054" t="s">
        <v>44</v>
      </c>
      <c r="W2054">
        <v>255</v>
      </c>
      <c r="X2054">
        <v>255</v>
      </c>
      <c r="Y2054">
        <v>0</v>
      </c>
      <c r="Z2054">
        <v>0</v>
      </c>
    </row>
    <row r="2055" spans="1:26" hidden="1" x14ac:dyDescent="0.25">
      <c r="A2055" t="s">
        <v>4538</v>
      </c>
      <c r="B2055" t="s">
        <v>2153</v>
      </c>
      <c r="C2055" s="4">
        <v>45300</v>
      </c>
      <c r="F2055" s="4">
        <v>46203</v>
      </c>
      <c r="G2055" t="s">
        <v>173</v>
      </c>
      <c r="H2055" t="s">
        <v>1268</v>
      </c>
      <c r="K2055" t="s">
        <v>41</v>
      </c>
      <c r="L2055" t="s">
        <v>3121</v>
      </c>
      <c r="M2055" t="s">
        <v>42</v>
      </c>
      <c r="N2055" t="s">
        <v>3122</v>
      </c>
      <c r="O2055" t="s">
        <v>32</v>
      </c>
      <c r="P2055" t="s">
        <v>4539</v>
      </c>
      <c r="Q2055">
        <v>150</v>
      </c>
      <c r="R2055">
        <v>150</v>
      </c>
      <c r="S2055" t="s">
        <v>34</v>
      </c>
      <c r="T2055" t="s">
        <v>35</v>
      </c>
      <c r="U2055" t="s">
        <v>44</v>
      </c>
      <c r="W2055">
        <v>150</v>
      </c>
      <c r="X2055">
        <v>0</v>
      </c>
      <c r="Y2055">
        <v>0</v>
      </c>
      <c r="Z2055">
        <v>0</v>
      </c>
    </row>
    <row r="2056" spans="1:26" hidden="1" x14ac:dyDescent="0.25">
      <c r="A2056" t="s">
        <v>4540</v>
      </c>
      <c r="B2056" t="s">
        <v>38</v>
      </c>
      <c r="C2056" s="4">
        <v>44818</v>
      </c>
      <c r="D2056" s="4">
        <v>45870</v>
      </c>
      <c r="F2056" s="4">
        <v>32933</v>
      </c>
      <c r="G2056" t="s">
        <v>52</v>
      </c>
      <c r="H2056" t="s">
        <v>1330</v>
      </c>
      <c r="K2056" t="s">
        <v>53</v>
      </c>
      <c r="L2056" t="s">
        <v>3121</v>
      </c>
      <c r="M2056" t="s">
        <v>54</v>
      </c>
      <c r="N2056" t="s">
        <v>3122</v>
      </c>
      <c r="O2056" t="s">
        <v>32</v>
      </c>
      <c r="P2056" t="s">
        <v>4541</v>
      </c>
      <c r="Q2056">
        <v>300</v>
      </c>
      <c r="R2056">
        <v>300</v>
      </c>
      <c r="S2056" t="s">
        <v>389</v>
      </c>
      <c r="T2056" t="s">
        <v>2635</v>
      </c>
      <c r="U2056" t="s">
        <v>44</v>
      </c>
      <c r="W2056">
        <v>0</v>
      </c>
      <c r="X2056">
        <v>0</v>
      </c>
      <c r="Y2056">
        <v>0</v>
      </c>
      <c r="Z2056">
        <v>0</v>
      </c>
    </row>
    <row r="2057" spans="1:26" hidden="1" x14ac:dyDescent="0.25">
      <c r="A2057" t="s">
        <v>4542</v>
      </c>
      <c r="B2057" t="s">
        <v>2153</v>
      </c>
      <c r="C2057" s="4">
        <v>44819</v>
      </c>
      <c r="F2057" s="4">
        <v>45627</v>
      </c>
      <c r="G2057" t="s">
        <v>1753</v>
      </c>
      <c r="H2057" t="s">
        <v>1648</v>
      </c>
      <c r="K2057" t="s">
        <v>114</v>
      </c>
      <c r="L2057" t="s">
        <v>3121</v>
      </c>
      <c r="M2057" t="s">
        <v>68</v>
      </c>
      <c r="N2057" t="s">
        <v>3122</v>
      </c>
      <c r="O2057" t="s">
        <v>122</v>
      </c>
      <c r="P2057" t="s">
        <v>4535</v>
      </c>
      <c r="Q2057">
        <v>169</v>
      </c>
      <c r="R2057">
        <v>169</v>
      </c>
      <c r="S2057" t="s">
        <v>34</v>
      </c>
      <c r="T2057" t="s">
        <v>35</v>
      </c>
      <c r="U2057" t="s">
        <v>44</v>
      </c>
      <c r="W2057">
        <v>169</v>
      </c>
      <c r="X2057">
        <v>0</v>
      </c>
      <c r="Y2057">
        <v>0</v>
      </c>
      <c r="Z2057">
        <v>0</v>
      </c>
    </row>
    <row r="2058" spans="1:26" hidden="1" x14ac:dyDescent="0.25">
      <c r="A2058" t="s">
        <v>4543</v>
      </c>
      <c r="B2058" t="s">
        <v>38</v>
      </c>
      <c r="C2058" s="4">
        <v>44817</v>
      </c>
      <c r="D2058" s="4">
        <v>45009</v>
      </c>
      <c r="F2058" s="4">
        <v>43009</v>
      </c>
      <c r="G2058" t="s">
        <v>144</v>
      </c>
      <c r="H2058" t="s">
        <v>1302</v>
      </c>
      <c r="K2058" t="s">
        <v>146</v>
      </c>
      <c r="L2058" t="s">
        <v>3121</v>
      </c>
      <c r="M2058" t="s">
        <v>68</v>
      </c>
      <c r="N2058" t="s">
        <v>3122</v>
      </c>
      <c r="O2058" t="s">
        <v>32</v>
      </c>
      <c r="P2058" t="s">
        <v>4544</v>
      </c>
      <c r="Q2058">
        <v>200</v>
      </c>
      <c r="R2058">
        <v>200</v>
      </c>
      <c r="S2058" t="s">
        <v>34</v>
      </c>
      <c r="T2058" t="s">
        <v>35</v>
      </c>
      <c r="U2058" t="s">
        <v>44</v>
      </c>
      <c r="W2058">
        <v>0</v>
      </c>
      <c r="X2058">
        <v>0</v>
      </c>
      <c r="Y2058">
        <v>0</v>
      </c>
      <c r="Z2058">
        <v>0</v>
      </c>
    </row>
    <row r="2059" spans="1:26" hidden="1" x14ac:dyDescent="0.25">
      <c r="A2059" t="s">
        <v>4545</v>
      </c>
      <c r="B2059" t="s">
        <v>38</v>
      </c>
      <c r="C2059" s="4">
        <v>44817</v>
      </c>
      <c r="D2059" s="4">
        <v>45868</v>
      </c>
      <c r="F2059" s="4">
        <v>46661</v>
      </c>
      <c r="G2059" t="s">
        <v>144</v>
      </c>
      <c r="H2059" t="s">
        <v>1302</v>
      </c>
      <c r="K2059" t="s">
        <v>146</v>
      </c>
      <c r="L2059" t="s">
        <v>3121</v>
      </c>
      <c r="M2059" t="s">
        <v>68</v>
      </c>
      <c r="N2059" t="s">
        <v>3122</v>
      </c>
      <c r="O2059" t="s">
        <v>32</v>
      </c>
      <c r="P2059" t="s">
        <v>4546</v>
      </c>
      <c r="Q2059">
        <v>250</v>
      </c>
      <c r="R2059">
        <v>250</v>
      </c>
      <c r="S2059" t="s">
        <v>34</v>
      </c>
      <c r="T2059" t="s">
        <v>35</v>
      </c>
      <c r="U2059" t="s">
        <v>44</v>
      </c>
      <c r="W2059">
        <v>0</v>
      </c>
      <c r="X2059">
        <v>0</v>
      </c>
      <c r="Y2059">
        <v>0</v>
      </c>
      <c r="Z2059">
        <v>0</v>
      </c>
    </row>
    <row r="2060" spans="1:26" hidden="1" x14ac:dyDescent="0.25">
      <c r="A2060" t="s">
        <v>4547</v>
      </c>
      <c r="B2060" t="s">
        <v>38</v>
      </c>
      <c r="C2060" s="4">
        <v>44817</v>
      </c>
      <c r="D2060" s="4">
        <v>45868</v>
      </c>
      <c r="F2060" s="4">
        <v>46661</v>
      </c>
      <c r="G2060" t="s">
        <v>144</v>
      </c>
      <c r="H2060" t="s">
        <v>1302</v>
      </c>
      <c r="K2060" t="s">
        <v>146</v>
      </c>
      <c r="L2060" t="s">
        <v>3121</v>
      </c>
      <c r="M2060" t="s">
        <v>68</v>
      </c>
      <c r="N2060" t="s">
        <v>3122</v>
      </c>
      <c r="O2060" t="s">
        <v>32</v>
      </c>
      <c r="P2060" t="s">
        <v>4546</v>
      </c>
      <c r="Q2060">
        <v>200</v>
      </c>
      <c r="R2060">
        <v>200</v>
      </c>
      <c r="S2060" t="s">
        <v>597</v>
      </c>
      <c r="T2060" t="s">
        <v>598</v>
      </c>
      <c r="U2060" t="s">
        <v>44</v>
      </c>
      <c r="W2060">
        <v>0</v>
      </c>
      <c r="X2060">
        <v>0</v>
      </c>
      <c r="Y2060">
        <v>0</v>
      </c>
      <c r="Z2060">
        <v>0</v>
      </c>
    </row>
    <row r="2061" spans="1:26" hidden="1" x14ac:dyDescent="0.25">
      <c r="A2061" t="s">
        <v>4548</v>
      </c>
      <c r="B2061" t="s">
        <v>38</v>
      </c>
      <c r="C2061" s="4">
        <v>44819</v>
      </c>
      <c r="D2061" s="4">
        <v>45868</v>
      </c>
      <c r="F2061" s="4">
        <v>45997</v>
      </c>
      <c r="G2061" t="s">
        <v>144</v>
      </c>
      <c r="H2061" t="s">
        <v>1462</v>
      </c>
      <c r="K2061" t="s">
        <v>146</v>
      </c>
      <c r="L2061" t="s">
        <v>3121</v>
      </c>
      <c r="M2061" t="s">
        <v>68</v>
      </c>
      <c r="N2061" t="s">
        <v>3122</v>
      </c>
      <c r="O2061" t="s">
        <v>32</v>
      </c>
      <c r="P2061" t="s">
        <v>4549</v>
      </c>
      <c r="Q2061">
        <v>75</v>
      </c>
      <c r="R2061">
        <v>75</v>
      </c>
      <c r="S2061" t="s">
        <v>597</v>
      </c>
      <c r="T2061" t="s">
        <v>598</v>
      </c>
      <c r="U2061" t="s">
        <v>44</v>
      </c>
      <c r="W2061">
        <v>0</v>
      </c>
      <c r="X2061">
        <v>0</v>
      </c>
      <c r="Y2061">
        <v>0</v>
      </c>
      <c r="Z2061">
        <v>0</v>
      </c>
    </row>
    <row r="2062" spans="1:26" hidden="1" x14ac:dyDescent="0.25">
      <c r="A2062" t="s">
        <v>4550</v>
      </c>
      <c r="B2062" t="s">
        <v>2153</v>
      </c>
      <c r="C2062" s="4">
        <v>45866</v>
      </c>
      <c r="F2062" s="4">
        <v>45997</v>
      </c>
      <c r="G2062" t="s">
        <v>1326</v>
      </c>
      <c r="H2062" t="s">
        <v>2482</v>
      </c>
      <c r="K2062" t="s">
        <v>67</v>
      </c>
      <c r="L2062" t="s">
        <v>3121</v>
      </c>
      <c r="M2062" t="s">
        <v>68</v>
      </c>
      <c r="N2062" t="s">
        <v>3122</v>
      </c>
      <c r="O2062" t="s">
        <v>32</v>
      </c>
      <c r="P2062" t="s">
        <v>4551</v>
      </c>
      <c r="Q2062">
        <v>200</v>
      </c>
      <c r="R2062">
        <v>200</v>
      </c>
      <c r="S2062" t="s">
        <v>597</v>
      </c>
      <c r="T2062" t="s">
        <v>598</v>
      </c>
      <c r="U2062" t="s">
        <v>44</v>
      </c>
      <c r="W2062">
        <v>200</v>
      </c>
      <c r="X2062">
        <v>100</v>
      </c>
      <c r="Y2062">
        <v>0</v>
      </c>
      <c r="Z2062">
        <v>0</v>
      </c>
    </row>
    <row r="2063" spans="1:26" hidden="1" x14ac:dyDescent="0.25">
      <c r="A2063" t="s">
        <v>4552</v>
      </c>
      <c r="B2063" t="s">
        <v>2338</v>
      </c>
      <c r="C2063" s="4">
        <v>44819</v>
      </c>
      <c r="F2063" s="4">
        <v>46223</v>
      </c>
      <c r="G2063" t="s">
        <v>907</v>
      </c>
      <c r="H2063" t="s">
        <v>1330</v>
      </c>
      <c r="K2063" t="s">
        <v>53</v>
      </c>
      <c r="L2063" t="s">
        <v>3121</v>
      </c>
      <c r="M2063" t="s">
        <v>54</v>
      </c>
      <c r="N2063" t="s">
        <v>3122</v>
      </c>
      <c r="O2063" t="s">
        <v>32</v>
      </c>
      <c r="P2063" t="s">
        <v>1345</v>
      </c>
      <c r="Q2063">
        <v>175</v>
      </c>
      <c r="R2063">
        <v>175</v>
      </c>
      <c r="S2063" t="s">
        <v>34</v>
      </c>
      <c r="T2063" t="s">
        <v>35</v>
      </c>
      <c r="U2063" t="s">
        <v>44</v>
      </c>
      <c r="W2063">
        <v>175</v>
      </c>
      <c r="X2063">
        <v>175</v>
      </c>
      <c r="Y2063">
        <v>0</v>
      </c>
      <c r="Z2063">
        <v>0</v>
      </c>
    </row>
    <row r="2064" spans="1:26" hidden="1" x14ac:dyDescent="0.25">
      <c r="A2064" t="s">
        <v>4553</v>
      </c>
      <c r="B2064" t="s">
        <v>38</v>
      </c>
      <c r="C2064" s="4">
        <v>44819</v>
      </c>
      <c r="D2064" s="4">
        <v>45957</v>
      </c>
      <c r="F2064" s="4">
        <v>46223</v>
      </c>
      <c r="G2064" t="s">
        <v>117</v>
      </c>
      <c r="H2064" t="s">
        <v>1813</v>
      </c>
      <c r="K2064" t="s">
        <v>83</v>
      </c>
      <c r="L2064" t="s">
        <v>3121</v>
      </c>
      <c r="M2064" t="s">
        <v>84</v>
      </c>
      <c r="N2064" t="s">
        <v>2160</v>
      </c>
      <c r="O2064" t="s">
        <v>32</v>
      </c>
      <c r="P2064" t="s">
        <v>4554</v>
      </c>
      <c r="Q2064">
        <v>200</v>
      </c>
      <c r="R2064">
        <v>200</v>
      </c>
      <c r="S2064" t="s">
        <v>34</v>
      </c>
      <c r="T2064" t="s">
        <v>35</v>
      </c>
      <c r="U2064" t="s">
        <v>44</v>
      </c>
      <c r="W2064">
        <v>0</v>
      </c>
      <c r="X2064">
        <v>0</v>
      </c>
      <c r="Y2064">
        <v>0</v>
      </c>
      <c r="Z2064">
        <v>0</v>
      </c>
    </row>
    <row r="2065" spans="1:26" hidden="1" x14ac:dyDescent="0.25">
      <c r="A2065" t="s">
        <v>4555</v>
      </c>
      <c r="B2065" t="s">
        <v>38</v>
      </c>
      <c r="C2065" s="4">
        <v>44819</v>
      </c>
      <c r="D2065" s="4">
        <v>45868</v>
      </c>
      <c r="F2065" s="4">
        <v>45997</v>
      </c>
      <c r="G2065" t="s">
        <v>65</v>
      </c>
      <c r="H2065" t="s">
        <v>1470</v>
      </c>
      <c r="K2065" t="s">
        <v>67</v>
      </c>
      <c r="L2065" t="s">
        <v>3121</v>
      </c>
      <c r="M2065" t="s">
        <v>68</v>
      </c>
      <c r="N2065" t="s">
        <v>3122</v>
      </c>
      <c r="O2065" t="s">
        <v>32</v>
      </c>
      <c r="P2065" t="s">
        <v>4556</v>
      </c>
      <c r="Q2065">
        <v>100</v>
      </c>
      <c r="R2065">
        <v>100</v>
      </c>
      <c r="S2065" t="s">
        <v>597</v>
      </c>
      <c r="T2065" t="s">
        <v>598</v>
      </c>
      <c r="U2065" t="s">
        <v>44</v>
      </c>
      <c r="W2065">
        <v>0</v>
      </c>
      <c r="X2065">
        <v>0</v>
      </c>
      <c r="Y2065">
        <v>0</v>
      </c>
      <c r="Z2065">
        <v>0</v>
      </c>
    </row>
    <row r="2066" spans="1:26" hidden="1" x14ac:dyDescent="0.25">
      <c r="A2066" t="s">
        <v>4557</v>
      </c>
      <c r="B2066" t="s">
        <v>38</v>
      </c>
      <c r="C2066" s="4">
        <v>44819</v>
      </c>
      <c r="D2066" s="4">
        <v>45868</v>
      </c>
      <c r="F2066" s="4">
        <v>45997</v>
      </c>
      <c r="G2066" t="s">
        <v>1311</v>
      </c>
      <c r="H2066" t="s">
        <v>1673</v>
      </c>
      <c r="K2066" t="s">
        <v>114</v>
      </c>
      <c r="L2066" t="s">
        <v>3121</v>
      </c>
      <c r="M2066" t="s">
        <v>68</v>
      </c>
      <c r="N2066" t="s">
        <v>3122</v>
      </c>
      <c r="O2066" t="s">
        <v>32</v>
      </c>
      <c r="P2066" t="s">
        <v>4558</v>
      </c>
      <c r="Q2066">
        <v>100</v>
      </c>
      <c r="R2066">
        <v>100</v>
      </c>
      <c r="S2066" t="s">
        <v>597</v>
      </c>
      <c r="T2066" t="s">
        <v>598</v>
      </c>
      <c r="U2066" t="s">
        <v>44</v>
      </c>
      <c r="W2066">
        <v>0</v>
      </c>
      <c r="X2066">
        <v>0</v>
      </c>
      <c r="Y2066">
        <v>0</v>
      </c>
      <c r="Z2066">
        <v>0</v>
      </c>
    </row>
    <row r="2067" spans="1:26" hidden="1" x14ac:dyDescent="0.25">
      <c r="A2067" t="s">
        <v>4559</v>
      </c>
      <c r="B2067" t="s">
        <v>2153</v>
      </c>
      <c r="C2067" s="4">
        <v>44819</v>
      </c>
      <c r="F2067" s="4">
        <v>46315</v>
      </c>
      <c r="G2067" t="s">
        <v>117</v>
      </c>
      <c r="H2067" t="s">
        <v>1813</v>
      </c>
      <c r="K2067" t="s">
        <v>83</v>
      </c>
      <c r="L2067" t="s">
        <v>3121</v>
      </c>
      <c r="M2067" t="s">
        <v>84</v>
      </c>
      <c r="N2067" t="s">
        <v>2160</v>
      </c>
      <c r="O2067" t="s">
        <v>32</v>
      </c>
      <c r="P2067" t="s">
        <v>4560</v>
      </c>
      <c r="Q2067">
        <v>143</v>
      </c>
      <c r="R2067">
        <v>143</v>
      </c>
      <c r="S2067" t="s">
        <v>159</v>
      </c>
      <c r="T2067" t="s">
        <v>159</v>
      </c>
      <c r="U2067" t="s">
        <v>44</v>
      </c>
      <c r="W2067">
        <v>143</v>
      </c>
      <c r="X2067">
        <v>143</v>
      </c>
      <c r="Y2067">
        <v>0</v>
      </c>
      <c r="Z2067">
        <v>0</v>
      </c>
    </row>
    <row r="2068" spans="1:26" hidden="1" x14ac:dyDescent="0.25">
      <c r="A2068" t="s">
        <v>4561</v>
      </c>
      <c r="B2068" t="s">
        <v>2153</v>
      </c>
      <c r="C2068" s="4">
        <v>44819</v>
      </c>
      <c r="F2068" s="4">
        <v>46315</v>
      </c>
      <c r="H2068" t="s">
        <v>1813</v>
      </c>
      <c r="K2068" t="s">
        <v>83</v>
      </c>
      <c r="L2068" t="s">
        <v>3121</v>
      </c>
      <c r="M2068" t="s">
        <v>84</v>
      </c>
      <c r="N2068" t="s">
        <v>2160</v>
      </c>
      <c r="O2068" t="s">
        <v>122</v>
      </c>
      <c r="P2068" t="s">
        <v>4560</v>
      </c>
      <c r="Q2068">
        <v>157</v>
      </c>
      <c r="R2068">
        <v>157</v>
      </c>
      <c r="S2068" t="s">
        <v>34</v>
      </c>
      <c r="T2068" t="s">
        <v>35</v>
      </c>
      <c r="U2068" t="s">
        <v>44</v>
      </c>
      <c r="W2068">
        <v>157</v>
      </c>
      <c r="X2068">
        <v>0</v>
      </c>
      <c r="Y2068">
        <v>0</v>
      </c>
      <c r="Z2068">
        <v>0</v>
      </c>
    </row>
    <row r="2069" spans="1:26" hidden="1" x14ac:dyDescent="0.25">
      <c r="A2069" t="s">
        <v>4562</v>
      </c>
      <c r="B2069" t="s">
        <v>2153</v>
      </c>
      <c r="C2069" s="4">
        <v>44819</v>
      </c>
      <c r="F2069" s="4">
        <v>45746</v>
      </c>
      <c r="G2069" t="s">
        <v>52</v>
      </c>
      <c r="H2069" t="s">
        <v>3583</v>
      </c>
      <c r="K2069" t="s">
        <v>53</v>
      </c>
      <c r="L2069" t="s">
        <v>3121</v>
      </c>
      <c r="M2069" t="s">
        <v>54</v>
      </c>
      <c r="N2069" t="s">
        <v>3122</v>
      </c>
      <c r="O2069" t="s">
        <v>32</v>
      </c>
      <c r="P2069" t="s">
        <v>4563</v>
      </c>
      <c r="Q2069">
        <v>20</v>
      </c>
      <c r="R2069">
        <v>20</v>
      </c>
      <c r="S2069" t="s">
        <v>34</v>
      </c>
      <c r="T2069" t="s">
        <v>35</v>
      </c>
      <c r="U2069" t="s">
        <v>44</v>
      </c>
      <c r="W2069">
        <v>20</v>
      </c>
      <c r="X2069">
        <v>20</v>
      </c>
      <c r="Y2069">
        <v>0</v>
      </c>
      <c r="Z2069">
        <v>0</v>
      </c>
    </row>
    <row r="2070" spans="1:26" hidden="1" x14ac:dyDescent="0.25">
      <c r="A2070" t="s">
        <v>4564</v>
      </c>
      <c r="B2070" t="s">
        <v>2153</v>
      </c>
      <c r="C2070" s="4">
        <v>44819</v>
      </c>
      <c r="F2070" s="4">
        <v>46203</v>
      </c>
      <c r="G2070" t="s">
        <v>2735</v>
      </c>
      <c r="H2070" t="s">
        <v>2002</v>
      </c>
      <c r="K2070" t="s">
        <v>53</v>
      </c>
      <c r="L2070" t="s">
        <v>3121</v>
      </c>
      <c r="M2070" t="s">
        <v>54</v>
      </c>
      <c r="N2070" t="s">
        <v>3122</v>
      </c>
      <c r="O2070" t="s">
        <v>32</v>
      </c>
      <c r="P2070" t="s">
        <v>4565</v>
      </c>
      <c r="Q2070">
        <v>50</v>
      </c>
      <c r="R2070">
        <v>50</v>
      </c>
      <c r="S2070" t="s">
        <v>34</v>
      </c>
      <c r="T2070" t="s">
        <v>35</v>
      </c>
      <c r="U2070" t="s">
        <v>44</v>
      </c>
      <c r="W2070">
        <v>50</v>
      </c>
      <c r="X2070">
        <v>50</v>
      </c>
      <c r="Y2070">
        <v>0</v>
      </c>
      <c r="Z2070">
        <v>0</v>
      </c>
    </row>
    <row r="2071" spans="1:26" hidden="1" x14ac:dyDescent="0.25">
      <c r="A2071" t="s">
        <v>4566</v>
      </c>
      <c r="B2071" t="s">
        <v>38</v>
      </c>
      <c r="C2071" s="4">
        <v>44816</v>
      </c>
      <c r="D2071" s="4">
        <v>45868</v>
      </c>
      <c r="F2071" s="4">
        <v>45901</v>
      </c>
      <c r="G2071" t="s">
        <v>144</v>
      </c>
      <c r="H2071" t="s">
        <v>1418</v>
      </c>
      <c r="K2071" t="s">
        <v>146</v>
      </c>
      <c r="L2071" t="s">
        <v>3121</v>
      </c>
      <c r="M2071" t="s">
        <v>68</v>
      </c>
      <c r="N2071" t="s">
        <v>3122</v>
      </c>
      <c r="O2071" t="s">
        <v>32</v>
      </c>
      <c r="P2071" t="s">
        <v>4567</v>
      </c>
      <c r="Q2071">
        <v>200</v>
      </c>
      <c r="R2071">
        <v>200</v>
      </c>
      <c r="S2071" t="s">
        <v>34</v>
      </c>
      <c r="T2071" t="s">
        <v>35</v>
      </c>
      <c r="U2071" t="s">
        <v>44</v>
      </c>
      <c r="W2071">
        <v>0</v>
      </c>
      <c r="X2071">
        <v>0</v>
      </c>
      <c r="Y2071">
        <v>0</v>
      </c>
      <c r="Z2071">
        <v>0</v>
      </c>
    </row>
    <row r="2072" spans="1:26" hidden="1" x14ac:dyDescent="0.25">
      <c r="A2072" t="s">
        <v>4568</v>
      </c>
      <c r="B2072" t="s">
        <v>38</v>
      </c>
      <c r="C2072" s="4">
        <v>44819</v>
      </c>
      <c r="D2072" s="4">
        <v>45868</v>
      </c>
      <c r="F2072" s="4">
        <v>46129</v>
      </c>
      <c r="G2072" t="s">
        <v>144</v>
      </c>
      <c r="H2072" t="s">
        <v>3086</v>
      </c>
      <c r="K2072" t="s">
        <v>146</v>
      </c>
      <c r="L2072" t="s">
        <v>3121</v>
      </c>
      <c r="M2072" t="s">
        <v>68</v>
      </c>
      <c r="N2072" t="s">
        <v>3122</v>
      </c>
      <c r="O2072" t="s">
        <v>32</v>
      </c>
      <c r="P2072" t="s">
        <v>4569</v>
      </c>
      <c r="Q2072">
        <v>110</v>
      </c>
      <c r="R2072">
        <v>110</v>
      </c>
      <c r="S2072" t="s">
        <v>597</v>
      </c>
      <c r="T2072" t="s">
        <v>598</v>
      </c>
      <c r="U2072" t="s">
        <v>44</v>
      </c>
      <c r="W2072">
        <v>0</v>
      </c>
      <c r="X2072">
        <v>0</v>
      </c>
      <c r="Y2072">
        <v>0</v>
      </c>
      <c r="Z2072">
        <v>0</v>
      </c>
    </row>
    <row r="2073" spans="1:26" hidden="1" x14ac:dyDescent="0.25">
      <c r="A2073" t="s">
        <v>4570</v>
      </c>
      <c r="B2073" t="s">
        <v>38</v>
      </c>
      <c r="C2073" s="4">
        <v>44806</v>
      </c>
      <c r="D2073" s="4">
        <v>45957</v>
      </c>
      <c r="F2073" s="4">
        <v>46748</v>
      </c>
      <c r="G2073" t="s">
        <v>117</v>
      </c>
      <c r="H2073" t="s">
        <v>1333</v>
      </c>
      <c r="K2073" t="s">
        <v>83</v>
      </c>
      <c r="L2073" t="s">
        <v>3121</v>
      </c>
      <c r="M2073" t="s">
        <v>84</v>
      </c>
      <c r="N2073" t="s">
        <v>2160</v>
      </c>
      <c r="O2073" t="s">
        <v>32</v>
      </c>
      <c r="P2073" t="s">
        <v>4571</v>
      </c>
      <c r="Q2073">
        <v>70</v>
      </c>
      <c r="R2073">
        <v>70</v>
      </c>
      <c r="S2073" t="s">
        <v>34</v>
      </c>
      <c r="T2073" t="s">
        <v>35</v>
      </c>
      <c r="U2073" t="s">
        <v>44</v>
      </c>
      <c r="W2073">
        <v>0</v>
      </c>
      <c r="X2073">
        <v>0</v>
      </c>
      <c r="Y2073">
        <v>0</v>
      </c>
      <c r="Z2073">
        <v>0</v>
      </c>
    </row>
    <row r="2074" spans="1:26" hidden="1" x14ac:dyDescent="0.25">
      <c r="A2074" t="s">
        <v>4572</v>
      </c>
      <c r="B2074" t="s">
        <v>2153</v>
      </c>
      <c r="C2074" s="4">
        <v>44819</v>
      </c>
      <c r="F2074" s="4">
        <v>45715</v>
      </c>
      <c r="G2074" t="s">
        <v>1597</v>
      </c>
      <c r="H2074" t="s">
        <v>1415</v>
      </c>
      <c r="K2074" t="s">
        <v>185</v>
      </c>
      <c r="L2074" t="s">
        <v>3121</v>
      </c>
      <c r="M2074" t="s">
        <v>42</v>
      </c>
      <c r="N2074" t="s">
        <v>3122</v>
      </c>
      <c r="O2074" t="s">
        <v>122</v>
      </c>
      <c r="P2074" t="s">
        <v>2244</v>
      </c>
      <c r="Q2074">
        <v>100</v>
      </c>
      <c r="R2074">
        <v>100</v>
      </c>
      <c r="S2074" t="s">
        <v>56</v>
      </c>
      <c r="T2074" t="s">
        <v>57</v>
      </c>
      <c r="U2074" t="s">
        <v>44</v>
      </c>
      <c r="W2074">
        <v>100</v>
      </c>
      <c r="X2074">
        <v>0</v>
      </c>
      <c r="Y2074">
        <v>0</v>
      </c>
      <c r="Z2074">
        <v>0</v>
      </c>
    </row>
    <row r="2075" spans="1:26" hidden="1" x14ac:dyDescent="0.25">
      <c r="A2075" t="s">
        <v>4573</v>
      </c>
      <c r="B2075" t="s">
        <v>38</v>
      </c>
      <c r="C2075" s="4">
        <v>44819</v>
      </c>
      <c r="D2075" s="4">
        <v>45868</v>
      </c>
      <c r="F2075" s="4">
        <v>45473</v>
      </c>
      <c r="G2075" t="s">
        <v>65</v>
      </c>
      <c r="H2075" t="s">
        <v>3330</v>
      </c>
      <c r="K2075" t="s">
        <v>67</v>
      </c>
      <c r="L2075" t="s">
        <v>3121</v>
      </c>
      <c r="M2075" t="s">
        <v>68</v>
      </c>
      <c r="N2075" t="s">
        <v>3122</v>
      </c>
      <c r="O2075" t="s">
        <v>32</v>
      </c>
      <c r="P2075" t="s">
        <v>4574</v>
      </c>
      <c r="Q2075">
        <v>140</v>
      </c>
      <c r="R2075">
        <v>140</v>
      </c>
      <c r="S2075" t="s">
        <v>597</v>
      </c>
      <c r="T2075" t="s">
        <v>598</v>
      </c>
      <c r="U2075" t="s">
        <v>44</v>
      </c>
      <c r="W2075">
        <v>0</v>
      </c>
      <c r="X2075">
        <v>0</v>
      </c>
      <c r="Y2075">
        <v>0</v>
      </c>
      <c r="Z2075">
        <v>0</v>
      </c>
    </row>
    <row r="2076" spans="1:26" hidden="1" x14ac:dyDescent="0.25">
      <c r="A2076" t="s">
        <v>4575</v>
      </c>
      <c r="B2076" t="s">
        <v>38</v>
      </c>
      <c r="C2076" s="4">
        <v>44818</v>
      </c>
      <c r="D2076" s="4">
        <v>45012</v>
      </c>
      <c r="F2076" s="4">
        <v>45656</v>
      </c>
      <c r="G2076" t="s">
        <v>1311</v>
      </c>
      <c r="H2076" t="s">
        <v>3944</v>
      </c>
      <c r="K2076" t="s">
        <v>114</v>
      </c>
      <c r="L2076" t="s">
        <v>3121</v>
      </c>
      <c r="M2076" t="s">
        <v>68</v>
      </c>
      <c r="N2076" t="s">
        <v>3122</v>
      </c>
      <c r="O2076" t="s">
        <v>32</v>
      </c>
      <c r="P2076" t="s">
        <v>4576</v>
      </c>
      <c r="Q2076">
        <v>120</v>
      </c>
      <c r="R2076">
        <v>120</v>
      </c>
      <c r="S2076" t="s">
        <v>597</v>
      </c>
      <c r="T2076" t="s">
        <v>598</v>
      </c>
      <c r="U2076" t="s">
        <v>44</v>
      </c>
      <c r="W2076">
        <v>0</v>
      </c>
      <c r="X2076">
        <v>0</v>
      </c>
      <c r="Y2076">
        <v>0</v>
      </c>
      <c r="Z2076">
        <v>0</v>
      </c>
    </row>
    <row r="2077" spans="1:26" hidden="1" x14ac:dyDescent="0.25">
      <c r="A2077" t="s">
        <v>4577</v>
      </c>
      <c r="B2077" t="s">
        <v>38</v>
      </c>
      <c r="C2077" s="4">
        <v>44818</v>
      </c>
      <c r="D2077" s="4">
        <v>45010</v>
      </c>
      <c r="F2077" s="4">
        <v>46326</v>
      </c>
      <c r="G2077" t="s">
        <v>65</v>
      </c>
      <c r="H2077" t="s">
        <v>1437</v>
      </c>
      <c r="K2077" t="s">
        <v>67</v>
      </c>
      <c r="L2077" t="s">
        <v>3121</v>
      </c>
      <c r="M2077" t="s">
        <v>68</v>
      </c>
      <c r="N2077" t="s">
        <v>3122</v>
      </c>
      <c r="O2077" t="s">
        <v>32</v>
      </c>
      <c r="P2077" t="s">
        <v>4578</v>
      </c>
      <c r="Q2077">
        <v>200</v>
      </c>
      <c r="R2077">
        <v>200</v>
      </c>
      <c r="S2077" t="s">
        <v>159</v>
      </c>
      <c r="T2077" t="s">
        <v>159</v>
      </c>
      <c r="U2077" t="s">
        <v>44</v>
      </c>
      <c r="W2077">
        <v>0</v>
      </c>
      <c r="X2077">
        <v>0</v>
      </c>
      <c r="Y2077">
        <v>0</v>
      </c>
      <c r="Z2077">
        <v>0</v>
      </c>
    </row>
    <row r="2078" spans="1:26" hidden="1" x14ac:dyDescent="0.25">
      <c r="A2078" t="s">
        <v>4579</v>
      </c>
      <c r="B2078" t="s">
        <v>2153</v>
      </c>
      <c r="C2078" s="4">
        <v>44819</v>
      </c>
      <c r="F2078" s="4">
        <v>45900</v>
      </c>
      <c r="G2078" t="s">
        <v>117</v>
      </c>
      <c r="H2078" t="s">
        <v>3240</v>
      </c>
      <c r="K2078" t="s">
        <v>83</v>
      </c>
      <c r="L2078" t="s">
        <v>3121</v>
      </c>
      <c r="M2078" t="s">
        <v>84</v>
      </c>
      <c r="N2078" t="s">
        <v>2160</v>
      </c>
      <c r="O2078" t="s">
        <v>122</v>
      </c>
      <c r="P2078" t="s">
        <v>4580</v>
      </c>
      <c r="Q2078">
        <v>250</v>
      </c>
      <c r="R2078">
        <v>250</v>
      </c>
      <c r="S2078" t="s">
        <v>597</v>
      </c>
      <c r="T2078" t="s">
        <v>35</v>
      </c>
      <c r="U2078" t="s">
        <v>44</v>
      </c>
      <c r="W2078">
        <v>250</v>
      </c>
      <c r="X2078">
        <v>0</v>
      </c>
      <c r="Y2078">
        <v>0</v>
      </c>
      <c r="Z2078">
        <v>0</v>
      </c>
    </row>
    <row r="2079" spans="1:26" hidden="1" x14ac:dyDescent="0.25">
      <c r="A2079" t="s">
        <v>4581</v>
      </c>
      <c r="B2079" t="s">
        <v>2338</v>
      </c>
      <c r="C2079" s="4">
        <v>44819</v>
      </c>
      <c r="F2079" s="4">
        <v>45991</v>
      </c>
      <c r="G2079" t="s">
        <v>138</v>
      </c>
      <c r="H2079" t="s">
        <v>1805</v>
      </c>
      <c r="K2079" t="s">
        <v>98</v>
      </c>
      <c r="L2079" t="s">
        <v>3121</v>
      </c>
      <c r="M2079" t="s">
        <v>84</v>
      </c>
      <c r="N2079" t="s">
        <v>2160</v>
      </c>
      <c r="O2079" t="s">
        <v>122</v>
      </c>
      <c r="P2079" t="s">
        <v>4413</v>
      </c>
      <c r="Q2079">
        <v>560</v>
      </c>
      <c r="R2079">
        <v>560</v>
      </c>
      <c r="S2079" t="s">
        <v>597</v>
      </c>
      <c r="T2079" t="s">
        <v>598</v>
      </c>
      <c r="U2079" t="s">
        <v>44</v>
      </c>
      <c r="W2079">
        <v>560</v>
      </c>
      <c r="X2079">
        <v>0</v>
      </c>
      <c r="Y2079">
        <v>0</v>
      </c>
      <c r="Z2079">
        <v>0</v>
      </c>
    </row>
    <row r="2080" spans="1:26" hidden="1" x14ac:dyDescent="0.25">
      <c r="A2080" t="s">
        <v>4582</v>
      </c>
      <c r="B2080" t="s">
        <v>2338</v>
      </c>
      <c r="C2080" s="4">
        <v>44819</v>
      </c>
      <c r="F2080" s="4">
        <v>45991</v>
      </c>
      <c r="G2080" t="s">
        <v>117</v>
      </c>
      <c r="H2080" t="s">
        <v>2180</v>
      </c>
      <c r="K2080" t="s">
        <v>83</v>
      </c>
      <c r="L2080" t="s">
        <v>3121</v>
      </c>
      <c r="M2080" t="s">
        <v>84</v>
      </c>
      <c r="N2080" t="s">
        <v>2160</v>
      </c>
      <c r="O2080" t="s">
        <v>122</v>
      </c>
      <c r="P2080" t="s">
        <v>4583</v>
      </c>
      <c r="Q2080">
        <v>500</v>
      </c>
      <c r="R2080">
        <v>500</v>
      </c>
      <c r="S2080" t="s">
        <v>597</v>
      </c>
      <c r="T2080" t="s">
        <v>598</v>
      </c>
      <c r="U2080" t="s">
        <v>44</v>
      </c>
      <c r="W2080">
        <v>500</v>
      </c>
      <c r="X2080">
        <v>0</v>
      </c>
      <c r="Y2080">
        <v>0</v>
      </c>
      <c r="Z2080">
        <v>0</v>
      </c>
    </row>
    <row r="2081" spans="1:26" hidden="1" x14ac:dyDescent="0.25">
      <c r="A2081" t="s">
        <v>4584</v>
      </c>
      <c r="B2081" t="s">
        <v>2153</v>
      </c>
      <c r="C2081" s="4">
        <v>44819</v>
      </c>
      <c r="F2081" s="4">
        <v>46356</v>
      </c>
      <c r="G2081" t="s">
        <v>1679</v>
      </c>
      <c r="H2081" t="s">
        <v>2375</v>
      </c>
      <c r="K2081" t="s">
        <v>98</v>
      </c>
      <c r="L2081" t="s">
        <v>3121</v>
      </c>
      <c r="M2081" t="s">
        <v>84</v>
      </c>
      <c r="N2081" t="s">
        <v>2160</v>
      </c>
      <c r="O2081" t="s">
        <v>122</v>
      </c>
      <c r="P2081" t="s">
        <v>4585</v>
      </c>
      <c r="Q2081">
        <v>250</v>
      </c>
      <c r="R2081">
        <v>250</v>
      </c>
      <c r="S2081" t="s">
        <v>597</v>
      </c>
      <c r="T2081" t="s">
        <v>598</v>
      </c>
      <c r="U2081" t="s">
        <v>44</v>
      </c>
      <c r="W2081">
        <v>250</v>
      </c>
      <c r="X2081">
        <v>0</v>
      </c>
      <c r="Y2081">
        <v>0</v>
      </c>
      <c r="Z2081">
        <v>0</v>
      </c>
    </row>
    <row r="2082" spans="1:26" hidden="1" x14ac:dyDescent="0.25">
      <c r="A2082" t="s">
        <v>4586</v>
      </c>
      <c r="B2082" t="s">
        <v>2153</v>
      </c>
      <c r="C2082" s="4">
        <v>44816</v>
      </c>
      <c r="F2082" s="4">
        <v>47392</v>
      </c>
      <c r="G2082" t="s">
        <v>132</v>
      </c>
      <c r="H2082" t="s">
        <v>3028</v>
      </c>
      <c r="K2082" t="s">
        <v>83</v>
      </c>
      <c r="L2082" t="s">
        <v>3121</v>
      </c>
      <c r="M2082" t="s">
        <v>84</v>
      </c>
      <c r="N2082" t="s">
        <v>2160</v>
      </c>
      <c r="O2082" t="s">
        <v>32</v>
      </c>
      <c r="P2082" t="s">
        <v>3029</v>
      </c>
      <c r="Q2082">
        <v>250</v>
      </c>
      <c r="R2082">
        <v>250</v>
      </c>
      <c r="S2082" t="s">
        <v>56</v>
      </c>
      <c r="T2082" t="s">
        <v>57</v>
      </c>
      <c r="U2082" t="s">
        <v>44</v>
      </c>
      <c r="W2082">
        <v>250</v>
      </c>
      <c r="X2082">
        <v>250</v>
      </c>
      <c r="Y2082">
        <v>0</v>
      </c>
      <c r="Z2082">
        <v>0</v>
      </c>
    </row>
    <row r="2083" spans="1:26" hidden="1" x14ac:dyDescent="0.25">
      <c r="A2083" t="s">
        <v>4587</v>
      </c>
      <c r="B2083" t="s">
        <v>38</v>
      </c>
      <c r="C2083" s="4">
        <v>44818</v>
      </c>
      <c r="D2083" s="4">
        <v>45868</v>
      </c>
      <c r="F2083" s="4">
        <v>46296</v>
      </c>
      <c r="G2083" t="s">
        <v>149</v>
      </c>
      <c r="H2083" t="s">
        <v>2366</v>
      </c>
      <c r="K2083" t="s">
        <v>151</v>
      </c>
      <c r="L2083" t="s">
        <v>3121</v>
      </c>
      <c r="M2083" t="s">
        <v>68</v>
      </c>
      <c r="N2083" t="s">
        <v>3122</v>
      </c>
      <c r="O2083" t="s">
        <v>32</v>
      </c>
      <c r="P2083" t="s">
        <v>4588</v>
      </c>
      <c r="Q2083">
        <v>200</v>
      </c>
      <c r="R2083">
        <v>200</v>
      </c>
      <c r="S2083" t="s">
        <v>34</v>
      </c>
      <c r="T2083" t="s">
        <v>35</v>
      </c>
      <c r="U2083" t="s">
        <v>44</v>
      </c>
      <c r="W2083">
        <v>0</v>
      </c>
      <c r="X2083">
        <v>0</v>
      </c>
      <c r="Y2083">
        <v>0</v>
      </c>
      <c r="Z2083">
        <v>0</v>
      </c>
    </row>
    <row r="2084" spans="1:26" hidden="1" x14ac:dyDescent="0.25">
      <c r="A2084" t="s">
        <v>4589</v>
      </c>
      <c r="B2084" t="s">
        <v>2338</v>
      </c>
      <c r="C2084" s="4">
        <v>44819</v>
      </c>
      <c r="F2084" s="4">
        <v>45898</v>
      </c>
      <c r="G2084" t="s">
        <v>117</v>
      </c>
      <c r="H2084" t="s">
        <v>1887</v>
      </c>
      <c r="K2084" t="s">
        <v>83</v>
      </c>
      <c r="L2084" t="s">
        <v>3121</v>
      </c>
      <c r="M2084" t="s">
        <v>84</v>
      </c>
      <c r="N2084" t="s">
        <v>2160</v>
      </c>
      <c r="O2084" t="s">
        <v>32</v>
      </c>
      <c r="P2084" t="s">
        <v>4590</v>
      </c>
      <c r="Q2084">
        <v>200</v>
      </c>
      <c r="R2084">
        <v>200</v>
      </c>
      <c r="S2084" t="s">
        <v>597</v>
      </c>
      <c r="T2084" t="s">
        <v>598</v>
      </c>
      <c r="U2084" t="s">
        <v>44</v>
      </c>
      <c r="W2084">
        <v>200</v>
      </c>
      <c r="X2084">
        <v>200</v>
      </c>
      <c r="Y2084">
        <v>0</v>
      </c>
      <c r="Z2084">
        <v>0</v>
      </c>
    </row>
    <row r="2085" spans="1:26" hidden="1" x14ac:dyDescent="0.25">
      <c r="A2085" t="s">
        <v>4591</v>
      </c>
      <c r="B2085" t="s">
        <v>2153</v>
      </c>
      <c r="C2085" s="4">
        <v>45866</v>
      </c>
      <c r="F2085" s="4">
        <v>46295</v>
      </c>
      <c r="G2085" t="s">
        <v>1326</v>
      </c>
      <c r="H2085" t="s">
        <v>3701</v>
      </c>
      <c r="K2085" t="s">
        <v>67</v>
      </c>
      <c r="L2085" t="s">
        <v>3121</v>
      </c>
      <c r="M2085" t="s">
        <v>68</v>
      </c>
      <c r="N2085" t="s">
        <v>3122</v>
      </c>
      <c r="O2085" t="s">
        <v>32</v>
      </c>
      <c r="P2085" t="s">
        <v>4592</v>
      </c>
      <c r="Q2085">
        <v>105</v>
      </c>
      <c r="R2085">
        <v>105</v>
      </c>
      <c r="S2085" t="s">
        <v>34</v>
      </c>
      <c r="T2085" t="s">
        <v>35</v>
      </c>
      <c r="U2085" t="s">
        <v>44</v>
      </c>
      <c r="W2085">
        <v>105</v>
      </c>
      <c r="X2085">
        <v>105</v>
      </c>
      <c r="Y2085">
        <v>0</v>
      </c>
      <c r="Z2085">
        <v>0</v>
      </c>
    </row>
    <row r="2086" spans="1:26" hidden="1" x14ac:dyDescent="0.25">
      <c r="A2086" t="s">
        <v>4593</v>
      </c>
      <c r="B2086" t="s">
        <v>2153</v>
      </c>
      <c r="C2086" s="4">
        <v>44819</v>
      </c>
      <c r="F2086" s="4">
        <v>46203</v>
      </c>
      <c r="H2086" t="s">
        <v>1424</v>
      </c>
      <c r="K2086" t="s">
        <v>146</v>
      </c>
      <c r="L2086" t="s">
        <v>3121</v>
      </c>
      <c r="M2086" t="s">
        <v>68</v>
      </c>
      <c r="N2086" t="s">
        <v>3122</v>
      </c>
      <c r="O2086" t="s">
        <v>32</v>
      </c>
      <c r="P2086" t="s">
        <v>4594</v>
      </c>
      <c r="Q2086">
        <v>135</v>
      </c>
      <c r="R2086">
        <v>135</v>
      </c>
      <c r="S2086" t="s">
        <v>597</v>
      </c>
      <c r="T2086" t="s">
        <v>598</v>
      </c>
      <c r="U2086" t="s">
        <v>44</v>
      </c>
      <c r="W2086">
        <v>135</v>
      </c>
      <c r="X2086">
        <v>135</v>
      </c>
      <c r="Y2086">
        <v>0</v>
      </c>
      <c r="Z2086">
        <v>0</v>
      </c>
    </row>
    <row r="2087" spans="1:26" hidden="1" x14ac:dyDescent="0.25">
      <c r="A2087" t="s">
        <v>4595</v>
      </c>
      <c r="B2087" t="s">
        <v>38</v>
      </c>
      <c r="C2087" s="4">
        <v>44819</v>
      </c>
      <c r="D2087" s="4">
        <v>45868</v>
      </c>
      <c r="F2087" s="4">
        <v>44743</v>
      </c>
      <c r="G2087" t="s">
        <v>144</v>
      </c>
      <c r="H2087" t="s">
        <v>2846</v>
      </c>
      <c r="K2087" t="s">
        <v>146</v>
      </c>
      <c r="L2087" t="s">
        <v>3121</v>
      </c>
      <c r="M2087" t="s">
        <v>68</v>
      </c>
      <c r="N2087" t="s">
        <v>3122</v>
      </c>
      <c r="O2087" t="s">
        <v>1110</v>
      </c>
      <c r="P2087" t="s">
        <v>4596</v>
      </c>
      <c r="Q2087">
        <v>100</v>
      </c>
      <c r="R2087">
        <v>100</v>
      </c>
      <c r="S2087" t="s">
        <v>34</v>
      </c>
      <c r="T2087" t="s">
        <v>35</v>
      </c>
      <c r="U2087" t="s">
        <v>44</v>
      </c>
      <c r="W2087">
        <v>0</v>
      </c>
      <c r="X2087">
        <v>0</v>
      </c>
      <c r="Y2087">
        <v>0</v>
      </c>
      <c r="Z2087">
        <v>0</v>
      </c>
    </row>
    <row r="2088" spans="1:26" hidden="1" x14ac:dyDescent="0.25">
      <c r="A2088" t="s">
        <v>4597</v>
      </c>
      <c r="B2088" t="s">
        <v>2338</v>
      </c>
      <c r="C2088" s="4">
        <v>45881</v>
      </c>
      <c r="F2088" s="4">
        <v>46023</v>
      </c>
      <c r="G2088" t="s">
        <v>691</v>
      </c>
      <c r="H2088" t="s">
        <v>1805</v>
      </c>
      <c r="K2088" t="s">
        <v>98</v>
      </c>
      <c r="L2088" t="s">
        <v>3121</v>
      </c>
      <c r="M2088" t="s">
        <v>84</v>
      </c>
      <c r="N2088" t="s">
        <v>2160</v>
      </c>
      <c r="O2088" t="s">
        <v>32</v>
      </c>
      <c r="P2088" t="s">
        <v>4598</v>
      </c>
      <c r="Q2088">
        <v>641.79999999999995</v>
      </c>
      <c r="R2088">
        <v>641.79999999999995</v>
      </c>
      <c r="S2088" t="s">
        <v>389</v>
      </c>
      <c r="T2088" t="s">
        <v>390</v>
      </c>
      <c r="U2088" t="s">
        <v>44</v>
      </c>
      <c r="W2088">
        <v>641.79999999999995</v>
      </c>
      <c r="X2088">
        <v>641.79999999999995</v>
      </c>
      <c r="Y2088">
        <v>0</v>
      </c>
      <c r="Z2088">
        <v>0</v>
      </c>
    </row>
    <row r="2089" spans="1:26" hidden="1" x14ac:dyDescent="0.25">
      <c r="A2089" t="s">
        <v>4599</v>
      </c>
      <c r="B2089" t="s">
        <v>38</v>
      </c>
      <c r="C2089" s="4">
        <v>44819</v>
      </c>
      <c r="D2089" s="4">
        <v>45957</v>
      </c>
      <c r="F2089" s="4">
        <v>46022</v>
      </c>
      <c r="G2089" t="s">
        <v>1251</v>
      </c>
      <c r="H2089" t="s">
        <v>1648</v>
      </c>
      <c r="K2089" t="s">
        <v>109</v>
      </c>
      <c r="L2089" t="s">
        <v>3121</v>
      </c>
      <c r="M2089" t="s">
        <v>84</v>
      </c>
      <c r="N2089" t="s">
        <v>2160</v>
      </c>
      <c r="O2089" t="s">
        <v>32</v>
      </c>
      <c r="P2089" t="s">
        <v>4600</v>
      </c>
      <c r="Q2089">
        <v>75</v>
      </c>
      <c r="R2089">
        <v>75</v>
      </c>
      <c r="S2089" t="s">
        <v>34</v>
      </c>
      <c r="T2089" t="s">
        <v>35</v>
      </c>
      <c r="U2089" t="s">
        <v>44</v>
      </c>
      <c r="W2089">
        <v>0</v>
      </c>
      <c r="X2089">
        <v>0</v>
      </c>
      <c r="Y2089">
        <v>0</v>
      </c>
      <c r="Z2089">
        <v>0</v>
      </c>
    </row>
    <row r="2090" spans="1:26" hidden="1" x14ac:dyDescent="0.25">
      <c r="A2090" t="s">
        <v>4601</v>
      </c>
      <c r="B2090" t="s">
        <v>38</v>
      </c>
      <c r="C2090" s="4">
        <v>44818</v>
      </c>
      <c r="D2090" s="4">
        <v>45009</v>
      </c>
      <c r="F2090" s="4">
        <v>46327</v>
      </c>
      <c r="G2090" t="s">
        <v>132</v>
      </c>
      <c r="H2090" t="s">
        <v>3028</v>
      </c>
      <c r="K2090" t="s">
        <v>151</v>
      </c>
      <c r="L2090" t="s">
        <v>3121</v>
      </c>
      <c r="M2090" t="s">
        <v>84</v>
      </c>
      <c r="N2090" t="s">
        <v>2160</v>
      </c>
      <c r="O2090" t="s">
        <v>32</v>
      </c>
      <c r="P2090" t="s">
        <v>4602</v>
      </c>
      <c r="Q2090">
        <v>252.96</v>
      </c>
      <c r="R2090">
        <v>252.96</v>
      </c>
      <c r="S2090" t="s">
        <v>159</v>
      </c>
      <c r="T2090" t="s">
        <v>159</v>
      </c>
      <c r="U2090" t="s">
        <v>44</v>
      </c>
      <c r="W2090">
        <v>0</v>
      </c>
      <c r="X2090">
        <v>0</v>
      </c>
      <c r="Y2090">
        <v>0</v>
      </c>
      <c r="Z2090">
        <v>0</v>
      </c>
    </row>
    <row r="2091" spans="1:26" hidden="1" x14ac:dyDescent="0.25">
      <c r="A2091" t="s">
        <v>4603</v>
      </c>
      <c r="B2091" t="s">
        <v>38</v>
      </c>
      <c r="C2091" s="4">
        <v>44818</v>
      </c>
      <c r="D2091" s="4">
        <v>45009</v>
      </c>
      <c r="F2091" s="4">
        <v>46327</v>
      </c>
      <c r="G2091" t="s">
        <v>117</v>
      </c>
      <c r="H2091" t="s">
        <v>1703</v>
      </c>
      <c r="K2091" t="s">
        <v>151</v>
      </c>
      <c r="L2091" t="s">
        <v>3121</v>
      </c>
      <c r="M2091" t="s">
        <v>84</v>
      </c>
      <c r="N2091" t="s">
        <v>2160</v>
      </c>
      <c r="O2091" t="s">
        <v>32</v>
      </c>
      <c r="P2091" t="s">
        <v>4604</v>
      </c>
      <c r="Q2091">
        <v>204.6</v>
      </c>
      <c r="R2091">
        <v>204.6</v>
      </c>
      <c r="S2091" t="s">
        <v>159</v>
      </c>
      <c r="T2091" t="s">
        <v>159</v>
      </c>
      <c r="U2091" t="s">
        <v>44</v>
      </c>
      <c r="W2091">
        <v>0</v>
      </c>
      <c r="X2091">
        <v>0</v>
      </c>
      <c r="Y2091">
        <v>0</v>
      </c>
      <c r="Z2091">
        <v>0</v>
      </c>
    </row>
    <row r="2092" spans="1:26" hidden="1" x14ac:dyDescent="0.25">
      <c r="A2092" t="s">
        <v>4605</v>
      </c>
      <c r="B2092" t="s">
        <v>38</v>
      </c>
      <c r="C2092" s="4">
        <v>44817</v>
      </c>
      <c r="D2092" s="4">
        <v>45957</v>
      </c>
      <c r="F2092" s="4">
        <v>46419</v>
      </c>
      <c r="G2092" t="s">
        <v>1381</v>
      </c>
      <c r="H2092" t="s">
        <v>3185</v>
      </c>
      <c r="K2092" t="s">
        <v>209</v>
      </c>
      <c r="L2092" t="s">
        <v>3121</v>
      </c>
      <c r="M2092" t="s">
        <v>42</v>
      </c>
      <c r="N2092" t="s">
        <v>3122</v>
      </c>
      <c r="O2092" t="s">
        <v>122</v>
      </c>
      <c r="P2092" t="s">
        <v>4606</v>
      </c>
      <c r="Q2092">
        <v>300</v>
      </c>
      <c r="R2092">
        <v>300</v>
      </c>
      <c r="S2092" t="s">
        <v>597</v>
      </c>
      <c r="T2092" t="s">
        <v>598</v>
      </c>
      <c r="U2092" t="s">
        <v>44</v>
      </c>
      <c r="W2092">
        <v>0</v>
      </c>
      <c r="X2092">
        <v>0</v>
      </c>
      <c r="Y2092">
        <v>0</v>
      </c>
      <c r="Z2092">
        <v>0</v>
      </c>
    </row>
    <row r="2093" spans="1:26" hidden="1" x14ac:dyDescent="0.25">
      <c r="A2093" t="s">
        <v>4607</v>
      </c>
      <c r="B2093" t="s">
        <v>38</v>
      </c>
      <c r="C2093" s="4">
        <v>44819</v>
      </c>
      <c r="D2093" s="4">
        <v>45957</v>
      </c>
      <c r="F2093" s="4">
        <v>47238</v>
      </c>
      <c r="G2093" t="s">
        <v>681</v>
      </c>
      <c r="H2093" t="s">
        <v>1618</v>
      </c>
      <c r="K2093" t="s">
        <v>683</v>
      </c>
      <c r="L2093" t="s">
        <v>3121</v>
      </c>
      <c r="M2093" t="s">
        <v>84</v>
      </c>
      <c r="N2093" t="s">
        <v>2160</v>
      </c>
      <c r="O2093" t="s">
        <v>32</v>
      </c>
      <c r="P2093" t="s">
        <v>4608</v>
      </c>
      <c r="Q2093">
        <v>696</v>
      </c>
      <c r="R2093">
        <v>696</v>
      </c>
      <c r="S2093" t="s">
        <v>389</v>
      </c>
      <c r="T2093" t="s">
        <v>390</v>
      </c>
      <c r="U2093" t="s">
        <v>44</v>
      </c>
      <c r="W2093">
        <v>0</v>
      </c>
      <c r="X2093">
        <v>0</v>
      </c>
      <c r="Y2093">
        <v>0</v>
      </c>
      <c r="Z2093">
        <v>0</v>
      </c>
    </row>
    <row r="2094" spans="1:26" hidden="1" x14ac:dyDescent="0.25">
      <c r="A2094" t="s">
        <v>4609</v>
      </c>
      <c r="B2094" t="s">
        <v>2153</v>
      </c>
      <c r="C2094" s="4">
        <v>44813</v>
      </c>
      <c r="F2094" s="4">
        <v>45945</v>
      </c>
      <c r="G2094" t="s">
        <v>3846</v>
      </c>
      <c r="H2094" t="s">
        <v>2526</v>
      </c>
      <c r="K2094" t="s">
        <v>67</v>
      </c>
      <c r="L2094" t="s">
        <v>3121</v>
      </c>
      <c r="M2094" t="s">
        <v>68</v>
      </c>
      <c r="N2094" t="s">
        <v>3122</v>
      </c>
      <c r="O2094" t="s">
        <v>32</v>
      </c>
      <c r="P2094" t="s">
        <v>4610</v>
      </c>
      <c r="Q2094">
        <v>200</v>
      </c>
      <c r="R2094">
        <v>200</v>
      </c>
      <c r="S2094" t="s">
        <v>34</v>
      </c>
      <c r="T2094" t="s">
        <v>35</v>
      </c>
      <c r="U2094" t="s">
        <v>44</v>
      </c>
      <c r="W2094">
        <v>200</v>
      </c>
      <c r="X2094">
        <v>200</v>
      </c>
      <c r="Y2094">
        <v>0</v>
      </c>
      <c r="Z2094">
        <v>0</v>
      </c>
    </row>
    <row r="2095" spans="1:26" hidden="1" x14ac:dyDescent="0.25">
      <c r="A2095" t="s">
        <v>4611</v>
      </c>
      <c r="B2095" t="s">
        <v>38</v>
      </c>
      <c r="C2095" s="4">
        <v>44816</v>
      </c>
      <c r="D2095" s="4">
        <v>45009</v>
      </c>
      <c r="F2095" s="4">
        <v>46023</v>
      </c>
      <c r="G2095" t="s">
        <v>2975</v>
      </c>
      <c r="H2095" t="s">
        <v>1703</v>
      </c>
      <c r="K2095" t="s">
        <v>185</v>
      </c>
      <c r="L2095" t="s">
        <v>3121</v>
      </c>
      <c r="M2095" t="s">
        <v>42</v>
      </c>
      <c r="N2095" t="s">
        <v>3122</v>
      </c>
      <c r="O2095" t="s">
        <v>32</v>
      </c>
      <c r="P2095" t="s">
        <v>4612</v>
      </c>
      <c r="Q2095">
        <v>145</v>
      </c>
      <c r="R2095">
        <v>145</v>
      </c>
      <c r="S2095" t="s">
        <v>56</v>
      </c>
      <c r="T2095" t="s">
        <v>57</v>
      </c>
      <c r="U2095" t="s">
        <v>44</v>
      </c>
      <c r="W2095">
        <v>0</v>
      </c>
      <c r="X2095">
        <v>0</v>
      </c>
      <c r="Y2095">
        <v>0</v>
      </c>
      <c r="Z2095">
        <v>0</v>
      </c>
    </row>
    <row r="2096" spans="1:26" hidden="1" x14ac:dyDescent="0.25">
      <c r="A2096" t="s">
        <v>4613</v>
      </c>
      <c r="B2096" t="s">
        <v>38</v>
      </c>
      <c r="C2096" s="4">
        <v>44818</v>
      </c>
      <c r="D2096" s="4">
        <v>45868</v>
      </c>
      <c r="F2096" s="4">
        <v>46143</v>
      </c>
      <c r="G2096" t="s">
        <v>1311</v>
      </c>
      <c r="H2096" t="s">
        <v>3054</v>
      </c>
      <c r="K2096" t="s">
        <v>114</v>
      </c>
      <c r="L2096" t="s">
        <v>3121</v>
      </c>
      <c r="M2096" t="s">
        <v>68</v>
      </c>
      <c r="N2096" t="s">
        <v>3122</v>
      </c>
      <c r="O2096" t="s">
        <v>32</v>
      </c>
      <c r="P2096" t="s">
        <v>4614</v>
      </c>
      <c r="Q2096">
        <v>115</v>
      </c>
      <c r="R2096">
        <v>115</v>
      </c>
      <c r="S2096" t="s">
        <v>597</v>
      </c>
      <c r="T2096" t="s">
        <v>598</v>
      </c>
      <c r="U2096" t="s">
        <v>44</v>
      </c>
      <c r="W2096">
        <v>0</v>
      </c>
      <c r="X2096">
        <v>0</v>
      </c>
      <c r="Y2096">
        <v>0</v>
      </c>
      <c r="Z2096">
        <v>0</v>
      </c>
    </row>
    <row r="2097" spans="1:26" hidden="1" x14ac:dyDescent="0.25">
      <c r="A2097" t="s">
        <v>4615</v>
      </c>
      <c r="B2097" t="s">
        <v>2153</v>
      </c>
      <c r="C2097" s="4">
        <v>44819</v>
      </c>
      <c r="F2097" s="4">
        <v>45627</v>
      </c>
      <c r="G2097" t="s">
        <v>1753</v>
      </c>
      <c r="H2097" t="s">
        <v>1648</v>
      </c>
      <c r="K2097" t="s">
        <v>114</v>
      </c>
      <c r="L2097" t="s">
        <v>3121</v>
      </c>
      <c r="M2097" t="s">
        <v>68</v>
      </c>
      <c r="N2097" t="s">
        <v>3122</v>
      </c>
      <c r="O2097" t="s">
        <v>122</v>
      </c>
      <c r="P2097" t="s">
        <v>4535</v>
      </c>
      <c r="Q2097">
        <v>100</v>
      </c>
      <c r="R2097">
        <v>100</v>
      </c>
      <c r="S2097" t="s">
        <v>159</v>
      </c>
      <c r="T2097" t="s">
        <v>159</v>
      </c>
      <c r="U2097" t="s">
        <v>44</v>
      </c>
      <c r="W2097">
        <v>100</v>
      </c>
      <c r="X2097">
        <v>0</v>
      </c>
      <c r="Y2097">
        <v>0</v>
      </c>
      <c r="Z2097">
        <v>0</v>
      </c>
    </row>
    <row r="2098" spans="1:26" hidden="1" x14ac:dyDescent="0.25">
      <c r="A2098" t="s">
        <v>4616</v>
      </c>
      <c r="B2098" t="s">
        <v>38</v>
      </c>
      <c r="C2098" s="4">
        <v>44819</v>
      </c>
      <c r="D2098" s="4">
        <v>45957</v>
      </c>
      <c r="F2098" s="4">
        <v>46295</v>
      </c>
      <c r="G2098" t="s">
        <v>101</v>
      </c>
      <c r="H2098" t="s">
        <v>1302</v>
      </c>
      <c r="K2098" t="s">
        <v>98</v>
      </c>
      <c r="L2098" t="s">
        <v>3121</v>
      </c>
      <c r="M2098" t="s">
        <v>84</v>
      </c>
      <c r="N2098" t="s">
        <v>2160</v>
      </c>
      <c r="O2098" t="s">
        <v>32</v>
      </c>
      <c r="P2098" t="s">
        <v>4617</v>
      </c>
      <c r="Q2098">
        <v>115</v>
      </c>
      <c r="R2098">
        <v>115</v>
      </c>
      <c r="S2098" t="s">
        <v>597</v>
      </c>
      <c r="T2098" t="s">
        <v>598</v>
      </c>
      <c r="U2098" t="s">
        <v>44</v>
      </c>
      <c r="W2098">
        <v>0</v>
      </c>
      <c r="X2098">
        <v>0</v>
      </c>
      <c r="Y2098">
        <v>0</v>
      </c>
      <c r="Z2098">
        <v>0</v>
      </c>
    </row>
    <row r="2099" spans="1:26" hidden="1" x14ac:dyDescent="0.25">
      <c r="A2099" t="s">
        <v>4618</v>
      </c>
      <c r="B2099" t="s">
        <v>2153</v>
      </c>
      <c r="C2099" s="4">
        <v>44817</v>
      </c>
      <c r="F2099" s="4">
        <v>45901</v>
      </c>
      <c r="H2099" t="s">
        <v>4619</v>
      </c>
      <c r="K2099" t="s">
        <v>83</v>
      </c>
      <c r="L2099" t="s">
        <v>3121</v>
      </c>
      <c r="M2099" t="s">
        <v>84</v>
      </c>
      <c r="N2099" t="s">
        <v>2160</v>
      </c>
      <c r="O2099" t="s">
        <v>32</v>
      </c>
      <c r="P2099" t="s">
        <v>4620</v>
      </c>
      <c r="Q2099">
        <v>200</v>
      </c>
      <c r="R2099">
        <v>200</v>
      </c>
      <c r="S2099" t="s">
        <v>34</v>
      </c>
      <c r="T2099" t="s">
        <v>35</v>
      </c>
      <c r="U2099" t="s">
        <v>44</v>
      </c>
      <c r="W2099">
        <v>200</v>
      </c>
      <c r="X2099">
        <v>200</v>
      </c>
      <c r="Y2099">
        <v>0</v>
      </c>
      <c r="Z2099">
        <v>0</v>
      </c>
    </row>
    <row r="2100" spans="1:26" hidden="1" x14ac:dyDescent="0.25">
      <c r="A2100" t="s">
        <v>4621</v>
      </c>
      <c r="B2100" t="s">
        <v>38</v>
      </c>
      <c r="C2100" s="4">
        <v>44818</v>
      </c>
      <c r="D2100" s="4">
        <v>45957</v>
      </c>
      <c r="F2100" s="4">
        <v>45931</v>
      </c>
      <c r="G2100" t="s">
        <v>681</v>
      </c>
      <c r="H2100" t="s">
        <v>1578</v>
      </c>
      <c r="K2100" t="s">
        <v>683</v>
      </c>
      <c r="L2100" t="s">
        <v>3121</v>
      </c>
      <c r="M2100" t="s">
        <v>84</v>
      </c>
      <c r="N2100" t="s">
        <v>2160</v>
      </c>
      <c r="O2100" t="s">
        <v>32</v>
      </c>
      <c r="P2100" t="s">
        <v>4622</v>
      </c>
      <c r="Q2100">
        <v>200</v>
      </c>
      <c r="R2100">
        <v>200</v>
      </c>
      <c r="S2100" t="s">
        <v>34</v>
      </c>
      <c r="T2100" t="s">
        <v>35</v>
      </c>
      <c r="U2100" t="s">
        <v>44</v>
      </c>
      <c r="W2100">
        <v>0</v>
      </c>
      <c r="X2100">
        <v>0</v>
      </c>
      <c r="Y2100">
        <v>0</v>
      </c>
      <c r="Z2100">
        <v>0</v>
      </c>
    </row>
    <row r="2101" spans="1:26" hidden="1" x14ac:dyDescent="0.25">
      <c r="A2101" t="s">
        <v>4623</v>
      </c>
      <c r="B2101" t="s">
        <v>38</v>
      </c>
      <c r="C2101" s="4">
        <v>44817</v>
      </c>
      <c r="D2101" s="4">
        <v>45868</v>
      </c>
      <c r="F2101" s="4">
        <v>45898</v>
      </c>
      <c r="G2101" t="s">
        <v>1311</v>
      </c>
      <c r="H2101" t="s">
        <v>2515</v>
      </c>
      <c r="K2101" t="s">
        <v>114</v>
      </c>
      <c r="L2101" t="s">
        <v>3121</v>
      </c>
      <c r="M2101" t="s">
        <v>68</v>
      </c>
      <c r="N2101" t="s">
        <v>3122</v>
      </c>
      <c r="O2101" t="s">
        <v>32</v>
      </c>
      <c r="P2101" t="s">
        <v>4624</v>
      </c>
      <c r="Q2101">
        <v>150</v>
      </c>
      <c r="R2101">
        <v>150</v>
      </c>
      <c r="S2101" t="s">
        <v>597</v>
      </c>
      <c r="T2101" t="s">
        <v>598</v>
      </c>
      <c r="U2101" t="s">
        <v>44</v>
      </c>
      <c r="W2101">
        <v>0</v>
      </c>
      <c r="X2101">
        <v>0</v>
      </c>
      <c r="Y2101">
        <v>0</v>
      </c>
      <c r="Z2101">
        <v>0</v>
      </c>
    </row>
    <row r="2102" spans="1:26" hidden="1" x14ac:dyDescent="0.25">
      <c r="A2102" t="s">
        <v>4625</v>
      </c>
      <c r="B2102" t="s">
        <v>38</v>
      </c>
      <c r="C2102" s="4">
        <v>44818</v>
      </c>
      <c r="D2102" s="4">
        <v>45868</v>
      </c>
      <c r="F2102" s="4">
        <v>46492</v>
      </c>
      <c r="G2102" t="s">
        <v>144</v>
      </c>
      <c r="H2102" t="s">
        <v>1424</v>
      </c>
      <c r="K2102" t="s">
        <v>146</v>
      </c>
      <c r="L2102" t="s">
        <v>3121</v>
      </c>
      <c r="M2102" t="s">
        <v>68</v>
      </c>
      <c r="N2102" t="s">
        <v>3122</v>
      </c>
      <c r="O2102" t="s">
        <v>32</v>
      </c>
      <c r="P2102" t="s">
        <v>4626</v>
      </c>
      <c r="Q2102">
        <v>75</v>
      </c>
      <c r="R2102">
        <v>75</v>
      </c>
      <c r="S2102" t="s">
        <v>34</v>
      </c>
      <c r="T2102" t="s">
        <v>35</v>
      </c>
      <c r="U2102" t="s">
        <v>44</v>
      </c>
      <c r="W2102">
        <v>0</v>
      </c>
      <c r="X2102">
        <v>0</v>
      </c>
      <c r="Y2102">
        <v>0</v>
      </c>
      <c r="Z2102">
        <v>0</v>
      </c>
    </row>
    <row r="2103" spans="1:26" hidden="1" x14ac:dyDescent="0.25">
      <c r="A2103" t="s">
        <v>4627</v>
      </c>
      <c r="B2103" t="s">
        <v>38</v>
      </c>
      <c r="C2103" s="4">
        <v>44818</v>
      </c>
      <c r="D2103" s="4">
        <v>45012</v>
      </c>
      <c r="F2103" s="4">
        <v>46553</v>
      </c>
      <c r="G2103" t="s">
        <v>65</v>
      </c>
      <c r="H2103" t="s">
        <v>3363</v>
      </c>
      <c r="K2103" t="s">
        <v>67</v>
      </c>
      <c r="L2103" t="s">
        <v>3121</v>
      </c>
      <c r="M2103" t="s">
        <v>68</v>
      </c>
      <c r="N2103" t="s">
        <v>3122</v>
      </c>
      <c r="O2103" t="s">
        <v>122</v>
      </c>
      <c r="P2103" t="s">
        <v>4628</v>
      </c>
      <c r="Q2103">
        <v>100</v>
      </c>
      <c r="R2103">
        <v>100</v>
      </c>
      <c r="S2103" t="s">
        <v>34</v>
      </c>
      <c r="T2103" t="s">
        <v>35</v>
      </c>
      <c r="U2103" t="s">
        <v>44</v>
      </c>
      <c r="W2103">
        <v>0</v>
      </c>
      <c r="X2103">
        <v>0</v>
      </c>
      <c r="Y2103">
        <v>0</v>
      </c>
      <c r="Z2103">
        <v>0</v>
      </c>
    </row>
    <row r="2104" spans="1:26" x14ac:dyDescent="0.25">
      <c r="A2104" t="s">
        <v>4629</v>
      </c>
      <c r="B2104" t="s">
        <v>38</v>
      </c>
      <c r="C2104" s="4">
        <v>42902</v>
      </c>
      <c r="D2104" s="4">
        <v>43507</v>
      </c>
      <c r="F2104" s="4">
        <v>42979</v>
      </c>
      <c r="G2104" t="s">
        <v>1274</v>
      </c>
      <c r="H2104" t="s">
        <v>49</v>
      </c>
      <c r="I2104" t="s">
        <v>7657</v>
      </c>
      <c r="K2104" t="s">
        <v>41</v>
      </c>
      <c r="L2104" t="s">
        <v>2531</v>
      </c>
      <c r="M2104" t="s">
        <v>42</v>
      </c>
      <c r="N2104" t="s">
        <v>31</v>
      </c>
      <c r="O2104" t="s">
        <v>32</v>
      </c>
      <c r="P2104" t="s">
        <v>4630</v>
      </c>
      <c r="Q2104">
        <v>200</v>
      </c>
      <c r="R2104">
        <v>200</v>
      </c>
      <c r="S2104" t="s">
        <v>56</v>
      </c>
      <c r="T2104" t="s">
        <v>57</v>
      </c>
      <c r="U2104" t="s">
        <v>44</v>
      </c>
      <c r="W2104">
        <v>0</v>
      </c>
      <c r="X2104">
        <v>0</v>
      </c>
      <c r="Y2104">
        <v>0</v>
      </c>
      <c r="Z2104">
        <v>0</v>
      </c>
    </row>
    <row r="2105" spans="1:26" hidden="1" x14ac:dyDescent="0.25">
      <c r="A2105" t="s">
        <v>4631</v>
      </c>
      <c r="B2105" t="s">
        <v>38</v>
      </c>
      <c r="C2105" s="4">
        <v>44818</v>
      </c>
      <c r="D2105" s="4">
        <v>45870</v>
      </c>
      <c r="F2105" s="4">
        <v>45915</v>
      </c>
      <c r="G2105" t="s">
        <v>52</v>
      </c>
      <c r="H2105" t="s">
        <v>3175</v>
      </c>
      <c r="K2105" t="s">
        <v>53</v>
      </c>
      <c r="L2105" t="s">
        <v>3121</v>
      </c>
      <c r="M2105" t="s">
        <v>54</v>
      </c>
      <c r="N2105" t="s">
        <v>3122</v>
      </c>
      <c r="O2105" t="s">
        <v>32</v>
      </c>
      <c r="P2105" t="s">
        <v>4632</v>
      </c>
      <c r="Q2105">
        <v>75</v>
      </c>
      <c r="R2105">
        <v>75</v>
      </c>
      <c r="S2105" t="s">
        <v>34</v>
      </c>
      <c r="T2105" t="s">
        <v>35</v>
      </c>
      <c r="U2105" t="s">
        <v>44</v>
      </c>
      <c r="W2105">
        <v>0</v>
      </c>
      <c r="X2105">
        <v>0</v>
      </c>
      <c r="Y2105">
        <v>0</v>
      </c>
      <c r="Z2105">
        <v>0</v>
      </c>
    </row>
    <row r="2106" spans="1:26" hidden="1" x14ac:dyDescent="0.25">
      <c r="A2106" t="s">
        <v>4633</v>
      </c>
      <c r="B2106" t="s">
        <v>38</v>
      </c>
      <c r="C2106" s="4">
        <v>44819</v>
      </c>
      <c r="D2106" s="4">
        <v>45090</v>
      </c>
      <c r="F2106" s="4">
        <v>45899</v>
      </c>
      <c r="G2106" t="s">
        <v>1311</v>
      </c>
      <c r="H2106" t="s">
        <v>3060</v>
      </c>
      <c r="K2106" t="s">
        <v>114</v>
      </c>
      <c r="L2106" t="s">
        <v>3121</v>
      </c>
      <c r="M2106" t="s">
        <v>68</v>
      </c>
      <c r="N2106" t="s">
        <v>3122</v>
      </c>
      <c r="O2106" t="s">
        <v>32</v>
      </c>
      <c r="P2106" t="s">
        <v>4634</v>
      </c>
      <c r="Q2106">
        <v>20</v>
      </c>
      <c r="R2106">
        <v>20</v>
      </c>
      <c r="S2106" t="s">
        <v>34</v>
      </c>
      <c r="T2106" t="s">
        <v>945</v>
      </c>
      <c r="U2106" t="s">
        <v>44</v>
      </c>
      <c r="W2106">
        <v>0</v>
      </c>
      <c r="X2106">
        <v>0</v>
      </c>
      <c r="Y2106">
        <v>0</v>
      </c>
      <c r="Z2106">
        <v>0</v>
      </c>
    </row>
    <row r="2107" spans="1:26" hidden="1" x14ac:dyDescent="0.25">
      <c r="A2107" t="s">
        <v>4635</v>
      </c>
      <c r="B2107" t="s">
        <v>38</v>
      </c>
      <c r="C2107" s="4">
        <v>44819</v>
      </c>
      <c r="D2107" s="4">
        <v>45009</v>
      </c>
      <c r="F2107" s="4">
        <v>45899</v>
      </c>
      <c r="G2107" t="s">
        <v>1251</v>
      </c>
      <c r="H2107" t="s">
        <v>4636</v>
      </c>
      <c r="K2107" t="s">
        <v>109</v>
      </c>
      <c r="L2107" t="s">
        <v>3121</v>
      </c>
      <c r="M2107" t="s">
        <v>84</v>
      </c>
      <c r="N2107" t="s">
        <v>2160</v>
      </c>
      <c r="O2107" t="s">
        <v>32</v>
      </c>
      <c r="P2107" t="s">
        <v>4637</v>
      </c>
      <c r="Q2107">
        <v>500</v>
      </c>
      <c r="R2107">
        <v>500</v>
      </c>
      <c r="S2107" t="s">
        <v>597</v>
      </c>
      <c r="T2107" t="s">
        <v>598</v>
      </c>
      <c r="U2107" t="s">
        <v>44</v>
      </c>
      <c r="W2107">
        <v>0</v>
      </c>
      <c r="X2107">
        <v>0</v>
      </c>
      <c r="Y2107">
        <v>0</v>
      </c>
      <c r="Z2107">
        <v>0</v>
      </c>
    </row>
    <row r="2108" spans="1:26" hidden="1" x14ac:dyDescent="0.25">
      <c r="A2108" t="s">
        <v>4638</v>
      </c>
      <c r="B2108" t="s">
        <v>38</v>
      </c>
      <c r="C2108" s="4">
        <v>44734</v>
      </c>
      <c r="D2108" s="4">
        <v>45957</v>
      </c>
      <c r="F2108" s="4">
        <v>46174</v>
      </c>
      <c r="G2108" t="s">
        <v>101</v>
      </c>
      <c r="H2108" t="s">
        <v>1583</v>
      </c>
      <c r="K2108" t="s">
        <v>98</v>
      </c>
      <c r="L2108" t="s">
        <v>3121</v>
      </c>
      <c r="M2108" t="s">
        <v>84</v>
      </c>
      <c r="N2108" t="s">
        <v>2160</v>
      </c>
      <c r="O2108" t="s">
        <v>32</v>
      </c>
      <c r="P2108" t="s">
        <v>4639</v>
      </c>
      <c r="Q2108">
        <v>145</v>
      </c>
      <c r="R2108">
        <v>145</v>
      </c>
      <c r="S2108" t="s">
        <v>34</v>
      </c>
      <c r="T2108" t="s">
        <v>35</v>
      </c>
      <c r="U2108" t="s">
        <v>44</v>
      </c>
      <c r="W2108">
        <v>0</v>
      </c>
      <c r="X2108">
        <v>0</v>
      </c>
      <c r="Y2108">
        <v>0</v>
      </c>
      <c r="Z2108">
        <v>0</v>
      </c>
    </row>
    <row r="2109" spans="1:26" hidden="1" x14ac:dyDescent="0.25">
      <c r="A2109" t="s">
        <v>4640</v>
      </c>
      <c r="B2109" t="s">
        <v>38</v>
      </c>
      <c r="C2109" s="4">
        <v>44818</v>
      </c>
      <c r="D2109" s="4">
        <v>45868</v>
      </c>
      <c r="F2109" s="4">
        <v>46539</v>
      </c>
      <c r="G2109" t="s">
        <v>1311</v>
      </c>
      <c r="H2109" t="s">
        <v>1673</v>
      </c>
      <c r="K2109" t="s">
        <v>114</v>
      </c>
      <c r="L2109" t="s">
        <v>3121</v>
      </c>
      <c r="M2109" t="s">
        <v>68</v>
      </c>
      <c r="N2109" t="s">
        <v>3122</v>
      </c>
      <c r="O2109" t="s">
        <v>32</v>
      </c>
      <c r="P2109" t="s">
        <v>436</v>
      </c>
      <c r="Q2109">
        <v>85</v>
      </c>
      <c r="R2109">
        <v>85</v>
      </c>
      <c r="S2109" t="s">
        <v>34</v>
      </c>
      <c r="T2109" t="s">
        <v>35</v>
      </c>
      <c r="U2109" t="s">
        <v>44</v>
      </c>
      <c r="W2109">
        <v>0</v>
      </c>
      <c r="X2109">
        <v>0</v>
      </c>
      <c r="Y2109">
        <v>0</v>
      </c>
      <c r="Z2109">
        <v>0</v>
      </c>
    </row>
    <row r="2110" spans="1:26" hidden="1" x14ac:dyDescent="0.25">
      <c r="A2110" t="s">
        <v>4641</v>
      </c>
      <c r="B2110" t="s">
        <v>38</v>
      </c>
      <c r="C2110" s="4">
        <v>44819</v>
      </c>
      <c r="D2110" s="4">
        <v>45868</v>
      </c>
      <c r="F2110" s="4">
        <v>45899</v>
      </c>
      <c r="G2110" t="s">
        <v>144</v>
      </c>
      <c r="H2110" t="s">
        <v>2515</v>
      </c>
      <c r="K2110" t="s">
        <v>114</v>
      </c>
      <c r="L2110" t="s">
        <v>3121</v>
      </c>
      <c r="M2110" t="s">
        <v>68</v>
      </c>
      <c r="N2110" t="s">
        <v>3122</v>
      </c>
      <c r="O2110" t="s">
        <v>32</v>
      </c>
      <c r="P2110" t="s">
        <v>4642</v>
      </c>
      <c r="Q2110">
        <v>400</v>
      </c>
      <c r="R2110">
        <v>400</v>
      </c>
      <c r="S2110" t="s">
        <v>597</v>
      </c>
      <c r="T2110" t="s">
        <v>598</v>
      </c>
      <c r="U2110" t="s">
        <v>44</v>
      </c>
      <c r="W2110">
        <v>0</v>
      </c>
      <c r="X2110">
        <v>0</v>
      </c>
      <c r="Y2110">
        <v>0</v>
      </c>
      <c r="Z2110">
        <v>0</v>
      </c>
    </row>
    <row r="2111" spans="1:26" hidden="1" x14ac:dyDescent="0.25">
      <c r="A2111" t="s">
        <v>4643</v>
      </c>
      <c r="B2111" t="s">
        <v>38</v>
      </c>
      <c r="C2111" s="4">
        <v>44819</v>
      </c>
      <c r="D2111" s="4">
        <v>45009</v>
      </c>
      <c r="F2111" s="4">
        <v>45899</v>
      </c>
      <c r="G2111" t="s">
        <v>1251</v>
      </c>
      <c r="H2111" t="s">
        <v>4636</v>
      </c>
      <c r="K2111" t="s">
        <v>109</v>
      </c>
      <c r="L2111" t="s">
        <v>3121</v>
      </c>
      <c r="M2111" t="s">
        <v>84</v>
      </c>
      <c r="N2111" t="s">
        <v>2160</v>
      </c>
      <c r="O2111" t="s">
        <v>32</v>
      </c>
      <c r="P2111" t="s">
        <v>4644</v>
      </c>
      <c r="Q2111">
        <v>500</v>
      </c>
      <c r="R2111">
        <v>500</v>
      </c>
      <c r="S2111" t="s">
        <v>34</v>
      </c>
      <c r="T2111" t="s">
        <v>598</v>
      </c>
      <c r="U2111" t="s">
        <v>44</v>
      </c>
      <c r="W2111">
        <v>0</v>
      </c>
      <c r="X2111">
        <v>0</v>
      </c>
      <c r="Y2111">
        <v>0</v>
      </c>
      <c r="Z2111">
        <v>0</v>
      </c>
    </row>
    <row r="2112" spans="1:26" hidden="1" x14ac:dyDescent="0.25">
      <c r="A2112" t="s">
        <v>4645</v>
      </c>
      <c r="B2112" t="s">
        <v>2153</v>
      </c>
      <c r="C2112" s="4">
        <v>45953</v>
      </c>
      <c r="F2112" s="4">
        <v>45870</v>
      </c>
      <c r="G2112" t="s">
        <v>1368</v>
      </c>
      <c r="H2112" t="s">
        <v>1824</v>
      </c>
      <c r="K2112" t="s">
        <v>209</v>
      </c>
      <c r="L2112" t="s">
        <v>3121</v>
      </c>
      <c r="M2112" t="s">
        <v>42</v>
      </c>
      <c r="N2112" t="s">
        <v>3122</v>
      </c>
      <c r="O2112" t="s">
        <v>32</v>
      </c>
      <c r="P2112" t="s">
        <v>4646</v>
      </c>
      <c r="Q2112">
        <v>150</v>
      </c>
      <c r="R2112">
        <v>150</v>
      </c>
      <c r="S2112" t="s">
        <v>34</v>
      </c>
      <c r="T2112" t="s">
        <v>35</v>
      </c>
      <c r="U2112" t="s">
        <v>44</v>
      </c>
      <c r="W2112">
        <v>150</v>
      </c>
      <c r="X2112">
        <v>150</v>
      </c>
      <c r="Y2112">
        <v>0</v>
      </c>
      <c r="Z2112">
        <v>0</v>
      </c>
    </row>
    <row r="2113" spans="1:26" hidden="1" x14ac:dyDescent="0.25">
      <c r="A2113" t="s">
        <v>4647</v>
      </c>
      <c r="B2113" t="s">
        <v>38</v>
      </c>
      <c r="C2113" s="4">
        <v>44819</v>
      </c>
      <c r="D2113" s="4">
        <v>45868</v>
      </c>
      <c r="F2113" s="4">
        <v>46203</v>
      </c>
      <c r="G2113" t="s">
        <v>112</v>
      </c>
      <c r="H2113" t="s">
        <v>2366</v>
      </c>
      <c r="K2113" t="s">
        <v>114</v>
      </c>
      <c r="L2113" t="s">
        <v>3121</v>
      </c>
      <c r="M2113" t="s">
        <v>68</v>
      </c>
      <c r="N2113" t="s">
        <v>3122</v>
      </c>
      <c r="O2113" t="s">
        <v>32</v>
      </c>
      <c r="P2113" t="s">
        <v>4648</v>
      </c>
      <c r="Q2113">
        <v>180</v>
      </c>
      <c r="R2113">
        <v>180</v>
      </c>
      <c r="S2113" t="s">
        <v>597</v>
      </c>
      <c r="T2113" t="s">
        <v>598</v>
      </c>
      <c r="U2113" t="s">
        <v>44</v>
      </c>
      <c r="W2113">
        <v>0</v>
      </c>
      <c r="X2113">
        <v>0</v>
      </c>
      <c r="Y2113">
        <v>0</v>
      </c>
      <c r="Z2113">
        <v>0</v>
      </c>
    </row>
    <row r="2114" spans="1:26" hidden="1" x14ac:dyDescent="0.25">
      <c r="A2114" t="s">
        <v>4649</v>
      </c>
      <c r="B2114" t="s">
        <v>2153</v>
      </c>
      <c r="C2114" s="4">
        <v>44819</v>
      </c>
      <c r="F2114" s="4">
        <v>46203</v>
      </c>
      <c r="G2114" t="s">
        <v>1326</v>
      </c>
      <c r="H2114" t="s">
        <v>1876</v>
      </c>
      <c r="K2114" t="s">
        <v>67</v>
      </c>
      <c r="L2114" t="s">
        <v>3121</v>
      </c>
      <c r="M2114" t="s">
        <v>68</v>
      </c>
      <c r="N2114" t="s">
        <v>3122</v>
      </c>
      <c r="O2114" t="s">
        <v>32</v>
      </c>
      <c r="P2114" t="s">
        <v>4650</v>
      </c>
      <c r="Q2114">
        <v>120</v>
      </c>
      <c r="R2114">
        <v>120</v>
      </c>
      <c r="S2114" t="s">
        <v>597</v>
      </c>
      <c r="T2114" t="s">
        <v>598</v>
      </c>
      <c r="U2114" t="s">
        <v>44</v>
      </c>
      <c r="W2114">
        <v>120</v>
      </c>
      <c r="X2114">
        <v>120</v>
      </c>
      <c r="Y2114">
        <v>0</v>
      </c>
      <c r="Z2114">
        <v>0</v>
      </c>
    </row>
    <row r="2115" spans="1:26" hidden="1" x14ac:dyDescent="0.25">
      <c r="A2115" t="s">
        <v>4651</v>
      </c>
      <c r="B2115" t="s">
        <v>38</v>
      </c>
      <c r="C2115" s="4">
        <v>44819</v>
      </c>
      <c r="D2115" s="4">
        <v>45868</v>
      </c>
      <c r="F2115" s="4">
        <v>46203</v>
      </c>
      <c r="G2115" t="s">
        <v>65</v>
      </c>
      <c r="H2115" t="s">
        <v>3195</v>
      </c>
      <c r="K2115" t="s">
        <v>67</v>
      </c>
      <c r="L2115" t="s">
        <v>3121</v>
      </c>
      <c r="M2115" t="s">
        <v>68</v>
      </c>
      <c r="N2115" t="s">
        <v>3122</v>
      </c>
      <c r="O2115" t="s">
        <v>32</v>
      </c>
      <c r="P2115" t="s">
        <v>4652</v>
      </c>
      <c r="Q2115">
        <v>400</v>
      </c>
      <c r="R2115">
        <v>400</v>
      </c>
      <c r="S2115" t="s">
        <v>597</v>
      </c>
      <c r="T2115" t="s">
        <v>598</v>
      </c>
      <c r="U2115" t="s">
        <v>44</v>
      </c>
      <c r="W2115">
        <v>0</v>
      </c>
      <c r="X2115">
        <v>0</v>
      </c>
      <c r="Y2115">
        <v>0</v>
      </c>
      <c r="Z2115">
        <v>0</v>
      </c>
    </row>
    <row r="2116" spans="1:26" hidden="1" x14ac:dyDescent="0.25">
      <c r="A2116" t="s">
        <v>4653</v>
      </c>
      <c r="B2116" t="s">
        <v>2153</v>
      </c>
      <c r="C2116" s="4">
        <v>44819</v>
      </c>
      <c r="F2116" s="4">
        <v>46203</v>
      </c>
      <c r="G2116" t="s">
        <v>1326</v>
      </c>
      <c r="H2116" t="s">
        <v>3195</v>
      </c>
      <c r="K2116" t="s">
        <v>67</v>
      </c>
      <c r="L2116" t="s">
        <v>3121</v>
      </c>
      <c r="M2116" t="s">
        <v>68</v>
      </c>
      <c r="N2116" t="s">
        <v>3122</v>
      </c>
      <c r="O2116" t="s">
        <v>32</v>
      </c>
      <c r="P2116" t="s">
        <v>4654</v>
      </c>
      <c r="Q2116">
        <v>100</v>
      </c>
      <c r="R2116">
        <v>100</v>
      </c>
      <c r="S2116" t="s">
        <v>597</v>
      </c>
      <c r="T2116" t="s">
        <v>598</v>
      </c>
      <c r="U2116" t="s">
        <v>44</v>
      </c>
      <c r="W2116">
        <v>100</v>
      </c>
      <c r="X2116">
        <v>100</v>
      </c>
      <c r="Y2116">
        <v>0</v>
      </c>
      <c r="Z2116">
        <v>0</v>
      </c>
    </row>
    <row r="2117" spans="1:26" hidden="1" x14ac:dyDescent="0.25">
      <c r="A2117" t="s">
        <v>4655</v>
      </c>
      <c r="B2117" t="s">
        <v>2153</v>
      </c>
      <c r="C2117" s="4">
        <v>44819</v>
      </c>
      <c r="F2117" s="4">
        <v>46203</v>
      </c>
      <c r="G2117" t="s">
        <v>1326</v>
      </c>
      <c r="H2117" t="s">
        <v>3380</v>
      </c>
      <c r="K2117" t="s">
        <v>67</v>
      </c>
      <c r="L2117" t="s">
        <v>3121</v>
      </c>
      <c r="M2117" t="s">
        <v>68</v>
      </c>
      <c r="N2117" t="s">
        <v>3122</v>
      </c>
      <c r="O2117" t="s">
        <v>32</v>
      </c>
      <c r="P2117" t="s">
        <v>4656</v>
      </c>
      <c r="Q2117">
        <v>100</v>
      </c>
      <c r="R2117">
        <v>100</v>
      </c>
      <c r="S2117" t="s">
        <v>597</v>
      </c>
      <c r="T2117" t="s">
        <v>598</v>
      </c>
      <c r="U2117" t="s">
        <v>44</v>
      </c>
      <c r="W2117">
        <v>100</v>
      </c>
      <c r="X2117">
        <v>100</v>
      </c>
      <c r="Y2117">
        <v>0</v>
      </c>
      <c r="Z2117">
        <v>0</v>
      </c>
    </row>
    <row r="2118" spans="1:26" hidden="1" x14ac:dyDescent="0.25">
      <c r="A2118" t="s">
        <v>4657</v>
      </c>
      <c r="B2118" t="s">
        <v>38</v>
      </c>
      <c r="C2118" s="4">
        <v>44819</v>
      </c>
      <c r="D2118" s="4">
        <v>44901</v>
      </c>
      <c r="F2118" s="4">
        <v>46203</v>
      </c>
      <c r="G2118" t="s">
        <v>101</v>
      </c>
      <c r="H2118" t="s">
        <v>1676</v>
      </c>
      <c r="K2118" t="s">
        <v>98</v>
      </c>
      <c r="L2118" t="s">
        <v>3121</v>
      </c>
      <c r="M2118" t="s">
        <v>84</v>
      </c>
      <c r="N2118" t="s">
        <v>2160</v>
      </c>
      <c r="O2118" t="s">
        <v>32</v>
      </c>
      <c r="P2118" t="s">
        <v>4658</v>
      </c>
      <c r="Q2118">
        <v>300</v>
      </c>
      <c r="R2118">
        <v>300</v>
      </c>
      <c r="S2118" t="s">
        <v>597</v>
      </c>
      <c r="T2118" t="s">
        <v>598</v>
      </c>
      <c r="U2118" t="s">
        <v>44</v>
      </c>
      <c r="W2118">
        <v>0</v>
      </c>
      <c r="X2118">
        <v>0</v>
      </c>
      <c r="Y2118">
        <v>0</v>
      </c>
      <c r="Z2118">
        <v>0</v>
      </c>
    </row>
    <row r="2119" spans="1:26" hidden="1" x14ac:dyDescent="0.25">
      <c r="A2119" t="s">
        <v>4659</v>
      </c>
      <c r="B2119" t="s">
        <v>2153</v>
      </c>
      <c r="C2119" s="4">
        <v>45974</v>
      </c>
      <c r="F2119" s="4">
        <v>46203</v>
      </c>
      <c r="G2119" t="s">
        <v>138</v>
      </c>
      <c r="H2119" t="s">
        <v>1676</v>
      </c>
      <c r="K2119" t="s">
        <v>98</v>
      </c>
      <c r="L2119" t="s">
        <v>3121</v>
      </c>
      <c r="M2119" t="s">
        <v>84</v>
      </c>
      <c r="N2119" t="s">
        <v>2160</v>
      </c>
      <c r="O2119" t="s">
        <v>32</v>
      </c>
      <c r="P2119" t="s">
        <v>4101</v>
      </c>
      <c r="Q2119">
        <v>300</v>
      </c>
      <c r="R2119">
        <v>300</v>
      </c>
      <c r="S2119" t="s">
        <v>597</v>
      </c>
      <c r="T2119" t="s">
        <v>598</v>
      </c>
      <c r="U2119" t="s">
        <v>44</v>
      </c>
      <c r="W2119">
        <v>300</v>
      </c>
      <c r="X2119">
        <v>300</v>
      </c>
      <c r="Y2119">
        <v>0</v>
      </c>
      <c r="Z2119">
        <v>0</v>
      </c>
    </row>
    <row r="2120" spans="1:26" hidden="1" x14ac:dyDescent="0.25">
      <c r="A2120" t="s">
        <v>4660</v>
      </c>
      <c r="B2120" t="s">
        <v>38</v>
      </c>
      <c r="C2120" s="4">
        <v>44819</v>
      </c>
      <c r="D2120" s="4">
        <v>45868</v>
      </c>
      <c r="F2120" s="4">
        <v>46203</v>
      </c>
      <c r="G2120" t="s">
        <v>112</v>
      </c>
      <c r="H2120" t="s">
        <v>3826</v>
      </c>
      <c r="K2120" t="s">
        <v>114</v>
      </c>
      <c r="L2120" t="s">
        <v>3121</v>
      </c>
      <c r="M2120" t="s">
        <v>68</v>
      </c>
      <c r="N2120" t="s">
        <v>3122</v>
      </c>
      <c r="O2120" t="s">
        <v>32</v>
      </c>
      <c r="P2120" t="s">
        <v>4661</v>
      </c>
      <c r="Q2120">
        <v>216</v>
      </c>
      <c r="R2120">
        <v>216</v>
      </c>
      <c r="S2120" t="s">
        <v>597</v>
      </c>
      <c r="T2120" t="s">
        <v>598</v>
      </c>
      <c r="U2120" t="s">
        <v>44</v>
      </c>
      <c r="W2120">
        <v>0</v>
      </c>
      <c r="X2120">
        <v>0</v>
      </c>
      <c r="Y2120">
        <v>0</v>
      </c>
      <c r="Z2120">
        <v>0</v>
      </c>
    </row>
    <row r="2121" spans="1:26" hidden="1" x14ac:dyDescent="0.25">
      <c r="A2121" t="s">
        <v>4662</v>
      </c>
      <c r="B2121" t="s">
        <v>38</v>
      </c>
      <c r="C2121" s="4">
        <v>44819</v>
      </c>
      <c r="D2121" s="4">
        <v>45868</v>
      </c>
      <c r="F2121" s="4">
        <v>46203</v>
      </c>
      <c r="G2121" t="s">
        <v>65</v>
      </c>
      <c r="H2121" t="s">
        <v>3380</v>
      </c>
      <c r="K2121" t="s">
        <v>67</v>
      </c>
      <c r="L2121" t="s">
        <v>3121</v>
      </c>
      <c r="M2121" t="s">
        <v>68</v>
      </c>
      <c r="N2121" t="s">
        <v>3122</v>
      </c>
      <c r="O2121" t="s">
        <v>32</v>
      </c>
      <c r="P2121" t="s">
        <v>4663</v>
      </c>
      <c r="Q2121">
        <v>200</v>
      </c>
      <c r="R2121">
        <v>200</v>
      </c>
      <c r="S2121" t="s">
        <v>597</v>
      </c>
      <c r="T2121" t="s">
        <v>598</v>
      </c>
      <c r="U2121" t="s">
        <v>44</v>
      </c>
      <c r="W2121">
        <v>0</v>
      </c>
      <c r="X2121">
        <v>0</v>
      </c>
      <c r="Y2121">
        <v>0</v>
      </c>
      <c r="Z2121">
        <v>0</v>
      </c>
    </row>
    <row r="2122" spans="1:26" hidden="1" x14ac:dyDescent="0.25">
      <c r="A2122" t="s">
        <v>4664</v>
      </c>
      <c r="B2122" t="s">
        <v>38</v>
      </c>
      <c r="C2122" s="4">
        <v>44819</v>
      </c>
      <c r="D2122" s="4">
        <v>45868</v>
      </c>
      <c r="F2122" s="4">
        <v>46203</v>
      </c>
      <c r="G2122" t="s">
        <v>65</v>
      </c>
      <c r="H2122" t="s">
        <v>1542</v>
      </c>
      <c r="K2122" t="s">
        <v>67</v>
      </c>
      <c r="L2122" t="s">
        <v>3121</v>
      </c>
      <c r="M2122" t="s">
        <v>68</v>
      </c>
      <c r="N2122" t="s">
        <v>3122</v>
      </c>
      <c r="O2122" t="s">
        <v>32</v>
      </c>
      <c r="P2122" t="s">
        <v>4665</v>
      </c>
      <c r="Q2122">
        <v>200</v>
      </c>
      <c r="R2122">
        <v>200</v>
      </c>
      <c r="S2122" t="s">
        <v>597</v>
      </c>
      <c r="T2122" t="s">
        <v>598</v>
      </c>
      <c r="U2122" t="s">
        <v>44</v>
      </c>
      <c r="W2122">
        <v>0</v>
      </c>
      <c r="X2122">
        <v>0</v>
      </c>
      <c r="Y2122">
        <v>0</v>
      </c>
      <c r="Z2122">
        <v>0</v>
      </c>
    </row>
    <row r="2123" spans="1:26" hidden="1" x14ac:dyDescent="0.25">
      <c r="A2123" t="s">
        <v>4666</v>
      </c>
      <c r="B2123" t="s">
        <v>2153</v>
      </c>
      <c r="C2123" s="4">
        <v>44819</v>
      </c>
      <c r="F2123" s="4">
        <v>46203</v>
      </c>
      <c r="H2123" t="s">
        <v>1418</v>
      </c>
      <c r="K2123" t="s">
        <v>146</v>
      </c>
      <c r="L2123" t="s">
        <v>3121</v>
      </c>
      <c r="M2123" t="s">
        <v>68</v>
      </c>
      <c r="N2123" t="s">
        <v>3122</v>
      </c>
      <c r="O2123" t="s">
        <v>32</v>
      </c>
      <c r="P2123" t="s">
        <v>4667</v>
      </c>
      <c r="Q2123">
        <v>160</v>
      </c>
      <c r="R2123">
        <v>160</v>
      </c>
      <c r="S2123" t="s">
        <v>597</v>
      </c>
      <c r="T2123" t="s">
        <v>598</v>
      </c>
      <c r="U2123" t="s">
        <v>44</v>
      </c>
      <c r="W2123">
        <v>160</v>
      </c>
      <c r="X2123">
        <v>160</v>
      </c>
      <c r="Y2123">
        <v>0</v>
      </c>
      <c r="Z2123">
        <v>0</v>
      </c>
    </row>
    <row r="2124" spans="1:26" hidden="1" x14ac:dyDescent="0.25">
      <c r="A2124" t="s">
        <v>4668</v>
      </c>
      <c r="B2124" t="s">
        <v>38</v>
      </c>
      <c r="C2124" s="4">
        <v>44819</v>
      </c>
      <c r="D2124" s="4">
        <v>44901</v>
      </c>
      <c r="F2124" s="4">
        <v>46203</v>
      </c>
      <c r="G2124" t="s">
        <v>254</v>
      </c>
      <c r="H2124" t="s">
        <v>1887</v>
      </c>
      <c r="K2124" t="s">
        <v>98</v>
      </c>
      <c r="L2124" t="s">
        <v>3121</v>
      </c>
      <c r="M2124" t="s">
        <v>84</v>
      </c>
      <c r="N2124" t="s">
        <v>2160</v>
      </c>
      <c r="O2124" t="s">
        <v>32</v>
      </c>
      <c r="P2124" t="s">
        <v>4669</v>
      </c>
      <c r="Q2124">
        <v>350</v>
      </c>
      <c r="R2124">
        <v>350</v>
      </c>
      <c r="S2124" t="s">
        <v>597</v>
      </c>
      <c r="T2124" t="s">
        <v>598</v>
      </c>
      <c r="U2124" t="s">
        <v>44</v>
      </c>
      <c r="W2124">
        <v>0</v>
      </c>
      <c r="X2124">
        <v>0</v>
      </c>
      <c r="Y2124">
        <v>0</v>
      </c>
      <c r="Z2124">
        <v>0</v>
      </c>
    </row>
    <row r="2125" spans="1:26" hidden="1" x14ac:dyDescent="0.25">
      <c r="A2125" t="s">
        <v>4670</v>
      </c>
      <c r="B2125" t="s">
        <v>2153</v>
      </c>
      <c r="C2125" s="4">
        <v>44819</v>
      </c>
      <c r="F2125" s="4">
        <v>46203</v>
      </c>
      <c r="G2125" t="s">
        <v>1326</v>
      </c>
      <c r="H2125" t="s">
        <v>1437</v>
      </c>
      <c r="K2125" t="s">
        <v>67</v>
      </c>
      <c r="L2125" t="s">
        <v>3121</v>
      </c>
      <c r="M2125" t="s">
        <v>68</v>
      </c>
      <c r="N2125" t="s">
        <v>3122</v>
      </c>
      <c r="O2125" t="s">
        <v>32</v>
      </c>
      <c r="P2125" t="s">
        <v>4671</v>
      </c>
      <c r="Q2125">
        <v>200</v>
      </c>
      <c r="R2125">
        <v>200</v>
      </c>
      <c r="S2125" t="s">
        <v>597</v>
      </c>
      <c r="T2125" t="s">
        <v>598</v>
      </c>
      <c r="U2125" t="s">
        <v>44</v>
      </c>
      <c r="W2125">
        <v>200</v>
      </c>
      <c r="X2125">
        <v>200</v>
      </c>
      <c r="Y2125">
        <v>0</v>
      </c>
      <c r="Z2125">
        <v>0</v>
      </c>
    </row>
    <row r="2126" spans="1:26" hidden="1" x14ac:dyDescent="0.25">
      <c r="A2126" t="s">
        <v>4672</v>
      </c>
      <c r="B2126" t="s">
        <v>38</v>
      </c>
      <c r="C2126" s="4">
        <v>44819</v>
      </c>
      <c r="D2126" s="4">
        <v>45009</v>
      </c>
      <c r="F2126" s="4">
        <v>46539</v>
      </c>
      <c r="G2126" t="s">
        <v>101</v>
      </c>
      <c r="H2126" t="s">
        <v>2052</v>
      </c>
      <c r="K2126" t="s">
        <v>98</v>
      </c>
      <c r="L2126" t="s">
        <v>3121</v>
      </c>
      <c r="M2126" t="s">
        <v>84</v>
      </c>
      <c r="N2126" t="s">
        <v>2160</v>
      </c>
      <c r="O2126" t="s">
        <v>32</v>
      </c>
      <c r="P2126" t="s">
        <v>4673</v>
      </c>
      <c r="Q2126">
        <v>50</v>
      </c>
      <c r="R2126">
        <v>50</v>
      </c>
      <c r="S2126" t="s">
        <v>597</v>
      </c>
      <c r="T2126" t="s">
        <v>598</v>
      </c>
      <c r="U2126" t="s">
        <v>44</v>
      </c>
      <c r="W2126">
        <v>0</v>
      </c>
      <c r="X2126">
        <v>0</v>
      </c>
      <c r="Y2126">
        <v>0</v>
      </c>
      <c r="Z2126">
        <v>0</v>
      </c>
    </row>
    <row r="2127" spans="1:26" hidden="1" x14ac:dyDescent="0.25">
      <c r="A2127" t="s">
        <v>4674</v>
      </c>
      <c r="B2127" t="s">
        <v>2153</v>
      </c>
      <c r="C2127" s="4">
        <v>44818</v>
      </c>
      <c r="F2127" s="4">
        <v>47392</v>
      </c>
      <c r="G2127" t="s">
        <v>1326</v>
      </c>
      <c r="H2127" t="s">
        <v>2526</v>
      </c>
      <c r="K2127" t="s">
        <v>67</v>
      </c>
      <c r="L2127" t="s">
        <v>3121</v>
      </c>
      <c r="M2127" t="s">
        <v>68</v>
      </c>
      <c r="N2127" t="s">
        <v>3122</v>
      </c>
      <c r="O2127" t="s">
        <v>32</v>
      </c>
      <c r="P2127" t="s">
        <v>4675</v>
      </c>
      <c r="Q2127">
        <v>200</v>
      </c>
      <c r="R2127">
        <v>200</v>
      </c>
      <c r="S2127" t="s">
        <v>597</v>
      </c>
      <c r="T2127" t="s">
        <v>2552</v>
      </c>
      <c r="U2127" t="s">
        <v>44</v>
      </c>
      <c r="W2127">
        <v>200</v>
      </c>
      <c r="X2127">
        <v>0</v>
      </c>
      <c r="Y2127">
        <v>0</v>
      </c>
      <c r="Z2127">
        <v>0</v>
      </c>
    </row>
    <row r="2128" spans="1:26" hidden="1" x14ac:dyDescent="0.25">
      <c r="A2128" t="s">
        <v>4676</v>
      </c>
      <c r="B2128" t="s">
        <v>38</v>
      </c>
      <c r="C2128" s="4">
        <v>44818</v>
      </c>
      <c r="D2128" s="4">
        <v>45009</v>
      </c>
      <c r="F2128" s="4">
        <v>46296</v>
      </c>
      <c r="G2128" t="s">
        <v>149</v>
      </c>
      <c r="H2128" t="s">
        <v>1629</v>
      </c>
      <c r="K2128" t="s">
        <v>151</v>
      </c>
      <c r="L2128" t="s">
        <v>3121</v>
      </c>
      <c r="M2128" t="s">
        <v>68</v>
      </c>
      <c r="N2128" t="s">
        <v>3122</v>
      </c>
      <c r="O2128" t="s">
        <v>32</v>
      </c>
      <c r="P2128" t="s">
        <v>4527</v>
      </c>
      <c r="Q2128">
        <v>150</v>
      </c>
      <c r="R2128">
        <v>150</v>
      </c>
      <c r="S2128" t="s">
        <v>159</v>
      </c>
      <c r="T2128" t="s">
        <v>159</v>
      </c>
      <c r="U2128" t="s">
        <v>44</v>
      </c>
      <c r="W2128">
        <v>0</v>
      </c>
      <c r="X2128">
        <v>0</v>
      </c>
      <c r="Y2128">
        <v>0</v>
      </c>
      <c r="Z2128">
        <v>0</v>
      </c>
    </row>
    <row r="2129" spans="1:26" hidden="1" x14ac:dyDescent="0.25">
      <c r="A2129" t="s">
        <v>4677</v>
      </c>
      <c r="B2129" t="s">
        <v>2153</v>
      </c>
      <c r="C2129" s="4">
        <v>44818</v>
      </c>
      <c r="F2129" s="4">
        <v>46265</v>
      </c>
      <c r="H2129" t="s">
        <v>2351</v>
      </c>
      <c r="K2129" t="s">
        <v>53</v>
      </c>
      <c r="L2129" t="s">
        <v>3121</v>
      </c>
      <c r="M2129" t="s">
        <v>54</v>
      </c>
      <c r="N2129" t="s">
        <v>3122</v>
      </c>
      <c r="O2129" t="s">
        <v>32</v>
      </c>
      <c r="P2129" t="s">
        <v>4678</v>
      </c>
      <c r="Q2129">
        <v>120</v>
      </c>
      <c r="R2129">
        <v>120</v>
      </c>
      <c r="S2129" t="s">
        <v>34</v>
      </c>
      <c r="T2129" t="s">
        <v>35</v>
      </c>
      <c r="U2129" t="s">
        <v>44</v>
      </c>
      <c r="W2129">
        <v>120</v>
      </c>
      <c r="X2129">
        <v>120</v>
      </c>
      <c r="Y2129">
        <v>0</v>
      </c>
      <c r="Z2129">
        <v>0</v>
      </c>
    </row>
    <row r="2130" spans="1:26" hidden="1" x14ac:dyDescent="0.25">
      <c r="A2130" t="s">
        <v>4679</v>
      </c>
      <c r="B2130" t="s">
        <v>38</v>
      </c>
      <c r="C2130" s="4">
        <v>44818</v>
      </c>
      <c r="D2130" s="4">
        <v>45957</v>
      </c>
      <c r="F2130" s="4">
        <v>46539</v>
      </c>
      <c r="G2130" t="s">
        <v>39</v>
      </c>
      <c r="H2130" t="s">
        <v>3146</v>
      </c>
      <c r="K2130" t="s">
        <v>41</v>
      </c>
      <c r="L2130" t="s">
        <v>3121</v>
      </c>
      <c r="M2130" t="s">
        <v>42</v>
      </c>
      <c r="N2130" t="s">
        <v>3122</v>
      </c>
      <c r="O2130" t="s">
        <v>32</v>
      </c>
      <c r="P2130" t="s">
        <v>944</v>
      </c>
      <c r="Q2130">
        <v>289</v>
      </c>
      <c r="R2130">
        <v>289</v>
      </c>
      <c r="S2130" t="s">
        <v>597</v>
      </c>
      <c r="T2130" t="s">
        <v>57</v>
      </c>
      <c r="U2130" t="s">
        <v>44</v>
      </c>
      <c r="W2130">
        <v>0</v>
      </c>
      <c r="X2130">
        <v>0</v>
      </c>
      <c r="Y2130">
        <v>0</v>
      </c>
      <c r="Z2130">
        <v>0</v>
      </c>
    </row>
    <row r="2131" spans="1:26" hidden="1" x14ac:dyDescent="0.25">
      <c r="A2131" t="s">
        <v>4680</v>
      </c>
      <c r="B2131" t="s">
        <v>38</v>
      </c>
      <c r="C2131" s="4">
        <v>44818</v>
      </c>
      <c r="D2131" s="4">
        <v>45868</v>
      </c>
      <c r="F2131" s="4">
        <v>46296</v>
      </c>
      <c r="G2131" t="s">
        <v>1311</v>
      </c>
      <c r="H2131" t="s">
        <v>1302</v>
      </c>
      <c r="K2131" t="s">
        <v>114</v>
      </c>
      <c r="L2131" t="s">
        <v>3121</v>
      </c>
      <c r="M2131" t="s">
        <v>68</v>
      </c>
      <c r="N2131" t="s">
        <v>3122</v>
      </c>
      <c r="O2131" t="s">
        <v>32</v>
      </c>
      <c r="P2131" t="s">
        <v>4681</v>
      </c>
      <c r="Q2131">
        <v>200</v>
      </c>
      <c r="R2131">
        <v>200</v>
      </c>
      <c r="S2131" t="s">
        <v>34</v>
      </c>
      <c r="T2131" t="s">
        <v>35</v>
      </c>
      <c r="U2131" t="s">
        <v>44</v>
      </c>
      <c r="W2131">
        <v>0</v>
      </c>
      <c r="X2131">
        <v>0</v>
      </c>
      <c r="Y2131">
        <v>0</v>
      </c>
      <c r="Z2131">
        <v>0</v>
      </c>
    </row>
    <row r="2132" spans="1:26" hidden="1" x14ac:dyDescent="0.25">
      <c r="A2132" t="s">
        <v>4682</v>
      </c>
      <c r="B2132" t="s">
        <v>38</v>
      </c>
      <c r="C2132" s="4">
        <v>44819</v>
      </c>
      <c r="D2132" s="4">
        <v>45009</v>
      </c>
      <c r="F2132" s="4">
        <v>46296</v>
      </c>
      <c r="G2132" t="s">
        <v>65</v>
      </c>
      <c r="H2132" t="s">
        <v>1421</v>
      </c>
      <c r="K2132" t="s">
        <v>67</v>
      </c>
      <c r="L2132" t="s">
        <v>3121</v>
      </c>
      <c r="M2132" t="s">
        <v>68</v>
      </c>
      <c r="N2132" t="s">
        <v>3122</v>
      </c>
      <c r="O2132" t="s">
        <v>32</v>
      </c>
      <c r="P2132" t="s">
        <v>4683</v>
      </c>
      <c r="Q2132">
        <v>160</v>
      </c>
      <c r="R2132">
        <v>160</v>
      </c>
      <c r="S2132" t="s">
        <v>34</v>
      </c>
      <c r="T2132" t="s">
        <v>35</v>
      </c>
      <c r="U2132" t="s">
        <v>44</v>
      </c>
      <c r="W2132">
        <v>0</v>
      </c>
      <c r="X2132">
        <v>0</v>
      </c>
      <c r="Y2132">
        <v>0</v>
      </c>
      <c r="Z2132">
        <v>0</v>
      </c>
    </row>
    <row r="2133" spans="1:26" hidden="1" x14ac:dyDescent="0.25">
      <c r="A2133" t="s">
        <v>4684</v>
      </c>
      <c r="B2133" t="s">
        <v>2153</v>
      </c>
      <c r="C2133" s="4">
        <v>44819</v>
      </c>
      <c r="F2133" s="4">
        <v>46296</v>
      </c>
      <c r="G2133" t="s">
        <v>4685</v>
      </c>
      <c r="H2133" t="s">
        <v>4476</v>
      </c>
      <c r="K2133" t="s">
        <v>146</v>
      </c>
      <c r="L2133" t="s">
        <v>3121</v>
      </c>
      <c r="M2133" t="s">
        <v>68</v>
      </c>
      <c r="N2133" t="s">
        <v>3122</v>
      </c>
      <c r="O2133" t="s">
        <v>32</v>
      </c>
      <c r="P2133" t="s">
        <v>4686</v>
      </c>
      <c r="Q2133">
        <v>100</v>
      </c>
      <c r="R2133">
        <v>100</v>
      </c>
      <c r="S2133" t="s">
        <v>34</v>
      </c>
      <c r="T2133" t="s">
        <v>35</v>
      </c>
      <c r="U2133" t="s">
        <v>44</v>
      </c>
      <c r="W2133">
        <v>100</v>
      </c>
      <c r="X2133">
        <v>100</v>
      </c>
      <c r="Y2133">
        <v>0</v>
      </c>
      <c r="Z2133">
        <v>0</v>
      </c>
    </row>
    <row r="2134" spans="1:26" hidden="1" x14ac:dyDescent="0.25">
      <c r="A2134" t="s">
        <v>4687</v>
      </c>
      <c r="B2134" t="s">
        <v>38</v>
      </c>
      <c r="C2134" s="4">
        <v>44819</v>
      </c>
      <c r="D2134" s="4">
        <v>45009</v>
      </c>
      <c r="F2134" s="4">
        <v>46296</v>
      </c>
      <c r="G2134" t="s">
        <v>144</v>
      </c>
      <c r="H2134" t="s">
        <v>4476</v>
      </c>
      <c r="K2134" t="s">
        <v>146</v>
      </c>
      <c r="L2134" t="s">
        <v>3121</v>
      </c>
      <c r="M2134" t="s">
        <v>68</v>
      </c>
      <c r="N2134" t="s">
        <v>3122</v>
      </c>
      <c r="O2134" t="s">
        <v>32</v>
      </c>
      <c r="P2134" t="s">
        <v>4688</v>
      </c>
      <c r="Q2134">
        <v>50</v>
      </c>
      <c r="R2134">
        <v>50</v>
      </c>
      <c r="S2134" t="s">
        <v>159</v>
      </c>
      <c r="T2134" t="s">
        <v>159</v>
      </c>
      <c r="U2134" t="s">
        <v>44</v>
      </c>
      <c r="W2134">
        <v>0</v>
      </c>
      <c r="X2134">
        <v>0</v>
      </c>
      <c r="Y2134">
        <v>0</v>
      </c>
      <c r="Z2134">
        <v>0</v>
      </c>
    </row>
    <row r="2135" spans="1:26" hidden="1" x14ac:dyDescent="0.25">
      <c r="A2135" t="s">
        <v>4689</v>
      </c>
      <c r="B2135" t="s">
        <v>2153</v>
      </c>
      <c r="C2135" s="4">
        <v>44813</v>
      </c>
      <c r="F2135" s="4">
        <v>46203</v>
      </c>
      <c r="G2135" t="s">
        <v>117</v>
      </c>
      <c r="H2135" t="s">
        <v>1258</v>
      </c>
      <c r="K2135" t="s">
        <v>83</v>
      </c>
      <c r="L2135" t="s">
        <v>3121</v>
      </c>
      <c r="M2135" t="s">
        <v>84</v>
      </c>
      <c r="N2135" t="s">
        <v>2160</v>
      </c>
      <c r="O2135" t="s">
        <v>32</v>
      </c>
      <c r="P2135" t="s">
        <v>4690</v>
      </c>
      <c r="Q2135">
        <v>100</v>
      </c>
      <c r="R2135">
        <v>100</v>
      </c>
      <c r="S2135" t="s">
        <v>34</v>
      </c>
      <c r="T2135" t="s">
        <v>35</v>
      </c>
      <c r="U2135" t="s">
        <v>44</v>
      </c>
      <c r="W2135">
        <v>100</v>
      </c>
      <c r="X2135">
        <v>100</v>
      </c>
      <c r="Y2135">
        <v>0</v>
      </c>
      <c r="Z2135">
        <v>0</v>
      </c>
    </row>
    <row r="2136" spans="1:26" hidden="1" x14ac:dyDescent="0.25">
      <c r="A2136" t="s">
        <v>4691</v>
      </c>
      <c r="B2136" t="s">
        <v>2153</v>
      </c>
      <c r="C2136" s="4">
        <v>44818</v>
      </c>
      <c r="F2136" s="4">
        <v>46203</v>
      </c>
      <c r="G2136" t="s">
        <v>1326</v>
      </c>
      <c r="H2136" t="s">
        <v>1645</v>
      </c>
      <c r="K2136" t="s">
        <v>67</v>
      </c>
      <c r="L2136" t="s">
        <v>3121</v>
      </c>
      <c r="M2136" t="s">
        <v>68</v>
      </c>
      <c r="N2136" t="s">
        <v>3122</v>
      </c>
      <c r="O2136" t="s">
        <v>32</v>
      </c>
      <c r="P2136" t="s">
        <v>4692</v>
      </c>
      <c r="Q2136">
        <v>300</v>
      </c>
      <c r="R2136">
        <v>300</v>
      </c>
      <c r="S2136" t="s">
        <v>34</v>
      </c>
      <c r="T2136" t="s">
        <v>35</v>
      </c>
      <c r="U2136" t="s">
        <v>44</v>
      </c>
      <c r="W2136">
        <v>300</v>
      </c>
      <c r="X2136">
        <v>0</v>
      </c>
      <c r="Y2136">
        <v>0</v>
      </c>
      <c r="Z2136">
        <v>0</v>
      </c>
    </row>
    <row r="2137" spans="1:26" hidden="1" x14ac:dyDescent="0.25">
      <c r="A2137" t="s">
        <v>4693</v>
      </c>
      <c r="B2137" t="s">
        <v>38</v>
      </c>
      <c r="C2137" s="4">
        <v>44818</v>
      </c>
      <c r="D2137" s="4">
        <v>45868</v>
      </c>
      <c r="F2137" s="4">
        <v>46203</v>
      </c>
      <c r="G2137" t="s">
        <v>65</v>
      </c>
      <c r="H2137" t="s">
        <v>1645</v>
      </c>
      <c r="K2137" t="s">
        <v>67</v>
      </c>
      <c r="L2137" t="s">
        <v>3121</v>
      </c>
      <c r="M2137" t="s">
        <v>68</v>
      </c>
      <c r="N2137" t="s">
        <v>3122</v>
      </c>
      <c r="O2137" t="s">
        <v>32</v>
      </c>
      <c r="P2137" t="s">
        <v>4692</v>
      </c>
      <c r="Q2137">
        <v>150</v>
      </c>
      <c r="R2137">
        <v>150</v>
      </c>
      <c r="S2137" t="s">
        <v>159</v>
      </c>
      <c r="T2137" t="s">
        <v>159</v>
      </c>
      <c r="U2137" t="s">
        <v>44</v>
      </c>
      <c r="W2137">
        <v>0</v>
      </c>
      <c r="X2137">
        <v>0</v>
      </c>
      <c r="Y2137">
        <v>0</v>
      </c>
      <c r="Z2137">
        <v>0</v>
      </c>
    </row>
    <row r="2138" spans="1:26" hidden="1" x14ac:dyDescent="0.25">
      <c r="A2138" t="s">
        <v>4694</v>
      </c>
      <c r="B2138" t="s">
        <v>2153</v>
      </c>
      <c r="C2138" s="4">
        <v>44818</v>
      </c>
      <c r="F2138" s="4">
        <v>46265</v>
      </c>
      <c r="H2138" t="s">
        <v>2351</v>
      </c>
      <c r="K2138" t="s">
        <v>53</v>
      </c>
      <c r="L2138" t="s">
        <v>3121</v>
      </c>
      <c r="M2138" t="s">
        <v>54</v>
      </c>
      <c r="N2138" t="s">
        <v>3122</v>
      </c>
      <c r="O2138" t="s">
        <v>32</v>
      </c>
      <c r="P2138" t="s">
        <v>4695</v>
      </c>
      <c r="Q2138">
        <v>120</v>
      </c>
      <c r="R2138">
        <v>120</v>
      </c>
      <c r="S2138" t="s">
        <v>159</v>
      </c>
      <c r="T2138" t="s">
        <v>159</v>
      </c>
      <c r="U2138" t="s">
        <v>44</v>
      </c>
      <c r="W2138">
        <v>120</v>
      </c>
      <c r="X2138">
        <v>120</v>
      </c>
      <c r="Y2138">
        <v>0</v>
      </c>
      <c r="Z2138">
        <v>0</v>
      </c>
    </row>
    <row r="2139" spans="1:26" hidden="1" x14ac:dyDescent="0.25">
      <c r="A2139" t="s">
        <v>4696</v>
      </c>
      <c r="B2139" t="s">
        <v>2153</v>
      </c>
      <c r="C2139" s="4">
        <v>44819</v>
      </c>
      <c r="F2139" s="4">
        <v>45838</v>
      </c>
      <c r="G2139" t="s">
        <v>2735</v>
      </c>
      <c r="H2139" t="s">
        <v>1574</v>
      </c>
      <c r="K2139" t="s">
        <v>53</v>
      </c>
      <c r="L2139" t="s">
        <v>3121</v>
      </c>
      <c r="M2139" t="s">
        <v>54</v>
      </c>
      <c r="N2139" t="s">
        <v>3122</v>
      </c>
      <c r="O2139" t="s">
        <v>32</v>
      </c>
      <c r="P2139" t="s">
        <v>4697</v>
      </c>
      <c r="Q2139">
        <v>150</v>
      </c>
      <c r="R2139">
        <v>150</v>
      </c>
      <c r="S2139" t="s">
        <v>34</v>
      </c>
      <c r="T2139" t="s">
        <v>35</v>
      </c>
      <c r="U2139" t="s">
        <v>44</v>
      </c>
      <c r="W2139">
        <v>150</v>
      </c>
      <c r="X2139">
        <v>0</v>
      </c>
      <c r="Y2139">
        <v>0</v>
      </c>
      <c r="Z2139">
        <v>0</v>
      </c>
    </row>
    <row r="2140" spans="1:26" hidden="1" x14ac:dyDescent="0.25">
      <c r="A2140" t="s">
        <v>4698</v>
      </c>
      <c r="B2140" t="s">
        <v>38</v>
      </c>
      <c r="C2140" s="4">
        <v>44819</v>
      </c>
      <c r="D2140" s="4">
        <v>45957</v>
      </c>
      <c r="F2140" s="4">
        <v>46234</v>
      </c>
      <c r="G2140" t="s">
        <v>117</v>
      </c>
      <c r="H2140" t="s">
        <v>1813</v>
      </c>
      <c r="K2140" t="s">
        <v>83</v>
      </c>
      <c r="L2140" t="s">
        <v>3121</v>
      </c>
      <c r="M2140" t="s">
        <v>84</v>
      </c>
      <c r="N2140" t="s">
        <v>2160</v>
      </c>
      <c r="O2140" t="s">
        <v>32</v>
      </c>
      <c r="P2140" t="s">
        <v>4699</v>
      </c>
      <c r="Q2140">
        <v>200</v>
      </c>
      <c r="R2140">
        <v>200</v>
      </c>
      <c r="S2140" t="s">
        <v>34</v>
      </c>
      <c r="T2140" t="s">
        <v>35</v>
      </c>
      <c r="U2140" t="s">
        <v>44</v>
      </c>
      <c r="W2140">
        <v>0</v>
      </c>
      <c r="X2140">
        <v>0</v>
      </c>
      <c r="Y2140">
        <v>0</v>
      </c>
      <c r="Z2140">
        <v>0</v>
      </c>
    </row>
    <row r="2141" spans="1:26" hidden="1" x14ac:dyDescent="0.25">
      <c r="A2141" t="s">
        <v>4700</v>
      </c>
      <c r="B2141" t="s">
        <v>38</v>
      </c>
      <c r="C2141" s="4">
        <v>44817</v>
      </c>
      <c r="D2141" s="4">
        <v>45957</v>
      </c>
      <c r="F2141" s="4">
        <v>46327</v>
      </c>
      <c r="G2141" t="s">
        <v>138</v>
      </c>
      <c r="H2141" t="s">
        <v>2499</v>
      </c>
      <c r="K2141" t="s">
        <v>98</v>
      </c>
      <c r="L2141" t="s">
        <v>3121</v>
      </c>
      <c r="M2141" t="s">
        <v>84</v>
      </c>
      <c r="N2141" t="s">
        <v>2160</v>
      </c>
      <c r="O2141" t="s">
        <v>32</v>
      </c>
      <c r="P2141" t="s">
        <v>4701</v>
      </c>
      <c r="Q2141">
        <v>100</v>
      </c>
      <c r="R2141">
        <v>100</v>
      </c>
      <c r="S2141" t="s">
        <v>597</v>
      </c>
      <c r="T2141" t="s">
        <v>598</v>
      </c>
      <c r="U2141" t="s">
        <v>44</v>
      </c>
      <c r="W2141">
        <v>0</v>
      </c>
      <c r="X2141">
        <v>0</v>
      </c>
      <c r="Y2141">
        <v>0</v>
      </c>
      <c r="Z2141">
        <v>0</v>
      </c>
    </row>
    <row r="2142" spans="1:26" hidden="1" x14ac:dyDescent="0.25">
      <c r="A2142" t="s">
        <v>4702</v>
      </c>
      <c r="B2142" t="s">
        <v>2153</v>
      </c>
      <c r="C2142" s="4">
        <v>45947</v>
      </c>
      <c r="F2142" s="4">
        <v>46143</v>
      </c>
      <c r="G2142" t="s">
        <v>1368</v>
      </c>
      <c r="H2142" t="s">
        <v>2423</v>
      </c>
      <c r="K2142" t="s">
        <v>209</v>
      </c>
      <c r="L2142" t="s">
        <v>3121</v>
      </c>
      <c r="M2142" t="s">
        <v>42</v>
      </c>
      <c r="N2142" t="s">
        <v>3122</v>
      </c>
      <c r="O2142" t="s">
        <v>122</v>
      </c>
      <c r="P2142" t="s">
        <v>4703</v>
      </c>
      <c r="Q2142">
        <v>156.30000000000001</v>
      </c>
      <c r="R2142">
        <v>156.30000000000001</v>
      </c>
      <c r="S2142" t="s">
        <v>34</v>
      </c>
      <c r="T2142" t="s">
        <v>35</v>
      </c>
      <c r="U2142" t="s">
        <v>44</v>
      </c>
      <c r="W2142">
        <v>156.30000000000001</v>
      </c>
      <c r="X2142">
        <v>0</v>
      </c>
      <c r="Y2142">
        <v>0</v>
      </c>
      <c r="Z2142">
        <v>0</v>
      </c>
    </row>
    <row r="2143" spans="1:26" hidden="1" x14ac:dyDescent="0.25">
      <c r="A2143" t="s">
        <v>4704</v>
      </c>
      <c r="B2143" t="s">
        <v>38</v>
      </c>
      <c r="C2143" s="4">
        <v>44819</v>
      </c>
      <c r="D2143" s="4">
        <v>45868</v>
      </c>
      <c r="F2143" s="4">
        <v>46295</v>
      </c>
      <c r="G2143" t="s">
        <v>616</v>
      </c>
      <c r="H2143" t="s">
        <v>2467</v>
      </c>
      <c r="K2143" t="s">
        <v>146</v>
      </c>
      <c r="L2143" t="s">
        <v>3121</v>
      </c>
      <c r="M2143" t="s">
        <v>68</v>
      </c>
      <c r="N2143" t="s">
        <v>3122</v>
      </c>
      <c r="O2143" t="s">
        <v>32</v>
      </c>
      <c r="P2143" t="s">
        <v>4705</v>
      </c>
      <c r="Q2143">
        <v>49.3</v>
      </c>
      <c r="R2143">
        <v>49.3</v>
      </c>
      <c r="S2143" t="s">
        <v>34</v>
      </c>
      <c r="T2143" t="s">
        <v>35</v>
      </c>
      <c r="U2143" t="s">
        <v>44</v>
      </c>
      <c r="W2143">
        <v>0</v>
      </c>
      <c r="X2143">
        <v>0</v>
      </c>
      <c r="Y2143">
        <v>0</v>
      </c>
      <c r="Z2143">
        <v>0</v>
      </c>
    </row>
    <row r="2144" spans="1:26" hidden="1" x14ac:dyDescent="0.25">
      <c r="A2144" t="s">
        <v>4706</v>
      </c>
      <c r="B2144" t="s">
        <v>2338</v>
      </c>
      <c r="C2144" s="4">
        <v>44817</v>
      </c>
      <c r="F2144" s="4">
        <v>46203</v>
      </c>
      <c r="G2144" t="s">
        <v>1753</v>
      </c>
      <c r="H2144" t="s">
        <v>3909</v>
      </c>
      <c r="K2144" t="s">
        <v>114</v>
      </c>
      <c r="L2144" t="s">
        <v>3121</v>
      </c>
      <c r="M2144" t="s">
        <v>68</v>
      </c>
      <c r="N2144" t="s">
        <v>3122</v>
      </c>
      <c r="O2144" t="s">
        <v>32</v>
      </c>
      <c r="P2144" t="s">
        <v>4707</v>
      </c>
      <c r="Q2144">
        <v>225</v>
      </c>
      <c r="R2144">
        <v>225</v>
      </c>
      <c r="S2144" t="s">
        <v>34</v>
      </c>
      <c r="T2144" t="s">
        <v>35</v>
      </c>
      <c r="U2144" t="s">
        <v>44</v>
      </c>
      <c r="W2144">
        <v>225</v>
      </c>
      <c r="X2144">
        <v>225</v>
      </c>
      <c r="Y2144">
        <v>0</v>
      </c>
      <c r="Z2144">
        <v>0</v>
      </c>
    </row>
    <row r="2145" spans="1:26" hidden="1" x14ac:dyDescent="0.25">
      <c r="A2145" t="s">
        <v>4708</v>
      </c>
      <c r="B2145" t="s">
        <v>2153</v>
      </c>
      <c r="C2145" s="4">
        <v>44818</v>
      </c>
      <c r="F2145" s="4">
        <v>46265</v>
      </c>
      <c r="G2145" t="s">
        <v>1690</v>
      </c>
      <c r="H2145" t="s">
        <v>1784</v>
      </c>
      <c r="K2145" t="s">
        <v>98</v>
      </c>
      <c r="L2145" t="s">
        <v>3121</v>
      </c>
      <c r="M2145" t="s">
        <v>84</v>
      </c>
      <c r="N2145" t="s">
        <v>2160</v>
      </c>
      <c r="O2145" t="s">
        <v>32</v>
      </c>
      <c r="P2145" t="s">
        <v>1073</v>
      </c>
      <c r="Q2145">
        <v>50</v>
      </c>
      <c r="R2145">
        <v>50</v>
      </c>
      <c r="S2145" t="s">
        <v>159</v>
      </c>
      <c r="T2145" t="s">
        <v>159</v>
      </c>
      <c r="U2145" t="s">
        <v>44</v>
      </c>
      <c r="W2145">
        <v>50</v>
      </c>
      <c r="X2145">
        <v>50</v>
      </c>
      <c r="Y2145">
        <v>0</v>
      </c>
      <c r="Z2145">
        <v>0</v>
      </c>
    </row>
    <row r="2146" spans="1:26" hidden="1" x14ac:dyDescent="0.25">
      <c r="A2146" t="s">
        <v>4709</v>
      </c>
      <c r="B2146" t="s">
        <v>2153</v>
      </c>
      <c r="C2146" s="4">
        <v>44818</v>
      </c>
      <c r="F2146" s="4">
        <v>46296</v>
      </c>
      <c r="G2146" t="s">
        <v>1326</v>
      </c>
      <c r="H2146" t="s">
        <v>3380</v>
      </c>
      <c r="K2146" t="s">
        <v>67</v>
      </c>
      <c r="L2146" t="s">
        <v>3121</v>
      </c>
      <c r="M2146" t="s">
        <v>68</v>
      </c>
      <c r="N2146" t="s">
        <v>3122</v>
      </c>
      <c r="O2146" t="s">
        <v>32</v>
      </c>
      <c r="P2146" t="s">
        <v>4710</v>
      </c>
      <c r="Q2146">
        <v>100</v>
      </c>
      <c r="R2146">
        <v>100</v>
      </c>
      <c r="S2146" t="s">
        <v>34</v>
      </c>
      <c r="T2146" t="s">
        <v>35</v>
      </c>
      <c r="U2146" t="s">
        <v>44</v>
      </c>
      <c r="W2146">
        <v>100</v>
      </c>
      <c r="X2146">
        <v>100</v>
      </c>
      <c r="Y2146">
        <v>0</v>
      </c>
      <c r="Z2146">
        <v>0</v>
      </c>
    </row>
    <row r="2147" spans="1:26" hidden="1" x14ac:dyDescent="0.25">
      <c r="A2147" t="s">
        <v>4711</v>
      </c>
      <c r="B2147" t="s">
        <v>38</v>
      </c>
      <c r="C2147" s="4">
        <v>44819</v>
      </c>
      <c r="D2147" s="4">
        <v>45957</v>
      </c>
      <c r="F2147" s="4">
        <v>46569</v>
      </c>
      <c r="G2147" t="s">
        <v>101</v>
      </c>
      <c r="H2147" t="s">
        <v>1824</v>
      </c>
      <c r="K2147" t="s">
        <v>98</v>
      </c>
      <c r="L2147" t="s">
        <v>3121</v>
      </c>
      <c r="M2147" t="s">
        <v>84</v>
      </c>
      <c r="N2147" t="s">
        <v>2160</v>
      </c>
      <c r="O2147" t="s">
        <v>32</v>
      </c>
      <c r="P2147" t="s">
        <v>4712</v>
      </c>
      <c r="Q2147">
        <v>50</v>
      </c>
      <c r="R2147">
        <v>50</v>
      </c>
      <c r="S2147" t="s">
        <v>34</v>
      </c>
      <c r="T2147" t="s">
        <v>35</v>
      </c>
      <c r="U2147" t="s">
        <v>44</v>
      </c>
      <c r="W2147">
        <v>0</v>
      </c>
      <c r="X2147">
        <v>0</v>
      </c>
      <c r="Y2147">
        <v>0</v>
      </c>
      <c r="Z2147">
        <v>0</v>
      </c>
    </row>
    <row r="2148" spans="1:26" hidden="1" x14ac:dyDescent="0.25">
      <c r="A2148" t="s">
        <v>4713</v>
      </c>
      <c r="B2148" t="s">
        <v>38</v>
      </c>
      <c r="C2148" s="4">
        <v>44817</v>
      </c>
      <c r="D2148" s="4">
        <v>45957</v>
      </c>
      <c r="F2148" s="4">
        <v>46569</v>
      </c>
      <c r="G2148" t="s">
        <v>101</v>
      </c>
      <c r="H2148" t="s">
        <v>1427</v>
      </c>
      <c r="K2148" t="s">
        <v>98</v>
      </c>
      <c r="L2148" t="s">
        <v>3121</v>
      </c>
      <c r="M2148" t="s">
        <v>84</v>
      </c>
      <c r="N2148" t="s">
        <v>2160</v>
      </c>
      <c r="O2148" t="s">
        <v>32</v>
      </c>
      <c r="P2148" t="s">
        <v>4714</v>
      </c>
      <c r="Q2148">
        <v>50</v>
      </c>
      <c r="R2148">
        <v>50</v>
      </c>
      <c r="S2148" t="s">
        <v>34</v>
      </c>
      <c r="T2148" t="s">
        <v>35</v>
      </c>
      <c r="U2148" t="s">
        <v>44</v>
      </c>
      <c r="W2148">
        <v>0</v>
      </c>
      <c r="X2148">
        <v>0</v>
      </c>
      <c r="Y2148">
        <v>0</v>
      </c>
      <c r="Z2148">
        <v>0</v>
      </c>
    </row>
    <row r="2149" spans="1:26" hidden="1" x14ac:dyDescent="0.25">
      <c r="A2149" t="s">
        <v>4715</v>
      </c>
      <c r="B2149" t="s">
        <v>2153</v>
      </c>
      <c r="C2149" s="4">
        <v>44818</v>
      </c>
      <c r="F2149" s="4">
        <v>46569</v>
      </c>
      <c r="G2149" t="s">
        <v>691</v>
      </c>
      <c r="H2149" t="s">
        <v>1427</v>
      </c>
      <c r="K2149" t="s">
        <v>98</v>
      </c>
      <c r="L2149" t="s">
        <v>3121</v>
      </c>
      <c r="M2149" t="s">
        <v>84</v>
      </c>
      <c r="N2149" t="s">
        <v>2160</v>
      </c>
      <c r="O2149" t="s">
        <v>32</v>
      </c>
      <c r="P2149" t="s">
        <v>3952</v>
      </c>
      <c r="Q2149">
        <v>150</v>
      </c>
      <c r="R2149">
        <v>150</v>
      </c>
      <c r="S2149" t="s">
        <v>34</v>
      </c>
      <c r="T2149" t="s">
        <v>35</v>
      </c>
      <c r="U2149" t="s">
        <v>44</v>
      </c>
      <c r="W2149">
        <v>150</v>
      </c>
      <c r="X2149">
        <v>150</v>
      </c>
      <c r="Y2149">
        <v>0</v>
      </c>
      <c r="Z2149">
        <v>0</v>
      </c>
    </row>
    <row r="2150" spans="1:26" hidden="1" x14ac:dyDescent="0.25">
      <c r="A2150" t="s">
        <v>4716</v>
      </c>
      <c r="B2150" t="s">
        <v>2153</v>
      </c>
      <c r="C2150" s="4">
        <v>44818</v>
      </c>
      <c r="F2150" s="4">
        <v>46569</v>
      </c>
      <c r="G2150" t="s">
        <v>691</v>
      </c>
      <c r="H2150" t="s">
        <v>1427</v>
      </c>
      <c r="K2150" t="s">
        <v>98</v>
      </c>
      <c r="L2150" t="s">
        <v>3121</v>
      </c>
      <c r="M2150" t="s">
        <v>84</v>
      </c>
      <c r="N2150" t="s">
        <v>2160</v>
      </c>
      <c r="O2150" t="s">
        <v>32</v>
      </c>
      <c r="P2150" t="s">
        <v>3952</v>
      </c>
      <c r="Q2150">
        <v>150</v>
      </c>
      <c r="R2150">
        <v>150</v>
      </c>
      <c r="S2150" t="s">
        <v>34</v>
      </c>
      <c r="T2150" t="s">
        <v>35</v>
      </c>
      <c r="U2150" t="s">
        <v>44</v>
      </c>
      <c r="W2150">
        <v>150</v>
      </c>
      <c r="X2150">
        <v>150</v>
      </c>
      <c r="Y2150">
        <v>0</v>
      </c>
      <c r="Z2150">
        <v>0</v>
      </c>
    </row>
    <row r="2151" spans="1:26" hidden="1" x14ac:dyDescent="0.25">
      <c r="A2151" t="s">
        <v>4717</v>
      </c>
      <c r="B2151" t="s">
        <v>38</v>
      </c>
      <c r="C2151" s="4">
        <v>44818</v>
      </c>
      <c r="D2151" s="4">
        <v>45957</v>
      </c>
      <c r="F2151" s="4">
        <v>46569</v>
      </c>
      <c r="G2151" t="s">
        <v>101</v>
      </c>
      <c r="H2151" t="s">
        <v>1427</v>
      </c>
      <c r="K2151" t="s">
        <v>98</v>
      </c>
      <c r="L2151" t="s">
        <v>3121</v>
      </c>
      <c r="M2151" t="s">
        <v>84</v>
      </c>
      <c r="N2151" t="s">
        <v>2160</v>
      </c>
      <c r="O2151" t="s">
        <v>32</v>
      </c>
      <c r="P2151" t="s">
        <v>4718</v>
      </c>
      <c r="Q2151">
        <v>200</v>
      </c>
      <c r="R2151">
        <v>200</v>
      </c>
      <c r="S2151" t="s">
        <v>34</v>
      </c>
      <c r="T2151" t="s">
        <v>35</v>
      </c>
      <c r="U2151" t="s">
        <v>44</v>
      </c>
      <c r="W2151">
        <v>0</v>
      </c>
      <c r="X2151">
        <v>0</v>
      </c>
      <c r="Y2151">
        <v>0</v>
      </c>
      <c r="Z2151">
        <v>0</v>
      </c>
    </row>
    <row r="2152" spans="1:26" hidden="1" x14ac:dyDescent="0.25">
      <c r="A2152" t="s">
        <v>4719</v>
      </c>
      <c r="B2152" t="s">
        <v>38</v>
      </c>
      <c r="C2152" s="4">
        <v>44818</v>
      </c>
      <c r="D2152" s="4">
        <v>45957</v>
      </c>
      <c r="F2152" s="4">
        <v>46569</v>
      </c>
      <c r="G2152" t="s">
        <v>101</v>
      </c>
      <c r="H2152" t="s">
        <v>1824</v>
      </c>
      <c r="K2152" t="s">
        <v>98</v>
      </c>
      <c r="L2152" t="s">
        <v>3121</v>
      </c>
      <c r="M2152" t="s">
        <v>84</v>
      </c>
      <c r="N2152" t="s">
        <v>2160</v>
      </c>
      <c r="O2152" t="s">
        <v>32</v>
      </c>
      <c r="P2152" t="s">
        <v>4720</v>
      </c>
      <c r="Q2152">
        <v>50</v>
      </c>
      <c r="R2152">
        <v>50</v>
      </c>
      <c r="S2152" t="s">
        <v>34</v>
      </c>
      <c r="T2152" t="s">
        <v>35</v>
      </c>
      <c r="U2152" t="s">
        <v>44</v>
      </c>
      <c r="W2152">
        <v>0</v>
      </c>
      <c r="X2152">
        <v>0</v>
      </c>
      <c r="Y2152">
        <v>0</v>
      </c>
      <c r="Z2152">
        <v>0</v>
      </c>
    </row>
    <row r="2153" spans="1:26" hidden="1" x14ac:dyDescent="0.25">
      <c r="A2153" t="s">
        <v>4721</v>
      </c>
      <c r="B2153" t="s">
        <v>38</v>
      </c>
      <c r="C2153" s="4">
        <v>44818</v>
      </c>
      <c r="D2153" s="4">
        <v>45957</v>
      </c>
      <c r="F2153" s="4">
        <v>46569</v>
      </c>
      <c r="G2153" t="s">
        <v>1381</v>
      </c>
      <c r="H2153" t="s">
        <v>1676</v>
      </c>
      <c r="K2153" t="s">
        <v>209</v>
      </c>
      <c r="L2153" t="s">
        <v>3121</v>
      </c>
      <c r="M2153" t="s">
        <v>42</v>
      </c>
      <c r="N2153" t="s">
        <v>3122</v>
      </c>
      <c r="O2153" t="s">
        <v>32</v>
      </c>
      <c r="P2153" t="s">
        <v>4722</v>
      </c>
      <c r="Q2153">
        <v>131</v>
      </c>
      <c r="R2153">
        <v>131</v>
      </c>
      <c r="S2153" t="s">
        <v>34</v>
      </c>
      <c r="T2153" t="s">
        <v>35</v>
      </c>
      <c r="U2153" t="s">
        <v>44</v>
      </c>
      <c r="W2153">
        <v>0</v>
      </c>
      <c r="X2153">
        <v>0</v>
      </c>
      <c r="Y2153">
        <v>0</v>
      </c>
      <c r="Z2153">
        <v>0</v>
      </c>
    </row>
    <row r="2154" spans="1:26" hidden="1" x14ac:dyDescent="0.25">
      <c r="A2154" t="s">
        <v>4723</v>
      </c>
      <c r="B2154" t="s">
        <v>38</v>
      </c>
      <c r="C2154" s="4">
        <v>44818</v>
      </c>
      <c r="D2154" s="4">
        <v>45957</v>
      </c>
      <c r="F2154" s="4">
        <v>46569</v>
      </c>
      <c r="G2154" t="s">
        <v>1381</v>
      </c>
      <c r="H2154" t="s">
        <v>1372</v>
      </c>
      <c r="K2154" t="s">
        <v>209</v>
      </c>
      <c r="L2154" t="s">
        <v>3121</v>
      </c>
      <c r="M2154" t="s">
        <v>42</v>
      </c>
      <c r="N2154" t="s">
        <v>3122</v>
      </c>
      <c r="O2154" t="s">
        <v>32</v>
      </c>
      <c r="P2154" t="s">
        <v>4724</v>
      </c>
      <c r="Q2154">
        <v>80</v>
      </c>
      <c r="R2154">
        <v>80</v>
      </c>
      <c r="S2154" t="s">
        <v>34</v>
      </c>
      <c r="T2154" t="s">
        <v>35</v>
      </c>
      <c r="U2154" t="s">
        <v>44</v>
      </c>
      <c r="W2154">
        <v>0</v>
      </c>
      <c r="X2154">
        <v>0</v>
      </c>
      <c r="Y2154">
        <v>0</v>
      </c>
      <c r="Z2154">
        <v>0</v>
      </c>
    </row>
    <row r="2155" spans="1:26" hidden="1" x14ac:dyDescent="0.25">
      <c r="A2155" t="s">
        <v>4725</v>
      </c>
      <c r="B2155" t="s">
        <v>38</v>
      </c>
      <c r="C2155" s="4">
        <v>44818</v>
      </c>
      <c r="D2155" s="4">
        <v>45868</v>
      </c>
      <c r="F2155" s="4">
        <v>46569</v>
      </c>
      <c r="G2155" t="s">
        <v>1311</v>
      </c>
      <c r="H2155" t="s">
        <v>3896</v>
      </c>
      <c r="K2155" t="s">
        <v>114</v>
      </c>
      <c r="L2155" t="s">
        <v>3121</v>
      </c>
      <c r="M2155" t="s">
        <v>84</v>
      </c>
      <c r="N2155" t="s">
        <v>2160</v>
      </c>
      <c r="O2155" t="s">
        <v>32</v>
      </c>
      <c r="P2155" t="s">
        <v>4726</v>
      </c>
      <c r="Q2155">
        <v>100</v>
      </c>
      <c r="R2155">
        <v>100</v>
      </c>
      <c r="S2155" t="s">
        <v>34</v>
      </c>
      <c r="T2155" t="s">
        <v>35</v>
      </c>
      <c r="U2155" t="s">
        <v>44</v>
      </c>
      <c r="W2155">
        <v>0</v>
      </c>
      <c r="X2155">
        <v>0</v>
      </c>
      <c r="Y2155">
        <v>0</v>
      </c>
      <c r="Z2155">
        <v>0</v>
      </c>
    </row>
    <row r="2156" spans="1:26" hidden="1" x14ac:dyDescent="0.25">
      <c r="A2156" t="s">
        <v>4727</v>
      </c>
      <c r="B2156" t="s">
        <v>2153</v>
      </c>
      <c r="C2156" s="4">
        <v>44819</v>
      </c>
      <c r="F2156" s="4">
        <v>45901</v>
      </c>
      <c r="G2156" t="s">
        <v>1278</v>
      </c>
      <c r="H2156" t="s">
        <v>2040</v>
      </c>
      <c r="K2156" t="s">
        <v>28</v>
      </c>
      <c r="L2156" t="s">
        <v>3121</v>
      </c>
      <c r="M2156" t="s">
        <v>30</v>
      </c>
      <c r="N2156" t="s">
        <v>3122</v>
      </c>
      <c r="O2156" t="s">
        <v>32</v>
      </c>
      <c r="P2156" t="s">
        <v>4728</v>
      </c>
      <c r="Q2156">
        <v>150</v>
      </c>
      <c r="R2156">
        <v>150</v>
      </c>
      <c r="S2156" t="s">
        <v>389</v>
      </c>
      <c r="T2156" t="s">
        <v>584</v>
      </c>
      <c r="U2156" t="s">
        <v>44</v>
      </c>
      <c r="W2156">
        <v>150</v>
      </c>
      <c r="X2156">
        <v>150</v>
      </c>
      <c r="Y2156">
        <v>0</v>
      </c>
      <c r="Z2156">
        <v>0</v>
      </c>
    </row>
    <row r="2157" spans="1:26" hidden="1" x14ac:dyDescent="0.25">
      <c r="A2157" t="s">
        <v>4729</v>
      </c>
      <c r="B2157" t="s">
        <v>2153</v>
      </c>
      <c r="C2157" s="4">
        <v>44819</v>
      </c>
      <c r="F2157" s="4">
        <v>46478</v>
      </c>
      <c r="G2157" t="s">
        <v>1278</v>
      </c>
      <c r="H2157" t="s">
        <v>1838</v>
      </c>
      <c r="K2157" t="s">
        <v>28</v>
      </c>
      <c r="L2157" t="s">
        <v>3121</v>
      </c>
      <c r="M2157" t="s">
        <v>30</v>
      </c>
      <c r="N2157" t="s">
        <v>3122</v>
      </c>
      <c r="O2157" t="s">
        <v>32</v>
      </c>
      <c r="P2157" t="s">
        <v>4730</v>
      </c>
      <c r="Q2157">
        <v>160</v>
      </c>
      <c r="R2157">
        <v>160</v>
      </c>
      <c r="S2157" t="s">
        <v>389</v>
      </c>
      <c r="T2157" t="s">
        <v>2129</v>
      </c>
      <c r="U2157" t="s">
        <v>44</v>
      </c>
      <c r="W2157">
        <v>160</v>
      </c>
      <c r="X2157">
        <v>160</v>
      </c>
      <c r="Y2157">
        <v>0</v>
      </c>
      <c r="Z2157">
        <v>0</v>
      </c>
    </row>
    <row r="2158" spans="1:26" hidden="1" x14ac:dyDescent="0.25">
      <c r="A2158" t="s">
        <v>4731</v>
      </c>
      <c r="B2158" t="s">
        <v>2153</v>
      </c>
      <c r="C2158" s="4">
        <v>44819</v>
      </c>
      <c r="F2158" s="4">
        <v>46478</v>
      </c>
      <c r="G2158" t="s">
        <v>72</v>
      </c>
      <c r="H2158" t="s">
        <v>1430</v>
      </c>
      <c r="K2158" t="s">
        <v>209</v>
      </c>
      <c r="L2158" t="s">
        <v>3121</v>
      </c>
      <c r="M2158" t="s">
        <v>42</v>
      </c>
      <c r="N2158" t="s">
        <v>3122</v>
      </c>
      <c r="O2158" t="s">
        <v>32</v>
      </c>
      <c r="P2158" t="s">
        <v>4732</v>
      </c>
      <c r="Q2158">
        <v>160</v>
      </c>
      <c r="R2158">
        <v>160</v>
      </c>
      <c r="S2158" t="s">
        <v>389</v>
      </c>
      <c r="T2158" t="s">
        <v>2129</v>
      </c>
      <c r="U2158" t="s">
        <v>44</v>
      </c>
      <c r="W2158">
        <v>160</v>
      </c>
      <c r="X2158">
        <v>160</v>
      </c>
      <c r="Y2158">
        <v>0</v>
      </c>
      <c r="Z2158">
        <v>0</v>
      </c>
    </row>
    <row r="2159" spans="1:26" hidden="1" x14ac:dyDescent="0.25">
      <c r="A2159" t="s">
        <v>4733</v>
      </c>
      <c r="B2159" t="s">
        <v>2153</v>
      </c>
      <c r="C2159" s="4">
        <v>44819</v>
      </c>
      <c r="F2159" s="4">
        <v>46478</v>
      </c>
      <c r="G2159" t="s">
        <v>72</v>
      </c>
      <c r="H2159" t="s">
        <v>1424</v>
      </c>
      <c r="K2159" t="s">
        <v>209</v>
      </c>
      <c r="L2159" t="s">
        <v>3121</v>
      </c>
      <c r="M2159" t="s">
        <v>42</v>
      </c>
      <c r="N2159" t="s">
        <v>3122</v>
      </c>
      <c r="O2159" t="s">
        <v>32</v>
      </c>
      <c r="P2159" t="s">
        <v>4734</v>
      </c>
      <c r="Q2159">
        <v>160</v>
      </c>
      <c r="R2159">
        <v>160</v>
      </c>
      <c r="S2159" t="s">
        <v>389</v>
      </c>
      <c r="T2159" t="s">
        <v>2129</v>
      </c>
      <c r="U2159" t="s">
        <v>44</v>
      </c>
      <c r="W2159">
        <v>160</v>
      </c>
      <c r="X2159">
        <v>160</v>
      </c>
      <c r="Y2159">
        <v>0</v>
      </c>
      <c r="Z2159">
        <v>0</v>
      </c>
    </row>
    <row r="2160" spans="1:26" hidden="1" x14ac:dyDescent="0.25">
      <c r="A2160" t="s">
        <v>4735</v>
      </c>
      <c r="B2160" t="s">
        <v>2153</v>
      </c>
      <c r="C2160" s="4">
        <v>44819</v>
      </c>
      <c r="F2160" s="4">
        <v>45901</v>
      </c>
      <c r="G2160" t="s">
        <v>1278</v>
      </c>
      <c r="H2160" t="s">
        <v>1926</v>
      </c>
      <c r="K2160" t="s">
        <v>28</v>
      </c>
      <c r="L2160" t="s">
        <v>3121</v>
      </c>
      <c r="M2160" t="s">
        <v>30</v>
      </c>
      <c r="N2160" t="s">
        <v>3122</v>
      </c>
      <c r="O2160" t="s">
        <v>32</v>
      </c>
      <c r="P2160" t="s">
        <v>4736</v>
      </c>
      <c r="Q2160">
        <v>150</v>
      </c>
      <c r="R2160">
        <v>150</v>
      </c>
      <c r="S2160" t="s">
        <v>389</v>
      </c>
      <c r="T2160" t="s">
        <v>584</v>
      </c>
      <c r="U2160" t="s">
        <v>44</v>
      </c>
      <c r="W2160">
        <v>150</v>
      </c>
      <c r="X2160">
        <v>150</v>
      </c>
      <c r="Y2160">
        <v>0</v>
      </c>
      <c r="Z2160">
        <v>0</v>
      </c>
    </row>
    <row r="2161" spans="1:26" hidden="1" x14ac:dyDescent="0.25">
      <c r="A2161" t="s">
        <v>4737</v>
      </c>
      <c r="B2161" t="s">
        <v>2153</v>
      </c>
      <c r="C2161" s="4">
        <v>44819</v>
      </c>
      <c r="F2161" s="4">
        <v>46235</v>
      </c>
      <c r="G2161" t="s">
        <v>1278</v>
      </c>
      <c r="H2161" t="s">
        <v>1485</v>
      </c>
      <c r="K2161" t="s">
        <v>28</v>
      </c>
      <c r="L2161" t="s">
        <v>3121</v>
      </c>
      <c r="M2161" t="s">
        <v>30</v>
      </c>
      <c r="N2161" t="s">
        <v>3122</v>
      </c>
      <c r="O2161" t="s">
        <v>32</v>
      </c>
      <c r="P2161" t="s">
        <v>4738</v>
      </c>
      <c r="Q2161">
        <v>100</v>
      </c>
      <c r="R2161">
        <v>100</v>
      </c>
      <c r="S2161" t="s">
        <v>389</v>
      </c>
      <c r="T2161" t="s">
        <v>390</v>
      </c>
      <c r="U2161" t="s">
        <v>44</v>
      </c>
      <c r="W2161">
        <v>100</v>
      </c>
      <c r="X2161">
        <v>100</v>
      </c>
      <c r="Y2161">
        <v>0</v>
      </c>
      <c r="Z2161">
        <v>0</v>
      </c>
    </row>
    <row r="2162" spans="1:26" hidden="1" x14ac:dyDescent="0.25">
      <c r="A2162" t="s">
        <v>4739</v>
      </c>
      <c r="B2162" t="s">
        <v>2153</v>
      </c>
      <c r="C2162" s="4">
        <v>44819</v>
      </c>
      <c r="F2162" s="4">
        <v>45657</v>
      </c>
      <c r="G2162" t="s">
        <v>72</v>
      </c>
      <c r="H2162" t="s">
        <v>1926</v>
      </c>
      <c r="K2162" t="s">
        <v>209</v>
      </c>
      <c r="L2162" t="s">
        <v>3121</v>
      </c>
      <c r="M2162" t="s">
        <v>42</v>
      </c>
      <c r="N2162" t="s">
        <v>3122</v>
      </c>
      <c r="O2162" t="s">
        <v>1110</v>
      </c>
      <c r="P2162" t="s">
        <v>4740</v>
      </c>
      <c r="Q2162">
        <v>100</v>
      </c>
      <c r="R2162">
        <v>100</v>
      </c>
      <c r="S2162" t="s">
        <v>56</v>
      </c>
      <c r="T2162" t="s">
        <v>57</v>
      </c>
      <c r="U2162" t="s">
        <v>44</v>
      </c>
      <c r="W2162">
        <v>0</v>
      </c>
      <c r="X2162">
        <v>100</v>
      </c>
      <c r="Y2162">
        <v>0</v>
      </c>
      <c r="Z2162">
        <v>0</v>
      </c>
    </row>
    <row r="2163" spans="1:26" hidden="1" x14ac:dyDescent="0.25">
      <c r="A2163" t="s">
        <v>4741</v>
      </c>
      <c r="B2163" t="s">
        <v>2153</v>
      </c>
      <c r="C2163" s="4">
        <v>44818</v>
      </c>
      <c r="F2163" s="4">
        <v>46568</v>
      </c>
      <c r="G2163" t="s">
        <v>72</v>
      </c>
      <c r="H2163" t="s">
        <v>2201</v>
      </c>
      <c r="K2163" t="s">
        <v>209</v>
      </c>
      <c r="L2163" t="s">
        <v>3121</v>
      </c>
      <c r="M2163" t="s">
        <v>42</v>
      </c>
      <c r="N2163" t="s">
        <v>3122</v>
      </c>
      <c r="O2163" t="s">
        <v>32</v>
      </c>
      <c r="P2163" t="s">
        <v>4742</v>
      </c>
      <c r="Q2163">
        <v>100</v>
      </c>
      <c r="R2163">
        <v>100</v>
      </c>
      <c r="S2163" t="s">
        <v>159</v>
      </c>
      <c r="T2163" t="s">
        <v>159</v>
      </c>
      <c r="U2163" t="s">
        <v>44</v>
      </c>
      <c r="W2163">
        <v>100</v>
      </c>
      <c r="X2163">
        <v>100</v>
      </c>
      <c r="Y2163">
        <v>0</v>
      </c>
      <c r="Z2163">
        <v>0</v>
      </c>
    </row>
    <row r="2164" spans="1:26" hidden="1" x14ac:dyDescent="0.25">
      <c r="A2164" t="s">
        <v>4743</v>
      </c>
      <c r="B2164" t="s">
        <v>2153</v>
      </c>
      <c r="C2164" s="4">
        <v>44818</v>
      </c>
      <c r="F2164" s="4">
        <v>46568</v>
      </c>
      <c r="G2164" t="s">
        <v>72</v>
      </c>
      <c r="H2164" t="s">
        <v>4326</v>
      </c>
      <c r="K2164" t="s">
        <v>209</v>
      </c>
      <c r="L2164" t="s">
        <v>3121</v>
      </c>
      <c r="M2164" t="s">
        <v>42</v>
      </c>
      <c r="N2164" t="s">
        <v>3122</v>
      </c>
      <c r="O2164" t="s">
        <v>32</v>
      </c>
      <c r="P2164" t="s">
        <v>4744</v>
      </c>
      <c r="Q2164">
        <v>100</v>
      </c>
      <c r="R2164">
        <v>100</v>
      </c>
      <c r="S2164" t="s">
        <v>159</v>
      </c>
      <c r="T2164" t="s">
        <v>159</v>
      </c>
      <c r="U2164" t="s">
        <v>44</v>
      </c>
      <c r="W2164">
        <v>100</v>
      </c>
      <c r="X2164">
        <v>100</v>
      </c>
      <c r="Y2164">
        <v>0</v>
      </c>
      <c r="Z2164">
        <v>0</v>
      </c>
    </row>
    <row r="2165" spans="1:26" hidden="1" x14ac:dyDescent="0.25">
      <c r="A2165" t="s">
        <v>4745</v>
      </c>
      <c r="B2165" t="s">
        <v>2153</v>
      </c>
      <c r="C2165" s="4">
        <v>44818</v>
      </c>
      <c r="F2165" s="4">
        <v>46568</v>
      </c>
      <c r="G2165" t="s">
        <v>1278</v>
      </c>
      <c r="H2165" t="s">
        <v>1862</v>
      </c>
      <c r="K2165" t="s">
        <v>28</v>
      </c>
      <c r="L2165" t="s">
        <v>3121</v>
      </c>
      <c r="M2165" t="s">
        <v>30</v>
      </c>
      <c r="N2165" t="s">
        <v>3122</v>
      </c>
      <c r="O2165" t="s">
        <v>32</v>
      </c>
      <c r="P2165" t="s">
        <v>4746</v>
      </c>
      <c r="Q2165">
        <v>100</v>
      </c>
      <c r="R2165">
        <v>100</v>
      </c>
      <c r="S2165" t="s">
        <v>159</v>
      </c>
      <c r="T2165" t="s">
        <v>159</v>
      </c>
      <c r="U2165" t="s">
        <v>44</v>
      </c>
      <c r="W2165">
        <v>100</v>
      </c>
      <c r="X2165">
        <v>100</v>
      </c>
      <c r="Y2165">
        <v>0</v>
      </c>
      <c r="Z2165">
        <v>0</v>
      </c>
    </row>
    <row r="2166" spans="1:26" hidden="1" x14ac:dyDescent="0.25">
      <c r="A2166" t="s">
        <v>4747</v>
      </c>
      <c r="B2166" t="s">
        <v>38</v>
      </c>
      <c r="C2166" s="4">
        <v>44818</v>
      </c>
      <c r="D2166" s="4">
        <v>45868</v>
      </c>
      <c r="F2166" s="4">
        <v>46568</v>
      </c>
      <c r="G2166" t="s">
        <v>1278</v>
      </c>
      <c r="H2166" t="s">
        <v>2040</v>
      </c>
      <c r="K2166" t="s">
        <v>28</v>
      </c>
      <c r="L2166" t="s">
        <v>3121</v>
      </c>
      <c r="M2166" t="s">
        <v>30</v>
      </c>
      <c r="N2166" t="s">
        <v>3122</v>
      </c>
      <c r="O2166" t="s">
        <v>32</v>
      </c>
      <c r="P2166" t="s">
        <v>4748</v>
      </c>
      <c r="Q2166">
        <v>100</v>
      </c>
      <c r="R2166">
        <v>100</v>
      </c>
      <c r="S2166" t="s">
        <v>159</v>
      </c>
      <c r="T2166" t="s">
        <v>159</v>
      </c>
      <c r="U2166" t="s">
        <v>44</v>
      </c>
      <c r="W2166">
        <v>0</v>
      </c>
      <c r="X2166">
        <v>0</v>
      </c>
      <c r="Y2166">
        <v>0</v>
      </c>
      <c r="Z2166">
        <v>0</v>
      </c>
    </row>
    <row r="2167" spans="1:26" hidden="1" x14ac:dyDescent="0.25">
      <c r="A2167" t="s">
        <v>4749</v>
      </c>
      <c r="B2167" t="s">
        <v>2153</v>
      </c>
      <c r="C2167" s="4">
        <v>44818</v>
      </c>
      <c r="F2167" s="4">
        <v>46568</v>
      </c>
      <c r="G2167" t="s">
        <v>1278</v>
      </c>
      <c r="H2167" t="s">
        <v>1485</v>
      </c>
      <c r="K2167" t="s">
        <v>28</v>
      </c>
      <c r="L2167" t="s">
        <v>3121</v>
      </c>
      <c r="M2167" t="s">
        <v>30</v>
      </c>
      <c r="N2167" t="s">
        <v>3122</v>
      </c>
      <c r="O2167" t="s">
        <v>32</v>
      </c>
      <c r="P2167" t="s">
        <v>4750</v>
      </c>
      <c r="Q2167">
        <v>100</v>
      </c>
      <c r="R2167">
        <v>100</v>
      </c>
      <c r="S2167" t="s">
        <v>159</v>
      </c>
      <c r="T2167" t="s">
        <v>159</v>
      </c>
      <c r="U2167" t="s">
        <v>44</v>
      </c>
      <c r="W2167">
        <v>100</v>
      </c>
      <c r="X2167">
        <v>100</v>
      </c>
      <c r="Y2167">
        <v>0</v>
      </c>
      <c r="Z2167">
        <v>0</v>
      </c>
    </row>
    <row r="2168" spans="1:26" hidden="1" x14ac:dyDescent="0.25">
      <c r="A2168" t="s">
        <v>4751</v>
      </c>
      <c r="B2168" t="s">
        <v>2153</v>
      </c>
      <c r="C2168" s="4">
        <v>44768</v>
      </c>
      <c r="F2168" s="4">
        <v>46842</v>
      </c>
      <c r="G2168" t="s">
        <v>39</v>
      </c>
      <c r="H2168" t="s">
        <v>1402</v>
      </c>
      <c r="K2168" t="s">
        <v>185</v>
      </c>
      <c r="L2168" t="s">
        <v>3121</v>
      </c>
      <c r="M2168" t="s">
        <v>42</v>
      </c>
      <c r="N2168" t="s">
        <v>3122</v>
      </c>
      <c r="O2168" t="s">
        <v>32</v>
      </c>
      <c r="P2168" t="s">
        <v>1535</v>
      </c>
      <c r="Q2168">
        <v>481</v>
      </c>
      <c r="R2168">
        <v>481</v>
      </c>
      <c r="S2168" t="s">
        <v>597</v>
      </c>
      <c r="T2168" t="s">
        <v>2129</v>
      </c>
      <c r="U2168" t="s">
        <v>44</v>
      </c>
      <c r="W2168">
        <v>481</v>
      </c>
      <c r="X2168">
        <v>481</v>
      </c>
      <c r="Y2168">
        <v>0</v>
      </c>
      <c r="Z2168">
        <v>0</v>
      </c>
    </row>
    <row r="2169" spans="1:26" hidden="1" x14ac:dyDescent="0.25">
      <c r="A2169" t="s">
        <v>4752</v>
      </c>
      <c r="B2169" t="s">
        <v>38</v>
      </c>
      <c r="C2169" s="4">
        <v>44818</v>
      </c>
      <c r="D2169" s="4">
        <v>45868</v>
      </c>
      <c r="F2169" s="4">
        <v>46203</v>
      </c>
      <c r="G2169" t="s">
        <v>1136</v>
      </c>
      <c r="H2169" t="s">
        <v>1571</v>
      </c>
      <c r="K2169" t="s">
        <v>67</v>
      </c>
      <c r="L2169" t="s">
        <v>3121</v>
      </c>
      <c r="M2169" t="s">
        <v>68</v>
      </c>
      <c r="N2169" t="s">
        <v>3122</v>
      </c>
      <c r="O2169" t="s">
        <v>32</v>
      </c>
      <c r="P2169" t="s">
        <v>4753</v>
      </c>
      <c r="Q2169">
        <v>100</v>
      </c>
      <c r="R2169">
        <v>100</v>
      </c>
      <c r="S2169" t="s">
        <v>159</v>
      </c>
      <c r="T2169" t="s">
        <v>159</v>
      </c>
      <c r="U2169" t="s">
        <v>44</v>
      </c>
      <c r="W2169">
        <v>0</v>
      </c>
      <c r="X2169">
        <v>0</v>
      </c>
      <c r="Y2169">
        <v>0</v>
      </c>
      <c r="Z2169">
        <v>0</v>
      </c>
    </row>
    <row r="2170" spans="1:26" hidden="1" x14ac:dyDescent="0.25">
      <c r="A2170" t="s">
        <v>4754</v>
      </c>
      <c r="B2170" t="s">
        <v>2338</v>
      </c>
      <c r="C2170" s="4">
        <v>44818</v>
      </c>
      <c r="F2170" s="4">
        <v>45900</v>
      </c>
      <c r="G2170" t="s">
        <v>1617</v>
      </c>
      <c r="H2170" t="s">
        <v>4755</v>
      </c>
      <c r="K2170" t="s">
        <v>683</v>
      </c>
      <c r="L2170" t="s">
        <v>3121</v>
      </c>
      <c r="M2170" t="s">
        <v>84</v>
      </c>
      <c r="N2170" t="s">
        <v>2160</v>
      </c>
      <c r="O2170" t="s">
        <v>32</v>
      </c>
      <c r="P2170" t="s">
        <v>4756</v>
      </c>
      <c r="Q2170">
        <v>100</v>
      </c>
      <c r="R2170">
        <v>100</v>
      </c>
      <c r="S2170" t="s">
        <v>34</v>
      </c>
      <c r="T2170" t="s">
        <v>35</v>
      </c>
      <c r="U2170" t="s">
        <v>44</v>
      </c>
      <c r="W2170">
        <v>100</v>
      </c>
      <c r="X2170">
        <v>100</v>
      </c>
      <c r="Y2170">
        <v>0</v>
      </c>
      <c r="Z2170">
        <v>0</v>
      </c>
    </row>
    <row r="2171" spans="1:26" hidden="1" x14ac:dyDescent="0.25">
      <c r="A2171" t="s">
        <v>4757</v>
      </c>
      <c r="B2171" t="s">
        <v>2153</v>
      </c>
      <c r="C2171" s="4">
        <v>44818</v>
      </c>
      <c r="F2171" s="4">
        <v>46203</v>
      </c>
      <c r="G2171" t="s">
        <v>691</v>
      </c>
      <c r="H2171" t="s">
        <v>1387</v>
      </c>
      <c r="K2171" t="s">
        <v>98</v>
      </c>
      <c r="L2171" t="s">
        <v>3121</v>
      </c>
      <c r="M2171" t="s">
        <v>84</v>
      </c>
      <c r="N2171" t="s">
        <v>2160</v>
      </c>
      <c r="O2171" t="s">
        <v>32</v>
      </c>
      <c r="P2171" t="s">
        <v>4758</v>
      </c>
      <c r="Q2171">
        <v>100</v>
      </c>
      <c r="R2171">
        <v>100</v>
      </c>
      <c r="S2171" t="s">
        <v>159</v>
      </c>
      <c r="T2171" t="s">
        <v>159</v>
      </c>
      <c r="U2171" t="s">
        <v>44</v>
      </c>
      <c r="W2171">
        <v>100</v>
      </c>
      <c r="X2171">
        <v>100</v>
      </c>
      <c r="Y2171">
        <v>0</v>
      </c>
      <c r="Z2171">
        <v>0</v>
      </c>
    </row>
    <row r="2172" spans="1:26" hidden="1" x14ac:dyDescent="0.25">
      <c r="A2172" t="s">
        <v>4759</v>
      </c>
      <c r="B2172" t="s">
        <v>2153</v>
      </c>
      <c r="C2172" s="4">
        <v>44819</v>
      </c>
      <c r="F2172" s="4">
        <v>46203</v>
      </c>
      <c r="G2172" t="s">
        <v>132</v>
      </c>
      <c r="H2172" t="s">
        <v>2800</v>
      </c>
      <c r="K2172" t="s">
        <v>83</v>
      </c>
      <c r="L2172" t="s">
        <v>3121</v>
      </c>
      <c r="M2172" t="s">
        <v>84</v>
      </c>
      <c r="N2172" t="s">
        <v>2160</v>
      </c>
      <c r="O2172" t="s">
        <v>32</v>
      </c>
      <c r="P2172" t="s">
        <v>1023</v>
      </c>
      <c r="Q2172">
        <v>180</v>
      </c>
      <c r="R2172">
        <v>180</v>
      </c>
      <c r="S2172" t="s">
        <v>34</v>
      </c>
      <c r="T2172" t="s">
        <v>35</v>
      </c>
      <c r="U2172" t="s">
        <v>44</v>
      </c>
      <c r="W2172">
        <v>180</v>
      </c>
      <c r="X2172">
        <v>180</v>
      </c>
      <c r="Y2172">
        <v>0</v>
      </c>
      <c r="Z2172">
        <v>0</v>
      </c>
    </row>
    <row r="2173" spans="1:26" hidden="1" x14ac:dyDescent="0.25">
      <c r="A2173" t="s">
        <v>4760</v>
      </c>
      <c r="B2173" t="s">
        <v>2153</v>
      </c>
      <c r="C2173" s="4">
        <v>44818</v>
      </c>
      <c r="F2173" s="4">
        <v>46203</v>
      </c>
      <c r="G2173" t="s">
        <v>1690</v>
      </c>
      <c r="H2173" t="s">
        <v>1640</v>
      </c>
      <c r="K2173" t="s">
        <v>98</v>
      </c>
      <c r="L2173" t="s">
        <v>3121</v>
      </c>
      <c r="M2173" t="s">
        <v>84</v>
      </c>
      <c r="N2173" t="s">
        <v>2160</v>
      </c>
      <c r="O2173" t="s">
        <v>32</v>
      </c>
      <c r="P2173" t="s">
        <v>4761</v>
      </c>
      <c r="Q2173">
        <v>120</v>
      </c>
      <c r="R2173">
        <v>120</v>
      </c>
      <c r="S2173" t="s">
        <v>34</v>
      </c>
      <c r="T2173" t="s">
        <v>35</v>
      </c>
      <c r="U2173" t="s">
        <v>44</v>
      </c>
      <c r="W2173">
        <v>120</v>
      </c>
      <c r="X2173">
        <v>120</v>
      </c>
      <c r="Y2173">
        <v>0</v>
      </c>
      <c r="Z2173">
        <v>0</v>
      </c>
    </row>
    <row r="2174" spans="1:26" hidden="1" x14ac:dyDescent="0.25">
      <c r="A2174" t="s">
        <v>4762</v>
      </c>
      <c r="B2174" t="s">
        <v>2153</v>
      </c>
      <c r="C2174" s="4">
        <v>44818</v>
      </c>
      <c r="F2174" s="4">
        <v>46203</v>
      </c>
      <c r="G2174" t="s">
        <v>1749</v>
      </c>
      <c r="H2174" t="s">
        <v>2168</v>
      </c>
      <c r="K2174" t="s">
        <v>151</v>
      </c>
      <c r="L2174" t="s">
        <v>3121</v>
      </c>
      <c r="M2174" t="s">
        <v>68</v>
      </c>
      <c r="N2174" t="s">
        <v>3122</v>
      </c>
      <c r="O2174" t="s">
        <v>32</v>
      </c>
      <c r="P2174" t="s">
        <v>4763</v>
      </c>
      <c r="Q2174">
        <v>200</v>
      </c>
      <c r="R2174">
        <v>200</v>
      </c>
      <c r="S2174" t="s">
        <v>159</v>
      </c>
      <c r="T2174" t="s">
        <v>159</v>
      </c>
      <c r="U2174" t="s">
        <v>44</v>
      </c>
      <c r="W2174">
        <v>200</v>
      </c>
      <c r="X2174">
        <v>200</v>
      </c>
      <c r="Y2174">
        <v>0</v>
      </c>
      <c r="Z2174">
        <v>0</v>
      </c>
    </row>
    <row r="2175" spans="1:26" hidden="1" x14ac:dyDescent="0.25">
      <c r="A2175" t="s">
        <v>4764</v>
      </c>
      <c r="B2175" t="s">
        <v>2153</v>
      </c>
      <c r="C2175" s="4">
        <v>44817</v>
      </c>
      <c r="F2175" s="4">
        <v>46203</v>
      </c>
      <c r="G2175" t="s">
        <v>1108</v>
      </c>
      <c r="H2175" t="s">
        <v>3063</v>
      </c>
      <c r="K2175" t="s">
        <v>146</v>
      </c>
      <c r="L2175" t="s">
        <v>3121</v>
      </c>
      <c r="M2175" t="s">
        <v>68</v>
      </c>
      <c r="N2175" t="s">
        <v>3122</v>
      </c>
      <c r="O2175" t="s">
        <v>32</v>
      </c>
      <c r="P2175" t="s">
        <v>4765</v>
      </c>
      <c r="Q2175">
        <v>200</v>
      </c>
      <c r="R2175">
        <v>200</v>
      </c>
      <c r="S2175" t="s">
        <v>34</v>
      </c>
      <c r="T2175" t="s">
        <v>35</v>
      </c>
      <c r="U2175" t="s">
        <v>44</v>
      </c>
      <c r="W2175">
        <v>200</v>
      </c>
      <c r="X2175">
        <v>0</v>
      </c>
      <c r="Y2175">
        <v>0</v>
      </c>
      <c r="Z2175">
        <v>0</v>
      </c>
    </row>
    <row r="2176" spans="1:26" hidden="1" x14ac:dyDescent="0.25">
      <c r="A2176" t="s">
        <v>4766</v>
      </c>
      <c r="B2176" t="s">
        <v>38</v>
      </c>
      <c r="C2176" s="4">
        <v>44818</v>
      </c>
      <c r="D2176" s="4">
        <v>45868</v>
      </c>
      <c r="F2176" s="4">
        <v>46203</v>
      </c>
      <c r="G2176" t="s">
        <v>65</v>
      </c>
      <c r="H2176" t="s">
        <v>3698</v>
      </c>
      <c r="K2176" t="s">
        <v>67</v>
      </c>
      <c r="L2176" t="s">
        <v>3121</v>
      </c>
      <c r="M2176" t="s">
        <v>68</v>
      </c>
      <c r="N2176" t="s">
        <v>3122</v>
      </c>
      <c r="O2176" t="s">
        <v>32</v>
      </c>
      <c r="P2176" t="s">
        <v>4767</v>
      </c>
      <c r="Q2176">
        <v>300</v>
      </c>
      <c r="R2176">
        <v>300</v>
      </c>
      <c r="S2176" t="s">
        <v>34</v>
      </c>
      <c r="T2176" t="s">
        <v>35</v>
      </c>
      <c r="U2176" t="s">
        <v>44</v>
      </c>
      <c r="W2176">
        <v>0</v>
      </c>
      <c r="X2176">
        <v>0</v>
      </c>
      <c r="Y2176">
        <v>0</v>
      </c>
      <c r="Z2176">
        <v>0</v>
      </c>
    </row>
    <row r="2177" spans="1:26" hidden="1" x14ac:dyDescent="0.25">
      <c r="A2177" t="s">
        <v>4768</v>
      </c>
      <c r="B2177" t="s">
        <v>2153</v>
      </c>
      <c r="C2177" s="4">
        <v>44818</v>
      </c>
      <c r="F2177" s="4">
        <v>46203</v>
      </c>
      <c r="G2177" t="s">
        <v>173</v>
      </c>
      <c r="H2177" t="s">
        <v>2111</v>
      </c>
      <c r="K2177" t="s">
        <v>41</v>
      </c>
      <c r="L2177" t="s">
        <v>3121</v>
      </c>
      <c r="M2177" t="s">
        <v>42</v>
      </c>
      <c r="N2177" t="s">
        <v>3122</v>
      </c>
      <c r="O2177" t="s">
        <v>32</v>
      </c>
      <c r="P2177" t="s">
        <v>4769</v>
      </c>
      <c r="Q2177">
        <v>100</v>
      </c>
      <c r="R2177">
        <v>100</v>
      </c>
      <c r="S2177" t="s">
        <v>159</v>
      </c>
      <c r="T2177" t="s">
        <v>159</v>
      </c>
      <c r="U2177" t="s">
        <v>44</v>
      </c>
      <c r="W2177">
        <v>100</v>
      </c>
      <c r="X2177">
        <v>100</v>
      </c>
      <c r="Y2177">
        <v>0</v>
      </c>
      <c r="Z2177">
        <v>0</v>
      </c>
    </row>
    <row r="2178" spans="1:26" hidden="1" x14ac:dyDescent="0.25">
      <c r="A2178" t="s">
        <v>4770</v>
      </c>
      <c r="B2178" t="s">
        <v>38</v>
      </c>
      <c r="C2178" s="4">
        <v>44818</v>
      </c>
      <c r="D2178" s="4">
        <v>45868</v>
      </c>
      <c r="F2178" s="4">
        <v>46203</v>
      </c>
      <c r="G2178" t="s">
        <v>65</v>
      </c>
      <c r="H2178" t="s">
        <v>1437</v>
      </c>
      <c r="K2178" t="s">
        <v>67</v>
      </c>
      <c r="L2178" t="s">
        <v>3121</v>
      </c>
      <c r="M2178" t="s">
        <v>68</v>
      </c>
      <c r="N2178" t="s">
        <v>3122</v>
      </c>
      <c r="O2178" t="s">
        <v>32</v>
      </c>
      <c r="P2178" t="s">
        <v>4771</v>
      </c>
      <c r="Q2178">
        <v>220</v>
      </c>
      <c r="R2178">
        <v>220</v>
      </c>
      <c r="S2178" t="s">
        <v>34</v>
      </c>
      <c r="T2178" t="s">
        <v>35</v>
      </c>
      <c r="U2178" t="s">
        <v>44</v>
      </c>
      <c r="W2178">
        <v>0</v>
      </c>
      <c r="X2178">
        <v>0</v>
      </c>
      <c r="Y2178">
        <v>0</v>
      </c>
      <c r="Z2178">
        <v>0</v>
      </c>
    </row>
    <row r="2179" spans="1:26" hidden="1" x14ac:dyDescent="0.25">
      <c r="A2179" t="s">
        <v>4772</v>
      </c>
      <c r="B2179" t="s">
        <v>38</v>
      </c>
      <c r="C2179" s="4">
        <v>44813</v>
      </c>
      <c r="D2179" s="4">
        <v>45957</v>
      </c>
      <c r="F2179" s="4">
        <v>46203</v>
      </c>
      <c r="G2179" t="s">
        <v>81</v>
      </c>
      <c r="H2179" t="s">
        <v>2878</v>
      </c>
      <c r="K2179" t="s">
        <v>83</v>
      </c>
      <c r="L2179" t="s">
        <v>3121</v>
      </c>
      <c r="M2179" t="s">
        <v>84</v>
      </c>
      <c r="N2179" t="s">
        <v>2160</v>
      </c>
      <c r="O2179" t="s">
        <v>32</v>
      </c>
      <c r="P2179" t="s">
        <v>4773</v>
      </c>
      <c r="Q2179">
        <v>180</v>
      </c>
      <c r="R2179">
        <v>180</v>
      </c>
      <c r="S2179" t="s">
        <v>34</v>
      </c>
      <c r="T2179" t="s">
        <v>35</v>
      </c>
      <c r="U2179" t="s">
        <v>44</v>
      </c>
      <c r="W2179">
        <v>0</v>
      </c>
      <c r="X2179">
        <v>0</v>
      </c>
      <c r="Y2179">
        <v>0</v>
      </c>
      <c r="Z2179">
        <v>0</v>
      </c>
    </row>
    <row r="2180" spans="1:26" hidden="1" x14ac:dyDescent="0.25">
      <c r="A2180" t="s">
        <v>4774</v>
      </c>
      <c r="B2180" t="s">
        <v>2153</v>
      </c>
      <c r="C2180" s="4">
        <v>44818</v>
      </c>
      <c r="F2180" s="4">
        <v>46296</v>
      </c>
      <c r="G2180" t="s">
        <v>1753</v>
      </c>
      <c r="H2180" t="s">
        <v>2496</v>
      </c>
      <c r="K2180" t="s">
        <v>114</v>
      </c>
      <c r="L2180" t="s">
        <v>3121</v>
      </c>
      <c r="M2180" t="s">
        <v>68</v>
      </c>
      <c r="N2180" t="s">
        <v>3122</v>
      </c>
      <c r="O2180" t="s">
        <v>32</v>
      </c>
      <c r="P2180" t="s">
        <v>4775</v>
      </c>
      <c r="Q2180">
        <v>160</v>
      </c>
      <c r="R2180">
        <v>160</v>
      </c>
      <c r="S2180" t="s">
        <v>34</v>
      </c>
      <c r="T2180" t="s">
        <v>35</v>
      </c>
      <c r="U2180" t="s">
        <v>44</v>
      </c>
      <c r="W2180">
        <v>160</v>
      </c>
      <c r="X2180">
        <v>160</v>
      </c>
      <c r="Y2180">
        <v>0</v>
      </c>
      <c r="Z2180">
        <v>0</v>
      </c>
    </row>
    <row r="2181" spans="1:26" hidden="1" x14ac:dyDescent="0.25">
      <c r="A2181" t="s">
        <v>4776</v>
      </c>
      <c r="B2181" t="s">
        <v>38</v>
      </c>
      <c r="C2181" s="4">
        <v>44870</v>
      </c>
      <c r="D2181" s="4">
        <v>45009</v>
      </c>
      <c r="F2181" s="4">
        <v>46296</v>
      </c>
      <c r="G2181" t="s">
        <v>144</v>
      </c>
      <c r="H2181" t="s">
        <v>4777</v>
      </c>
      <c r="K2181" t="s">
        <v>146</v>
      </c>
      <c r="L2181" t="s">
        <v>3121</v>
      </c>
      <c r="M2181" t="s">
        <v>68</v>
      </c>
      <c r="N2181" t="s">
        <v>3122</v>
      </c>
      <c r="O2181" t="s">
        <v>32</v>
      </c>
      <c r="P2181" t="s">
        <v>4778</v>
      </c>
      <c r="Q2181">
        <v>50</v>
      </c>
      <c r="R2181">
        <v>50</v>
      </c>
      <c r="S2181" t="s">
        <v>159</v>
      </c>
      <c r="T2181" t="s">
        <v>159</v>
      </c>
      <c r="U2181" t="s">
        <v>44</v>
      </c>
      <c r="W2181">
        <v>0</v>
      </c>
      <c r="X2181">
        <v>0</v>
      </c>
      <c r="Y2181">
        <v>0</v>
      </c>
      <c r="Z2181">
        <v>0</v>
      </c>
    </row>
    <row r="2182" spans="1:26" hidden="1" x14ac:dyDescent="0.25">
      <c r="A2182" t="s">
        <v>4779</v>
      </c>
      <c r="B2182" t="s">
        <v>38</v>
      </c>
      <c r="C2182" s="4">
        <v>44818</v>
      </c>
      <c r="D2182" s="4">
        <v>45009</v>
      </c>
      <c r="F2182" s="4">
        <v>46296</v>
      </c>
      <c r="G2182" t="s">
        <v>1311</v>
      </c>
      <c r="H2182" t="s">
        <v>2496</v>
      </c>
      <c r="K2182" t="s">
        <v>114</v>
      </c>
      <c r="L2182" t="s">
        <v>3121</v>
      </c>
      <c r="M2182" t="s">
        <v>68</v>
      </c>
      <c r="N2182" t="s">
        <v>3122</v>
      </c>
      <c r="O2182" t="s">
        <v>32</v>
      </c>
      <c r="P2182" t="s">
        <v>4780</v>
      </c>
      <c r="Q2182">
        <v>80</v>
      </c>
      <c r="R2182">
        <v>80</v>
      </c>
      <c r="S2182" t="s">
        <v>159</v>
      </c>
      <c r="T2182" t="s">
        <v>159</v>
      </c>
      <c r="U2182" t="s">
        <v>44</v>
      </c>
      <c r="W2182">
        <v>0</v>
      </c>
      <c r="X2182">
        <v>0</v>
      </c>
      <c r="Y2182">
        <v>0</v>
      </c>
      <c r="Z2182">
        <v>0</v>
      </c>
    </row>
    <row r="2183" spans="1:26" hidden="1" x14ac:dyDescent="0.25">
      <c r="A2183" t="s">
        <v>4781</v>
      </c>
      <c r="B2183" t="s">
        <v>38</v>
      </c>
      <c r="C2183" s="4">
        <v>44819</v>
      </c>
      <c r="D2183" s="4">
        <v>45009</v>
      </c>
      <c r="F2183" s="4">
        <v>46296</v>
      </c>
      <c r="G2183" t="s">
        <v>616</v>
      </c>
      <c r="H2183" t="s">
        <v>2895</v>
      </c>
      <c r="K2183" t="s">
        <v>146</v>
      </c>
      <c r="L2183" t="s">
        <v>3121</v>
      </c>
      <c r="M2183" t="s">
        <v>68</v>
      </c>
      <c r="N2183" t="s">
        <v>3122</v>
      </c>
      <c r="O2183" t="s">
        <v>32</v>
      </c>
      <c r="P2183" t="s">
        <v>4782</v>
      </c>
      <c r="Q2183">
        <v>50</v>
      </c>
      <c r="R2183">
        <v>50</v>
      </c>
      <c r="S2183" t="s">
        <v>159</v>
      </c>
      <c r="T2183" t="s">
        <v>159</v>
      </c>
      <c r="U2183" t="s">
        <v>44</v>
      </c>
      <c r="W2183">
        <v>0</v>
      </c>
      <c r="X2183">
        <v>0</v>
      </c>
      <c r="Y2183">
        <v>0</v>
      </c>
      <c r="Z2183">
        <v>0</v>
      </c>
    </row>
    <row r="2184" spans="1:26" hidden="1" x14ac:dyDescent="0.25">
      <c r="A2184" t="s">
        <v>4783</v>
      </c>
      <c r="B2184" t="s">
        <v>38</v>
      </c>
      <c r="C2184" s="4">
        <v>44870</v>
      </c>
      <c r="D2184" s="4">
        <v>45009</v>
      </c>
      <c r="F2184" s="4">
        <v>46296</v>
      </c>
      <c r="G2184" t="s">
        <v>144</v>
      </c>
      <c r="H2184" t="s">
        <v>4777</v>
      </c>
      <c r="K2184" t="s">
        <v>146</v>
      </c>
      <c r="L2184" t="s">
        <v>3121</v>
      </c>
      <c r="M2184" t="s">
        <v>68</v>
      </c>
      <c r="N2184" t="s">
        <v>3122</v>
      </c>
      <c r="O2184" t="s">
        <v>32</v>
      </c>
      <c r="P2184" t="s">
        <v>4778</v>
      </c>
      <c r="Q2184">
        <v>100</v>
      </c>
      <c r="R2184">
        <v>100</v>
      </c>
      <c r="S2184" t="s">
        <v>34</v>
      </c>
      <c r="T2184" t="s">
        <v>35</v>
      </c>
      <c r="U2184" t="s">
        <v>44</v>
      </c>
      <c r="W2184">
        <v>0</v>
      </c>
      <c r="X2184">
        <v>0</v>
      </c>
      <c r="Y2184">
        <v>0</v>
      </c>
      <c r="Z2184">
        <v>0</v>
      </c>
    </row>
    <row r="2185" spans="1:26" hidden="1" x14ac:dyDescent="0.25">
      <c r="A2185" t="s">
        <v>4784</v>
      </c>
      <c r="B2185" t="s">
        <v>38</v>
      </c>
      <c r="C2185" s="4">
        <v>44819</v>
      </c>
      <c r="D2185" s="4">
        <v>45868</v>
      </c>
      <c r="F2185" s="4">
        <v>46296</v>
      </c>
      <c r="G2185" t="s">
        <v>616</v>
      </c>
      <c r="H2185" t="s">
        <v>2895</v>
      </c>
      <c r="K2185" t="s">
        <v>146</v>
      </c>
      <c r="L2185" t="s">
        <v>3121</v>
      </c>
      <c r="M2185" t="s">
        <v>68</v>
      </c>
      <c r="N2185" t="s">
        <v>3122</v>
      </c>
      <c r="O2185" t="s">
        <v>32</v>
      </c>
      <c r="P2185" t="s">
        <v>4782</v>
      </c>
      <c r="Q2185">
        <v>110</v>
      </c>
      <c r="R2185">
        <v>110</v>
      </c>
      <c r="S2185" t="s">
        <v>34</v>
      </c>
      <c r="T2185" t="s">
        <v>35</v>
      </c>
      <c r="U2185" t="s">
        <v>44</v>
      </c>
      <c r="W2185">
        <v>0</v>
      </c>
      <c r="X2185">
        <v>0</v>
      </c>
      <c r="Y2185">
        <v>0</v>
      </c>
      <c r="Z2185">
        <v>0</v>
      </c>
    </row>
    <row r="2186" spans="1:26" hidden="1" x14ac:dyDescent="0.25">
      <c r="A2186" t="s">
        <v>4785</v>
      </c>
      <c r="B2186" t="s">
        <v>2338</v>
      </c>
      <c r="C2186" s="4">
        <v>44819</v>
      </c>
      <c r="F2186" s="4">
        <v>46388</v>
      </c>
      <c r="H2186" t="s">
        <v>1703</v>
      </c>
      <c r="K2186" t="s">
        <v>83</v>
      </c>
      <c r="L2186" t="s">
        <v>3121</v>
      </c>
      <c r="M2186" t="s">
        <v>84</v>
      </c>
      <c r="N2186" t="s">
        <v>2160</v>
      </c>
      <c r="O2186" t="s">
        <v>32</v>
      </c>
      <c r="P2186" t="s">
        <v>4786</v>
      </c>
      <c r="Q2186">
        <v>100</v>
      </c>
      <c r="R2186">
        <v>100</v>
      </c>
      <c r="S2186" t="s">
        <v>597</v>
      </c>
      <c r="T2186" t="s">
        <v>598</v>
      </c>
      <c r="U2186" t="s">
        <v>44</v>
      </c>
      <c r="W2186">
        <v>100</v>
      </c>
      <c r="X2186">
        <v>100</v>
      </c>
      <c r="Y2186">
        <v>0</v>
      </c>
      <c r="Z2186">
        <v>0</v>
      </c>
    </row>
    <row r="2187" spans="1:26" hidden="1" x14ac:dyDescent="0.25">
      <c r="A2187" t="s">
        <v>4787</v>
      </c>
      <c r="B2187" t="s">
        <v>38</v>
      </c>
      <c r="C2187" s="4">
        <v>44815</v>
      </c>
      <c r="D2187" s="4">
        <v>44973</v>
      </c>
      <c r="F2187" s="4">
        <v>46539</v>
      </c>
      <c r="G2187" t="s">
        <v>2975</v>
      </c>
      <c r="H2187" t="s">
        <v>2243</v>
      </c>
      <c r="K2187" t="s">
        <v>185</v>
      </c>
      <c r="L2187" t="s">
        <v>3121</v>
      </c>
      <c r="M2187" t="s">
        <v>42</v>
      </c>
      <c r="N2187" t="s">
        <v>3122</v>
      </c>
      <c r="O2187" t="s">
        <v>32</v>
      </c>
      <c r="P2187" t="s">
        <v>4788</v>
      </c>
      <c r="Q2187">
        <v>200</v>
      </c>
      <c r="R2187">
        <v>200</v>
      </c>
      <c r="S2187" t="s">
        <v>597</v>
      </c>
      <c r="T2187" t="s">
        <v>598</v>
      </c>
      <c r="U2187" t="s">
        <v>44</v>
      </c>
      <c r="W2187">
        <v>0</v>
      </c>
      <c r="X2187">
        <v>0</v>
      </c>
      <c r="Y2187">
        <v>0</v>
      </c>
      <c r="Z2187">
        <v>0</v>
      </c>
    </row>
    <row r="2188" spans="1:26" hidden="1" x14ac:dyDescent="0.25">
      <c r="A2188" t="s">
        <v>4789</v>
      </c>
      <c r="B2188" t="s">
        <v>38</v>
      </c>
      <c r="C2188" s="4">
        <v>44819</v>
      </c>
      <c r="D2188" s="4">
        <v>45957</v>
      </c>
      <c r="F2188" s="4">
        <v>46539</v>
      </c>
      <c r="G2188" t="s">
        <v>177</v>
      </c>
      <c r="H2188" t="s">
        <v>1505</v>
      </c>
      <c r="K2188" t="s">
        <v>62</v>
      </c>
      <c r="L2188" t="s">
        <v>3121</v>
      </c>
      <c r="M2188" t="s">
        <v>42</v>
      </c>
      <c r="N2188" t="s">
        <v>3122</v>
      </c>
      <c r="O2188" t="s">
        <v>32</v>
      </c>
      <c r="P2188" t="s">
        <v>4790</v>
      </c>
      <c r="Q2188">
        <v>125</v>
      </c>
      <c r="R2188">
        <v>125</v>
      </c>
      <c r="S2188" t="s">
        <v>597</v>
      </c>
      <c r="T2188" t="s">
        <v>598</v>
      </c>
      <c r="U2188" t="s">
        <v>44</v>
      </c>
      <c r="W2188">
        <v>0</v>
      </c>
      <c r="X2188">
        <v>0</v>
      </c>
      <c r="Y2188">
        <v>0</v>
      </c>
      <c r="Z2188">
        <v>0</v>
      </c>
    </row>
    <row r="2189" spans="1:26" hidden="1" x14ac:dyDescent="0.25">
      <c r="A2189" t="s">
        <v>4791</v>
      </c>
      <c r="B2189" t="s">
        <v>2338</v>
      </c>
      <c r="C2189" s="4">
        <v>44819</v>
      </c>
      <c r="F2189" s="4">
        <v>46539</v>
      </c>
      <c r="G2189" t="s">
        <v>117</v>
      </c>
      <c r="H2189" t="s">
        <v>1333</v>
      </c>
      <c r="K2189" t="s">
        <v>83</v>
      </c>
      <c r="L2189" t="s">
        <v>3121</v>
      </c>
      <c r="M2189" t="s">
        <v>84</v>
      </c>
      <c r="N2189" t="s">
        <v>2160</v>
      </c>
      <c r="O2189" t="s">
        <v>32</v>
      </c>
      <c r="P2189" t="s">
        <v>4792</v>
      </c>
      <c r="Q2189">
        <v>145</v>
      </c>
      <c r="R2189">
        <v>145</v>
      </c>
      <c r="S2189" t="s">
        <v>597</v>
      </c>
      <c r="T2189" t="s">
        <v>598</v>
      </c>
      <c r="U2189" t="s">
        <v>44</v>
      </c>
      <c r="W2189">
        <v>145</v>
      </c>
      <c r="X2189">
        <v>145</v>
      </c>
      <c r="Y2189">
        <v>0</v>
      </c>
      <c r="Z2189">
        <v>0</v>
      </c>
    </row>
    <row r="2190" spans="1:26" hidden="1" x14ac:dyDescent="0.25">
      <c r="A2190" t="s">
        <v>4793</v>
      </c>
      <c r="B2190" t="s">
        <v>2338</v>
      </c>
      <c r="C2190" s="4">
        <v>44819</v>
      </c>
      <c r="F2190" s="4">
        <v>46419</v>
      </c>
      <c r="H2190" t="s">
        <v>4794</v>
      </c>
      <c r="K2190" t="s">
        <v>83</v>
      </c>
      <c r="L2190" t="s">
        <v>3121</v>
      </c>
      <c r="M2190" t="s">
        <v>84</v>
      </c>
      <c r="N2190" t="s">
        <v>2160</v>
      </c>
      <c r="O2190" t="s">
        <v>32</v>
      </c>
      <c r="P2190" t="s">
        <v>4795</v>
      </c>
      <c r="Q2190">
        <v>150</v>
      </c>
      <c r="R2190">
        <v>150</v>
      </c>
      <c r="S2190" t="s">
        <v>597</v>
      </c>
      <c r="T2190" t="s">
        <v>598</v>
      </c>
      <c r="U2190" t="s">
        <v>44</v>
      </c>
      <c r="W2190">
        <v>150</v>
      </c>
      <c r="X2190">
        <v>150</v>
      </c>
      <c r="Y2190">
        <v>0</v>
      </c>
      <c r="Z2190">
        <v>0</v>
      </c>
    </row>
    <row r="2191" spans="1:26" hidden="1" x14ac:dyDescent="0.25">
      <c r="A2191" t="s">
        <v>4796</v>
      </c>
      <c r="B2191" t="s">
        <v>2153</v>
      </c>
      <c r="C2191" s="4">
        <v>44819</v>
      </c>
      <c r="F2191" s="4">
        <v>46388</v>
      </c>
      <c r="H2191" t="s">
        <v>3054</v>
      </c>
      <c r="K2191" t="s">
        <v>114</v>
      </c>
      <c r="L2191" t="s">
        <v>3121</v>
      </c>
      <c r="M2191" t="s">
        <v>68</v>
      </c>
      <c r="N2191" t="s">
        <v>3122</v>
      </c>
      <c r="O2191" t="s">
        <v>32</v>
      </c>
      <c r="P2191" t="s">
        <v>4797</v>
      </c>
      <c r="Q2191">
        <v>100</v>
      </c>
      <c r="R2191">
        <v>100</v>
      </c>
      <c r="S2191" t="s">
        <v>597</v>
      </c>
      <c r="T2191" t="s">
        <v>598</v>
      </c>
      <c r="U2191" t="s">
        <v>44</v>
      </c>
      <c r="W2191">
        <v>100</v>
      </c>
      <c r="X2191">
        <v>100</v>
      </c>
      <c r="Y2191">
        <v>0</v>
      </c>
      <c r="Z2191">
        <v>0</v>
      </c>
    </row>
    <row r="2192" spans="1:26" hidden="1" x14ac:dyDescent="0.25">
      <c r="A2192" t="s">
        <v>4798</v>
      </c>
      <c r="B2192" t="s">
        <v>38</v>
      </c>
      <c r="C2192" s="4">
        <v>44804</v>
      </c>
      <c r="D2192" s="4">
        <v>45957</v>
      </c>
      <c r="F2192" s="4">
        <v>45657</v>
      </c>
      <c r="G2192" t="s">
        <v>117</v>
      </c>
      <c r="H2192" t="s">
        <v>3260</v>
      </c>
      <c r="K2192" t="s">
        <v>83</v>
      </c>
      <c r="L2192" t="s">
        <v>3121</v>
      </c>
      <c r="M2192" t="s">
        <v>84</v>
      </c>
      <c r="N2192" t="s">
        <v>2160</v>
      </c>
      <c r="O2192" t="s">
        <v>32</v>
      </c>
      <c r="P2192" t="s">
        <v>4799</v>
      </c>
      <c r="Q2192">
        <v>37</v>
      </c>
      <c r="R2192">
        <v>37</v>
      </c>
      <c r="S2192" t="s">
        <v>159</v>
      </c>
      <c r="T2192" t="s">
        <v>159</v>
      </c>
      <c r="U2192" t="s">
        <v>44</v>
      </c>
      <c r="W2192">
        <v>0</v>
      </c>
      <c r="X2192">
        <v>0</v>
      </c>
      <c r="Y2192">
        <v>0</v>
      </c>
      <c r="Z2192">
        <v>0</v>
      </c>
    </row>
    <row r="2193" spans="1:26" hidden="1" x14ac:dyDescent="0.25">
      <c r="A2193" t="s">
        <v>4800</v>
      </c>
      <c r="B2193" t="s">
        <v>2153</v>
      </c>
      <c r="C2193" s="4">
        <v>44818</v>
      </c>
      <c r="F2193" s="4">
        <v>45199</v>
      </c>
      <c r="H2193" t="s">
        <v>1500</v>
      </c>
      <c r="K2193" t="s">
        <v>83</v>
      </c>
      <c r="L2193" t="s">
        <v>3121</v>
      </c>
      <c r="M2193" t="s">
        <v>84</v>
      </c>
      <c r="N2193" t="s">
        <v>2160</v>
      </c>
      <c r="O2193" t="s">
        <v>32</v>
      </c>
      <c r="P2193" t="s">
        <v>4801</v>
      </c>
      <c r="Q2193">
        <v>35</v>
      </c>
      <c r="R2193">
        <v>35</v>
      </c>
      <c r="S2193" t="s">
        <v>34</v>
      </c>
      <c r="T2193" t="s">
        <v>35</v>
      </c>
      <c r="U2193" t="s">
        <v>44</v>
      </c>
      <c r="W2193">
        <v>35</v>
      </c>
      <c r="X2193">
        <v>35</v>
      </c>
      <c r="Y2193">
        <v>0</v>
      </c>
      <c r="Z2193">
        <v>0</v>
      </c>
    </row>
    <row r="2194" spans="1:26" hidden="1" x14ac:dyDescent="0.25">
      <c r="A2194" t="s">
        <v>4802</v>
      </c>
      <c r="B2194" t="s">
        <v>38</v>
      </c>
      <c r="C2194" s="4">
        <v>44818</v>
      </c>
      <c r="D2194" s="4">
        <v>45957</v>
      </c>
      <c r="F2194" s="4">
        <v>45199</v>
      </c>
      <c r="G2194" t="s">
        <v>117</v>
      </c>
      <c r="H2194" t="s">
        <v>1813</v>
      </c>
      <c r="K2194" t="s">
        <v>83</v>
      </c>
      <c r="L2194" t="s">
        <v>3121</v>
      </c>
      <c r="M2194" t="s">
        <v>84</v>
      </c>
      <c r="N2194" t="s">
        <v>2160</v>
      </c>
      <c r="O2194" t="s">
        <v>32</v>
      </c>
      <c r="P2194" t="s">
        <v>4803</v>
      </c>
      <c r="Q2194">
        <v>50</v>
      </c>
      <c r="R2194">
        <v>50</v>
      </c>
      <c r="S2194" t="s">
        <v>34</v>
      </c>
      <c r="T2194" t="s">
        <v>35</v>
      </c>
      <c r="U2194" t="s">
        <v>44</v>
      </c>
      <c r="W2194">
        <v>0</v>
      </c>
      <c r="X2194">
        <v>0</v>
      </c>
      <c r="Y2194">
        <v>0</v>
      </c>
      <c r="Z2194">
        <v>0</v>
      </c>
    </row>
    <row r="2195" spans="1:26" hidden="1" x14ac:dyDescent="0.25">
      <c r="A2195" t="s">
        <v>4804</v>
      </c>
      <c r="B2195" t="s">
        <v>38</v>
      </c>
      <c r="C2195" s="4">
        <v>44818</v>
      </c>
      <c r="D2195" s="4">
        <v>45957</v>
      </c>
      <c r="F2195" s="4">
        <v>45199</v>
      </c>
      <c r="G2195" t="s">
        <v>1251</v>
      </c>
      <c r="H2195" t="s">
        <v>4400</v>
      </c>
      <c r="K2195" t="s">
        <v>109</v>
      </c>
      <c r="L2195" t="s">
        <v>3121</v>
      </c>
      <c r="M2195" t="s">
        <v>84</v>
      </c>
      <c r="N2195" t="s">
        <v>2160</v>
      </c>
      <c r="O2195" t="s">
        <v>32</v>
      </c>
      <c r="P2195" t="s">
        <v>4805</v>
      </c>
      <c r="Q2195">
        <v>50</v>
      </c>
      <c r="R2195">
        <v>50</v>
      </c>
      <c r="S2195" t="s">
        <v>34</v>
      </c>
      <c r="T2195" t="s">
        <v>35</v>
      </c>
      <c r="U2195" t="s">
        <v>44</v>
      </c>
      <c r="W2195">
        <v>0</v>
      </c>
      <c r="X2195">
        <v>0</v>
      </c>
      <c r="Y2195">
        <v>0</v>
      </c>
      <c r="Z2195">
        <v>0</v>
      </c>
    </row>
    <row r="2196" spans="1:26" hidden="1" x14ac:dyDescent="0.25">
      <c r="A2196" t="s">
        <v>4806</v>
      </c>
      <c r="B2196" t="s">
        <v>38</v>
      </c>
      <c r="C2196" s="4">
        <v>44819</v>
      </c>
      <c r="D2196" s="4">
        <v>45868</v>
      </c>
      <c r="F2196" s="4">
        <v>45961</v>
      </c>
      <c r="G2196" t="s">
        <v>65</v>
      </c>
      <c r="H2196" t="s">
        <v>1437</v>
      </c>
      <c r="K2196" t="s">
        <v>67</v>
      </c>
      <c r="L2196" t="s">
        <v>3121</v>
      </c>
      <c r="M2196" t="s">
        <v>68</v>
      </c>
      <c r="N2196" t="s">
        <v>3122</v>
      </c>
      <c r="O2196" t="s">
        <v>32</v>
      </c>
      <c r="P2196" t="s">
        <v>4807</v>
      </c>
      <c r="Q2196">
        <v>100</v>
      </c>
      <c r="R2196">
        <v>100</v>
      </c>
      <c r="S2196" t="s">
        <v>34</v>
      </c>
      <c r="T2196" t="s">
        <v>35</v>
      </c>
      <c r="U2196" t="s">
        <v>44</v>
      </c>
      <c r="W2196">
        <v>0</v>
      </c>
      <c r="X2196">
        <v>0</v>
      </c>
      <c r="Y2196">
        <v>0</v>
      </c>
      <c r="Z2196">
        <v>0</v>
      </c>
    </row>
    <row r="2197" spans="1:26" hidden="1" x14ac:dyDescent="0.25">
      <c r="A2197" t="s">
        <v>4808</v>
      </c>
      <c r="B2197" t="s">
        <v>2338</v>
      </c>
      <c r="C2197" s="4">
        <v>44819</v>
      </c>
      <c r="F2197" s="4">
        <v>45961</v>
      </c>
      <c r="G2197" t="s">
        <v>1326</v>
      </c>
      <c r="H2197" t="s">
        <v>1437</v>
      </c>
      <c r="K2197" t="s">
        <v>67</v>
      </c>
      <c r="L2197" t="s">
        <v>3121</v>
      </c>
      <c r="M2197" t="s">
        <v>68</v>
      </c>
      <c r="N2197" t="s">
        <v>3122</v>
      </c>
      <c r="O2197" t="s">
        <v>32</v>
      </c>
      <c r="P2197" t="s">
        <v>4809</v>
      </c>
      <c r="Q2197">
        <v>500</v>
      </c>
      <c r="R2197">
        <v>500</v>
      </c>
      <c r="S2197" t="s">
        <v>34</v>
      </c>
      <c r="T2197" t="s">
        <v>35</v>
      </c>
      <c r="U2197" t="s">
        <v>44</v>
      </c>
      <c r="W2197">
        <v>500</v>
      </c>
      <c r="X2197">
        <v>500</v>
      </c>
      <c r="Y2197">
        <v>0</v>
      </c>
      <c r="Z2197">
        <v>0</v>
      </c>
    </row>
    <row r="2198" spans="1:26" hidden="1" x14ac:dyDescent="0.25">
      <c r="A2198" t="s">
        <v>4810</v>
      </c>
      <c r="B2198" t="s">
        <v>38</v>
      </c>
      <c r="C2198" s="4">
        <v>44819</v>
      </c>
      <c r="D2198" s="4">
        <v>45868</v>
      </c>
      <c r="F2198" s="4">
        <v>45961</v>
      </c>
      <c r="G2198" t="s">
        <v>65</v>
      </c>
      <c r="H2198" t="s">
        <v>3701</v>
      </c>
      <c r="K2198" t="s">
        <v>67</v>
      </c>
      <c r="L2198" t="s">
        <v>3121</v>
      </c>
      <c r="M2198" t="s">
        <v>68</v>
      </c>
      <c r="N2198" t="s">
        <v>3122</v>
      </c>
      <c r="O2198" t="s">
        <v>32</v>
      </c>
      <c r="P2198" t="s">
        <v>4811</v>
      </c>
      <c r="Q2198">
        <v>100</v>
      </c>
      <c r="R2198">
        <v>100</v>
      </c>
      <c r="S2198" t="s">
        <v>34</v>
      </c>
      <c r="T2198" t="s">
        <v>35</v>
      </c>
      <c r="U2198" t="s">
        <v>44</v>
      </c>
      <c r="W2198">
        <v>0</v>
      </c>
      <c r="X2198">
        <v>0</v>
      </c>
      <c r="Y2198">
        <v>0</v>
      </c>
      <c r="Z2198">
        <v>0</v>
      </c>
    </row>
    <row r="2199" spans="1:26" hidden="1" x14ac:dyDescent="0.25">
      <c r="A2199" t="s">
        <v>4812</v>
      </c>
      <c r="B2199" t="s">
        <v>38</v>
      </c>
      <c r="C2199" s="4">
        <v>44819</v>
      </c>
      <c r="D2199" s="4">
        <v>44984</v>
      </c>
      <c r="F2199" s="4">
        <v>45961</v>
      </c>
      <c r="G2199" t="s">
        <v>149</v>
      </c>
      <c r="H2199" t="s">
        <v>2168</v>
      </c>
      <c r="K2199" t="s">
        <v>151</v>
      </c>
      <c r="L2199" t="s">
        <v>3121</v>
      </c>
      <c r="M2199" t="s">
        <v>68</v>
      </c>
      <c r="N2199" t="s">
        <v>3122</v>
      </c>
      <c r="O2199" t="s">
        <v>32</v>
      </c>
      <c r="P2199" t="s">
        <v>4813</v>
      </c>
      <c r="Q2199">
        <v>198</v>
      </c>
      <c r="R2199">
        <v>198</v>
      </c>
      <c r="S2199" t="s">
        <v>34</v>
      </c>
      <c r="T2199" t="s">
        <v>35</v>
      </c>
      <c r="U2199" t="s">
        <v>44</v>
      </c>
      <c r="W2199">
        <v>0</v>
      </c>
      <c r="X2199">
        <v>0</v>
      </c>
      <c r="Y2199">
        <v>0</v>
      </c>
      <c r="Z2199">
        <v>0</v>
      </c>
    </row>
    <row r="2200" spans="1:26" hidden="1" x14ac:dyDescent="0.25">
      <c r="A2200" t="s">
        <v>4814</v>
      </c>
      <c r="B2200" t="s">
        <v>38</v>
      </c>
      <c r="C2200" s="4">
        <v>44819</v>
      </c>
      <c r="D2200" s="4">
        <v>44984</v>
      </c>
      <c r="F2200" s="4">
        <v>45961</v>
      </c>
      <c r="G2200" t="s">
        <v>65</v>
      </c>
      <c r="H2200" t="s">
        <v>1887</v>
      </c>
      <c r="K2200" t="s">
        <v>67</v>
      </c>
      <c r="L2200" t="s">
        <v>3121</v>
      </c>
      <c r="M2200" t="s">
        <v>68</v>
      </c>
      <c r="N2200" t="s">
        <v>3122</v>
      </c>
      <c r="O2200" t="s">
        <v>32</v>
      </c>
      <c r="P2200" t="s">
        <v>4815</v>
      </c>
      <c r="Q2200">
        <v>200</v>
      </c>
      <c r="R2200">
        <v>200</v>
      </c>
      <c r="S2200" t="s">
        <v>34</v>
      </c>
      <c r="T2200" t="s">
        <v>35</v>
      </c>
      <c r="U2200" t="s">
        <v>44</v>
      </c>
      <c r="W2200">
        <v>0</v>
      </c>
      <c r="X2200">
        <v>0</v>
      </c>
      <c r="Y2200">
        <v>0</v>
      </c>
      <c r="Z2200">
        <v>0</v>
      </c>
    </row>
    <row r="2201" spans="1:26" hidden="1" x14ac:dyDescent="0.25">
      <c r="A2201" t="s">
        <v>4816</v>
      </c>
      <c r="B2201" t="s">
        <v>38</v>
      </c>
      <c r="C2201" s="4">
        <v>44819</v>
      </c>
      <c r="D2201" s="4">
        <v>44984</v>
      </c>
      <c r="F2201" s="4">
        <v>45961</v>
      </c>
      <c r="G2201" t="s">
        <v>254</v>
      </c>
      <c r="H2201" t="s">
        <v>1787</v>
      </c>
      <c r="K2201" t="s">
        <v>98</v>
      </c>
      <c r="L2201" t="s">
        <v>3121</v>
      </c>
      <c r="M2201" t="s">
        <v>84</v>
      </c>
      <c r="N2201" t="s">
        <v>2160</v>
      </c>
      <c r="O2201" t="s">
        <v>32</v>
      </c>
      <c r="P2201" t="s">
        <v>4817</v>
      </c>
      <c r="Q2201">
        <v>100</v>
      </c>
      <c r="R2201">
        <v>100</v>
      </c>
      <c r="S2201" t="s">
        <v>34</v>
      </c>
      <c r="T2201" t="s">
        <v>35</v>
      </c>
      <c r="U2201" t="s">
        <v>44</v>
      </c>
      <c r="W2201">
        <v>0</v>
      </c>
      <c r="X2201">
        <v>0</v>
      </c>
      <c r="Y2201">
        <v>0</v>
      </c>
      <c r="Z2201">
        <v>0</v>
      </c>
    </row>
    <row r="2202" spans="1:26" hidden="1" x14ac:dyDescent="0.25">
      <c r="A2202" t="s">
        <v>4818</v>
      </c>
      <c r="B2202" t="s">
        <v>38</v>
      </c>
      <c r="C2202" s="4">
        <v>44819</v>
      </c>
      <c r="D2202" s="4">
        <v>45009</v>
      </c>
      <c r="F2202" s="4">
        <v>46378</v>
      </c>
      <c r="G2202" t="s">
        <v>616</v>
      </c>
      <c r="H2202" t="s">
        <v>2467</v>
      </c>
      <c r="K2202" t="s">
        <v>146</v>
      </c>
      <c r="L2202" t="s">
        <v>3121</v>
      </c>
      <c r="M2202" t="s">
        <v>68</v>
      </c>
      <c r="N2202" t="s">
        <v>3122</v>
      </c>
      <c r="O2202" t="s">
        <v>32</v>
      </c>
      <c r="P2202" t="s">
        <v>4819</v>
      </c>
      <c r="Q2202">
        <v>250</v>
      </c>
      <c r="R2202">
        <v>250</v>
      </c>
      <c r="S2202" t="s">
        <v>34</v>
      </c>
      <c r="T2202" t="s">
        <v>35</v>
      </c>
      <c r="U2202" t="s">
        <v>44</v>
      </c>
      <c r="W2202">
        <v>0</v>
      </c>
      <c r="X2202">
        <v>0</v>
      </c>
      <c r="Y2202">
        <v>0</v>
      </c>
      <c r="Z2202">
        <v>0</v>
      </c>
    </row>
    <row r="2203" spans="1:26" hidden="1" x14ac:dyDescent="0.25">
      <c r="A2203" t="s">
        <v>4820</v>
      </c>
      <c r="B2203" t="s">
        <v>2153</v>
      </c>
      <c r="C2203" s="4">
        <v>44819</v>
      </c>
      <c r="F2203" s="4">
        <v>46597</v>
      </c>
      <c r="G2203" t="s">
        <v>1294</v>
      </c>
      <c r="H2203" t="s">
        <v>2072</v>
      </c>
      <c r="K2203" t="s">
        <v>28</v>
      </c>
      <c r="L2203" t="s">
        <v>3121</v>
      </c>
      <c r="M2203" t="s">
        <v>42</v>
      </c>
      <c r="N2203" t="s">
        <v>3122</v>
      </c>
      <c r="O2203" t="s">
        <v>32</v>
      </c>
      <c r="P2203" t="s">
        <v>2072</v>
      </c>
      <c r="Q2203">
        <v>80</v>
      </c>
      <c r="R2203">
        <v>80</v>
      </c>
      <c r="S2203" t="s">
        <v>597</v>
      </c>
      <c r="T2203" t="s">
        <v>598</v>
      </c>
      <c r="U2203" t="s">
        <v>44</v>
      </c>
      <c r="W2203">
        <v>80</v>
      </c>
      <c r="X2203">
        <v>80</v>
      </c>
      <c r="Y2203">
        <v>0</v>
      </c>
      <c r="Z2203">
        <v>0</v>
      </c>
    </row>
    <row r="2204" spans="1:26" hidden="1" x14ac:dyDescent="0.25">
      <c r="A2204" t="s">
        <v>4821</v>
      </c>
      <c r="B2204" t="s">
        <v>2153</v>
      </c>
      <c r="C2204" s="4">
        <v>44819</v>
      </c>
      <c r="F2204" s="4">
        <v>46378</v>
      </c>
      <c r="G2204" t="s">
        <v>132</v>
      </c>
      <c r="H2204" t="s">
        <v>2761</v>
      </c>
      <c r="K2204" t="s">
        <v>109</v>
      </c>
      <c r="L2204" t="s">
        <v>3121</v>
      </c>
      <c r="M2204" t="s">
        <v>84</v>
      </c>
      <c r="N2204" t="s">
        <v>2160</v>
      </c>
      <c r="O2204" t="s">
        <v>32</v>
      </c>
      <c r="P2204" t="s">
        <v>4822</v>
      </c>
      <c r="Q2204">
        <v>300</v>
      </c>
      <c r="R2204">
        <v>300</v>
      </c>
      <c r="S2204" t="s">
        <v>597</v>
      </c>
      <c r="T2204" t="s">
        <v>598</v>
      </c>
      <c r="U2204" t="s">
        <v>44</v>
      </c>
      <c r="W2204">
        <v>300</v>
      </c>
      <c r="X2204">
        <v>300</v>
      </c>
      <c r="Y2204">
        <v>0</v>
      </c>
      <c r="Z2204">
        <v>0</v>
      </c>
    </row>
    <row r="2205" spans="1:26" hidden="1" x14ac:dyDescent="0.25">
      <c r="A2205" t="s">
        <v>4823</v>
      </c>
      <c r="B2205" t="s">
        <v>38</v>
      </c>
      <c r="C2205" s="4">
        <v>44816</v>
      </c>
      <c r="D2205" s="4">
        <v>45957</v>
      </c>
      <c r="F2205" s="4">
        <v>45717</v>
      </c>
      <c r="G2205" t="s">
        <v>117</v>
      </c>
      <c r="H2205" t="s">
        <v>1333</v>
      </c>
      <c r="K2205" t="s">
        <v>83</v>
      </c>
      <c r="L2205" t="s">
        <v>3121</v>
      </c>
      <c r="M2205" t="s">
        <v>84</v>
      </c>
      <c r="N2205" t="s">
        <v>2160</v>
      </c>
      <c r="O2205" t="s">
        <v>32</v>
      </c>
      <c r="P2205" t="s">
        <v>4824</v>
      </c>
      <c r="Q2205">
        <v>250</v>
      </c>
      <c r="R2205">
        <v>250</v>
      </c>
      <c r="S2205" t="s">
        <v>159</v>
      </c>
      <c r="T2205" t="s">
        <v>159</v>
      </c>
      <c r="U2205" t="s">
        <v>44</v>
      </c>
      <c r="W2205">
        <v>0</v>
      </c>
      <c r="X2205">
        <v>0</v>
      </c>
      <c r="Y2205">
        <v>0</v>
      </c>
      <c r="Z2205">
        <v>0</v>
      </c>
    </row>
    <row r="2206" spans="1:26" hidden="1" x14ac:dyDescent="0.25">
      <c r="A2206" t="s">
        <v>4825</v>
      </c>
      <c r="B2206" t="s">
        <v>38</v>
      </c>
      <c r="C2206" s="4">
        <v>44818</v>
      </c>
      <c r="D2206" s="4">
        <v>45868</v>
      </c>
      <c r="F2206" s="4">
        <v>46326</v>
      </c>
      <c r="G2206" t="s">
        <v>112</v>
      </c>
      <c r="H2206" t="s">
        <v>4826</v>
      </c>
      <c r="K2206" t="s">
        <v>114</v>
      </c>
      <c r="L2206" t="s">
        <v>3121</v>
      </c>
      <c r="M2206" t="s">
        <v>68</v>
      </c>
      <c r="N2206" t="s">
        <v>3122</v>
      </c>
      <c r="O2206" t="s">
        <v>32</v>
      </c>
      <c r="P2206" t="s">
        <v>4827</v>
      </c>
      <c r="Q2206">
        <v>148</v>
      </c>
      <c r="R2206">
        <v>148</v>
      </c>
      <c r="S2206" t="s">
        <v>34</v>
      </c>
      <c r="T2206" t="s">
        <v>35</v>
      </c>
      <c r="U2206" t="s">
        <v>44</v>
      </c>
      <c r="W2206">
        <v>0</v>
      </c>
      <c r="X2206">
        <v>0</v>
      </c>
      <c r="Y2206">
        <v>0</v>
      </c>
      <c r="Z2206">
        <v>0</v>
      </c>
    </row>
    <row r="2207" spans="1:26" hidden="1" x14ac:dyDescent="0.25">
      <c r="A2207" t="s">
        <v>4828</v>
      </c>
      <c r="B2207" t="s">
        <v>38</v>
      </c>
      <c r="C2207" s="4">
        <v>44819</v>
      </c>
      <c r="D2207" s="4">
        <v>45957</v>
      </c>
      <c r="F2207" s="4">
        <v>46326</v>
      </c>
      <c r="G2207" t="s">
        <v>1251</v>
      </c>
      <c r="H2207" t="s">
        <v>1967</v>
      </c>
      <c r="K2207" t="s">
        <v>109</v>
      </c>
      <c r="L2207" t="s">
        <v>3121</v>
      </c>
      <c r="M2207" t="s">
        <v>84</v>
      </c>
      <c r="N2207" t="s">
        <v>2160</v>
      </c>
      <c r="O2207" t="s">
        <v>32</v>
      </c>
      <c r="P2207" t="s">
        <v>4829</v>
      </c>
      <c r="Q2207">
        <v>120</v>
      </c>
      <c r="R2207">
        <v>120</v>
      </c>
      <c r="S2207" t="s">
        <v>34</v>
      </c>
      <c r="T2207" t="s">
        <v>35</v>
      </c>
      <c r="U2207" t="s">
        <v>44</v>
      </c>
      <c r="W2207">
        <v>0</v>
      </c>
      <c r="X2207">
        <v>0</v>
      </c>
      <c r="Y2207">
        <v>0</v>
      </c>
      <c r="Z2207">
        <v>0</v>
      </c>
    </row>
    <row r="2208" spans="1:26" hidden="1" x14ac:dyDescent="0.25">
      <c r="A2208" t="s">
        <v>4830</v>
      </c>
      <c r="B2208" t="s">
        <v>38</v>
      </c>
      <c r="C2208" s="4">
        <v>44819</v>
      </c>
      <c r="D2208" s="4">
        <v>45009</v>
      </c>
      <c r="F2208" s="4">
        <v>46223</v>
      </c>
      <c r="G2208" t="s">
        <v>52</v>
      </c>
      <c r="H2208" t="s">
        <v>1430</v>
      </c>
      <c r="K2208" t="s">
        <v>53</v>
      </c>
      <c r="L2208" t="s">
        <v>3121</v>
      </c>
      <c r="M2208" t="s">
        <v>54</v>
      </c>
      <c r="N2208" t="s">
        <v>3122</v>
      </c>
      <c r="O2208" t="s">
        <v>32</v>
      </c>
      <c r="P2208" t="s">
        <v>4831</v>
      </c>
      <c r="Q2208">
        <v>150</v>
      </c>
      <c r="R2208">
        <v>150</v>
      </c>
      <c r="S2208" t="s">
        <v>34</v>
      </c>
      <c r="T2208" t="s">
        <v>35</v>
      </c>
      <c r="U2208" t="s">
        <v>44</v>
      </c>
      <c r="W2208">
        <v>0</v>
      </c>
      <c r="X2208">
        <v>0</v>
      </c>
      <c r="Y2208">
        <v>0</v>
      </c>
      <c r="Z2208">
        <v>0</v>
      </c>
    </row>
    <row r="2209" spans="1:26" hidden="1" x14ac:dyDescent="0.25">
      <c r="A2209" t="s">
        <v>4832</v>
      </c>
      <c r="B2209" t="s">
        <v>2153</v>
      </c>
      <c r="C2209" s="4">
        <v>44818</v>
      </c>
      <c r="F2209" s="4">
        <v>45915</v>
      </c>
      <c r="G2209" t="s">
        <v>1278</v>
      </c>
      <c r="H2209" t="s">
        <v>1550</v>
      </c>
      <c r="K2209" t="s">
        <v>28</v>
      </c>
      <c r="L2209" t="s">
        <v>3121</v>
      </c>
      <c r="M2209" t="s">
        <v>30</v>
      </c>
      <c r="N2209" t="s">
        <v>3122</v>
      </c>
      <c r="O2209" t="s">
        <v>32</v>
      </c>
      <c r="P2209" t="s">
        <v>4833</v>
      </c>
      <c r="Q2209">
        <v>190</v>
      </c>
      <c r="R2209">
        <v>190</v>
      </c>
      <c r="S2209" t="s">
        <v>56</v>
      </c>
      <c r="T2209" t="s">
        <v>57</v>
      </c>
      <c r="U2209" t="s">
        <v>44</v>
      </c>
      <c r="W2209">
        <v>190</v>
      </c>
      <c r="X2209">
        <v>190</v>
      </c>
      <c r="Y2209">
        <v>0</v>
      </c>
      <c r="Z2209">
        <v>0</v>
      </c>
    </row>
    <row r="2210" spans="1:26" hidden="1" x14ac:dyDescent="0.25">
      <c r="A2210" t="s">
        <v>4834</v>
      </c>
      <c r="B2210" t="s">
        <v>38</v>
      </c>
      <c r="C2210" s="4">
        <v>44818</v>
      </c>
      <c r="D2210" s="4">
        <v>45868</v>
      </c>
      <c r="F2210" s="4">
        <v>46539</v>
      </c>
      <c r="G2210" t="s">
        <v>1311</v>
      </c>
      <c r="H2210" t="s">
        <v>1424</v>
      </c>
      <c r="K2210" t="s">
        <v>114</v>
      </c>
      <c r="L2210" t="s">
        <v>3121</v>
      </c>
      <c r="M2210" t="s">
        <v>68</v>
      </c>
      <c r="N2210" t="s">
        <v>3122</v>
      </c>
      <c r="O2210" t="s">
        <v>32</v>
      </c>
      <c r="P2210" t="s">
        <v>4835</v>
      </c>
      <c r="Q2210">
        <v>80</v>
      </c>
      <c r="R2210">
        <v>80</v>
      </c>
      <c r="S2210" t="s">
        <v>34</v>
      </c>
      <c r="T2210" t="s">
        <v>35</v>
      </c>
      <c r="U2210" t="s">
        <v>44</v>
      </c>
      <c r="W2210">
        <v>0</v>
      </c>
      <c r="X2210">
        <v>0</v>
      </c>
      <c r="Y2210">
        <v>0</v>
      </c>
      <c r="Z2210">
        <v>0</v>
      </c>
    </row>
    <row r="2211" spans="1:26" hidden="1" x14ac:dyDescent="0.25">
      <c r="A2211" t="s">
        <v>4836</v>
      </c>
      <c r="B2211" t="s">
        <v>38</v>
      </c>
      <c r="C2211" s="4">
        <v>44818</v>
      </c>
      <c r="D2211" s="4">
        <v>45957</v>
      </c>
      <c r="F2211" s="4">
        <v>46539</v>
      </c>
      <c r="G2211" t="s">
        <v>72</v>
      </c>
      <c r="H2211" t="s">
        <v>2201</v>
      </c>
      <c r="K2211" t="s">
        <v>209</v>
      </c>
      <c r="L2211" t="s">
        <v>3121</v>
      </c>
      <c r="M2211" t="s">
        <v>42</v>
      </c>
      <c r="N2211" t="s">
        <v>3122</v>
      </c>
      <c r="O2211" t="s">
        <v>32</v>
      </c>
      <c r="P2211" t="s">
        <v>2686</v>
      </c>
      <c r="Q2211">
        <v>194</v>
      </c>
      <c r="R2211">
        <v>194</v>
      </c>
      <c r="S2211" t="s">
        <v>56</v>
      </c>
      <c r="T2211" t="s">
        <v>57</v>
      </c>
      <c r="U2211" t="s">
        <v>44</v>
      </c>
      <c r="W2211">
        <v>0</v>
      </c>
      <c r="X2211">
        <v>0</v>
      </c>
      <c r="Y2211">
        <v>0</v>
      </c>
      <c r="Z2211">
        <v>0</v>
      </c>
    </row>
    <row r="2212" spans="1:26" hidden="1" x14ac:dyDescent="0.25">
      <c r="A2212" t="s">
        <v>4837</v>
      </c>
      <c r="B2212" t="s">
        <v>2153</v>
      </c>
      <c r="C2212" s="4">
        <v>44630</v>
      </c>
      <c r="F2212" s="4">
        <v>45418</v>
      </c>
      <c r="G2212" t="s">
        <v>1690</v>
      </c>
      <c r="H2212" t="s">
        <v>1787</v>
      </c>
      <c r="K2212" t="s">
        <v>98</v>
      </c>
      <c r="L2212" t="s">
        <v>3121</v>
      </c>
      <c r="M2212" t="s">
        <v>84</v>
      </c>
      <c r="N2212" t="s">
        <v>2160</v>
      </c>
      <c r="O2212" t="s">
        <v>32</v>
      </c>
      <c r="P2212" t="s">
        <v>4838</v>
      </c>
      <c r="Q2212">
        <v>100</v>
      </c>
      <c r="R2212">
        <v>100</v>
      </c>
      <c r="S2212" t="s">
        <v>34</v>
      </c>
      <c r="T2212" t="s">
        <v>35</v>
      </c>
      <c r="U2212" t="s">
        <v>44</v>
      </c>
      <c r="W2212">
        <v>100</v>
      </c>
      <c r="X2212">
        <v>100</v>
      </c>
      <c r="Y2212">
        <v>0</v>
      </c>
      <c r="Z2212">
        <v>0</v>
      </c>
    </row>
    <row r="2213" spans="1:26" hidden="1" x14ac:dyDescent="0.25">
      <c r="A2213" t="s">
        <v>4839</v>
      </c>
      <c r="B2213" t="s">
        <v>2153</v>
      </c>
      <c r="C2213" s="4">
        <v>44812</v>
      </c>
      <c r="F2213" s="4">
        <v>45191</v>
      </c>
      <c r="G2213" t="s">
        <v>138</v>
      </c>
      <c r="H2213" t="s">
        <v>1841</v>
      </c>
      <c r="K2213" t="s">
        <v>98</v>
      </c>
      <c r="L2213" t="s">
        <v>3121</v>
      </c>
      <c r="M2213" t="s">
        <v>84</v>
      </c>
      <c r="N2213" t="s">
        <v>2160</v>
      </c>
      <c r="O2213" t="s">
        <v>32</v>
      </c>
      <c r="P2213" t="s">
        <v>4840</v>
      </c>
      <c r="Q2213">
        <v>10</v>
      </c>
      <c r="R2213">
        <v>10</v>
      </c>
      <c r="S2213" t="s">
        <v>34</v>
      </c>
      <c r="T2213" t="s">
        <v>35</v>
      </c>
      <c r="U2213" t="s">
        <v>44</v>
      </c>
      <c r="W2213">
        <v>10</v>
      </c>
      <c r="X2213">
        <v>10</v>
      </c>
      <c r="Y2213">
        <v>0</v>
      </c>
      <c r="Z2213">
        <v>0</v>
      </c>
    </row>
    <row r="2214" spans="1:26" hidden="1" x14ac:dyDescent="0.25">
      <c r="A2214" t="s">
        <v>4841</v>
      </c>
      <c r="B2214" t="s">
        <v>2153</v>
      </c>
      <c r="C2214" s="4">
        <v>44819</v>
      </c>
      <c r="F2214" s="4">
        <v>46082</v>
      </c>
      <c r="G2214" t="s">
        <v>1108</v>
      </c>
      <c r="H2214" t="s">
        <v>2467</v>
      </c>
      <c r="K2214" t="s">
        <v>146</v>
      </c>
      <c r="L2214" t="s">
        <v>3121</v>
      </c>
      <c r="M2214" t="s">
        <v>68</v>
      </c>
      <c r="N2214" t="s">
        <v>3122</v>
      </c>
      <c r="O2214" t="s">
        <v>122</v>
      </c>
      <c r="P2214" t="s">
        <v>4842</v>
      </c>
      <c r="Q2214">
        <v>350</v>
      </c>
      <c r="R2214">
        <v>350</v>
      </c>
      <c r="S2214" t="s">
        <v>34</v>
      </c>
      <c r="T2214" t="s">
        <v>35</v>
      </c>
      <c r="U2214" t="s">
        <v>44</v>
      </c>
      <c r="W2214">
        <v>350</v>
      </c>
      <c r="X2214">
        <v>0</v>
      </c>
      <c r="Y2214">
        <v>0</v>
      </c>
      <c r="Z2214">
        <v>0</v>
      </c>
    </row>
    <row r="2215" spans="1:26" hidden="1" x14ac:dyDescent="0.25">
      <c r="A2215" t="s">
        <v>4843</v>
      </c>
      <c r="B2215" t="s">
        <v>38</v>
      </c>
      <c r="C2215" s="4">
        <v>44817</v>
      </c>
      <c r="D2215" s="4">
        <v>45868</v>
      </c>
      <c r="F2215" s="4">
        <v>45901</v>
      </c>
      <c r="G2215" t="s">
        <v>616</v>
      </c>
      <c r="H2215" t="s">
        <v>1759</v>
      </c>
      <c r="K2215" t="s">
        <v>146</v>
      </c>
      <c r="L2215" t="s">
        <v>3121</v>
      </c>
      <c r="M2215" t="s">
        <v>68</v>
      </c>
      <c r="N2215" t="s">
        <v>3122</v>
      </c>
      <c r="O2215" t="s">
        <v>32</v>
      </c>
      <c r="P2215" t="s">
        <v>4844</v>
      </c>
      <c r="Q2215">
        <v>100</v>
      </c>
      <c r="R2215">
        <v>100</v>
      </c>
      <c r="S2215" t="s">
        <v>34</v>
      </c>
      <c r="T2215" t="s">
        <v>598</v>
      </c>
      <c r="U2215" t="s">
        <v>44</v>
      </c>
      <c r="W2215">
        <v>0</v>
      </c>
      <c r="X2215">
        <v>0</v>
      </c>
      <c r="Y2215">
        <v>0</v>
      </c>
      <c r="Z2215">
        <v>0</v>
      </c>
    </row>
    <row r="2216" spans="1:26" hidden="1" x14ac:dyDescent="0.25">
      <c r="A2216" t="s">
        <v>4845</v>
      </c>
      <c r="B2216" t="s">
        <v>38</v>
      </c>
      <c r="C2216" s="4">
        <v>44818</v>
      </c>
      <c r="D2216" s="4">
        <v>45868</v>
      </c>
      <c r="F2216" s="4">
        <v>45901</v>
      </c>
      <c r="G2216" t="s">
        <v>144</v>
      </c>
      <c r="H2216" t="s">
        <v>1302</v>
      </c>
      <c r="K2216" t="s">
        <v>146</v>
      </c>
      <c r="L2216" t="s">
        <v>3121</v>
      </c>
      <c r="M2216" t="s">
        <v>68</v>
      </c>
      <c r="N2216" t="s">
        <v>3122</v>
      </c>
      <c r="O2216" t="s">
        <v>32</v>
      </c>
      <c r="P2216" t="s">
        <v>4846</v>
      </c>
      <c r="Q2216">
        <v>100</v>
      </c>
      <c r="R2216">
        <v>100</v>
      </c>
      <c r="S2216" t="s">
        <v>34</v>
      </c>
      <c r="T2216" t="s">
        <v>598</v>
      </c>
      <c r="U2216" t="s">
        <v>44</v>
      </c>
      <c r="W2216">
        <v>0</v>
      </c>
      <c r="X2216">
        <v>0</v>
      </c>
      <c r="Y2216">
        <v>0</v>
      </c>
      <c r="Z2216">
        <v>0</v>
      </c>
    </row>
    <row r="2217" spans="1:26" hidden="1" x14ac:dyDescent="0.25">
      <c r="A2217" t="s">
        <v>4847</v>
      </c>
      <c r="B2217" t="s">
        <v>38</v>
      </c>
      <c r="C2217" s="4">
        <v>44819</v>
      </c>
      <c r="D2217" s="4">
        <v>45957</v>
      </c>
      <c r="F2217" s="4">
        <v>46266</v>
      </c>
      <c r="G2217" t="s">
        <v>1381</v>
      </c>
      <c r="H2217" t="s">
        <v>1372</v>
      </c>
      <c r="K2217" t="s">
        <v>209</v>
      </c>
      <c r="L2217" t="s">
        <v>3121</v>
      </c>
      <c r="M2217" t="s">
        <v>42</v>
      </c>
      <c r="N2217" t="s">
        <v>3122</v>
      </c>
      <c r="O2217" t="s">
        <v>32</v>
      </c>
      <c r="P2217" t="s">
        <v>4848</v>
      </c>
      <c r="Q2217">
        <v>50</v>
      </c>
      <c r="R2217">
        <v>50</v>
      </c>
      <c r="S2217" t="s">
        <v>34</v>
      </c>
      <c r="T2217" t="s">
        <v>35</v>
      </c>
      <c r="U2217" t="s">
        <v>44</v>
      </c>
      <c r="W2217">
        <v>0</v>
      </c>
      <c r="X2217">
        <v>0</v>
      </c>
      <c r="Y2217">
        <v>0</v>
      </c>
      <c r="Z2217">
        <v>0</v>
      </c>
    </row>
    <row r="2218" spans="1:26" hidden="1" x14ac:dyDescent="0.25">
      <c r="A2218" t="s">
        <v>4849</v>
      </c>
      <c r="B2218" t="s">
        <v>2153</v>
      </c>
      <c r="C2218" s="4">
        <v>44805</v>
      </c>
      <c r="F2218" s="4">
        <v>46387</v>
      </c>
      <c r="G2218" t="s">
        <v>39</v>
      </c>
      <c r="H2218" t="s">
        <v>4850</v>
      </c>
      <c r="K2218" t="s">
        <v>41</v>
      </c>
      <c r="L2218" t="s">
        <v>3121</v>
      </c>
      <c r="M2218" t="s">
        <v>42</v>
      </c>
      <c r="N2218" t="s">
        <v>3122</v>
      </c>
      <c r="O2218" t="s">
        <v>32</v>
      </c>
      <c r="P2218" t="s">
        <v>4851</v>
      </c>
      <c r="Q2218">
        <v>55</v>
      </c>
      <c r="R2218">
        <v>55</v>
      </c>
      <c r="S2218" t="s">
        <v>389</v>
      </c>
      <c r="T2218" t="s">
        <v>2141</v>
      </c>
      <c r="U2218" t="s">
        <v>44</v>
      </c>
      <c r="W2218">
        <v>55</v>
      </c>
      <c r="X2218">
        <v>55</v>
      </c>
      <c r="Y2218">
        <v>0</v>
      </c>
      <c r="Z2218">
        <v>0</v>
      </c>
    </row>
    <row r="2219" spans="1:26" hidden="1" x14ac:dyDescent="0.25">
      <c r="A2219" t="s">
        <v>4852</v>
      </c>
      <c r="B2219" t="s">
        <v>38</v>
      </c>
      <c r="C2219" s="4">
        <v>44818</v>
      </c>
      <c r="D2219" s="4">
        <v>45957</v>
      </c>
      <c r="F2219" s="4">
        <v>45657</v>
      </c>
      <c r="G2219" t="s">
        <v>72</v>
      </c>
      <c r="H2219" t="s">
        <v>1849</v>
      </c>
      <c r="K2219" t="s">
        <v>209</v>
      </c>
      <c r="L2219" t="s">
        <v>3121</v>
      </c>
      <c r="M2219" t="s">
        <v>42</v>
      </c>
      <c r="N2219" t="s">
        <v>3122</v>
      </c>
      <c r="O2219" t="s">
        <v>32</v>
      </c>
      <c r="P2219" t="s">
        <v>4853</v>
      </c>
      <c r="Q2219">
        <v>185</v>
      </c>
      <c r="R2219">
        <v>185</v>
      </c>
      <c r="S2219" t="s">
        <v>597</v>
      </c>
      <c r="T2219" t="s">
        <v>598</v>
      </c>
      <c r="U2219" t="s">
        <v>44</v>
      </c>
      <c r="W2219">
        <v>0</v>
      </c>
      <c r="X2219">
        <v>0</v>
      </c>
      <c r="Y2219">
        <v>0</v>
      </c>
      <c r="Z2219">
        <v>0</v>
      </c>
    </row>
    <row r="2220" spans="1:26" hidden="1" x14ac:dyDescent="0.25">
      <c r="A2220" t="s">
        <v>4854</v>
      </c>
      <c r="B2220" t="s">
        <v>38</v>
      </c>
      <c r="C2220" s="4">
        <v>44819</v>
      </c>
      <c r="D2220" s="4">
        <v>45009</v>
      </c>
      <c r="F2220" s="4">
        <v>45839</v>
      </c>
      <c r="G2220" t="s">
        <v>254</v>
      </c>
      <c r="H2220" t="s">
        <v>1882</v>
      </c>
      <c r="K2220" t="s">
        <v>98</v>
      </c>
      <c r="L2220" t="s">
        <v>3121</v>
      </c>
      <c r="M2220" t="s">
        <v>84</v>
      </c>
      <c r="N2220" t="s">
        <v>2160</v>
      </c>
      <c r="O2220" t="s">
        <v>32</v>
      </c>
      <c r="P2220" t="s">
        <v>4855</v>
      </c>
      <c r="Q2220">
        <v>500</v>
      </c>
      <c r="R2220">
        <v>594</v>
      </c>
      <c r="S2220" t="s">
        <v>389</v>
      </c>
      <c r="T2220" t="s">
        <v>584</v>
      </c>
      <c r="U2220" t="s">
        <v>44</v>
      </c>
      <c r="W2220">
        <v>0</v>
      </c>
      <c r="X2220">
        <v>0</v>
      </c>
      <c r="Y2220">
        <v>0</v>
      </c>
      <c r="Z2220">
        <v>0</v>
      </c>
    </row>
    <row r="2221" spans="1:26" hidden="1" x14ac:dyDescent="0.25">
      <c r="A2221" t="s">
        <v>4856</v>
      </c>
      <c r="B2221" t="s">
        <v>2153</v>
      </c>
      <c r="C2221" s="4">
        <v>44819</v>
      </c>
      <c r="F2221" s="4">
        <v>46478</v>
      </c>
      <c r="G2221" t="s">
        <v>117</v>
      </c>
      <c r="H2221" t="s">
        <v>3028</v>
      </c>
      <c r="K2221" t="s">
        <v>83</v>
      </c>
      <c r="L2221" t="s">
        <v>3121</v>
      </c>
      <c r="M2221" t="s">
        <v>84</v>
      </c>
      <c r="N2221" t="s">
        <v>2160</v>
      </c>
      <c r="O2221" t="s">
        <v>32</v>
      </c>
      <c r="P2221" t="s">
        <v>4857</v>
      </c>
      <c r="Q2221">
        <v>300</v>
      </c>
      <c r="R2221">
        <v>300</v>
      </c>
      <c r="S2221" t="s">
        <v>159</v>
      </c>
      <c r="T2221" t="s">
        <v>159</v>
      </c>
      <c r="U2221" t="s">
        <v>44</v>
      </c>
      <c r="W2221">
        <v>300</v>
      </c>
      <c r="X2221">
        <v>300</v>
      </c>
      <c r="Y2221">
        <v>0</v>
      </c>
      <c r="Z2221">
        <v>0</v>
      </c>
    </row>
    <row r="2222" spans="1:26" hidden="1" x14ac:dyDescent="0.25">
      <c r="A2222" t="s">
        <v>4858</v>
      </c>
      <c r="B2222" t="s">
        <v>38</v>
      </c>
      <c r="C2222" s="4">
        <v>44818</v>
      </c>
      <c r="D2222" s="4">
        <v>45009</v>
      </c>
      <c r="F2222" s="4">
        <v>46023</v>
      </c>
      <c r="G2222" t="s">
        <v>39</v>
      </c>
      <c r="H2222" t="s">
        <v>3146</v>
      </c>
      <c r="K2222" t="s">
        <v>41</v>
      </c>
      <c r="L2222" t="s">
        <v>3121</v>
      </c>
      <c r="M2222" t="s">
        <v>42</v>
      </c>
      <c r="N2222" t="s">
        <v>3122</v>
      </c>
      <c r="O2222" t="s">
        <v>32</v>
      </c>
      <c r="P2222" t="s">
        <v>4859</v>
      </c>
      <c r="Q2222">
        <v>60</v>
      </c>
      <c r="R2222">
        <v>60</v>
      </c>
      <c r="S2222" t="s">
        <v>34</v>
      </c>
      <c r="T2222" t="s">
        <v>35</v>
      </c>
      <c r="U2222" t="s">
        <v>44</v>
      </c>
      <c r="W2222">
        <v>0</v>
      </c>
      <c r="X2222">
        <v>0</v>
      </c>
      <c r="Y2222">
        <v>0</v>
      </c>
      <c r="Z2222">
        <v>0</v>
      </c>
    </row>
    <row r="2223" spans="1:26" hidden="1" x14ac:dyDescent="0.25">
      <c r="A2223" t="s">
        <v>4860</v>
      </c>
      <c r="B2223" t="s">
        <v>38</v>
      </c>
      <c r="C2223" s="4">
        <v>44816</v>
      </c>
      <c r="D2223" s="4">
        <v>45868</v>
      </c>
      <c r="F2223" s="4">
        <v>45838</v>
      </c>
      <c r="G2223" t="s">
        <v>65</v>
      </c>
      <c r="H2223" t="s">
        <v>2954</v>
      </c>
      <c r="K2223" t="s">
        <v>67</v>
      </c>
      <c r="L2223" t="s">
        <v>3121</v>
      </c>
      <c r="M2223" t="s">
        <v>68</v>
      </c>
      <c r="N2223" t="s">
        <v>3122</v>
      </c>
      <c r="O2223" t="s">
        <v>32</v>
      </c>
      <c r="P2223" t="s">
        <v>4861</v>
      </c>
      <c r="Q2223">
        <v>50</v>
      </c>
      <c r="R2223">
        <v>50</v>
      </c>
      <c r="S2223" t="s">
        <v>34</v>
      </c>
      <c r="T2223" t="s">
        <v>35</v>
      </c>
      <c r="U2223" t="s">
        <v>44</v>
      </c>
      <c r="W2223">
        <v>0</v>
      </c>
      <c r="X2223">
        <v>0</v>
      </c>
      <c r="Y2223">
        <v>0</v>
      </c>
      <c r="Z2223">
        <v>0</v>
      </c>
    </row>
    <row r="2224" spans="1:26" hidden="1" x14ac:dyDescent="0.25">
      <c r="A2224" t="s">
        <v>4862</v>
      </c>
      <c r="B2224" t="s">
        <v>2153</v>
      </c>
      <c r="C2224" s="4">
        <v>44818</v>
      </c>
      <c r="F2224" s="4">
        <v>45017</v>
      </c>
      <c r="G2224" t="s">
        <v>39</v>
      </c>
      <c r="H2224" t="s">
        <v>2111</v>
      </c>
      <c r="K2224" t="s">
        <v>41</v>
      </c>
      <c r="L2224" t="s">
        <v>3121</v>
      </c>
      <c r="M2224" t="s">
        <v>42</v>
      </c>
      <c r="N2224" t="s">
        <v>3122</v>
      </c>
      <c r="O2224" t="s">
        <v>1110</v>
      </c>
      <c r="P2224" t="s">
        <v>4863</v>
      </c>
      <c r="Q2224">
        <v>3</v>
      </c>
      <c r="R2224">
        <v>3</v>
      </c>
      <c r="S2224" t="s">
        <v>637</v>
      </c>
      <c r="T2224" t="s">
        <v>638</v>
      </c>
      <c r="U2224" t="s">
        <v>44</v>
      </c>
      <c r="W2224">
        <v>0</v>
      </c>
      <c r="X2224">
        <v>3</v>
      </c>
      <c r="Y2224">
        <v>0</v>
      </c>
      <c r="Z2224">
        <v>0</v>
      </c>
    </row>
    <row r="2225" spans="1:26" hidden="1" x14ac:dyDescent="0.25">
      <c r="A2225" t="s">
        <v>4864</v>
      </c>
      <c r="B2225" t="s">
        <v>38</v>
      </c>
      <c r="C2225" s="4">
        <v>45509</v>
      </c>
      <c r="D2225" s="4">
        <v>45870</v>
      </c>
      <c r="F2225" s="4">
        <v>46326</v>
      </c>
      <c r="G2225" t="s">
        <v>52</v>
      </c>
      <c r="H2225" t="s">
        <v>1442</v>
      </c>
      <c r="K2225" t="s">
        <v>53</v>
      </c>
      <c r="L2225" t="s">
        <v>3121</v>
      </c>
      <c r="M2225" t="s">
        <v>54</v>
      </c>
      <c r="N2225" t="s">
        <v>3122</v>
      </c>
      <c r="O2225" t="s">
        <v>32</v>
      </c>
      <c r="P2225" t="s">
        <v>4865</v>
      </c>
      <c r="Q2225">
        <v>200</v>
      </c>
      <c r="R2225">
        <v>200</v>
      </c>
      <c r="S2225" t="s">
        <v>159</v>
      </c>
      <c r="T2225" t="s">
        <v>159</v>
      </c>
      <c r="U2225" t="s">
        <v>44</v>
      </c>
      <c r="W2225">
        <v>0</v>
      </c>
      <c r="X2225">
        <v>0</v>
      </c>
      <c r="Y2225">
        <v>0</v>
      </c>
      <c r="Z2225">
        <v>0</v>
      </c>
    </row>
    <row r="2226" spans="1:26" hidden="1" x14ac:dyDescent="0.25">
      <c r="A2226" t="s">
        <v>4866</v>
      </c>
      <c r="B2226" t="s">
        <v>38</v>
      </c>
      <c r="C2226" s="4">
        <v>44819</v>
      </c>
      <c r="D2226" s="4">
        <v>45868</v>
      </c>
      <c r="F2226" s="4">
        <v>45626</v>
      </c>
      <c r="G2226" t="s">
        <v>144</v>
      </c>
      <c r="H2226" t="s">
        <v>1618</v>
      </c>
      <c r="K2226" t="s">
        <v>146</v>
      </c>
      <c r="L2226" t="s">
        <v>3121</v>
      </c>
      <c r="M2226" t="s">
        <v>68</v>
      </c>
      <c r="N2226" t="s">
        <v>3122</v>
      </c>
      <c r="O2226" t="s">
        <v>122</v>
      </c>
      <c r="P2226" t="s">
        <v>4867</v>
      </c>
      <c r="Q2226">
        <v>49</v>
      </c>
      <c r="R2226">
        <v>49</v>
      </c>
      <c r="S2226" t="s">
        <v>34</v>
      </c>
      <c r="T2226" t="s">
        <v>35</v>
      </c>
      <c r="U2226" t="s">
        <v>44</v>
      </c>
      <c r="W2226">
        <v>0</v>
      </c>
      <c r="X2226">
        <v>0</v>
      </c>
      <c r="Y2226">
        <v>0</v>
      </c>
      <c r="Z2226">
        <v>0</v>
      </c>
    </row>
    <row r="2227" spans="1:26" hidden="1" x14ac:dyDescent="0.25">
      <c r="A2227" t="s">
        <v>4868</v>
      </c>
      <c r="B2227" t="s">
        <v>38</v>
      </c>
      <c r="C2227" s="4">
        <v>44818</v>
      </c>
      <c r="D2227" s="4">
        <v>45957</v>
      </c>
      <c r="F2227" s="4">
        <v>45915</v>
      </c>
      <c r="G2227" t="s">
        <v>132</v>
      </c>
      <c r="H2227" t="s">
        <v>4869</v>
      </c>
      <c r="K2227" t="s">
        <v>83</v>
      </c>
      <c r="L2227" t="s">
        <v>3121</v>
      </c>
      <c r="M2227" t="s">
        <v>84</v>
      </c>
      <c r="N2227" t="s">
        <v>2160</v>
      </c>
      <c r="O2227" t="s">
        <v>32</v>
      </c>
      <c r="P2227" t="s">
        <v>4870</v>
      </c>
      <c r="Q2227">
        <v>109</v>
      </c>
      <c r="R2227">
        <v>109</v>
      </c>
      <c r="S2227" t="s">
        <v>56</v>
      </c>
      <c r="T2227" t="s">
        <v>57</v>
      </c>
      <c r="U2227" t="s">
        <v>44</v>
      </c>
      <c r="W2227">
        <v>0</v>
      </c>
      <c r="X2227">
        <v>0</v>
      </c>
      <c r="Y2227">
        <v>0</v>
      </c>
      <c r="Z2227">
        <v>0</v>
      </c>
    </row>
    <row r="2228" spans="1:26" hidden="1" x14ac:dyDescent="0.25">
      <c r="A2228" t="s">
        <v>4871</v>
      </c>
      <c r="B2228" t="s">
        <v>2153</v>
      </c>
      <c r="C2228" s="4">
        <v>44819</v>
      </c>
      <c r="F2228" s="4">
        <v>46447</v>
      </c>
      <c r="G2228" t="s">
        <v>117</v>
      </c>
      <c r="H2228" t="s">
        <v>1511</v>
      </c>
      <c r="K2228" t="s">
        <v>83</v>
      </c>
      <c r="L2228" t="s">
        <v>3121</v>
      </c>
      <c r="M2228" t="s">
        <v>84</v>
      </c>
      <c r="N2228" t="s">
        <v>2160</v>
      </c>
      <c r="O2228" t="s">
        <v>32</v>
      </c>
      <c r="P2228" t="s">
        <v>4872</v>
      </c>
      <c r="Q2228">
        <v>88</v>
      </c>
      <c r="R2228">
        <v>88</v>
      </c>
      <c r="S2228" t="s">
        <v>597</v>
      </c>
      <c r="T2228" t="s">
        <v>598</v>
      </c>
      <c r="U2228" t="s">
        <v>44</v>
      </c>
      <c r="W2228">
        <v>88</v>
      </c>
      <c r="X2228">
        <v>88</v>
      </c>
      <c r="Y2228">
        <v>0</v>
      </c>
      <c r="Z2228">
        <v>0</v>
      </c>
    </row>
    <row r="2229" spans="1:26" hidden="1" x14ac:dyDescent="0.25">
      <c r="A2229" t="s">
        <v>4873</v>
      </c>
      <c r="B2229" t="s">
        <v>2153</v>
      </c>
      <c r="C2229" s="4">
        <v>44819</v>
      </c>
      <c r="F2229" s="4">
        <v>46235</v>
      </c>
      <c r="H2229" t="s">
        <v>1258</v>
      </c>
      <c r="K2229" t="s">
        <v>83</v>
      </c>
      <c r="L2229" t="s">
        <v>3121</v>
      </c>
      <c r="M2229" t="s">
        <v>84</v>
      </c>
      <c r="N2229" t="s">
        <v>2160</v>
      </c>
      <c r="O2229" t="s">
        <v>32</v>
      </c>
      <c r="P2229" t="s">
        <v>4874</v>
      </c>
      <c r="Q2229">
        <v>150</v>
      </c>
      <c r="R2229">
        <v>150</v>
      </c>
      <c r="S2229" t="s">
        <v>597</v>
      </c>
      <c r="T2229" t="s">
        <v>598</v>
      </c>
      <c r="U2229" t="s">
        <v>44</v>
      </c>
      <c r="W2229">
        <v>150</v>
      </c>
      <c r="X2229">
        <v>150</v>
      </c>
      <c r="Y2229">
        <v>0</v>
      </c>
      <c r="Z2229">
        <v>0</v>
      </c>
    </row>
    <row r="2230" spans="1:26" hidden="1" x14ac:dyDescent="0.25">
      <c r="A2230" t="s">
        <v>4875</v>
      </c>
      <c r="B2230" t="s">
        <v>38</v>
      </c>
      <c r="C2230" s="4">
        <v>44819</v>
      </c>
      <c r="D2230" s="4">
        <v>44900</v>
      </c>
      <c r="F2230" s="4">
        <v>46265</v>
      </c>
      <c r="G2230" t="s">
        <v>254</v>
      </c>
      <c r="H2230" t="s">
        <v>1882</v>
      </c>
      <c r="K2230" t="s">
        <v>98</v>
      </c>
      <c r="L2230" t="s">
        <v>3121</v>
      </c>
      <c r="M2230" t="s">
        <v>84</v>
      </c>
      <c r="N2230" t="s">
        <v>2160</v>
      </c>
      <c r="O2230" t="s">
        <v>32</v>
      </c>
      <c r="P2230" t="s">
        <v>4876</v>
      </c>
      <c r="Q2230">
        <v>150</v>
      </c>
      <c r="R2230">
        <v>150</v>
      </c>
      <c r="S2230" t="s">
        <v>597</v>
      </c>
      <c r="T2230" t="s">
        <v>598</v>
      </c>
      <c r="U2230" t="s">
        <v>44</v>
      </c>
      <c r="W2230">
        <v>0</v>
      </c>
      <c r="X2230">
        <v>0</v>
      </c>
      <c r="Y2230">
        <v>0</v>
      </c>
      <c r="Z2230">
        <v>0</v>
      </c>
    </row>
    <row r="2231" spans="1:26" hidden="1" x14ac:dyDescent="0.25">
      <c r="A2231" t="s">
        <v>4877</v>
      </c>
      <c r="B2231" t="s">
        <v>38</v>
      </c>
      <c r="C2231" s="4">
        <v>44819</v>
      </c>
      <c r="D2231" s="4">
        <v>45957</v>
      </c>
      <c r="F2231" s="4">
        <v>46265</v>
      </c>
      <c r="G2231" t="s">
        <v>254</v>
      </c>
      <c r="H2231" t="s">
        <v>1500</v>
      </c>
      <c r="K2231" t="s">
        <v>98</v>
      </c>
      <c r="L2231" t="s">
        <v>3121</v>
      </c>
      <c r="M2231" t="s">
        <v>84</v>
      </c>
      <c r="N2231" t="s">
        <v>2160</v>
      </c>
      <c r="O2231" t="s">
        <v>32</v>
      </c>
      <c r="P2231" t="s">
        <v>4878</v>
      </c>
      <c r="Q2231">
        <v>130</v>
      </c>
      <c r="R2231">
        <v>130</v>
      </c>
      <c r="S2231" t="s">
        <v>597</v>
      </c>
      <c r="T2231" t="s">
        <v>598</v>
      </c>
      <c r="U2231" t="s">
        <v>44</v>
      </c>
      <c r="W2231">
        <v>0</v>
      </c>
      <c r="X2231">
        <v>0</v>
      </c>
      <c r="Y2231">
        <v>0</v>
      </c>
      <c r="Z2231">
        <v>0</v>
      </c>
    </row>
    <row r="2232" spans="1:26" hidden="1" x14ac:dyDescent="0.25">
      <c r="A2232" t="s">
        <v>4879</v>
      </c>
      <c r="B2232" t="s">
        <v>38</v>
      </c>
      <c r="C2232" s="4">
        <v>44818</v>
      </c>
      <c r="D2232" s="4">
        <v>45870</v>
      </c>
      <c r="F2232" s="4">
        <v>46022</v>
      </c>
      <c r="G2232" t="s">
        <v>52</v>
      </c>
      <c r="H2232" t="s">
        <v>3920</v>
      </c>
      <c r="K2232" t="s">
        <v>53</v>
      </c>
      <c r="L2232" t="s">
        <v>3121</v>
      </c>
      <c r="M2232" t="s">
        <v>84</v>
      </c>
      <c r="N2232" t="s">
        <v>2160</v>
      </c>
      <c r="O2232" t="s">
        <v>32</v>
      </c>
      <c r="P2232" t="s">
        <v>4880</v>
      </c>
      <c r="Q2232">
        <v>80</v>
      </c>
      <c r="R2232">
        <v>80</v>
      </c>
      <c r="S2232" t="s">
        <v>34</v>
      </c>
      <c r="T2232" t="s">
        <v>35</v>
      </c>
      <c r="U2232" t="s">
        <v>44</v>
      </c>
      <c r="W2232">
        <v>0</v>
      </c>
      <c r="X2232">
        <v>0</v>
      </c>
      <c r="Y2232">
        <v>0</v>
      </c>
      <c r="Z2232">
        <v>0</v>
      </c>
    </row>
    <row r="2233" spans="1:26" hidden="1" x14ac:dyDescent="0.25">
      <c r="A2233" t="s">
        <v>4881</v>
      </c>
      <c r="B2233" t="s">
        <v>38</v>
      </c>
      <c r="C2233" s="4">
        <v>44818</v>
      </c>
      <c r="D2233" s="4">
        <v>45870</v>
      </c>
      <c r="F2233" s="4">
        <v>45915</v>
      </c>
      <c r="G2233" t="s">
        <v>52</v>
      </c>
      <c r="H2233" t="s">
        <v>1330</v>
      </c>
      <c r="K2233" t="s">
        <v>53</v>
      </c>
      <c r="L2233" t="s">
        <v>3121</v>
      </c>
      <c r="M2233" t="s">
        <v>54</v>
      </c>
      <c r="N2233" t="s">
        <v>3122</v>
      </c>
      <c r="O2233" t="s">
        <v>32</v>
      </c>
      <c r="P2233" t="s">
        <v>4882</v>
      </c>
      <c r="Q2233">
        <v>26</v>
      </c>
      <c r="R2233">
        <v>26</v>
      </c>
      <c r="S2233" t="s">
        <v>34</v>
      </c>
      <c r="T2233" t="s">
        <v>35</v>
      </c>
      <c r="U2233" t="s">
        <v>44</v>
      </c>
      <c r="W2233">
        <v>0</v>
      </c>
      <c r="X2233">
        <v>0</v>
      </c>
      <c r="Y2233">
        <v>0</v>
      </c>
      <c r="Z2233">
        <v>0</v>
      </c>
    </row>
    <row r="2234" spans="1:26" hidden="1" x14ac:dyDescent="0.25">
      <c r="A2234" t="s">
        <v>4883</v>
      </c>
      <c r="B2234" t="s">
        <v>2153</v>
      </c>
      <c r="C2234" s="4">
        <v>44818</v>
      </c>
      <c r="F2234" s="4">
        <v>46136</v>
      </c>
      <c r="G2234" t="s">
        <v>1251</v>
      </c>
      <c r="H2234" t="s">
        <v>1778</v>
      </c>
      <c r="K2234" t="s">
        <v>109</v>
      </c>
      <c r="L2234" t="s">
        <v>3121</v>
      </c>
      <c r="M2234" t="s">
        <v>84</v>
      </c>
      <c r="N2234" t="s">
        <v>2160</v>
      </c>
      <c r="O2234" t="s">
        <v>32</v>
      </c>
      <c r="P2234" t="s">
        <v>4884</v>
      </c>
      <c r="Q2234">
        <v>140</v>
      </c>
      <c r="R2234">
        <v>140</v>
      </c>
      <c r="S2234" t="s">
        <v>597</v>
      </c>
      <c r="T2234" t="s">
        <v>598</v>
      </c>
      <c r="U2234" t="s">
        <v>44</v>
      </c>
      <c r="W2234">
        <v>140</v>
      </c>
      <c r="X2234">
        <v>140</v>
      </c>
      <c r="Y2234">
        <v>0</v>
      </c>
      <c r="Z2234">
        <v>0</v>
      </c>
    </row>
    <row r="2235" spans="1:26" hidden="1" x14ac:dyDescent="0.25">
      <c r="A2235" t="s">
        <v>4885</v>
      </c>
      <c r="B2235" t="s">
        <v>2153</v>
      </c>
      <c r="C2235" s="4">
        <v>44818</v>
      </c>
      <c r="F2235" s="4">
        <v>47392</v>
      </c>
      <c r="G2235" t="s">
        <v>1326</v>
      </c>
      <c r="H2235" t="s">
        <v>2526</v>
      </c>
      <c r="K2235" t="s">
        <v>67</v>
      </c>
      <c r="L2235" t="s">
        <v>3121</v>
      </c>
      <c r="M2235" t="s">
        <v>68</v>
      </c>
      <c r="N2235" t="s">
        <v>3122</v>
      </c>
      <c r="O2235" t="s">
        <v>32</v>
      </c>
      <c r="P2235" t="s">
        <v>4886</v>
      </c>
      <c r="Q2235">
        <v>200</v>
      </c>
      <c r="R2235">
        <v>200</v>
      </c>
      <c r="S2235" t="s">
        <v>597</v>
      </c>
      <c r="T2235" t="s">
        <v>2552</v>
      </c>
      <c r="U2235" t="s">
        <v>44</v>
      </c>
      <c r="W2235">
        <v>200</v>
      </c>
      <c r="X2235">
        <v>0</v>
      </c>
      <c r="Y2235">
        <v>0</v>
      </c>
      <c r="Z2235">
        <v>0</v>
      </c>
    </row>
    <row r="2236" spans="1:26" hidden="1" x14ac:dyDescent="0.25">
      <c r="A2236" t="s">
        <v>4887</v>
      </c>
      <c r="B2236" t="s">
        <v>2153</v>
      </c>
      <c r="C2236" s="4">
        <v>44818</v>
      </c>
      <c r="F2236" s="4">
        <v>45625</v>
      </c>
      <c r="G2236" t="s">
        <v>1753</v>
      </c>
      <c r="H2236" t="s">
        <v>2515</v>
      </c>
      <c r="K2236" t="s">
        <v>114</v>
      </c>
      <c r="L2236" t="s">
        <v>3121</v>
      </c>
      <c r="M2236" t="s">
        <v>68</v>
      </c>
      <c r="N2236" t="s">
        <v>3122</v>
      </c>
      <c r="O2236" t="s">
        <v>32</v>
      </c>
      <c r="P2236" t="s">
        <v>4888</v>
      </c>
      <c r="Q2236">
        <v>100</v>
      </c>
      <c r="R2236">
        <v>100</v>
      </c>
      <c r="S2236" t="s">
        <v>597</v>
      </c>
      <c r="T2236" t="s">
        <v>598</v>
      </c>
      <c r="U2236" t="s">
        <v>44</v>
      </c>
      <c r="W2236">
        <v>100</v>
      </c>
      <c r="X2236">
        <v>100</v>
      </c>
      <c r="Y2236">
        <v>0</v>
      </c>
      <c r="Z2236">
        <v>0</v>
      </c>
    </row>
    <row r="2237" spans="1:26" hidden="1" x14ac:dyDescent="0.25">
      <c r="A2237" t="s">
        <v>4889</v>
      </c>
      <c r="B2237" t="s">
        <v>2153</v>
      </c>
      <c r="C2237" s="4">
        <v>45393</v>
      </c>
      <c r="F2237" s="4">
        <v>46996</v>
      </c>
      <c r="G2237" t="s">
        <v>691</v>
      </c>
      <c r="H2237" t="s">
        <v>1336</v>
      </c>
      <c r="K2237" t="s">
        <v>98</v>
      </c>
      <c r="L2237" t="s">
        <v>4890</v>
      </c>
      <c r="M2237" t="s">
        <v>84</v>
      </c>
      <c r="N2237" t="s">
        <v>4891</v>
      </c>
      <c r="O2237" t="s">
        <v>32</v>
      </c>
      <c r="P2237" t="s">
        <v>4892</v>
      </c>
      <c r="Q2237">
        <v>500</v>
      </c>
      <c r="R2237">
        <v>500</v>
      </c>
      <c r="S2237" t="s">
        <v>389</v>
      </c>
      <c r="T2237" t="s">
        <v>390</v>
      </c>
      <c r="W2237">
        <v>475.5</v>
      </c>
      <c r="X2237">
        <v>500</v>
      </c>
      <c r="Y2237">
        <v>0</v>
      </c>
      <c r="Z2237">
        <v>0</v>
      </c>
    </row>
    <row r="2238" spans="1:26" hidden="1" x14ac:dyDescent="0.25">
      <c r="A2238" t="s">
        <v>4893</v>
      </c>
      <c r="B2238" t="s">
        <v>2153</v>
      </c>
      <c r="C2238" s="4">
        <v>45379</v>
      </c>
      <c r="F2238" s="4">
        <v>46767</v>
      </c>
      <c r="G2238" t="s">
        <v>1499</v>
      </c>
      <c r="H2238" t="s">
        <v>3551</v>
      </c>
      <c r="K2238" t="s">
        <v>41</v>
      </c>
      <c r="L2238" t="s">
        <v>4890</v>
      </c>
      <c r="M2238" t="s">
        <v>42</v>
      </c>
      <c r="N2238" t="s">
        <v>4891</v>
      </c>
      <c r="O2238" t="s">
        <v>32</v>
      </c>
      <c r="P2238" t="s">
        <v>4894</v>
      </c>
      <c r="Q2238">
        <v>140</v>
      </c>
      <c r="R2238">
        <v>140</v>
      </c>
      <c r="S2238" t="s">
        <v>34</v>
      </c>
      <c r="T2238" t="s">
        <v>35</v>
      </c>
      <c r="W2238">
        <v>140</v>
      </c>
      <c r="X2238">
        <v>140</v>
      </c>
      <c r="Y2238">
        <v>0</v>
      </c>
      <c r="Z2238">
        <v>0</v>
      </c>
    </row>
    <row r="2239" spans="1:26" hidden="1" x14ac:dyDescent="0.25">
      <c r="A2239" t="s">
        <v>4895</v>
      </c>
      <c r="B2239" t="s">
        <v>38</v>
      </c>
      <c r="C2239" s="4">
        <v>45379</v>
      </c>
      <c r="D2239" s="4">
        <v>45930</v>
      </c>
      <c r="F2239" s="4">
        <v>46767</v>
      </c>
      <c r="G2239" t="s">
        <v>173</v>
      </c>
      <c r="H2239" t="s">
        <v>4896</v>
      </c>
      <c r="K2239" t="s">
        <v>41</v>
      </c>
      <c r="L2239" t="s">
        <v>4890</v>
      </c>
      <c r="M2239" t="s">
        <v>42</v>
      </c>
      <c r="N2239" t="s">
        <v>4891</v>
      </c>
      <c r="O2239" t="s">
        <v>32</v>
      </c>
      <c r="P2239" t="s">
        <v>4897</v>
      </c>
      <c r="Q2239">
        <v>130</v>
      </c>
      <c r="R2239">
        <v>130</v>
      </c>
      <c r="S2239" t="s">
        <v>159</v>
      </c>
      <c r="T2239" t="s">
        <v>159</v>
      </c>
      <c r="W2239">
        <v>0</v>
      </c>
      <c r="X2239">
        <v>0</v>
      </c>
      <c r="Y2239">
        <v>0</v>
      </c>
      <c r="Z2239">
        <v>0</v>
      </c>
    </row>
    <row r="2240" spans="1:26" hidden="1" x14ac:dyDescent="0.25">
      <c r="A2240" t="s">
        <v>4898</v>
      </c>
      <c r="B2240" t="s">
        <v>2153</v>
      </c>
      <c r="C2240" s="4">
        <v>45379</v>
      </c>
      <c r="F2240" s="4">
        <v>46767</v>
      </c>
      <c r="G2240" t="s">
        <v>173</v>
      </c>
      <c r="H2240" t="s">
        <v>2569</v>
      </c>
      <c r="K2240" t="s">
        <v>41</v>
      </c>
      <c r="L2240" t="s">
        <v>4890</v>
      </c>
      <c r="M2240" t="s">
        <v>42</v>
      </c>
      <c r="N2240" t="s">
        <v>4891</v>
      </c>
      <c r="O2240" t="s">
        <v>32</v>
      </c>
      <c r="P2240" t="s">
        <v>4899</v>
      </c>
      <c r="Q2240">
        <v>250</v>
      </c>
      <c r="R2240">
        <v>250</v>
      </c>
      <c r="S2240" t="s">
        <v>159</v>
      </c>
      <c r="T2240" t="s">
        <v>159</v>
      </c>
      <c r="W2240">
        <v>250</v>
      </c>
      <c r="X2240">
        <v>250</v>
      </c>
      <c r="Y2240">
        <v>0</v>
      </c>
      <c r="Z2240">
        <v>0</v>
      </c>
    </row>
    <row r="2241" spans="1:26" hidden="1" x14ac:dyDescent="0.25">
      <c r="A2241" t="s">
        <v>4900</v>
      </c>
      <c r="B2241" t="s">
        <v>2153</v>
      </c>
      <c r="C2241" s="4">
        <v>45379</v>
      </c>
      <c r="F2241" s="4">
        <v>46767</v>
      </c>
      <c r="G2241" t="s">
        <v>39</v>
      </c>
      <c r="H2241" t="s">
        <v>1268</v>
      </c>
      <c r="K2241" t="s">
        <v>41</v>
      </c>
      <c r="L2241" t="s">
        <v>4890</v>
      </c>
      <c r="M2241" t="s">
        <v>42</v>
      </c>
      <c r="N2241" t="s">
        <v>4891</v>
      </c>
      <c r="O2241" t="s">
        <v>32</v>
      </c>
      <c r="P2241" t="s">
        <v>4901</v>
      </c>
      <c r="Q2241">
        <v>200</v>
      </c>
      <c r="R2241">
        <v>200</v>
      </c>
      <c r="S2241" t="s">
        <v>159</v>
      </c>
      <c r="T2241" t="s">
        <v>159</v>
      </c>
      <c r="W2241">
        <v>200</v>
      </c>
      <c r="X2241">
        <v>200</v>
      </c>
      <c r="Y2241">
        <v>0</v>
      </c>
      <c r="Z2241">
        <v>0</v>
      </c>
    </row>
    <row r="2242" spans="1:26" hidden="1" x14ac:dyDescent="0.25">
      <c r="A2242" t="s">
        <v>4902</v>
      </c>
      <c r="B2242" t="s">
        <v>38</v>
      </c>
      <c r="C2242" s="4">
        <v>45391</v>
      </c>
      <c r="D2242" s="4">
        <v>45868</v>
      </c>
      <c r="F2242" s="4">
        <v>46913</v>
      </c>
      <c r="G2242" t="s">
        <v>1597</v>
      </c>
      <c r="H2242" t="s">
        <v>4903</v>
      </c>
      <c r="K2242" t="s">
        <v>41</v>
      </c>
      <c r="L2242" t="s">
        <v>4890</v>
      </c>
      <c r="M2242" t="s">
        <v>42</v>
      </c>
      <c r="N2242" t="s">
        <v>4891</v>
      </c>
      <c r="O2242" t="s">
        <v>32</v>
      </c>
      <c r="P2242" t="s">
        <v>4904</v>
      </c>
      <c r="Q2242">
        <v>86</v>
      </c>
      <c r="R2242">
        <v>86</v>
      </c>
      <c r="S2242" t="s">
        <v>56</v>
      </c>
      <c r="T2242" t="s">
        <v>57</v>
      </c>
      <c r="W2242">
        <v>0</v>
      </c>
      <c r="X2242">
        <v>0</v>
      </c>
      <c r="Y2242">
        <v>0</v>
      </c>
      <c r="Z2242">
        <v>0</v>
      </c>
    </row>
    <row r="2243" spans="1:26" hidden="1" x14ac:dyDescent="0.25">
      <c r="A2243" t="s">
        <v>4905</v>
      </c>
      <c r="B2243" t="s">
        <v>38</v>
      </c>
      <c r="C2243" s="4">
        <v>45392</v>
      </c>
      <c r="D2243" s="4">
        <v>45930</v>
      </c>
      <c r="F2243" s="4">
        <v>46934</v>
      </c>
      <c r="G2243" t="s">
        <v>616</v>
      </c>
      <c r="H2243" t="s">
        <v>1792</v>
      </c>
      <c r="K2243" t="s">
        <v>146</v>
      </c>
      <c r="L2243" t="s">
        <v>4890</v>
      </c>
      <c r="M2243" t="s">
        <v>68</v>
      </c>
      <c r="N2243" t="s">
        <v>4891</v>
      </c>
      <c r="O2243" t="s">
        <v>32</v>
      </c>
      <c r="P2243" t="s">
        <v>4906</v>
      </c>
      <c r="Q2243">
        <v>155</v>
      </c>
      <c r="R2243">
        <v>155</v>
      </c>
      <c r="S2243" t="s">
        <v>34</v>
      </c>
      <c r="T2243" t="s">
        <v>35</v>
      </c>
      <c r="W2243">
        <v>0</v>
      </c>
      <c r="X2243">
        <v>0</v>
      </c>
      <c r="Y2243">
        <v>0</v>
      </c>
      <c r="Z2243">
        <v>0</v>
      </c>
    </row>
    <row r="2244" spans="1:26" hidden="1" x14ac:dyDescent="0.25">
      <c r="A2244" t="s">
        <v>4907</v>
      </c>
      <c r="B2244" t="s">
        <v>38</v>
      </c>
      <c r="C2244" s="4">
        <v>45400</v>
      </c>
      <c r="D2244" s="4">
        <v>45930</v>
      </c>
      <c r="F2244" s="4">
        <v>46874</v>
      </c>
      <c r="G2244" t="s">
        <v>132</v>
      </c>
      <c r="H2244" t="s">
        <v>3392</v>
      </c>
      <c r="K2244" t="s">
        <v>83</v>
      </c>
      <c r="L2244" t="s">
        <v>4890</v>
      </c>
      <c r="M2244" t="s">
        <v>84</v>
      </c>
      <c r="N2244" t="s">
        <v>4891</v>
      </c>
      <c r="O2244" t="s">
        <v>32</v>
      </c>
      <c r="P2244" t="s">
        <v>4908</v>
      </c>
      <c r="Q2244">
        <v>175</v>
      </c>
      <c r="R2244">
        <v>175</v>
      </c>
      <c r="S2244" t="s">
        <v>56</v>
      </c>
      <c r="T2244" t="s">
        <v>57</v>
      </c>
      <c r="W2244">
        <v>0</v>
      </c>
      <c r="X2244">
        <v>0</v>
      </c>
      <c r="Y2244">
        <v>0</v>
      </c>
      <c r="Z2244">
        <v>0</v>
      </c>
    </row>
    <row r="2245" spans="1:26" hidden="1" x14ac:dyDescent="0.25">
      <c r="A2245" t="s">
        <v>4909</v>
      </c>
      <c r="B2245" t="s">
        <v>38</v>
      </c>
      <c r="C2245" s="4">
        <v>45396</v>
      </c>
      <c r="D2245" s="4">
        <v>45930</v>
      </c>
      <c r="F2245" s="4">
        <v>47011</v>
      </c>
      <c r="G2245" t="s">
        <v>117</v>
      </c>
      <c r="H2245" t="s">
        <v>2800</v>
      </c>
      <c r="K2245" t="s">
        <v>83</v>
      </c>
      <c r="L2245" t="s">
        <v>4890</v>
      </c>
      <c r="M2245" t="s">
        <v>84</v>
      </c>
      <c r="N2245" t="s">
        <v>4891</v>
      </c>
      <c r="O2245" t="s">
        <v>32</v>
      </c>
      <c r="P2245" t="s">
        <v>1345</v>
      </c>
      <c r="Q2245">
        <v>150</v>
      </c>
      <c r="R2245">
        <v>150</v>
      </c>
      <c r="S2245" t="s">
        <v>34</v>
      </c>
      <c r="T2245" t="s">
        <v>35</v>
      </c>
      <c r="W2245">
        <v>0</v>
      </c>
      <c r="X2245">
        <v>0</v>
      </c>
      <c r="Y2245">
        <v>0</v>
      </c>
      <c r="Z2245">
        <v>0</v>
      </c>
    </row>
    <row r="2246" spans="1:26" hidden="1" x14ac:dyDescent="0.25">
      <c r="A2246" t="s">
        <v>4910</v>
      </c>
      <c r="B2246" t="s">
        <v>38</v>
      </c>
      <c r="C2246" s="4">
        <v>45397</v>
      </c>
      <c r="D2246" s="4">
        <v>45925</v>
      </c>
      <c r="F2246" s="4">
        <v>46905</v>
      </c>
      <c r="G2246" t="s">
        <v>112</v>
      </c>
      <c r="H2246" t="s">
        <v>3025</v>
      </c>
      <c r="K2246" t="s">
        <v>114</v>
      </c>
      <c r="L2246" t="s">
        <v>4890</v>
      </c>
      <c r="M2246" t="s">
        <v>68</v>
      </c>
      <c r="N2246" t="s">
        <v>4891</v>
      </c>
      <c r="O2246" t="s">
        <v>32</v>
      </c>
      <c r="P2246" t="s">
        <v>4911</v>
      </c>
      <c r="Q2246">
        <v>200</v>
      </c>
      <c r="R2246">
        <v>200</v>
      </c>
      <c r="S2246" t="s">
        <v>34</v>
      </c>
      <c r="T2246" t="s">
        <v>35</v>
      </c>
      <c r="W2246">
        <v>0</v>
      </c>
      <c r="X2246">
        <v>0</v>
      </c>
      <c r="Y2246">
        <v>0</v>
      </c>
      <c r="Z2246">
        <v>0</v>
      </c>
    </row>
    <row r="2247" spans="1:26" hidden="1" x14ac:dyDescent="0.25">
      <c r="A2247" t="s">
        <v>4912</v>
      </c>
      <c r="B2247" t="s">
        <v>38</v>
      </c>
      <c r="C2247" s="4">
        <v>45399</v>
      </c>
      <c r="D2247" s="4">
        <v>45782</v>
      </c>
      <c r="F2247" s="4">
        <v>46934</v>
      </c>
      <c r="G2247" t="s">
        <v>117</v>
      </c>
      <c r="H2247" t="s">
        <v>1711</v>
      </c>
      <c r="K2247" t="s">
        <v>83</v>
      </c>
      <c r="L2247" t="s">
        <v>4890</v>
      </c>
      <c r="M2247" t="s">
        <v>84</v>
      </c>
      <c r="N2247" t="s">
        <v>4891</v>
      </c>
      <c r="O2247" t="s">
        <v>32</v>
      </c>
      <c r="P2247" t="s">
        <v>4913</v>
      </c>
      <c r="Q2247">
        <v>150</v>
      </c>
      <c r="R2247">
        <v>150</v>
      </c>
      <c r="S2247" t="s">
        <v>159</v>
      </c>
      <c r="T2247" t="s">
        <v>159</v>
      </c>
      <c r="W2247">
        <v>0</v>
      </c>
      <c r="X2247">
        <v>0</v>
      </c>
      <c r="Y2247">
        <v>0</v>
      </c>
      <c r="Z2247">
        <v>0</v>
      </c>
    </row>
    <row r="2248" spans="1:26" hidden="1" x14ac:dyDescent="0.25">
      <c r="A2248" t="s">
        <v>4914</v>
      </c>
      <c r="B2248" t="s">
        <v>38</v>
      </c>
      <c r="C2248" s="4">
        <v>45378</v>
      </c>
      <c r="D2248" s="4">
        <v>46014</v>
      </c>
      <c r="F2248" s="4">
        <v>46934</v>
      </c>
      <c r="G2248" t="s">
        <v>101</v>
      </c>
      <c r="H2248" t="s">
        <v>4915</v>
      </c>
      <c r="K2248" t="s">
        <v>98</v>
      </c>
      <c r="L2248" t="s">
        <v>4890</v>
      </c>
      <c r="M2248" t="s">
        <v>84</v>
      </c>
      <c r="N2248" t="s">
        <v>4891</v>
      </c>
      <c r="O2248" t="s">
        <v>32</v>
      </c>
      <c r="P2248" t="s">
        <v>1345</v>
      </c>
      <c r="Q2248">
        <v>150</v>
      </c>
      <c r="R2248">
        <v>150</v>
      </c>
      <c r="S2248" t="s">
        <v>159</v>
      </c>
      <c r="T2248" t="s">
        <v>159</v>
      </c>
      <c r="W2248">
        <v>0</v>
      </c>
      <c r="X2248">
        <v>0</v>
      </c>
      <c r="Y2248">
        <v>0</v>
      </c>
      <c r="Z2248">
        <v>0</v>
      </c>
    </row>
    <row r="2249" spans="1:26" hidden="1" x14ac:dyDescent="0.25">
      <c r="A2249" t="s">
        <v>4916</v>
      </c>
      <c r="B2249" t="s">
        <v>38</v>
      </c>
      <c r="C2249" s="4">
        <v>45378</v>
      </c>
      <c r="D2249" s="4">
        <v>45905</v>
      </c>
      <c r="F2249" s="4">
        <v>46934</v>
      </c>
      <c r="G2249" t="s">
        <v>101</v>
      </c>
      <c r="H2249" t="s">
        <v>4915</v>
      </c>
      <c r="K2249" t="s">
        <v>98</v>
      </c>
      <c r="L2249" t="s">
        <v>4890</v>
      </c>
      <c r="M2249" t="s">
        <v>84</v>
      </c>
      <c r="N2249" t="s">
        <v>4891</v>
      </c>
      <c r="O2249" t="s">
        <v>32</v>
      </c>
      <c r="P2249" t="s">
        <v>4917</v>
      </c>
      <c r="Q2249">
        <v>100</v>
      </c>
      <c r="R2249">
        <v>100</v>
      </c>
      <c r="S2249" t="s">
        <v>34</v>
      </c>
      <c r="T2249" t="s">
        <v>35</v>
      </c>
      <c r="W2249">
        <v>0</v>
      </c>
      <c r="X2249">
        <v>0</v>
      </c>
      <c r="Y2249">
        <v>0</v>
      </c>
      <c r="Z2249">
        <v>0</v>
      </c>
    </row>
    <row r="2250" spans="1:26" hidden="1" x14ac:dyDescent="0.25">
      <c r="A2250" t="s">
        <v>4918</v>
      </c>
      <c r="B2250" t="s">
        <v>38</v>
      </c>
      <c r="C2250" s="4">
        <v>45377</v>
      </c>
      <c r="D2250" s="4">
        <v>45905</v>
      </c>
      <c r="F2250" s="4">
        <v>46934</v>
      </c>
      <c r="G2250" t="s">
        <v>681</v>
      </c>
      <c r="H2250" t="s">
        <v>4755</v>
      </c>
      <c r="K2250" t="s">
        <v>683</v>
      </c>
      <c r="L2250" t="s">
        <v>4890</v>
      </c>
      <c r="M2250" t="s">
        <v>84</v>
      </c>
      <c r="N2250" t="s">
        <v>4891</v>
      </c>
      <c r="O2250" t="s">
        <v>32</v>
      </c>
      <c r="P2250" t="s">
        <v>4919</v>
      </c>
      <c r="Q2250">
        <v>150</v>
      </c>
      <c r="R2250">
        <v>150</v>
      </c>
      <c r="S2250" t="s">
        <v>34</v>
      </c>
      <c r="T2250" t="s">
        <v>35</v>
      </c>
      <c r="W2250">
        <v>0</v>
      </c>
      <c r="X2250">
        <v>0</v>
      </c>
      <c r="Y2250">
        <v>0</v>
      </c>
      <c r="Z2250">
        <v>0</v>
      </c>
    </row>
    <row r="2251" spans="1:26" hidden="1" x14ac:dyDescent="0.25">
      <c r="A2251" t="s">
        <v>4920</v>
      </c>
      <c r="B2251" t="s">
        <v>38</v>
      </c>
      <c r="C2251" s="4">
        <v>45387</v>
      </c>
      <c r="D2251" s="4">
        <v>45930</v>
      </c>
      <c r="F2251" s="4">
        <v>46767</v>
      </c>
      <c r="G2251" t="s">
        <v>81</v>
      </c>
      <c r="H2251" t="s">
        <v>1291</v>
      </c>
      <c r="K2251" t="s">
        <v>83</v>
      </c>
      <c r="L2251" t="s">
        <v>4890</v>
      </c>
      <c r="M2251" t="s">
        <v>84</v>
      </c>
      <c r="N2251" t="s">
        <v>4891</v>
      </c>
      <c r="O2251" t="s">
        <v>32</v>
      </c>
      <c r="P2251" t="s">
        <v>4921</v>
      </c>
      <c r="Q2251">
        <v>120</v>
      </c>
      <c r="R2251">
        <v>120</v>
      </c>
      <c r="S2251" t="s">
        <v>34</v>
      </c>
      <c r="T2251" t="s">
        <v>35</v>
      </c>
      <c r="W2251">
        <v>0</v>
      </c>
      <c r="X2251">
        <v>0</v>
      </c>
      <c r="Y2251">
        <v>0</v>
      </c>
      <c r="Z2251">
        <v>0</v>
      </c>
    </row>
    <row r="2252" spans="1:26" hidden="1" x14ac:dyDescent="0.25">
      <c r="A2252" t="s">
        <v>4922</v>
      </c>
      <c r="B2252" t="s">
        <v>38</v>
      </c>
      <c r="C2252" s="4">
        <v>45396</v>
      </c>
      <c r="D2252" s="4">
        <v>45868</v>
      </c>
      <c r="F2252" s="4">
        <v>47011</v>
      </c>
      <c r="G2252" t="s">
        <v>101</v>
      </c>
      <c r="H2252" t="s">
        <v>1873</v>
      </c>
      <c r="K2252" t="s">
        <v>98</v>
      </c>
      <c r="L2252" t="s">
        <v>4890</v>
      </c>
      <c r="M2252" t="s">
        <v>84</v>
      </c>
      <c r="N2252" t="s">
        <v>4891</v>
      </c>
      <c r="O2252" t="s">
        <v>32</v>
      </c>
      <c r="P2252" t="s">
        <v>4923</v>
      </c>
      <c r="Q2252">
        <v>200</v>
      </c>
      <c r="R2252">
        <v>200</v>
      </c>
      <c r="S2252" t="s">
        <v>159</v>
      </c>
      <c r="T2252" t="s">
        <v>159</v>
      </c>
      <c r="W2252">
        <v>0</v>
      </c>
      <c r="X2252">
        <v>0</v>
      </c>
      <c r="Y2252">
        <v>0</v>
      </c>
      <c r="Z2252">
        <v>0</v>
      </c>
    </row>
    <row r="2253" spans="1:26" hidden="1" x14ac:dyDescent="0.25">
      <c r="A2253" t="s">
        <v>4924</v>
      </c>
      <c r="B2253" t="s">
        <v>38</v>
      </c>
      <c r="C2253" s="4">
        <v>45395</v>
      </c>
      <c r="D2253" s="4">
        <v>45930</v>
      </c>
      <c r="F2253" s="4">
        <v>46997</v>
      </c>
      <c r="G2253" t="s">
        <v>1679</v>
      </c>
      <c r="H2253" t="s">
        <v>4377</v>
      </c>
      <c r="K2253" t="s">
        <v>98</v>
      </c>
      <c r="L2253" t="s">
        <v>4890</v>
      </c>
      <c r="M2253" t="s">
        <v>84</v>
      </c>
      <c r="N2253" t="s">
        <v>4891</v>
      </c>
      <c r="O2253" t="s">
        <v>32</v>
      </c>
      <c r="P2253" t="s">
        <v>4925</v>
      </c>
      <c r="Q2253">
        <v>250</v>
      </c>
      <c r="R2253">
        <v>250</v>
      </c>
      <c r="S2253" t="s">
        <v>159</v>
      </c>
      <c r="T2253" t="s">
        <v>159</v>
      </c>
      <c r="W2253">
        <v>0</v>
      </c>
      <c r="X2253">
        <v>0</v>
      </c>
      <c r="Y2253">
        <v>0</v>
      </c>
      <c r="Z2253">
        <v>0</v>
      </c>
    </row>
    <row r="2254" spans="1:26" hidden="1" x14ac:dyDescent="0.25">
      <c r="A2254" t="s">
        <v>4926</v>
      </c>
      <c r="B2254" t="s">
        <v>2153</v>
      </c>
      <c r="C2254" s="4">
        <v>45395</v>
      </c>
      <c r="F2254" s="4">
        <v>46997</v>
      </c>
      <c r="G2254" t="s">
        <v>1679</v>
      </c>
      <c r="H2254" t="s">
        <v>4927</v>
      </c>
      <c r="K2254" t="s">
        <v>98</v>
      </c>
      <c r="L2254" t="s">
        <v>4890</v>
      </c>
      <c r="M2254" t="s">
        <v>84</v>
      </c>
      <c r="N2254" t="s">
        <v>4891</v>
      </c>
      <c r="O2254" t="s">
        <v>32</v>
      </c>
      <c r="P2254" t="s">
        <v>4928</v>
      </c>
      <c r="Q2254">
        <v>200</v>
      </c>
      <c r="R2254">
        <v>200</v>
      </c>
      <c r="S2254" t="s">
        <v>159</v>
      </c>
      <c r="T2254" t="s">
        <v>159</v>
      </c>
      <c r="W2254">
        <v>200</v>
      </c>
      <c r="X2254">
        <v>200</v>
      </c>
      <c r="Y2254">
        <v>0</v>
      </c>
      <c r="Z2254">
        <v>0</v>
      </c>
    </row>
    <row r="2255" spans="1:26" hidden="1" x14ac:dyDescent="0.25">
      <c r="A2255" t="s">
        <v>4929</v>
      </c>
      <c r="B2255" t="s">
        <v>38</v>
      </c>
      <c r="C2255" s="4">
        <v>45396</v>
      </c>
      <c r="D2255" s="4">
        <v>45902</v>
      </c>
      <c r="F2255" s="4">
        <v>47011</v>
      </c>
      <c r="G2255" t="s">
        <v>1381</v>
      </c>
      <c r="H2255" t="s">
        <v>2201</v>
      </c>
      <c r="K2255" t="s">
        <v>209</v>
      </c>
      <c r="L2255" t="s">
        <v>4890</v>
      </c>
      <c r="M2255" t="s">
        <v>42</v>
      </c>
      <c r="N2255" t="s">
        <v>4891</v>
      </c>
      <c r="O2255" t="s">
        <v>32</v>
      </c>
      <c r="P2255" t="s">
        <v>4930</v>
      </c>
      <c r="Q2255">
        <v>150</v>
      </c>
      <c r="R2255">
        <v>150</v>
      </c>
      <c r="S2255" t="s">
        <v>56</v>
      </c>
      <c r="T2255" t="s">
        <v>57</v>
      </c>
      <c r="W2255">
        <v>0</v>
      </c>
      <c r="X2255">
        <v>0</v>
      </c>
      <c r="Y2255">
        <v>0</v>
      </c>
      <c r="Z2255">
        <v>0</v>
      </c>
    </row>
    <row r="2256" spans="1:26" hidden="1" x14ac:dyDescent="0.25">
      <c r="A2256" t="s">
        <v>4931</v>
      </c>
      <c r="B2256" t="s">
        <v>2153</v>
      </c>
      <c r="C2256" s="4">
        <v>45397</v>
      </c>
      <c r="F2256" s="4">
        <v>46905</v>
      </c>
      <c r="G2256" t="s">
        <v>52</v>
      </c>
      <c r="H2256" t="s">
        <v>1393</v>
      </c>
      <c r="K2256" t="s">
        <v>53</v>
      </c>
      <c r="L2256" t="s">
        <v>4890</v>
      </c>
      <c r="M2256" t="s">
        <v>54</v>
      </c>
      <c r="N2256" t="s">
        <v>4891</v>
      </c>
      <c r="O2256" t="s">
        <v>32</v>
      </c>
      <c r="P2256" t="s">
        <v>4932</v>
      </c>
      <c r="Q2256">
        <v>200</v>
      </c>
      <c r="R2256">
        <v>200</v>
      </c>
      <c r="S2256" t="s">
        <v>159</v>
      </c>
      <c r="T2256" t="s">
        <v>159</v>
      </c>
      <c r="W2256">
        <v>200</v>
      </c>
      <c r="X2256">
        <v>200</v>
      </c>
      <c r="Y2256">
        <v>0</v>
      </c>
      <c r="Z2256">
        <v>0</v>
      </c>
    </row>
    <row r="2257" spans="1:26" hidden="1" x14ac:dyDescent="0.25">
      <c r="A2257" t="s">
        <v>4933</v>
      </c>
      <c r="B2257" t="s">
        <v>38</v>
      </c>
      <c r="C2257" s="4">
        <v>45397</v>
      </c>
      <c r="D2257" s="4">
        <v>45800</v>
      </c>
      <c r="F2257" s="4">
        <v>46905</v>
      </c>
      <c r="G2257" t="s">
        <v>907</v>
      </c>
      <c r="H2257" t="s">
        <v>1333</v>
      </c>
      <c r="K2257" t="s">
        <v>53</v>
      </c>
      <c r="L2257" t="s">
        <v>4890</v>
      </c>
      <c r="M2257" t="s">
        <v>54</v>
      </c>
      <c r="N2257" t="s">
        <v>4891</v>
      </c>
      <c r="O2257" t="s">
        <v>32</v>
      </c>
      <c r="P2257" t="s">
        <v>4934</v>
      </c>
      <c r="Q2257">
        <v>200</v>
      </c>
      <c r="R2257">
        <v>200</v>
      </c>
      <c r="S2257" t="s">
        <v>159</v>
      </c>
      <c r="T2257" t="s">
        <v>159</v>
      </c>
      <c r="W2257">
        <v>0</v>
      </c>
      <c r="X2257">
        <v>0</v>
      </c>
      <c r="Y2257">
        <v>0</v>
      </c>
      <c r="Z2257">
        <v>0</v>
      </c>
    </row>
    <row r="2258" spans="1:26" hidden="1" x14ac:dyDescent="0.25">
      <c r="A2258" t="s">
        <v>4935</v>
      </c>
      <c r="B2258" t="s">
        <v>38</v>
      </c>
      <c r="C2258" s="4">
        <v>45377</v>
      </c>
      <c r="D2258" s="4">
        <v>45930</v>
      </c>
      <c r="F2258" s="4">
        <v>46934</v>
      </c>
      <c r="G2258" t="s">
        <v>1136</v>
      </c>
      <c r="H2258" t="s">
        <v>3715</v>
      </c>
      <c r="K2258" t="s">
        <v>67</v>
      </c>
      <c r="L2258" t="s">
        <v>4890</v>
      </c>
      <c r="M2258" t="s">
        <v>68</v>
      </c>
      <c r="N2258" t="s">
        <v>4891</v>
      </c>
      <c r="O2258" t="s">
        <v>32</v>
      </c>
      <c r="P2258" t="s">
        <v>4936</v>
      </c>
      <c r="Q2258">
        <v>150</v>
      </c>
      <c r="R2258">
        <v>150</v>
      </c>
      <c r="S2258" t="s">
        <v>34</v>
      </c>
      <c r="T2258" t="s">
        <v>35</v>
      </c>
      <c r="W2258">
        <v>0</v>
      </c>
      <c r="X2258">
        <v>0</v>
      </c>
      <c r="Y2258">
        <v>0</v>
      </c>
      <c r="Z2258">
        <v>0</v>
      </c>
    </row>
    <row r="2259" spans="1:26" hidden="1" x14ac:dyDescent="0.25">
      <c r="A2259" t="s">
        <v>4937</v>
      </c>
      <c r="B2259" t="s">
        <v>2153</v>
      </c>
      <c r="C2259" s="4">
        <v>45397</v>
      </c>
      <c r="F2259" s="4">
        <v>46386</v>
      </c>
      <c r="G2259" t="s">
        <v>132</v>
      </c>
      <c r="H2259" t="s">
        <v>1887</v>
      </c>
      <c r="K2259" t="s">
        <v>83</v>
      </c>
      <c r="L2259" t="s">
        <v>4890</v>
      </c>
      <c r="M2259" t="s">
        <v>84</v>
      </c>
      <c r="N2259" t="s">
        <v>4891</v>
      </c>
      <c r="O2259" t="s">
        <v>32</v>
      </c>
      <c r="P2259" t="s">
        <v>4938</v>
      </c>
      <c r="Q2259">
        <v>175</v>
      </c>
      <c r="R2259">
        <v>175</v>
      </c>
      <c r="S2259" t="s">
        <v>597</v>
      </c>
      <c r="T2259" t="s">
        <v>598</v>
      </c>
      <c r="W2259">
        <v>175</v>
      </c>
      <c r="X2259">
        <v>175</v>
      </c>
      <c r="Y2259">
        <v>0</v>
      </c>
      <c r="Z2259">
        <v>0</v>
      </c>
    </row>
    <row r="2260" spans="1:26" hidden="1" x14ac:dyDescent="0.25">
      <c r="A2260" t="s">
        <v>4939</v>
      </c>
      <c r="B2260" t="s">
        <v>38</v>
      </c>
      <c r="C2260" s="4">
        <v>45395</v>
      </c>
      <c r="D2260" s="4">
        <v>46014</v>
      </c>
      <c r="F2260" s="4">
        <v>47011</v>
      </c>
      <c r="G2260" t="s">
        <v>1311</v>
      </c>
      <c r="H2260" t="s">
        <v>3909</v>
      </c>
      <c r="K2260" t="s">
        <v>114</v>
      </c>
      <c r="L2260" t="s">
        <v>4890</v>
      </c>
      <c r="M2260" t="s">
        <v>68</v>
      </c>
      <c r="N2260" t="s">
        <v>4891</v>
      </c>
      <c r="O2260" t="s">
        <v>32</v>
      </c>
      <c r="P2260" t="s">
        <v>4940</v>
      </c>
      <c r="Q2260">
        <v>350</v>
      </c>
      <c r="R2260">
        <v>350</v>
      </c>
      <c r="S2260" t="s">
        <v>34</v>
      </c>
      <c r="T2260" t="s">
        <v>35</v>
      </c>
      <c r="W2260">
        <v>0</v>
      </c>
      <c r="X2260">
        <v>0</v>
      </c>
      <c r="Y2260">
        <v>0</v>
      </c>
      <c r="Z2260">
        <v>0</v>
      </c>
    </row>
    <row r="2261" spans="1:26" hidden="1" x14ac:dyDescent="0.25">
      <c r="A2261" t="s">
        <v>4941</v>
      </c>
      <c r="B2261" t="s">
        <v>2153</v>
      </c>
      <c r="C2261" s="4">
        <v>45395</v>
      </c>
      <c r="F2261" s="4">
        <v>46997</v>
      </c>
      <c r="G2261" t="s">
        <v>117</v>
      </c>
      <c r="H2261" t="s">
        <v>1550</v>
      </c>
      <c r="K2261" t="s">
        <v>83</v>
      </c>
      <c r="L2261" t="s">
        <v>4890</v>
      </c>
      <c r="M2261" t="s">
        <v>84</v>
      </c>
      <c r="N2261" t="s">
        <v>4891</v>
      </c>
      <c r="O2261" t="s">
        <v>32</v>
      </c>
      <c r="P2261" t="s">
        <v>4942</v>
      </c>
      <c r="Q2261">
        <v>200</v>
      </c>
      <c r="R2261">
        <v>200</v>
      </c>
      <c r="S2261" t="s">
        <v>34</v>
      </c>
      <c r="T2261" t="s">
        <v>35</v>
      </c>
      <c r="W2261">
        <v>200</v>
      </c>
      <c r="X2261">
        <v>200</v>
      </c>
      <c r="Y2261">
        <v>0</v>
      </c>
      <c r="Z2261">
        <v>0</v>
      </c>
    </row>
    <row r="2262" spans="1:26" hidden="1" x14ac:dyDescent="0.25">
      <c r="A2262" t="s">
        <v>4943</v>
      </c>
      <c r="B2262" t="s">
        <v>38</v>
      </c>
      <c r="C2262" s="4">
        <v>45400</v>
      </c>
      <c r="D2262" s="4">
        <v>45930</v>
      </c>
      <c r="F2262" s="4">
        <v>46296</v>
      </c>
      <c r="G2262" t="s">
        <v>254</v>
      </c>
      <c r="H2262" t="s">
        <v>1887</v>
      </c>
      <c r="K2262" t="s">
        <v>98</v>
      </c>
      <c r="L2262" t="s">
        <v>4890</v>
      </c>
      <c r="M2262" t="s">
        <v>84</v>
      </c>
      <c r="N2262" t="s">
        <v>4891</v>
      </c>
      <c r="O2262" t="s">
        <v>32</v>
      </c>
      <c r="P2262" t="s">
        <v>4944</v>
      </c>
      <c r="Q2262">
        <v>190</v>
      </c>
      <c r="R2262">
        <v>190</v>
      </c>
      <c r="S2262" t="s">
        <v>34</v>
      </c>
      <c r="T2262" t="s">
        <v>35</v>
      </c>
      <c r="W2262">
        <v>0</v>
      </c>
      <c r="X2262">
        <v>0</v>
      </c>
      <c r="Y2262">
        <v>0</v>
      </c>
      <c r="Z2262">
        <v>0</v>
      </c>
    </row>
    <row r="2263" spans="1:26" hidden="1" x14ac:dyDescent="0.25">
      <c r="A2263" t="s">
        <v>4945</v>
      </c>
      <c r="B2263" t="s">
        <v>38</v>
      </c>
      <c r="C2263" s="4">
        <v>45399</v>
      </c>
      <c r="D2263" s="4">
        <v>46013</v>
      </c>
      <c r="F2263" s="4">
        <v>47002</v>
      </c>
      <c r="G2263" t="s">
        <v>52</v>
      </c>
      <c r="H2263" t="s">
        <v>1362</v>
      </c>
      <c r="K2263" t="s">
        <v>53</v>
      </c>
      <c r="L2263" t="s">
        <v>4890</v>
      </c>
      <c r="M2263" t="s">
        <v>54</v>
      </c>
      <c r="N2263" t="s">
        <v>4891</v>
      </c>
      <c r="O2263" t="s">
        <v>32</v>
      </c>
      <c r="P2263" t="s">
        <v>4946</v>
      </c>
      <c r="Q2263">
        <v>200</v>
      </c>
      <c r="R2263">
        <v>200</v>
      </c>
      <c r="S2263" t="s">
        <v>159</v>
      </c>
      <c r="T2263" t="s">
        <v>159</v>
      </c>
      <c r="W2263">
        <v>0</v>
      </c>
      <c r="X2263">
        <v>0</v>
      </c>
      <c r="Y2263">
        <v>0</v>
      </c>
      <c r="Z2263">
        <v>0</v>
      </c>
    </row>
    <row r="2264" spans="1:26" hidden="1" x14ac:dyDescent="0.25">
      <c r="A2264" t="s">
        <v>4947</v>
      </c>
      <c r="B2264" t="s">
        <v>38</v>
      </c>
      <c r="C2264" s="4">
        <v>45399</v>
      </c>
      <c r="D2264" s="4">
        <v>45930</v>
      </c>
      <c r="F2264" s="4">
        <v>47002</v>
      </c>
      <c r="G2264" t="s">
        <v>173</v>
      </c>
      <c r="H2264" t="s">
        <v>1479</v>
      </c>
      <c r="K2264" t="s">
        <v>41</v>
      </c>
      <c r="L2264" t="s">
        <v>4890</v>
      </c>
      <c r="M2264" t="s">
        <v>42</v>
      </c>
      <c r="N2264" t="s">
        <v>4891</v>
      </c>
      <c r="O2264" t="s">
        <v>32</v>
      </c>
      <c r="P2264" t="s">
        <v>4948</v>
      </c>
      <c r="Q2264">
        <v>250</v>
      </c>
      <c r="R2264">
        <v>250</v>
      </c>
      <c r="S2264" t="s">
        <v>159</v>
      </c>
      <c r="T2264" t="s">
        <v>159</v>
      </c>
      <c r="W2264">
        <v>0</v>
      </c>
      <c r="X2264">
        <v>0</v>
      </c>
      <c r="Y2264">
        <v>0</v>
      </c>
      <c r="Z2264">
        <v>0</v>
      </c>
    </row>
    <row r="2265" spans="1:26" hidden="1" x14ac:dyDescent="0.25">
      <c r="A2265" t="s">
        <v>4949</v>
      </c>
      <c r="B2265" t="s">
        <v>38</v>
      </c>
      <c r="C2265" s="4">
        <v>45379</v>
      </c>
      <c r="D2265" s="4">
        <v>45930</v>
      </c>
      <c r="F2265" s="4">
        <v>46767</v>
      </c>
      <c r="G2265" t="s">
        <v>117</v>
      </c>
      <c r="H2265" t="s">
        <v>3526</v>
      </c>
      <c r="K2265" t="s">
        <v>83</v>
      </c>
      <c r="L2265" t="s">
        <v>4890</v>
      </c>
      <c r="M2265" t="s">
        <v>84</v>
      </c>
      <c r="N2265" t="s">
        <v>4891</v>
      </c>
      <c r="O2265" t="s">
        <v>32</v>
      </c>
      <c r="P2265" t="s">
        <v>4950</v>
      </c>
      <c r="Q2265">
        <v>97</v>
      </c>
      <c r="R2265">
        <v>97</v>
      </c>
      <c r="S2265" t="s">
        <v>34</v>
      </c>
      <c r="T2265" t="s">
        <v>35</v>
      </c>
      <c r="W2265">
        <v>0</v>
      </c>
      <c r="X2265">
        <v>0</v>
      </c>
      <c r="Y2265">
        <v>0</v>
      </c>
      <c r="Z2265">
        <v>0</v>
      </c>
    </row>
    <row r="2266" spans="1:26" hidden="1" x14ac:dyDescent="0.25">
      <c r="A2266" t="s">
        <v>4951</v>
      </c>
      <c r="B2266" t="s">
        <v>38</v>
      </c>
      <c r="C2266" s="4">
        <v>45377</v>
      </c>
      <c r="D2266" s="4">
        <v>45930</v>
      </c>
      <c r="F2266" s="4">
        <v>46934</v>
      </c>
      <c r="G2266" t="s">
        <v>1311</v>
      </c>
      <c r="H2266" t="s">
        <v>2496</v>
      </c>
      <c r="K2266" t="s">
        <v>114</v>
      </c>
      <c r="L2266" t="s">
        <v>4890</v>
      </c>
      <c r="M2266" t="s">
        <v>68</v>
      </c>
      <c r="N2266" t="s">
        <v>4891</v>
      </c>
      <c r="O2266" t="s">
        <v>32</v>
      </c>
      <c r="P2266" t="s">
        <v>4952</v>
      </c>
      <c r="Q2266">
        <v>200</v>
      </c>
      <c r="R2266">
        <v>200</v>
      </c>
      <c r="S2266" t="s">
        <v>34</v>
      </c>
      <c r="T2266" t="s">
        <v>35</v>
      </c>
      <c r="W2266">
        <v>0</v>
      </c>
      <c r="X2266">
        <v>0</v>
      </c>
      <c r="Y2266">
        <v>0</v>
      </c>
      <c r="Z2266">
        <v>0</v>
      </c>
    </row>
    <row r="2267" spans="1:26" hidden="1" x14ac:dyDescent="0.25">
      <c r="A2267" t="s">
        <v>4953</v>
      </c>
      <c r="B2267" t="s">
        <v>38</v>
      </c>
      <c r="C2267" s="4">
        <v>45394</v>
      </c>
      <c r="D2267" s="4">
        <v>46014</v>
      </c>
      <c r="F2267" s="4">
        <v>46813</v>
      </c>
      <c r="G2267" t="s">
        <v>149</v>
      </c>
      <c r="H2267" t="s">
        <v>1279</v>
      </c>
      <c r="K2267" t="s">
        <v>151</v>
      </c>
      <c r="L2267" t="s">
        <v>4890</v>
      </c>
      <c r="M2267" t="s">
        <v>68</v>
      </c>
      <c r="N2267" t="s">
        <v>4891</v>
      </c>
      <c r="O2267" t="s">
        <v>32</v>
      </c>
      <c r="P2267" t="s">
        <v>4954</v>
      </c>
      <c r="Q2267">
        <v>300</v>
      </c>
      <c r="R2267">
        <v>300</v>
      </c>
      <c r="S2267" t="s">
        <v>56</v>
      </c>
      <c r="T2267" t="s">
        <v>57</v>
      </c>
      <c r="W2267">
        <v>0</v>
      </c>
      <c r="X2267">
        <v>0</v>
      </c>
      <c r="Y2267">
        <v>0</v>
      </c>
      <c r="Z2267">
        <v>0</v>
      </c>
    </row>
    <row r="2268" spans="1:26" hidden="1" x14ac:dyDescent="0.25">
      <c r="A2268" t="s">
        <v>4955</v>
      </c>
      <c r="B2268" t="s">
        <v>38</v>
      </c>
      <c r="C2268" s="4">
        <v>45397</v>
      </c>
      <c r="D2268" s="4">
        <v>45925</v>
      </c>
      <c r="F2268" s="4">
        <v>46905</v>
      </c>
      <c r="G2268" t="s">
        <v>1136</v>
      </c>
      <c r="H2268" t="s">
        <v>4510</v>
      </c>
      <c r="K2268" t="s">
        <v>4956</v>
      </c>
      <c r="L2268" t="s">
        <v>4890</v>
      </c>
      <c r="M2268" t="s">
        <v>68</v>
      </c>
      <c r="N2268" t="s">
        <v>4891</v>
      </c>
      <c r="O2268" t="s">
        <v>32</v>
      </c>
      <c r="P2268" t="s">
        <v>4957</v>
      </c>
      <c r="Q2268">
        <v>150</v>
      </c>
      <c r="R2268">
        <v>150</v>
      </c>
      <c r="S2268" t="s">
        <v>34</v>
      </c>
      <c r="T2268" t="s">
        <v>35</v>
      </c>
      <c r="W2268">
        <v>0</v>
      </c>
      <c r="X2268">
        <v>0</v>
      </c>
      <c r="Y2268">
        <v>0</v>
      </c>
      <c r="Z2268">
        <v>0</v>
      </c>
    </row>
    <row r="2269" spans="1:26" hidden="1" x14ac:dyDescent="0.25">
      <c r="A2269" t="s">
        <v>4958</v>
      </c>
      <c r="B2269" t="s">
        <v>38</v>
      </c>
      <c r="C2269" s="4">
        <v>45394</v>
      </c>
      <c r="D2269" s="4">
        <v>46014</v>
      </c>
      <c r="F2269" s="4">
        <v>46997</v>
      </c>
      <c r="G2269" t="s">
        <v>52</v>
      </c>
      <c r="H2269" t="s">
        <v>1574</v>
      </c>
      <c r="K2269" t="s">
        <v>53</v>
      </c>
      <c r="L2269" t="s">
        <v>4890</v>
      </c>
      <c r="M2269" t="s">
        <v>54</v>
      </c>
      <c r="N2269" t="s">
        <v>4891</v>
      </c>
      <c r="O2269" t="s">
        <v>32</v>
      </c>
      <c r="P2269" t="s">
        <v>4959</v>
      </c>
      <c r="Q2269">
        <v>300</v>
      </c>
      <c r="R2269">
        <v>300</v>
      </c>
      <c r="S2269" t="s">
        <v>159</v>
      </c>
      <c r="T2269" t="s">
        <v>159</v>
      </c>
      <c r="W2269">
        <v>0</v>
      </c>
      <c r="X2269">
        <v>0</v>
      </c>
      <c r="Y2269">
        <v>0</v>
      </c>
      <c r="Z2269">
        <v>0</v>
      </c>
    </row>
    <row r="2270" spans="1:26" hidden="1" x14ac:dyDescent="0.25">
      <c r="A2270" t="s">
        <v>4960</v>
      </c>
      <c r="B2270" t="s">
        <v>38</v>
      </c>
      <c r="C2270" s="4">
        <v>45393</v>
      </c>
      <c r="D2270" s="4">
        <v>46014</v>
      </c>
      <c r="F2270" s="4">
        <v>46982</v>
      </c>
      <c r="G2270" t="s">
        <v>39</v>
      </c>
      <c r="H2270" t="s">
        <v>4961</v>
      </c>
      <c r="K2270" t="s">
        <v>62</v>
      </c>
      <c r="L2270" t="s">
        <v>4890</v>
      </c>
      <c r="M2270" t="s">
        <v>42</v>
      </c>
      <c r="N2270" t="s">
        <v>4891</v>
      </c>
      <c r="O2270" t="s">
        <v>32</v>
      </c>
      <c r="P2270" t="s">
        <v>4962</v>
      </c>
      <c r="Q2270">
        <v>175</v>
      </c>
      <c r="R2270">
        <v>175</v>
      </c>
      <c r="S2270" t="s">
        <v>159</v>
      </c>
      <c r="T2270" t="s">
        <v>159</v>
      </c>
      <c r="W2270">
        <v>0</v>
      </c>
      <c r="X2270">
        <v>0</v>
      </c>
      <c r="Y2270">
        <v>0</v>
      </c>
      <c r="Z2270">
        <v>0</v>
      </c>
    </row>
    <row r="2271" spans="1:26" hidden="1" x14ac:dyDescent="0.25">
      <c r="A2271" t="s">
        <v>4963</v>
      </c>
      <c r="B2271" t="s">
        <v>38</v>
      </c>
      <c r="C2271" s="4">
        <v>45393</v>
      </c>
      <c r="D2271" s="4">
        <v>46014</v>
      </c>
      <c r="F2271" s="4">
        <v>46982</v>
      </c>
      <c r="G2271" t="s">
        <v>177</v>
      </c>
      <c r="H2271" t="s">
        <v>2664</v>
      </c>
      <c r="K2271" t="s">
        <v>185</v>
      </c>
      <c r="L2271" t="s">
        <v>4890</v>
      </c>
      <c r="M2271" t="s">
        <v>42</v>
      </c>
      <c r="N2271" t="s">
        <v>4891</v>
      </c>
      <c r="O2271" t="s">
        <v>32</v>
      </c>
      <c r="P2271" t="s">
        <v>2665</v>
      </c>
      <c r="Q2271">
        <v>175</v>
      </c>
      <c r="R2271">
        <v>175</v>
      </c>
      <c r="S2271" t="s">
        <v>159</v>
      </c>
      <c r="T2271" t="s">
        <v>159</v>
      </c>
      <c r="W2271">
        <v>0</v>
      </c>
      <c r="X2271">
        <v>0</v>
      </c>
      <c r="Y2271">
        <v>0</v>
      </c>
      <c r="Z2271">
        <v>0</v>
      </c>
    </row>
    <row r="2272" spans="1:26" hidden="1" x14ac:dyDescent="0.25">
      <c r="A2272" t="s">
        <v>4964</v>
      </c>
      <c r="B2272" t="s">
        <v>38</v>
      </c>
      <c r="C2272" s="4">
        <v>45397</v>
      </c>
      <c r="D2272" s="4">
        <v>45800</v>
      </c>
      <c r="F2272" s="4">
        <v>46905</v>
      </c>
      <c r="G2272" t="s">
        <v>52</v>
      </c>
      <c r="H2272" t="s">
        <v>1393</v>
      </c>
      <c r="K2272" t="s">
        <v>53</v>
      </c>
      <c r="L2272" t="s">
        <v>4890</v>
      </c>
      <c r="M2272" t="s">
        <v>54</v>
      </c>
      <c r="N2272" t="s">
        <v>4891</v>
      </c>
      <c r="O2272" t="s">
        <v>32</v>
      </c>
      <c r="P2272" t="s">
        <v>4932</v>
      </c>
      <c r="Q2272">
        <v>50</v>
      </c>
      <c r="R2272">
        <v>50</v>
      </c>
      <c r="S2272" t="s">
        <v>34</v>
      </c>
      <c r="T2272" t="s">
        <v>35</v>
      </c>
      <c r="W2272">
        <v>0</v>
      </c>
      <c r="X2272">
        <v>0</v>
      </c>
      <c r="Y2272">
        <v>0</v>
      </c>
      <c r="Z2272">
        <v>0</v>
      </c>
    </row>
    <row r="2273" spans="1:26" hidden="1" x14ac:dyDescent="0.25">
      <c r="A2273" t="s">
        <v>4965</v>
      </c>
      <c r="B2273" t="s">
        <v>2153</v>
      </c>
      <c r="C2273" s="4">
        <v>45400</v>
      </c>
      <c r="F2273" s="4">
        <v>46640</v>
      </c>
      <c r="G2273" t="s">
        <v>52</v>
      </c>
      <c r="H2273" t="s">
        <v>2521</v>
      </c>
      <c r="K2273" t="s">
        <v>53</v>
      </c>
      <c r="L2273" t="s">
        <v>4890</v>
      </c>
      <c r="M2273" t="s">
        <v>54</v>
      </c>
      <c r="N2273" t="s">
        <v>4891</v>
      </c>
      <c r="O2273" t="s">
        <v>32</v>
      </c>
      <c r="P2273" t="s">
        <v>2522</v>
      </c>
      <c r="Q2273">
        <v>100</v>
      </c>
      <c r="R2273">
        <v>100</v>
      </c>
      <c r="S2273" t="s">
        <v>159</v>
      </c>
      <c r="T2273" t="s">
        <v>159</v>
      </c>
      <c r="W2273">
        <v>100</v>
      </c>
      <c r="X2273">
        <v>100</v>
      </c>
      <c r="Y2273">
        <v>0</v>
      </c>
      <c r="Z2273">
        <v>0</v>
      </c>
    </row>
    <row r="2274" spans="1:26" hidden="1" x14ac:dyDescent="0.25">
      <c r="A2274" t="s">
        <v>4966</v>
      </c>
      <c r="B2274" t="s">
        <v>38</v>
      </c>
      <c r="C2274" s="4">
        <v>45399</v>
      </c>
      <c r="D2274" s="4">
        <v>45929</v>
      </c>
      <c r="F2274" s="4">
        <v>46693</v>
      </c>
      <c r="G2274" t="s">
        <v>117</v>
      </c>
      <c r="H2274" t="s">
        <v>3459</v>
      </c>
      <c r="K2274" t="s">
        <v>83</v>
      </c>
      <c r="L2274" t="s">
        <v>4890</v>
      </c>
      <c r="M2274" t="s">
        <v>84</v>
      </c>
      <c r="N2274" t="s">
        <v>4891</v>
      </c>
      <c r="O2274" t="s">
        <v>32</v>
      </c>
      <c r="P2274" t="s">
        <v>4967</v>
      </c>
      <c r="Q2274">
        <v>300</v>
      </c>
      <c r="R2274">
        <v>300</v>
      </c>
      <c r="S2274" t="s">
        <v>34</v>
      </c>
      <c r="T2274" t="s">
        <v>35</v>
      </c>
      <c r="W2274">
        <v>0</v>
      </c>
      <c r="X2274">
        <v>0</v>
      </c>
      <c r="Y2274">
        <v>0</v>
      </c>
      <c r="Z2274">
        <v>0</v>
      </c>
    </row>
    <row r="2275" spans="1:26" hidden="1" x14ac:dyDescent="0.25">
      <c r="A2275" t="s">
        <v>4968</v>
      </c>
      <c r="B2275" t="s">
        <v>38</v>
      </c>
      <c r="C2275" s="4">
        <v>45399</v>
      </c>
      <c r="D2275" s="4">
        <v>46014</v>
      </c>
      <c r="F2275" s="4">
        <v>47000</v>
      </c>
      <c r="G2275" t="s">
        <v>65</v>
      </c>
      <c r="H2275" t="s">
        <v>3380</v>
      </c>
      <c r="K2275" t="s">
        <v>67</v>
      </c>
      <c r="L2275" t="s">
        <v>4890</v>
      </c>
      <c r="M2275" t="s">
        <v>68</v>
      </c>
      <c r="N2275" t="s">
        <v>4891</v>
      </c>
      <c r="O2275" t="s">
        <v>32</v>
      </c>
      <c r="P2275" t="s">
        <v>4969</v>
      </c>
      <c r="Q2275">
        <v>250</v>
      </c>
      <c r="R2275">
        <v>250</v>
      </c>
      <c r="S2275" t="s">
        <v>34</v>
      </c>
      <c r="T2275" t="s">
        <v>35</v>
      </c>
      <c r="W2275">
        <v>0</v>
      </c>
      <c r="X2275">
        <v>0</v>
      </c>
      <c r="Y2275">
        <v>0</v>
      </c>
      <c r="Z2275">
        <v>0</v>
      </c>
    </row>
    <row r="2276" spans="1:26" hidden="1" x14ac:dyDescent="0.25">
      <c r="A2276" t="s">
        <v>4970</v>
      </c>
      <c r="B2276" t="s">
        <v>38</v>
      </c>
      <c r="C2276" s="4">
        <v>45399</v>
      </c>
      <c r="D2276" s="4">
        <v>45903</v>
      </c>
      <c r="F2276" s="4">
        <v>47000</v>
      </c>
      <c r="G2276" t="s">
        <v>1136</v>
      </c>
      <c r="H2276" t="s">
        <v>1327</v>
      </c>
      <c r="K2276" t="s">
        <v>67</v>
      </c>
      <c r="L2276" t="s">
        <v>4890</v>
      </c>
      <c r="M2276" t="s">
        <v>68</v>
      </c>
      <c r="N2276" t="s">
        <v>4891</v>
      </c>
      <c r="O2276" t="s">
        <v>32</v>
      </c>
      <c r="P2276" t="s">
        <v>4192</v>
      </c>
      <c r="Q2276">
        <v>230</v>
      </c>
      <c r="R2276">
        <v>230</v>
      </c>
      <c r="S2276" t="s">
        <v>34</v>
      </c>
      <c r="T2276" t="s">
        <v>35</v>
      </c>
      <c r="W2276">
        <v>0</v>
      </c>
      <c r="X2276">
        <v>0</v>
      </c>
      <c r="Y2276">
        <v>0</v>
      </c>
      <c r="Z2276">
        <v>0</v>
      </c>
    </row>
    <row r="2277" spans="1:26" hidden="1" x14ac:dyDescent="0.25">
      <c r="A2277" t="s">
        <v>4971</v>
      </c>
      <c r="B2277" t="s">
        <v>38</v>
      </c>
      <c r="C2277" s="4">
        <v>45392</v>
      </c>
      <c r="D2277" s="4">
        <v>45887</v>
      </c>
      <c r="F2277" s="4">
        <v>46852</v>
      </c>
      <c r="G2277" t="s">
        <v>144</v>
      </c>
      <c r="H2277" t="s">
        <v>2382</v>
      </c>
      <c r="K2277" t="s">
        <v>146</v>
      </c>
      <c r="L2277" t="s">
        <v>4890</v>
      </c>
      <c r="M2277" t="s">
        <v>68</v>
      </c>
      <c r="N2277" t="s">
        <v>4891</v>
      </c>
      <c r="O2277" t="s">
        <v>32</v>
      </c>
      <c r="P2277" t="s">
        <v>4972</v>
      </c>
      <c r="Q2277">
        <v>85</v>
      </c>
      <c r="R2277">
        <v>85</v>
      </c>
      <c r="S2277" t="s">
        <v>34</v>
      </c>
      <c r="T2277" t="s">
        <v>35</v>
      </c>
      <c r="W2277">
        <v>0</v>
      </c>
      <c r="X2277">
        <v>0</v>
      </c>
      <c r="Y2277">
        <v>0</v>
      </c>
      <c r="Z2277">
        <v>0</v>
      </c>
    </row>
    <row r="2278" spans="1:26" hidden="1" x14ac:dyDescent="0.25">
      <c r="A2278" t="s">
        <v>4973</v>
      </c>
      <c r="B2278" t="s">
        <v>38</v>
      </c>
      <c r="C2278" s="4">
        <v>45398</v>
      </c>
      <c r="D2278" s="4">
        <v>46014</v>
      </c>
      <c r="F2278" s="4">
        <v>46447</v>
      </c>
      <c r="G2278" t="s">
        <v>144</v>
      </c>
      <c r="H2278" t="s">
        <v>1648</v>
      </c>
      <c r="K2278" t="s">
        <v>146</v>
      </c>
      <c r="L2278" t="s">
        <v>4890</v>
      </c>
      <c r="M2278" t="s">
        <v>68</v>
      </c>
      <c r="N2278" t="s">
        <v>4891</v>
      </c>
      <c r="O2278" t="s">
        <v>32</v>
      </c>
      <c r="P2278" t="s">
        <v>4974</v>
      </c>
      <c r="Q2278">
        <v>473.8</v>
      </c>
      <c r="R2278">
        <v>473.8</v>
      </c>
      <c r="S2278" t="s">
        <v>56</v>
      </c>
      <c r="T2278" t="s">
        <v>57</v>
      </c>
      <c r="W2278">
        <v>0</v>
      </c>
      <c r="X2278">
        <v>0</v>
      </c>
      <c r="Y2278">
        <v>0</v>
      </c>
      <c r="Z2278">
        <v>0</v>
      </c>
    </row>
    <row r="2279" spans="1:26" hidden="1" x14ac:dyDescent="0.25">
      <c r="A2279" t="s">
        <v>4975</v>
      </c>
      <c r="B2279" t="s">
        <v>2153</v>
      </c>
      <c r="C2279" s="4">
        <v>45397</v>
      </c>
      <c r="F2279" s="4">
        <v>47058</v>
      </c>
      <c r="G2279" t="s">
        <v>52</v>
      </c>
      <c r="H2279" t="s">
        <v>3920</v>
      </c>
      <c r="K2279" t="s">
        <v>53</v>
      </c>
      <c r="L2279" t="s">
        <v>4890</v>
      </c>
      <c r="M2279" t="s">
        <v>54</v>
      </c>
      <c r="N2279" t="s">
        <v>4891</v>
      </c>
      <c r="O2279" t="s">
        <v>32</v>
      </c>
      <c r="P2279" t="s">
        <v>4976</v>
      </c>
      <c r="Q2279">
        <v>290</v>
      </c>
      <c r="R2279">
        <v>290</v>
      </c>
      <c r="S2279" t="s">
        <v>34</v>
      </c>
      <c r="T2279" t="s">
        <v>35</v>
      </c>
      <c r="W2279">
        <v>290</v>
      </c>
      <c r="X2279">
        <v>290</v>
      </c>
      <c r="Y2279">
        <v>0</v>
      </c>
      <c r="Z2279">
        <v>0</v>
      </c>
    </row>
    <row r="2280" spans="1:26" hidden="1" x14ac:dyDescent="0.25">
      <c r="A2280" t="s">
        <v>4977</v>
      </c>
      <c r="B2280" t="s">
        <v>2153</v>
      </c>
      <c r="C2280" s="4">
        <v>45399</v>
      </c>
      <c r="F2280" s="4">
        <v>47000</v>
      </c>
      <c r="G2280" t="s">
        <v>173</v>
      </c>
      <c r="H2280" t="s">
        <v>2569</v>
      </c>
      <c r="K2280" t="s">
        <v>41</v>
      </c>
      <c r="L2280" t="s">
        <v>4890</v>
      </c>
      <c r="M2280" t="s">
        <v>42</v>
      </c>
      <c r="N2280" t="s">
        <v>4891</v>
      </c>
      <c r="O2280" t="s">
        <v>32</v>
      </c>
      <c r="P2280" t="s">
        <v>4978</v>
      </c>
      <c r="Q2280">
        <v>249</v>
      </c>
      <c r="R2280">
        <v>249</v>
      </c>
      <c r="S2280" t="s">
        <v>56</v>
      </c>
      <c r="T2280" t="s">
        <v>57</v>
      </c>
      <c r="W2280">
        <v>249</v>
      </c>
      <c r="X2280">
        <v>249</v>
      </c>
      <c r="Y2280">
        <v>0</v>
      </c>
      <c r="Z2280">
        <v>0</v>
      </c>
    </row>
    <row r="2281" spans="1:26" hidden="1" x14ac:dyDescent="0.25">
      <c r="A2281" t="s">
        <v>4979</v>
      </c>
      <c r="B2281" t="s">
        <v>38</v>
      </c>
      <c r="C2281" s="4">
        <v>45394</v>
      </c>
      <c r="D2281" s="4">
        <v>45896</v>
      </c>
      <c r="F2281" s="4">
        <v>47026</v>
      </c>
      <c r="G2281" t="s">
        <v>117</v>
      </c>
      <c r="H2281" t="s">
        <v>1887</v>
      </c>
      <c r="K2281" t="s">
        <v>83</v>
      </c>
      <c r="L2281" t="s">
        <v>4890</v>
      </c>
      <c r="M2281" t="s">
        <v>84</v>
      </c>
      <c r="N2281" t="s">
        <v>4891</v>
      </c>
      <c r="O2281" t="s">
        <v>32</v>
      </c>
      <c r="P2281" t="s">
        <v>4980</v>
      </c>
      <c r="Q2281">
        <v>200</v>
      </c>
      <c r="R2281">
        <v>200</v>
      </c>
      <c r="S2281" t="s">
        <v>34</v>
      </c>
      <c r="T2281" t="s">
        <v>35</v>
      </c>
      <c r="W2281">
        <v>0</v>
      </c>
      <c r="X2281">
        <v>0</v>
      </c>
      <c r="Y2281">
        <v>0</v>
      </c>
      <c r="Z2281">
        <v>0</v>
      </c>
    </row>
    <row r="2282" spans="1:26" hidden="1" x14ac:dyDescent="0.25">
      <c r="A2282" t="s">
        <v>4981</v>
      </c>
      <c r="B2282" t="s">
        <v>38</v>
      </c>
      <c r="C2282" s="4">
        <v>45399</v>
      </c>
      <c r="D2282" s="4">
        <v>45930</v>
      </c>
      <c r="F2282" s="4">
        <v>46982</v>
      </c>
      <c r="G2282" t="s">
        <v>52</v>
      </c>
      <c r="H2282" t="s">
        <v>2288</v>
      </c>
      <c r="K2282" t="s">
        <v>53</v>
      </c>
      <c r="L2282" t="s">
        <v>4890</v>
      </c>
      <c r="M2282" t="s">
        <v>54</v>
      </c>
      <c r="N2282" t="s">
        <v>4891</v>
      </c>
      <c r="O2282" t="s">
        <v>32</v>
      </c>
      <c r="P2282" t="s">
        <v>1345</v>
      </c>
      <c r="Q2282">
        <v>175</v>
      </c>
      <c r="R2282">
        <v>175</v>
      </c>
      <c r="S2282" t="s">
        <v>159</v>
      </c>
      <c r="T2282" t="s">
        <v>159</v>
      </c>
      <c r="W2282">
        <v>0</v>
      </c>
      <c r="X2282">
        <v>0</v>
      </c>
      <c r="Y2282">
        <v>0</v>
      </c>
      <c r="Z2282">
        <v>0</v>
      </c>
    </row>
    <row r="2283" spans="1:26" hidden="1" x14ac:dyDescent="0.25">
      <c r="A2283" t="s">
        <v>4982</v>
      </c>
      <c r="B2283" t="s">
        <v>38</v>
      </c>
      <c r="C2283" s="4">
        <v>45398</v>
      </c>
      <c r="D2283" s="4">
        <v>46014</v>
      </c>
      <c r="F2283" s="4">
        <v>46966</v>
      </c>
      <c r="G2283" t="s">
        <v>173</v>
      </c>
      <c r="H2283" t="s">
        <v>4983</v>
      </c>
      <c r="K2283" t="s">
        <v>41</v>
      </c>
      <c r="L2283" t="s">
        <v>4890</v>
      </c>
      <c r="M2283" t="s">
        <v>42</v>
      </c>
      <c r="N2283" t="s">
        <v>4891</v>
      </c>
      <c r="O2283" t="s">
        <v>32</v>
      </c>
      <c r="P2283" t="s">
        <v>4984</v>
      </c>
      <c r="Q2283">
        <v>90</v>
      </c>
      <c r="R2283">
        <v>90</v>
      </c>
      <c r="S2283" t="s">
        <v>34</v>
      </c>
      <c r="T2283" t="s">
        <v>35</v>
      </c>
      <c r="W2283">
        <v>0</v>
      </c>
      <c r="X2283">
        <v>0</v>
      </c>
      <c r="Y2283">
        <v>0</v>
      </c>
      <c r="Z2283">
        <v>0</v>
      </c>
    </row>
    <row r="2284" spans="1:26" hidden="1" x14ac:dyDescent="0.25">
      <c r="A2284" t="s">
        <v>4985</v>
      </c>
      <c r="B2284" t="s">
        <v>38</v>
      </c>
      <c r="C2284" s="4">
        <v>45399</v>
      </c>
      <c r="D2284" s="4">
        <v>45930</v>
      </c>
      <c r="F2284" s="4">
        <v>47000</v>
      </c>
      <c r="G2284" t="s">
        <v>183</v>
      </c>
      <c r="H2284" t="s">
        <v>1347</v>
      </c>
      <c r="K2284" t="s">
        <v>62</v>
      </c>
      <c r="L2284" t="s">
        <v>4890</v>
      </c>
      <c r="M2284" t="s">
        <v>42</v>
      </c>
      <c r="N2284" t="s">
        <v>4891</v>
      </c>
      <c r="O2284" t="s">
        <v>32</v>
      </c>
      <c r="P2284" t="s">
        <v>2445</v>
      </c>
      <c r="Q2284">
        <v>300</v>
      </c>
      <c r="R2284">
        <v>300</v>
      </c>
      <c r="S2284" t="s">
        <v>56</v>
      </c>
      <c r="T2284" t="s">
        <v>57</v>
      </c>
      <c r="W2284">
        <v>0</v>
      </c>
      <c r="X2284">
        <v>0</v>
      </c>
      <c r="Y2284">
        <v>0</v>
      </c>
      <c r="Z2284">
        <v>0</v>
      </c>
    </row>
    <row r="2285" spans="1:26" hidden="1" x14ac:dyDescent="0.25">
      <c r="A2285" t="s">
        <v>4986</v>
      </c>
      <c r="B2285" t="s">
        <v>2153</v>
      </c>
      <c r="C2285" s="4">
        <v>45399</v>
      </c>
      <c r="F2285" s="4">
        <v>46997</v>
      </c>
      <c r="G2285" t="s">
        <v>2975</v>
      </c>
      <c r="H2285" t="s">
        <v>4987</v>
      </c>
      <c r="K2285" t="s">
        <v>185</v>
      </c>
      <c r="L2285" t="s">
        <v>4890</v>
      </c>
      <c r="M2285" t="s">
        <v>42</v>
      </c>
      <c r="N2285" t="s">
        <v>4891</v>
      </c>
      <c r="O2285" t="s">
        <v>32</v>
      </c>
      <c r="P2285" t="s">
        <v>4988</v>
      </c>
      <c r="Q2285">
        <v>300</v>
      </c>
      <c r="R2285">
        <v>300</v>
      </c>
      <c r="S2285" t="s">
        <v>56</v>
      </c>
      <c r="T2285" t="s">
        <v>57</v>
      </c>
      <c r="W2285">
        <v>300</v>
      </c>
      <c r="X2285">
        <v>300</v>
      </c>
      <c r="Y2285">
        <v>0</v>
      </c>
      <c r="Z2285">
        <v>0</v>
      </c>
    </row>
    <row r="2286" spans="1:26" hidden="1" x14ac:dyDescent="0.25">
      <c r="A2286" t="s">
        <v>4989</v>
      </c>
      <c r="B2286" t="s">
        <v>38</v>
      </c>
      <c r="C2286" s="4">
        <v>45398</v>
      </c>
      <c r="D2286" s="4">
        <v>46014</v>
      </c>
      <c r="F2286" s="4">
        <v>46568</v>
      </c>
      <c r="G2286" t="s">
        <v>1278</v>
      </c>
      <c r="H2286" t="s">
        <v>1938</v>
      </c>
      <c r="K2286" t="s">
        <v>53</v>
      </c>
      <c r="L2286" t="s">
        <v>4890</v>
      </c>
      <c r="M2286" t="s">
        <v>30</v>
      </c>
      <c r="N2286" t="s">
        <v>4891</v>
      </c>
      <c r="O2286" t="s">
        <v>32</v>
      </c>
      <c r="P2286" t="s">
        <v>4990</v>
      </c>
      <c r="Q2286">
        <v>170</v>
      </c>
      <c r="R2286">
        <v>170</v>
      </c>
      <c r="S2286" t="s">
        <v>56</v>
      </c>
      <c r="T2286" t="s">
        <v>57</v>
      </c>
      <c r="W2286">
        <v>0</v>
      </c>
      <c r="X2286">
        <v>0</v>
      </c>
      <c r="Y2286">
        <v>0</v>
      </c>
      <c r="Z2286">
        <v>0</v>
      </c>
    </row>
    <row r="2287" spans="1:26" hidden="1" x14ac:dyDescent="0.25">
      <c r="A2287" t="s">
        <v>4991</v>
      </c>
      <c r="B2287" t="s">
        <v>2338</v>
      </c>
      <c r="C2287" s="4">
        <v>45397</v>
      </c>
      <c r="F2287" s="4">
        <v>47058</v>
      </c>
      <c r="G2287" t="s">
        <v>52</v>
      </c>
      <c r="H2287" t="s">
        <v>3260</v>
      </c>
      <c r="K2287" t="s">
        <v>53</v>
      </c>
      <c r="L2287" t="s">
        <v>4890</v>
      </c>
      <c r="M2287" t="s">
        <v>54</v>
      </c>
      <c r="N2287" t="s">
        <v>4891</v>
      </c>
      <c r="O2287" t="s">
        <v>32</v>
      </c>
      <c r="P2287" t="s">
        <v>4992</v>
      </c>
      <c r="Q2287">
        <v>100</v>
      </c>
      <c r="R2287">
        <v>100</v>
      </c>
      <c r="S2287" t="s">
        <v>34</v>
      </c>
      <c r="T2287" t="s">
        <v>35</v>
      </c>
      <c r="W2287">
        <v>100</v>
      </c>
      <c r="X2287">
        <v>100</v>
      </c>
      <c r="Y2287">
        <v>0</v>
      </c>
      <c r="Z2287">
        <v>0</v>
      </c>
    </row>
    <row r="2288" spans="1:26" hidden="1" x14ac:dyDescent="0.25">
      <c r="A2288" t="s">
        <v>4993</v>
      </c>
      <c r="B2288" t="s">
        <v>2338</v>
      </c>
      <c r="C2288" s="4">
        <v>45397</v>
      </c>
      <c r="F2288" s="4">
        <v>47058</v>
      </c>
      <c r="G2288" t="s">
        <v>52</v>
      </c>
      <c r="H2288" t="s">
        <v>1412</v>
      </c>
      <c r="K2288" t="s">
        <v>53</v>
      </c>
      <c r="L2288" t="s">
        <v>4890</v>
      </c>
      <c r="M2288" t="s">
        <v>54</v>
      </c>
      <c r="N2288" t="s">
        <v>4891</v>
      </c>
      <c r="O2288" t="s">
        <v>32</v>
      </c>
      <c r="P2288" t="s">
        <v>4994</v>
      </c>
      <c r="Q2288">
        <v>100</v>
      </c>
      <c r="R2288">
        <v>100</v>
      </c>
      <c r="S2288" t="s">
        <v>34</v>
      </c>
      <c r="T2288" t="s">
        <v>35</v>
      </c>
      <c r="W2288">
        <v>100</v>
      </c>
      <c r="X2288">
        <v>100</v>
      </c>
      <c r="Y2288">
        <v>0</v>
      </c>
      <c r="Z2288">
        <v>0</v>
      </c>
    </row>
    <row r="2289" spans="1:26" hidden="1" x14ac:dyDescent="0.25">
      <c r="A2289" t="s">
        <v>4995</v>
      </c>
      <c r="B2289" t="s">
        <v>38</v>
      </c>
      <c r="C2289" s="4">
        <v>45398</v>
      </c>
      <c r="D2289" s="4">
        <v>45782</v>
      </c>
      <c r="F2289" s="4">
        <v>46934</v>
      </c>
      <c r="G2289" t="s">
        <v>117</v>
      </c>
      <c r="H2289" t="s">
        <v>4996</v>
      </c>
      <c r="K2289" t="s">
        <v>83</v>
      </c>
      <c r="L2289" t="s">
        <v>4890</v>
      </c>
      <c r="M2289" t="s">
        <v>84</v>
      </c>
      <c r="N2289" t="s">
        <v>4891</v>
      </c>
      <c r="O2289" t="s">
        <v>32</v>
      </c>
      <c r="P2289" t="s">
        <v>4997</v>
      </c>
      <c r="Q2289">
        <v>100</v>
      </c>
      <c r="R2289">
        <v>100</v>
      </c>
      <c r="S2289" t="s">
        <v>159</v>
      </c>
      <c r="T2289" t="s">
        <v>159</v>
      </c>
      <c r="W2289">
        <v>0</v>
      </c>
      <c r="X2289">
        <v>0</v>
      </c>
      <c r="Y2289">
        <v>0</v>
      </c>
      <c r="Z2289">
        <v>0</v>
      </c>
    </row>
    <row r="2290" spans="1:26" hidden="1" x14ac:dyDescent="0.25">
      <c r="A2290" t="s">
        <v>4998</v>
      </c>
      <c r="B2290" t="s">
        <v>38</v>
      </c>
      <c r="C2290" s="4">
        <v>45397</v>
      </c>
      <c r="D2290" s="4">
        <v>45534</v>
      </c>
      <c r="F2290" s="4">
        <v>47026</v>
      </c>
      <c r="G2290" t="s">
        <v>101</v>
      </c>
      <c r="H2290" t="s">
        <v>1873</v>
      </c>
      <c r="K2290" t="s">
        <v>98</v>
      </c>
      <c r="L2290" t="s">
        <v>4890</v>
      </c>
      <c r="M2290" t="s">
        <v>84</v>
      </c>
      <c r="N2290" t="s">
        <v>4891</v>
      </c>
      <c r="O2290" t="s">
        <v>32</v>
      </c>
      <c r="P2290" t="s">
        <v>1874</v>
      </c>
      <c r="Q2290">
        <v>150</v>
      </c>
      <c r="R2290">
        <v>150</v>
      </c>
      <c r="S2290" t="s">
        <v>34</v>
      </c>
      <c r="T2290" t="s">
        <v>35</v>
      </c>
      <c r="W2290">
        <v>0</v>
      </c>
      <c r="X2290">
        <v>0</v>
      </c>
      <c r="Y2290">
        <v>0</v>
      </c>
      <c r="Z2290">
        <v>0</v>
      </c>
    </row>
    <row r="2291" spans="1:26" hidden="1" x14ac:dyDescent="0.25">
      <c r="A2291" t="s">
        <v>4999</v>
      </c>
      <c r="B2291" t="s">
        <v>2338</v>
      </c>
      <c r="C2291" s="4">
        <v>45397</v>
      </c>
      <c r="F2291" s="4">
        <v>47058</v>
      </c>
      <c r="G2291" t="s">
        <v>907</v>
      </c>
      <c r="H2291" t="s">
        <v>1450</v>
      </c>
      <c r="K2291" t="s">
        <v>53</v>
      </c>
      <c r="L2291" t="s">
        <v>4890</v>
      </c>
      <c r="M2291" t="s">
        <v>54</v>
      </c>
      <c r="N2291" t="s">
        <v>4891</v>
      </c>
      <c r="O2291" t="s">
        <v>32</v>
      </c>
      <c r="P2291" t="s">
        <v>5000</v>
      </c>
      <c r="Q2291">
        <v>200</v>
      </c>
      <c r="R2291">
        <v>200</v>
      </c>
      <c r="S2291" t="s">
        <v>34</v>
      </c>
      <c r="T2291" t="s">
        <v>35</v>
      </c>
      <c r="W2291">
        <v>200</v>
      </c>
      <c r="X2291">
        <v>200</v>
      </c>
      <c r="Y2291">
        <v>0</v>
      </c>
      <c r="Z2291">
        <v>0</v>
      </c>
    </row>
    <row r="2292" spans="1:26" hidden="1" x14ac:dyDescent="0.25">
      <c r="A2292" t="s">
        <v>5001</v>
      </c>
      <c r="B2292" t="s">
        <v>2338</v>
      </c>
      <c r="C2292" s="4">
        <v>45397</v>
      </c>
      <c r="F2292" s="4">
        <v>47058</v>
      </c>
      <c r="G2292" t="s">
        <v>2735</v>
      </c>
      <c r="H2292" t="s">
        <v>2002</v>
      </c>
      <c r="K2292" t="s">
        <v>53</v>
      </c>
      <c r="L2292" t="s">
        <v>4890</v>
      </c>
      <c r="M2292" t="s">
        <v>54</v>
      </c>
      <c r="N2292" t="s">
        <v>4891</v>
      </c>
      <c r="O2292" t="s">
        <v>32</v>
      </c>
      <c r="P2292" t="s">
        <v>4565</v>
      </c>
      <c r="Q2292">
        <v>110</v>
      </c>
      <c r="R2292">
        <v>110</v>
      </c>
      <c r="S2292" t="s">
        <v>34</v>
      </c>
      <c r="T2292" t="s">
        <v>35</v>
      </c>
      <c r="W2292">
        <v>110</v>
      </c>
      <c r="X2292">
        <v>110</v>
      </c>
      <c r="Y2292">
        <v>0</v>
      </c>
      <c r="Z2292">
        <v>0</v>
      </c>
    </row>
    <row r="2293" spans="1:26" hidden="1" x14ac:dyDescent="0.25">
      <c r="A2293" t="s">
        <v>5002</v>
      </c>
      <c r="B2293" t="s">
        <v>38</v>
      </c>
      <c r="C2293" s="4">
        <v>45400</v>
      </c>
      <c r="D2293" s="4">
        <v>45915</v>
      </c>
      <c r="F2293" s="4">
        <v>46753</v>
      </c>
      <c r="G2293" t="s">
        <v>101</v>
      </c>
      <c r="H2293" t="s">
        <v>1369</v>
      </c>
      <c r="K2293" t="s">
        <v>98</v>
      </c>
      <c r="L2293" t="s">
        <v>4890</v>
      </c>
      <c r="M2293" t="s">
        <v>84</v>
      </c>
      <c r="N2293" t="s">
        <v>4891</v>
      </c>
      <c r="O2293" t="s">
        <v>32</v>
      </c>
      <c r="P2293" t="s">
        <v>2549</v>
      </c>
      <c r="Q2293">
        <v>125</v>
      </c>
      <c r="R2293">
        <v>125</v>
      </c>
      <c r="S2293" t="s">
        <v>597</v>
      </c>
      <c r="T2293" t="s">
        <v>35</v>
      </c>
      <c r="W2293">
        <v>0</v>
      </c>
      <c r="X2293">
        <v>0</v>
      </c>
      <c r="Y2293">
        <v>0</v>
      </c>
      <c r="Z2293">
        <v>0</v>
      </c>
    </row>
    <row r="2294" spans="1:26" hidden="1" x14ac:dyDescent="0.25">
      <c r="A2294" t="s">
        <v>5003</v>
      </c>
      <c r="B2294" t="s">
        <v>2153</v>
      </c>
      <c r="C2294" s="4">
        <v>45399</v>
      </c>
      <c r="F2294" s="4">
        <v>46174</v>
      </c>
      <c r="G2294" t="s">
        <v>173</v>
      </c>
      <c r="H2294" t="s">
        <v>1375</v>
      </c>
      <c r="K2294" t="s">
        <v>41</v>
      </c>
      <c r="L2294" t="s">
        <v>4890</v>
      </c>
      <c r="M2294" t="s">
        <v>42</v>
      </c>
      <c r="N2294" t="s">
        <v>4891</v>
      </c>
      <c r="O2294" t="s">
        <v>32</v>
      </c>
      <c r="P2294" t="s">
        <v>5004</v>
      </c>
      <c r="Q2294">
        <v>60</v>
      </c>
      <c r="R2294">
        <v>60</v>
      </c>
      <c r="S2294" t="s">
        <v>597</v>
      </c>
      <c r="T2294" t="s">
        <v>584</v>
      </c>
      <c r="W2294">
        <v>35</v>
      </c>
      <c r="X2294">
        <v>60</v>
      </c>
      <c r="Y2294">
        <v>0</v>
      </c>
      <c r="Z2294">
        <v>0</v>
      </c>
    </row>
    <row r="2295" spans="1:26" hidden="1" x14ac:dyDescent="0.25">
      <c r="A2295" t="s">
        <v>5005</v>
      </c>
      <c r="B2295" t="s">
        <v>38</v>
      </c>
      <c r="C2295" s="4">
        <v>45399</v>
      </c>
      <c r="D2295" s="4">
        <v>46014</v>
      </c>
      <c r="F2295" s="4">
        <v>47011</v>
      </c>
      <c r="G2295" t="s">
        <v>254</v>
      </c>
      <c r="H2295" t="s">
        <v>1640</v>
      </c>
      <c r="K2295" t="s">
        <v>98</v>
      </c>
      <c r="L2295" t="s">
        <v>4890</v>
      </c>
      <c r="M2295" t="s">
        <v>84</v>
      </c>
      <c r="N2295" t="s">
        <v>4891</v>
      </c>
      <c r="O2295" t="s">
        <v>32</v>
      </c>
      <c r="P2295" t="s">
        <v>5006</v>
      </c>
      <c r="Q2295">
        <v>100</v>
      </c>
      <c r="R2295">
        <v>100</v>
      </c>
      <c r="S2295" t="s">
        <v>159</v>
      </c>
      <c r="T2295" t="s">
        <v>159</v>
      </c>
      <c r="W2295">
        <v>0</v>
      </c>
      <c r="X2295">
        <v>0</v>
      </c>
      <c r="Y2295">
        <v>0</v>
      </c>
      <c r="Z2295">
        <v>0</v>
      </c>
    </row>
    <row r="2296" spans="1:26" hidden="1" x14ac:dyDescent="0.25">
      <c r="A2296" t="s">
        <v>5007</v>
      </c>
      <c r="B2296" t="s">
        <v>2153</v>
      </c>
      <c r="C2296" s="4">
        <v>45399</v>
      </c>
      <c r="F2296" s="4">
        <v>47011</v>
      </c>
      <c r="G2296" t="s">
        <v>1690</v>
      </c>
      <c r="H2296" t="s">
        <v>5008</v>
      </c>
      <c r="K2296" t="s">
        <v>98</v>
      </c>
      <c r="L2296" t="s">
        <v>4890</v>
      </c>
      <c r="M2296" t="s">
        <v>84</v>
      </c>
      <c r="N2296" t="s">
        <v>4891</v>
      </c>
      <c r="O2296" t="s">
        <v>32</v>
      </c>
      <c r="P2296" t="s">
        <v>2906</v>
      </c>
      <c r="Q2296">
        <v>200</v>
      </c>
      <c r="R2296">
        <v>200</v>
      </c>
      <c r="S2296" t="s">
        <v>159</v>
      </c>
      <c r="T2296" t="s">
        <v>159</v>
      </c>
      <c r="W2296">
        <v>200</v>
      </c>
      <c r="X2296">
        <v>200</v>
      </c>
      <c r="Y2296">
        <v>0</v>
      </c>
      <c r="Z2296">
        <v>0</v>
      </c>
    </row>
    <row r="2297" spans="1:26" hidden="1" x14ac:dyDescent="0.25">
      <c r="A2297" t="s">
        <v>5009</v>
      </c>
      <c r="B2297" t="s">
        <v>2153</v>
      </c>
      <c r="C2297" s="4">
        <v>45399</v>
      </c>
      <c r="F2297" s="4">
        <v>46813</v>
      </c>
      <c r="G2297" t="s">
        <v>1326</v>
      </c>
      <c r="H2297" t="s">
        <v>3380</v>
      </c>
      <c r="K2297" t="s">
        <v>67</v>
      </c>
      <c r="L2297" t="s">
        <v>4890</v>
      </c>
      <c r="M2297" t="s">
        <v>68</v>
      </c>
      <c r="N2297" t="s">
        <v>4891</v>
      </c>
      <c r="O2297" t="s">
        <v>122</v>
      </c>
      <c r="P2297" t="s">
        <v>3959</v>
      </c>
      <c r="Q2297">
        <v>193</v>
      </c>
      <c r="R2297">
        <v>193</v>
      </c>
      <c r="S2297" t="s">
        <v>56</v>
      </c>
      <c r="T2297" t="s">
        <v>57</v>
      </c>
      <c r="W2297">
        <v>193</v>
      </c>
      <c r="X2297">
        <v>0</v>
      </c>
      <c r="Y2297">
        <v>0</v>
      </c>
      <c r="Z2297">
        <v>0</v>
      </c>
    </row>
    <row r="2298" spans="1:26" hidden="1" x14ac:dyDescent="0.25">
      <c r="A2298" t="s">
        <v>5010</v>
      </c>
      <c r="B2298" t="s">
        <v>38</v>
      </c>
      <c r="C2298" s="4">
        <v>45399</v>
      </c>
      <c r="D2298" s="4">
        <v>46014</v>
      </c>
      <c r="F2298" s="4">
        <v>46418</v>
      </c>
      <c r="G2298" t="s">
        <v>101</v>
      </c>
      <c r="H2298" t="s">
        <v>1387</v>
      </c>
      <c r="K2298" t="s">
        <v>98</v>
      </c>
      <c r="L2298" t="s">
        <v>4890</v>
      </c>
      <c r="M2298" t="s">
        <v>84</v>
      </c>
      <c r="N2298" t="s">
        <v>4891</v>
      </c>
      <c r="O2298" t="s">
        <v>32</v>
      </c>
      <c r="P2298" t="s">
        <v>3952</v>
      </c>
      <c r="Q2298">
        <v>250</v>
      </c>
      <c r="R2298">
        <v>250</v>
      </c>
      <c r="S2298" t="s">
        <v>34</v>
      </c>
      <c r="T2298" t="s">
        <v>35</v>
      </c>
      <c r="W2298">
        <v>0</v>
      </c>
      <c r="X2298">
        <v>0</v>
      </c>
      <c r="Y2298">
        <v>0</v>
      </c>
      <c r="Z2298">
        <v>0</v>
      </c>
    </row>
    <row r="2299" spans="1:26" hidden="1" x14ac:dyDescent="0.25">
      <c r="A2299" t="s">
        <v>5011</v>
      </c>
      <c r="B2299" t="s">
        <v>38</v>
      </c>
      <c r="C2299" s="4">
        <v>45399</v>
      </c>
      <c r="D2299" s="4">
        <v>45916</v>
      </c>
      <c r="F2299" s="4">
        <v>46418</v>
      </c>
      <c r="G2299" t="s">
        <v>138</v>
      </c>
      <c r="H2299" t="s">
        <v>2499</v>
      </c>
      <c r="K2299" t="s">
        <v>98</v>
      </c>
      <c r="L2299" t="s">
        <v>4890</v>
      </c>
      <c r="M2299" t="s">
        <v>84</v>
      </c>
      <c r="N2299" t="s">
        <v>4891</v>
      </c>
      <c r="O2299" t="s">
        <v>32</v>
      </c>
      <c r="P2299" t="s">
        <v>5012</v>
      </c>
      <c r="Q2299">
        <v>200</v>
      </c>
      <c r="R2299">
        <v>200</v>
      </c>
      <c r="S2299" t="s">
        <v>34</v>
      </c>
      <c r="T2299" t="s">
        <v>35</v>
      </c>
      <c r="W2299">
        <v>0</v>
      </c>
      <c r="X2299">
        <v>0</v>
      </c>
      <c r="Y2299">
        <v>0</v>
      </c>
      <c r="Z2299">
        <v>0</v>
      </c>
    </row>
    <row r="2300" spans="1:26" hidden="1" x14ac:dyDescent="0.25">
      <c r="A2300" t="s">
        <v>5013</v>
      </c>
      <c r="B2300" t="s">
        <v>38</v>
      </c>
      <c r="C2300" s="4">
        <v>45399</v>
      </c>
      <c r="D2300" s="4">
        <v>46014</v>
      </c>
      <c r="F2300" s="4">
        <v>46418</v>
      </c>
      <c r="G2300" t="s">
        <v>616</v>
      </c>
      <c r="H2300" t="s">
        <v>1656</v>
      </c>
      <c r="K2300" t="s">
        <v>146</v>
      </c>
      <c r="L2300" t="s">
        <v>4890</v>
      </c>
      <c r="M2300" t="s">
        <v>68</v>
      </c>
      <c r="N2300" t="s">
        <v>4891</v>
      </c>
      <c r="O2300" t="s">
        <v>32</v>
      </c>
      <c r="P2300" t="s">
        <v>5014</v>
      </c>
      <c r="Q2300">
        <v>250</v>
      </c>
      <c r="R2300">
        <v>250</v>
      </c>
      <c r="S2300" t="s">
        <v>34</v>
      </c>
      <c r="T2300" t="s">
        <v>35</v>
      </c>
      <c r="W2300">
        <v>0</v>
      </c>
      <c r="X2300">
        <v>0</v>
      </c>
      <c r="Y2300">
        <v>0</v>
      </c>
      <c r="Z2300">
        <v>0</v>
      </c>
    </row>
    <row r="2301" spans="1:26" hidden="1" x14ac:dyDescent="0.25">
      <c r="A2301" t="s">
        <v>5015</v>
      </c>
      <c r="B2301" t="s">
        <v>2153</v>
      </c>
      <c r="C2301" s="4">
        <v>45399</v>
      </c>
      <c r="F2301" s="4">
        <v>46418</v>
      </c>
      <c r="G2301" t="s">
        <v>365</v>
      </c>
      <c r="H2301" t="s">
        <v>3459</v>
      </c>
      <c r="K2301" t="s">
        <v>83</v>
      </c>
      <c r="L2301" t="s">
        <v>4890</v>
      </c>
      <c r="M2301" t="s">
        <v>84</v>
      </c>
      <c r="N2301" t="s">
        <v>4891</v>
      </c>
      <c r="O2301" t="s">
        <v>32</v>
      </c>
      <c r="P2301" t="s">
        <v>3459</v>
      </c>
      <c r="Q2301">
        <v>200</v>
      </c>
      <c r="R2301">
        <v>200</v>
      </c>
      <c r="S2301" t="s">
        <v>159</v>
      </c>
      <c r="T2301" t="s">
        <v>159</v>
      </c>
      <c r="W2301">
        <v>202.19</v>
      </c>
      <c r="X2301">
        <v>202.19</v>
      </c>
      <c r="Y2301">
        <v>0</v>
      </c>
      <c r="Z2301">
        <v>0</v>
      </c>
    </row>
    <row r="2302" spans="1:26" hidden="1" x14ac:dyDescent="0.25">
      <c r="A2302" t="s">
        <v>5016</v>
      </c>
      <c r="B2302" t="s">
        <v>38</v>
      </c>
      <c r="C2302" s="4">
        <v>45399</v>
      </c>
      <c r="D2302" s="4">
        <v>46014</v>
      </c>
      <c r="F2302" s="4">
        <v>46418</v>
      </c>
      <c r="G2302" t="s">
        <v>1311</v>
      </c>
      <c r="H2302" t="s">
        <v>1333</v>
      </c>
      <c r="K2302" t="s">
        <v>83</v>
      </c>
      <c r="L2302" t="s">
        <v>4890</v>
      </c>
      <c r="M2302" t="s">
        <v>84</v>
      </c>
      <c r="N2302" t="s">
        <v>4891</v>
      </c>
      <c r="O2302" t="s">
        <v>32</v>
      </c>
      <c r="P2302" t="s">
        <v>5017</v>
      </c>
      <c r="Q2302">
        <v>150</v>
      </c>
      <c r="R2302">
        <v>150</v>
      </c>
      <c r="S2302" t="s">
        <v>159</v>
      </c>
      <c r="T2302" t="s">
        <v>159</v>
      </c>
      <c r="W2302">
        <v>0</v>
      </c>
      <c r="X2302">
        <v>0</v>
      </c>
      <c r="Y2302">
        <v>0</v>
      </c>
      <c r="Z2302">
        <v>0</v>
      </c>
    </row>
    <row r="2303" spans="1:26" hidden="1" x14ac:dyDescent="0.25">
      <c r="A2303" t="s">
        <v>5018</v>
      </c>
      <c r="B2303" t="s">
        <v>2153</v>
      </c>
      <c r="C2303" s="4">
        <v>45399</v>
      </c>
      <c r="F2303" s="4">
        <v>46418</v>
      </c>
      <c r="G2303" t="s">
        <v>1278</v>
      </c>
      <c r="H2303" t="s">
        <v>1711</v>
      </c>
      <c r="K2303" t="s">
        <v>83</v>
      </c>
      <c r="L2303" t="s">
        <v>4890</v>
      </c>
      <c r="M2303" t="s">
        <v>84</v>
      </c>
      <c r="N2303" t="s">
        <v>4891</v>
      </c>
      <c r="O2303" t="s">
        <v>32</v>
      </c>
      <c r="P2303" t="s">
        <v>5019</v>
      </c>
      <c r="Q2303">
        <v>200</v>
      </c>
      <c r="R2303">
        <v>200</v>
      </c>
      <c r="S2303" t="s">
        <v>159</v>
      </c>
      <c r="T2303" t="s">
        <v>159</v>
      </c>
      <c r="W2303">
        <v>200</v>
      </c>
      <c r="X2303">
        <v>200</v>
      </c>
      <c r="Y2303">
        <v>0</v>
      </c>
      <c r="Z2303">
        <v>0</v>
      </c>
    </row>
    <row r="2304" spans="1:26" hidden="1" x14ac:dyDescent="0.25">
      <c r="A2304" t="s">
        <v>5020</v>
      </c>
      <c r="B2304" t="s">
        <v>38</v>
      </c>
      <c r="C2304" s="4">
        <v>45399</v>
      </c>
      <c r="D2304" s="4">
        <v>45868</v>
      </c>
      <c r="F2304" s="4">
        <v>46418</v>
      </c>
      <c r="G2304" t="s">
        <v>149</v>
      </c>
      <c r="H2304" t="s">
        <v>1279</v>
      </c>
      <c r="K2304" t="s">
        <v>151</v>
      </c>
      <c r="L2304" t="s">
        <v>4890</v>
      </c>
      <c r="M2304" t="s">
        <v>68</v>
      </c>
      <c r="N2304" t="s">
        <v>4891</v>
      </c>
      <c r="O2304" t="s">
        <v>32</v>
      </c>
      <c r="P2304" t="s">
        <v>5021</v>
      </c>
      <c r="Q2304">
        <v>150</v>
      </c>
      <c r="R2304">
        <v>150</v>
      </c>
      <c r="S2304" t="s">
        <v>159</v>
      </c>
      <c r="T2304" t="s">
        <v>159</v>
      </c>
      <c r="W2304">
        <v>0</v>
      </c>
      <c r="X2304">
        <v>0</v>
      </c>
      <c r="Y2304">
        <v>0</v>
      </c>
      <c r="Z2304">
        <v>0</v>
      </c>
    </row>
    <row r="2305" spans="1:26" hidden="1" x14ac:dyDescent="0.25">
      <c r="A2305" t="s">
        <v>5022</v>
      </c>
      <c r="B2305" t="s">
        <v>38</v>
      </c>
      <c r="C2305" s="4">
        <v>45399</v>
      </c>
      <c r="D2305" s="4">
        <v>46014</v>
      </c>
      <c r="F2305" s="4">
        <v>46418</v>
      </c>
      <c r="G2305" t="s">
        <v>65</v>
      </c>
      <c r="H2305" t="s">
        <v>3195</v>
      </c>
      <c r="K2305" t="s">
        <v>67</v>
      </c>
      <c r="L2305" t="s">
        <v>4890</v>
      </c>
      <c r="M2305" t="s">
        <v>68</v>
      </c>
      <c r="N2305" t="s">
        <v>4891</v>
      </c>
      <c r="O2305" t="s">
        <v>32</v>
      </c>
      <c r="P2305" t="s">
        <v>5023</v>
      </c>
      <c r="Q2305">
        <v>200</v>
      </c>
      <c r="R2305">
        <v>200</v>
      </c>
      <c r="S2305" t="s">
        <v>34</v>
      </c>
      <c r="T2305" t="s">
        <v>35</v>
      </c>
      <c r="W2305">
        <v>0</v>
      </c>
      <c r="X2305">
        <v>0</v>
      </c>
      <c r="Y2305">
        <v>0</v>
      </c>
      <c r="Z2305">
        <v>0</v>
      </c>
    </row>
    <row r="2306" spans="1:26" hidden="1" x14ac:dyDescent="0.25">
      <c r="A2306" t="s">
        <v>5024</v>
      </c>
      <c r="B2306" t="s">
        <v>38</v>
      </c>
      <c r="C2306" s="4">
        <v>45399</v>
      </c>
      <c r="D2306" s="4">
        <v>46014</v>
      </c>
      <c r="F2306" s="4">
        <v>46418</v>
      </c>
      <c r="G2306" t="s">
        <v>65</v>
      </c>
      <c r="H2306" t="s">
        <v>3004</v>
      </c>
      <c r="K2306" t="s">
        <v>67</v>
      </c>
      <c r="L2306" t="s">
        <v>4890</v>
      </c>
      <c r="M2306" t="s">
        <v>68</v>
      </c>
      <c r="N2306" t="s">
        <v>4891</v>
      </c>
      <c r="O2306" t="s">
        <v>32</v>
      </c>
      <c r="P2306" t="s">
        <v>5025</v>
      </c>
      <c r="Q2306">
        <v>180</v>
      </c>
      <c r="R2306">
        <v>180</v>
      </c>
      <c r="S2306" t="s">
        <v>34</v>
      </c>
      <c r="T2306" t="s">
        <v>35</v>
      </c>
      <c r="W2306">
        <v>0</v>
      </c>
      <c r="X2306">
        <v>0</v>
      </c>
      <c r="Y2306">
        <v>0</v>
      </c>
      <c r="Z2306">
        <v>0</v>
      </c>
    </row>
    <row r="2307" spans="1:26" hidden="1" x14ac:dyDescent="0.25">
      <c r="A2307" t="s">
        <v>5026</v>
      </c>
      <c r="B2307" t="s">
        <v>38</v>
      </c>
      <c r="C2307" s="4">
        <v>45399</v>
      </c>
      <c r="D2307" s="4">
        <v>46014</v>
      </c>
      <c r="F2307" s="4">
        <v>46418</v>
      </c>
      <c r="G2307" t="s">
        <v>65</v>
      </c>
      <c r="H2307" t="s">
        <v>1279</v>
      </c>
      <c r="K2307" t="s">
        <v>67</v>
      </c>
      <c r="L2307" t="s">
        <v>4890</v>
      </c>
      <c r="M2307" t="s">
        <v>68</v>
      </c>
      <c r="N2307" t="s">
        <v>4891</v>
      </c>
      <c r="O2307" t="s">
        <v>32</v>
      </c>
      <c r="P2307" t="s">
        <v>5027</v>
      </c>
      <c r="Q2307">
        <v>105</v>
      </c>
      <c r="R2307">
        <v>105</v>
      </c>
      <c r="S2307" t="s">
        <v>34</v>
      </c>
      <c r="T2307" t="s">
        <v>35</v>
      </c>
      <c r="W2307">
        <v>0</v>
      </c>
      <c r="X2307">
        <v>0</v>
      </c>
      <c r="Y2307">
        <v>0</v>
      </c>
      <c r="Z2307">
        <v>0</v>
      </c>
    </row>
    <row r="2308" spans="1:26" hidden="1" x14ac:dyDescent="0.25">
      <c r="A2308" t="s">
        <v>5028</v>
      </c>
      <c r="B2308" t="s">
        <v>38</v>
      </c>
      <c r="C2308" s="4">
        <v>45399</v>
      </c>
      <c r="D2308" s="4">
        <v>46014</v>
      </c>
      <c r="F2308" s="4">
        <v>46418</v>
      </c>
      <c r="G2308" t="s">
        <v>65</v>
      </c>
      <c r="H2308" t="s">
        <v>3004</v>
      </c>
      <c r="K2308" t="s">
        <v>67</v>
      </c>
      <c r="L2308" t="s">
        <v>4890</v>
      </c>
      <c r="M2308" t="s">
        <v>68</v>
      </c>
      <c r="N2308" t="s">
        <v>4891</v>
      </c>
      <c r="O2308" t="s">
        <v>32</v>
      </c>
      <c r="P2308" t="s">
        <v>2099</v>
      </c>
      <c r="Q2308">
        <v>400</v>
      </c>
      <c r="R2308">
        <v>400</v>
      </c>
      <c r="S2308" t="s">
        <v>34</v>
      </c>
      <c r="T2308" t="s">
        <v>35</v>
      </c>
      <c r="W2308">
        <v>0</v>
      </c>
      <c r="X2308">
        <v>0</v>
      </c>
      <c r="Y2308">
        <v>0</v>
      </c>
      <c r="Z2308">
        <v>0</v>
      </c>
    </row>
    <row r="2309" spans="1:26" hidden="1" x14ac:dyDescent="0.25">
      <c r="A2309" t="s">
        <v>5029</v>
      </c>
      <c r="B2309" t="s">
        <v>38</v>
      </c>
      <c r="C2309" s="4">
        <v>45399</v>
      </c>
      <c r="D2309" s="4">
        <v>46014</v>
      </c>
      <c r="F2309" s="4">
        <v>46418</v>
      </c>
      <c r="G2309" t="s">
        <v>65</v>
      </c>
      <c r="H2309" t="s">
        <v>1550</v>
      </c>
      <c r="K2309" t="s">
        <v>67</v>
      </c>
      <c r="L2309" t="s">
        <v>4890</v>
      </c>
      <c r="M2309" t="s">
        <v>68</v>
      </c>
      <c r="N2309" t="s">
        <v>4891</v>
      </c>
      <c r="O2309" t="s">
        <v>32</v>
      </c>
      <c r="P2309" t="s">
        <v>5030</v>
      </c>
      <c r="Q2309">
        <v>350</v>
      </c>
      <c r="R2309">
        <v>350</v>
      </c>
      <c r="S2309" t="s">
        <v>34</v>
      </c>
      <c r="T2309" t="s">
        <v>35</v>
      </c>
      <c r="W2309">
        <v>0</v>
      </c>
      <c r="X2309">
        <v>0</v>
      </c>
      <c r="Y2309">
        <v>0</v>
      </c>
      <c r="Z2309">
        <v>0</v>
      </c>
    </row>
    <row r="2310" spans="1:26" hidden="1" x14ac:dyDescent="0.25">
      <c r="A2310" t="s">
        <v>5031</v>
      </c>
      <c r="B2310" t="s">
        <v>38</v>
      </c>
      <c r="C2310" s="4">
        <v>45399</v>
      </c>
      <c r="D2310" s="4">
        <v>45674</v>
      </c>
      <c r="F2310" s="4">
        <v>46418</v>
      </c>
      <c r="G2310" t="s">
        <v>1381</v>
      </c>
      <c r="H2310" t="s">
        <v>1382</v>
      </c>
      <c r="K2310" t="s">
        <v>209</v>
      </c>
      <c r="L2310" t="s">
        <v>4890</v>
      </c>
      <c r="M2310" t="s">
        <v>42</v>
      </c>
      <c r="N2310" t="s">
        <v>4891</v>
      </c>
      <c r="O2310" t="s">
        <v>32</v>
      </c>
      <c r="P2310" t="s">
        <v>1345</v>
      </c>
      <c r="Q2310">
        <v>150</v>
      </c>
      <c r="R2310">
        <v>150</v>
      </c>
      <c r="S2310" t="s">
        <v>34</v>
      </c>
      <c r="T2310" t="s">
        <v>35</v>
      </c>
      <c r="W2310">
        <v>0</v>
      </c>
      <c r="X2310">
        <v>0</v>
      </c>
      <c r="Y2310">
        <v>0</v>
      </c>
      <c r="Z2310">
        <v>0</v>
      </c>
    </row>
    <row r="2311" spans="1:26" hidden="1" x14ac:dyDescent="0.25">
      <c r="A2311" t="s">
        <v>5032</v>
      </c>
      <c r="B2311" t="s">
        <v>2153</v>
      </c>
      <c r="C2311" s="4">
        <v>45398</v>
      </c>
      <c r="F2311" s="4">
        <v>47026</v>
      </c>
      <c r="H2311" t="s">
        <v>1813</v>
      </c>
      <c r="K2311" t="s">
        <v>83</v>
      </c>
      <c r="L2311" t="s">
        <v>4890</v>
      </c>
      <c r="M2311" t="s">
        <v>84</v>
      </c>
      <c r="N2311" t="s">
        <v>4891</v>
      </c>
      <c r="O2311" t="s">
        <v>122</v>
      </c>
      <c r="P2311" t="s">
        <v>4561</v>
      </c>
      <c r="Q2311">
        <v>150</v>
      </c>
      <c r="R2311">
        <v>150</v>
      </c>
      <c r="S2311" t="s">
        <v>34</v>
      </c>
      <c r="T2311" t="s">
        <v>35</v>
      </c>
      <c r="W2311">
        <v>150</v>
      </c>
      <c r="X2311">
        <v>0</v>
      </c>
      <c r="Y2311">
        <v>0</v>
      </c>
      <c r="Z2311">
        <v>0</v>
      </c>
    </row>
    <row r="2312" spans="1:26" hidden="1" x14ac:dyDescent="0.25">
      <c r="A2312" t="s">
        <v>5033</v>
      </c>
      <c r="B2312" t="s">
        <v>38</v>
      </c>
      <c r="C2312" s="4">
        <v>45399</v>
      </c>
      <c r="D2312" s="4">
        <v>45874</v>
      </c>
      <c r="F2312" s="4">
        <v>46693</v>
      </c>
      <c r="G2312" t="s">
        <v>1251</v>
      </c>
      <c r="H2312" t="s">
        <v>2135</v>
      </c>
      <c r="K2312" t="s">
        <v>109</v>
      </c>
      <c r="L2312" t="s">
        <v>4890</v>
      </c>
      <c r="M2312" t="s">
        <v>84</v>
      </c>
      <c r="N2312" t="s">
        <v>4891</v>
      </c>
      <c r="O2312" t="s">
        <v>32</v>
      </c>
      <c r="P2312" t="s">
        <v>2135</v>
      </c>
      <c r="Q2312">
        <v>300</v>
      </c>
      <c r="R2312">
        <v>300</v>
      </c>
      <c r="S2312" t="s">
        <v>34</v>
      </c>
      <c r="T2312" t="s">
        <v>35</v>
      </c>
      <c r="W2312">
        <v>0</v>
      </c>
      <c r="X2312">
        <v>0</v>
      </c>
      <c r="Y2312">
        <v>0</v>
      </c>
      <c r="Z2312">
        <v>0</v>
      </c>
    </row>
    <row r="2313" spans="1:26" hidden="1" x14ac:dyDescent="0.25">
      <c r="A2313" t="s">
        <v>5034</v>
      </c>
      <c r="B2313" t="s">
        <v>38</v>
      </c>
      <c r="C2313" s="4">
        <v>45399</v>
      </c>
      <c r="D2313" s="4">
        <v>46014</v>
      </c>
      <c r="F2313" s="4">
        <v>46418</v>
      </c>
      <c r="G2313" t="s">
        <v>65</v>
      </c>
      <c r="H2313" t="s">
        <v>3715</v>
      </c>
      <c r="K2313" t="s">
        <v>67</v>
      </c>
      <c r="L2313" t="s">
        <v>4890</v>
      </c>
      <c r="M2313" t="s">
        <v>68</v>
      </c>
      <c r="N2313" t="s">
        <v>4891</v>
      </c>
      <c r="O2313" t="s">
        <v>32</v>
      </c>
      <c r="P2313" t="s">
        <v>5035</v>
      </c>
      <c r="Q2313">
        <v>180</v>
      </c>
      <c r="R2313">
        <v>180</v>
      </c>
      <c r="S2313" t="s">
        <v>34</v>
      </c>
      <c r="T2313" t="s">
        <v>35</v>
      </c>
      <c r="W2313">
        <v>0</v>
      </c>
      <c r="X2313">
        <v>0</v>
      </c>
      <c r="Y2313">
        <v>0</v>
      </c>
      <c r="Z2313">
        <v>0</v>
      </c>
    </row>
    <row r="2314" spans="1:26" hidden="1" x14ac:dyDescent="0.25">
      <c r="A2314" t="s">
        <v>5036</v>
      </c>
      <c r="B2314" t="s">
        <v>38</v>
      </c>
      <c r="C2314" s="4">
        <v>45397</v>
      </c>
      <c r="D2314" s="4">
        <v>45800</v>
      </c>
      <c r="F2314" s="4">
        <v>46905</v>
      </c>
      <c r="G2314" t="s">
        <v>1311</v>
      </c>
      <c r="H2314" t="s">
        <v>5037</v>
      </c>
      <c r="K2314" t="s">
        <v>114</v>
      </c>
      <c r="L2314" t="s">
        <v>4890</v>
      </c>
      <c r="M2314" t="s">
        <v>68</v>
      </c>
      <c r="N2314" t="s">
        <v>4891</v>
      </c>
      <c r="O2314" t="s">
        <v>32</v>
      </c>
      <c r="P2314" t="s">
        <v>5038</v>
      </c>
      <c r="Q2314">
        <v>200</v>
      </c>
      <c r="R2314">
        <v>200</v>
      </c>
      <c r="S2314" t="s">
        <v>597</v>
      </c>
      <c r="T2314" t="s">
        <v>598</v>
      </c>
      <c r="W2314">
        <v>0</v>
      </c>
      <c r="X2314">
        <v>0</v>
      </c>
      <c r="Y2314">
        <v>0</v>
      </c>
      <c r="Z2314">
        <v>0</v>
      </c>
    </row>
    <row r="2315" spans="1:26" hidden="1" x14ac:dyDescent="0.25">
      <c r="A2315" t="s">
        <v>5039</v>
      </c>
      <c r="B2315" t="s">
        <v>38</v>
      </c>
      <c r="C2315" s="4">
        <v>45397</v>
      </c>
      <c r="D2315" s="4">
        <v>45800</v>
      </c>
      <c r="F2315" s="4">
        <v>46905</v>
      </c>
      <c r="G2315" t="s">
        <v>1311</v>
      </c>
      <c r="H2315" t="s">
        <v>3025</v>
      </c>
      <c r="K2315" t="s">
        <v>114</v>
      </c>
      <c r="L2315" t="s">
        <v>4890</v>
      </c>
      <c r="M2315" t="s">
        <v>68</v>
      </c>
      <c r="N2315" t="s">
        <v>4891</v>
      </c>
      <c r="O2315" t="s">
        <v>32</v>
      </c>
      <c r="P2315" t="s">
        <v>5040</v>
      </c>
      <c r="Q2315">
        <v>150</v>
      </c>
      <c r="R2315">
        <v>150</v>
      </c>
      <c r="S2315" t="s">
        <v>597</v>
      </c>
      <c r="T2315" t="s">
        <v>598</v>
      </c>
      <c r="W2315">
        <v>0</v>
      </c>
      <c r="X2315">
        <v>0</v>
      </c>
      <c r="Y2315">
        <v>0</v>
      </c>
      <c r="Z2315">
        <v>0</v>
      </c>
    </row>
    <row r="2316" spans="1:26" hidden="1" x14ac:dyDescent="0.25">
      <c r="A2316" t="s">
        <v>5041</v>
      </c>
      <c r="B2316" t="s">
        <v>38</v>
      </c>
      <c r="C2316" s="4">
        <v>45400</v>
      </c>
      <c r="D2316" s="4">
        <v>46014</v>
      </c>
      <c r="F2316" s="4">
        <v>46640</v>
      </c>
      <c r="G2316" t="s">
        <v>144</v>
      </c>
      <c r="H2316" t="s">
        <v>1685</v>
      </c>
      <c r="K2316" t="s">
        <v>146</v>
      </c>
      <c r="L2316" t="s">
        <v>4890</v>
      </c>
      <c r="M2316" t="s">
        <v>68</v>
      </c>
      <c r="N2316" t="s">
        <v>4891</v>
      </c>
      <c r="O2316" t="s">
        <v>32</v>
      </c>
      <c r="P2316" t="s">
        <v>5042</v>
      </c>
      <c r="Q2316">
        <v>400</v>
      </c>
      <c r="R2316">
        <v>400</v>
      </c>
      <c r="S2316" t="s">
        <v>159</v>
      </c>
      <c r="T2316" t="s">
        <v>159</v>
      </c>
      <c r="W2316">
        <v>0</v>
      </c>
      <c r="X2316">
        <v>0</v>
      </c>
      <c r="Y2316">
        <v>0</v>
      </c>
      <c r="Z2316">
        <v>0</v>
      </c>
    </row>
    <row r="2317" spans="1:26" hidden="1" x14ac:dyDescent="0.25">
      <c r="A2317" t="s">
        <v>5043</v>
      </c>
      <c r="B2317" t="s">
        <v>38</v>
      </c>
      <c r="C2317" s="4">
        <v>45397</v>
      </c>
      <c r="D2317" s="4">
        <v>45904</v>
      </c>
      <c r="F2317" s="4">
        <v>46934</v>
      </c>
      <c r="G2317" t="s">
        <v>39</v>
      </c>
      <c r="H2317" t="s">
        <v>1302</v>
      </c>
      <c r="K2317" t="s">
        <v>41</v>
      </c>
      <c r="L2317" t="s">
        <v>4890</v>
      </c>
      <c r="M2317" t="s">
        <v>42</v>
      </c>
      <c r="N2317" t="s">
        <v>4891</v>
      </c>
      <c r="O2317" t="s">
        <v>32</v>
      </c>
      <c r="P2317" t="s">
        <v>5044</v>
      </c>
      <c r="Q2317">
        <v>100</v>
      </c>
      <c r="R2317">
        <v>100</v>
      </c>
      <c r="S2317" t="s">
        <v>159</v>
      </c>
      <c r="T2317" t="s">
        <v>159</v>
      </c>
      <c r="W2317">
        <v>0</v>
      </c>
      <c r="X2317">
        <v>0</v>
      </c>
      <c r="Y2317">
        <v>0</v>
      </c>
      <c r="Z2317">
        <v>0</v>
      </c>
    </row>
    <row r="2318" spans="1:26" hidden="1" x14ac:dyDescent="0.25">
      <c r="A2318" t="s">
        <v>5045</v>
      </c>
      <c r="B2318" t="s">
        <v>2153</v>
      </c>
      <c r="C2318" s="4">
        <v>45398</v>
      </c>
      <c r="F2318" s="4">
        <v>46997</v>
      </c>
      <c r="G2318" t="s">
        <v>52</v>
      </c>
      <c r="H2318" t="s">
        <v>1488</v>
      </c>
      <c r="K2318" t="s">
        <v>53</v>
      </c>
      <c r="L2318" t="s">
        <v>4890</v>
      </c>
      <c r="M2318" t="s">
        <v>54</v>
      </c>
      <c r="N2318" t="s">
        <v>4891</v>
      </c>
      <c r="O2318" t="s">
        <v>32</v>
      </c>
      <c r="P2318" t="s">
        <v>5046</v>
      </c>
      <c r="Q2318">
        <v>263</v>
      </c>
      <c r="R2318">
        <v>263</v>
      </c>
      <c r="S2318" t="s">
        <v>56</v>
      </c>
      <c r="T2318" t="s">
        <v>57</v>
      </c>
      <c r="W2318">
        <v>263</v>
      </c>
      <c r="X2318">
        <v>263</v>
      </c>
      <c r="Y2318">
        <v>0</v>
      </c>
      <c r="Z2318">
        <v>0</v>
      </c>
    </row>
    <row r="2319" spans="1:26" hidden="1" x14ac:dyDescent="0.25">
      <c r="A2319" t="s">
        <v>5047</v>
      </c>
      <c r="B2319" t="s">
        <v>38</v>
      </c>
      <c r="C2319" s="4">
        <v>45399</v>
      </c>
      <c r="D2319" s="4">
        <v>45800</v>
      </c>
      <c r="F2319" s="4">
        <v>46905</v>
      </c>
      <c r="G2319" t="s">
        <v>871</v>
      </c>
      <c r="H2319" t="s">
        <v>5048</v>
      </c>
      <c r="K2319" t="s">
        <v>209</v>
      </c>
      <c r="L2319" t="s">
        <v>4890</v>
      </c>
      <c r="M2319" t="s">
        <v>42</v>
      </c>
      <c r="N2319" t="s">
        <v>4891</v>
      </c>
      <c r="O2319" t="s">
        <v>32</v>
      </c>
      <c r="P2319" t="s">
        <v>5049</v>
      </c>
      <c r="Q2319">
        <v>200</v>
      </c>
      <c r="R2319">
        <v>200</v>
      </c>
      <c r="S2319" t="s">
        <v>597</v>
      </c>
      <c r="T2319" t="s">
        <v>598</v>
      </c>
      <c r="W2319">
        <v>0</v>
      </c>
      <c r="X2319">
        <v>0</v>
      </c>
      <c r="Y2319">
        <v>0</v>
      </c>
      <c r="Z2319">
        <v>0</v>
      </c>
    </row>
    <row r="2320" spans="1:26" hidden="1" x14ac:dyDescent="0.25">
      <c r="A2320" t="s">
        <v>5050</v>
      </c>
      <c r="B2320" t="s">
        <v>38</v>
      </c>
      <c r="C2320" s="4">
        <v>45400</v>
      </c>
      <c r="D2320" s="4">
        <v>45847</v>
      </c>
      <c r="F2320" s="4">
        <v>46296</v>
      </c>
      <c r="G2320" t="s">
        <v>1311</v>
      </c>
      <c r="H2320" t="s">
        <v>1663</v>
      </c>
      <c r="K2320" t="s">
        <v>114</v>
      </c>
      <c r="L2320" t="s">
        <v>4890</v>
      </c>
      <c r="M2320" t="s">
        <v>68</v>
      </c>
      <c r="N2320" t="s">
        <v>4891</v>
      </c>
      <c r="O2320" t="s">
        <v>32</v>
      </c>
      <c r="P2320" t="s">
        <v>5051</v>
      </c>
      <c r="Q2320">
        <v>150</v>
      </c>
      <c r="R2320">
        <v>150</v>
      </c>
      <c r="S2320" t="s">
        <v>34</v>
      </c>
      <c r="T2320" t="s">
        <v>35</v>
      </c>
      <c r="W2320">
        <v>0</v>
      </c>
      <c r="X2320">
        <v>0</v>
      </c>
      <c r="Y2320">
        <v>0</v>
      </c>
      <c r="Z2320">
        <v>0</v>
      </c>
    </row>
    <row r="2321" spans="1:26" hidden="1" x14ac:dyDescent="0.25">
      <c r="A2321" t="s">
        <v>5052</v>
      </c>
      <c r="B2321" t="s">
        <v>2153</v>
      </c>
      <c r="C2321" s="4">
        <v>45418</v>
      </c>
      <c r="F2321" s="4">
        <v>46997</v>
      </c>
      <c r="G2321" t="s">
        <v>117</v>
      </c>
      <c r="H2321" t="s">
        <v>1302</v>
      </c>
      <c r="K2321" t="s">
        <v>83</v>
      </c>
      <c r="L2321" t="s">
        <v>4890</v>
      </c>
      <c r="M2321" t="s">
        <v>84</v>
      </c>
      <c r="N2321" t="s">
        <v>4891</v>
      </c>
      <c r="O2321" t="s">
        <v>32</v>
      </c>
      <c r="P2321" t="s">
        <v>5053</v>
      </c>
      <c r="Q2321">
        <v>150</v>
      </c>
      <c r="R2321">
        <v>150</v>
      </c>
      <c r="S2321" t="s">
        <v>159</v>
      </c>
      <c r="T2321" t="s">
        <v>159</v>
      </c>
      <c r="W2321">
        <v>150</v>
      </c>
      <c r="X2321">
        <v>150</v>
      </c>
      <c r="Y2321">
        <v>0</v>
      </c>
      <c r="Z2321">
        <v>0</v>
      </c>
    </row>
    <row r="2322" spans="1:26" hidden="1" x14ac:dyDescent="0.25">
      <c r="A2322" t="s">
        <v>5054</v>
      </c>
      <c r="B2322" t="s">
        <v>38</v>
      </c>
      <c r="C2322" s="4">
        <v>45400</v>
      </c>
      <c r="D2322" s="4">
        <v>46014</v>
      </c>
      <c r="F2322" s="4">
        <v>46905</v>
      </c>
      <c r="G2322" t="s">
        <v>101</v>
      </c>
      <c r="H2322" t="s">
        <v>1873</v>
      </c>
      <c r="K2322" t="s">
        <v>98</v>
      </c>
      <c r="L2322" t="s">
        <v>4890</v>
      </c>
      <c r="M2322" t="s">
        <v>84</v>
      </c>
      <c r="N2322" t="s">
        <v>4891</v>
      </c>
      <c r="O2322" t="s">
        <v>32</v>
      </c>
      <c r="P2322" t="s">
        <v>1345</v>
      </c>
      <c r="Q2322">
        <v>150</v>
      </c>
      <c r="R2322">
        <v>150</v>
      </c>
      <c r="S2322" t="s">
        <v>597</v>
      </c>
      <c r="T2322" t="s">
        <v>598</v>
      </c>
      <c r="W2322">
        <v>0</v>
      </c>
      <c r="X2322">
        <v>0</v>
      </c>
      <c r="Y2322">
        <v>0</v>
      </c>
      <c r="Z2322">
        <v>0</v>
      </c>
    </row>
    <row r="2323" spans="1:26" hidden="1" x14ac:dyDescent="0.25">
      <c r="A2323" t="s">
        <v>5055</v>
      </c>
      <c r="B2323" t="s">
        <v>38</v>
      </c>
      <c r="C2323" s="4">
        <v>45397</v>
      </c>
      <c r="D2323" s="4">
        <v>45925</v>
      </c>
      <c r="F2323" s="4">
        <v>46905</v>
      </c>
      <c r="G2323" t="s">
        <v>138</v>
      </c>
      <c r="H2323" t="s">
        <v>1805</v>
      </c>
      <c r="K2323" t="s">
        <v>98</v>
      </c>
      <c r="L2323" t="s">
        <v>4890</v>
      </c>
      <c r="M2323" t="s">
        <v>84</v>
      </c>
      <c r="N2323" t="s">
        <v>4891</v>
      </c>
      <c r="O2323" t="s">
        <v>32</v>
      </c>
      <c r="P2323" t="s">
        <v>5056</v>
      </c>
      <c r="Q2323">
        <v>300</v>
      </c>
      <c r="R2323">
        <v>300</v>
      </c>
      <c r="S2323" t="s">
        <v>597</v>
      </c>
      <c r="T2323" t="s">
        <v>598</v>
      </c>
      <c r="W2323">
        <v>0</v>
      </c>
      <c r="X2323">
        <v>0</v>
      </c>
      <c r="Y2323">
        <v>0</v>
      </c>
      <c r="Z2323">
        <v>0</v>
      </c>
    </row>
    <row r="2324" spans="1:26" hidden="1" x14ac:dyDescent="0.25">
      <c r="A2324" t="s">
        <v>5057</v>
      </c>
      <c r="B2324" t="s">
        <v>38</v>
      </c>
      <c r="C2324" s="4">
        <v>45397</v>
      </c>
      <c r="D2324" s="4">
        <v>45800</v>
      </c>
      <c r="F2324" s="4">
        <v>46905</v>
      </c>
      <c r="G2324" t="s">
        <v>144</v>
      </c>
      <c r="H2324" t="s">
        <v>1618</v>
      </c>
      <c r="K2324" t="s">
        <v>146</v>
      </c>
      <c r="L2324" t="s">
        <v>4890</v>
      </c>
      <c r="M2324" t="s">
        <v>68</v>
      </c>
      <c r="N2324" t="s">
        <v>4891</v>
      </c>
      <c r="O2324" t="s">
        <v>32</v>
      </c>
      <c r="P2324" t="s">
        <v>5058</v>
      </c>
      <c r="Q2324">
        <v>150</v>
      </c>
      <c r="R2324">
        <v>150</v>
      </c>
      <c r="S2324" t="s">
        <v>597</v>
      </c>
      <c r="T2324" t="s">
        <v>598</v>
      </c>
      <c r="W2324">
        <v>0</v>
      </c>
      <c r="X2324">
        <v>0</v>
      </c>
      <c r="Y2324">
        <v>0</v>
      </c>
      <c r="Z2324">
        <v>0</v>
      </c>
    </row>
    <row r="2325" spans="1:26" hidden="1" x14ac:dyDescent="0.25">
      <c r="A2325" t="s">
        <v>5059</v>
      </c>
      <c r="B2325" t="s">
        <v>38</v>
      </c>
      <c r="C2325" s="4">
        <v>45400</v>
      </c>
      <c r="D2325" s="4">
        <v>45782</v>
      </c>
      <c r="F2325" s="4">
        <v>46934</v>
      </c>
      <c r="G2325" t="s">
        <v>52</v>
      </c>
      <c r="H2325" t="s">
        <v>1362</v>
      </c>
      <c r="K2325" t="s">
        <v>53</v>
      </c>
      <c r="L2325" t="s">
        <v>4890</v>
      </c>
      <c r="M2325" t="s">
        <v>54</v>
      </c>
      <c r="N2325" t="s">
        <v>4891</v>
      </c>
      <c r="O2325" t="s">
        <v>32</v>
      </c>
      <c r="P2325" t="s">
        <v>5060</v>
      </c>
      <c r="Q2325">
        <v>200</v>
      </c>
      <c r="R2325">
        <v>200</v>
      </c>
      <c r="S2325" t="s">
        <v>159</v>
      </c>
      <c r="T2325" t="s">
        <v>159</v>
      </c>
      <c r="W2325">
        <v>0</v>
      </c>
      <c r="X2325">
        <v>0</v>
      </c>
      <c r="Y2325">
        <v>0</v>
      </c>
      <c r="Z2325">
        <v>0</v>
      </c>
    </row>
    <row r="2326" spans="1:26" hidden="1" x14ac:dyDescent="0.25">
      <c r="A2326" t="s">
        <v>5061</v>
      </c>
      <c r="B2326" t="s">
        <v>38</v>
      </c>
      <c r="C2326" s="4">
        <v>45394</v>
      </c>
      <c r="D2326" s="4">
        <v>46014</v>
      </c>
      <c r="F2326" s="4">
        <v>47026</v>
      </c>
      <c r="G2326" t="s">
        <v>117</v>
      </c>
      <c r="H2326" t="s">
        <v>2052</v>
      </c>
      <c r="K2326" t="s">
        <v>83</v>
      </c>
      <c r="L2326" t="s">
        <v>4890</v>
      </c>
      <c r="M2326" t="s">
        <v>84</v>
      </c>
      <c r="N2326" t="s">
        <v>4891</v>
      </c>
      <c r="O2326" t="s">
        <v>122</v>
      </c>
      <c r="P2326" t="s">
        <v>1345</v>
      </c>
      <c r="Q2326">
        <v>200</v>
      </c>
      <c r="R2326">
        <v>200</v>
      </c>
      <c r="S2326" t="s">
        <v>34</v>
      </c>
      <c r="T2326" t="s">
        <v>35</v>
      </c>
      <c r="W2326">
        <v>0</v>
      </c>
      <c r="X2326">
        <v>0</v>
      </c>
      <c r="Y2326">
        <v>0</v>
      </c>
      <c r="Z2326">
        <v>0</v>
      </c>
    </row>
    <row r="2327" spans="1:26" hidden="1" x14ac:dyDescent="0.25">
      <c r="A2327" t="s">
        <v>5062</v>
      </c>
      <c r="B2327" t="s">
        <v>38</v>
      </c>
      <c r="C2327" s="4">
        <v>45394</v>
      </c>
      <c r="D2327" s="4">
        <v>45811</v>
      </c>
      <c r="F2327" s="4">
        <v>47026</v>
      </c>
      <c r="G2327" t="s">
        <v>144</v>
      </c>
      <c r="H2327" t="s">
        <v>1744</v>
      </c>
      <c r="K2327" t="s">
        <v>146</v>
      </c>
      <c r="L2327" t="s">
        <v>4890</v>
      </c>
      <c r="M2327" t="s">
        <v>68</v>
      </c>
      <c r="N2327" t="s">
        <v>4891</v>
      </c>
      <c r="O2327" t="s">
        <v>32</v>
      </c>
      <c r="P2327" t="s">
        <v>5063</v>
      </c>
      <c r="Q2327">
        <v>325</v>
      </c>
      <c r="R2327">
        <v>325</v>
      </c>
      <c r="S2327" t="s">
        <v>34</v>
      </c>
      <c r="T2327" t="s">
        <v>35</v>
      </c>
      <c r="W2327">
        <v>0</v>
      </c>
      <c r="X2327">
        <v>0</v>
      </c>
      <c r="Y2327">
        <v>0</v>
      </c>
      <c r="Z2327">
        <v>0</v>
      </c>
    </row>
    <row r="2328" spans="1:26" hidden="1" x14ac:dyDescent="0.25">
      <c r="A2328" t="s">
        <v>5064</v>
      </c>
      <c r="B2328" t="s">
        <v>38</v>
      </c>
      <c r="C2328" s="4">
        <v>45394</v>
      </c>
      <c r="D2328" s="4">
        <v>45887</v>
      </c>
      <c r="F2328" s="4">
        <v>47026</v>
      </c>
      <c r="G2328" t="s">
        <v>1381</v>
      </c>
      <c r="H2328" t="s">
        <v>1387</v>
      </c>
      <c r="K2328" t="s">
        <v>83</v>
      </c>
      <c r="L2328" t="s">
        <v>4890</v>
      </c>
      <c r="M2328" t="s">
        <v>42</v>
      </c>
      <c r="N2328" t="s">
        <v>4891</v>
      </c>
      <c r="O2328" t="s">
        <v>32</v>
      </c>
      <c r="P2328" t="s">
        <v>1345</v>
      </c>
      <c r="Q2328">
        <v>200</v>
      </c>
      <c r="R2328">
        <v>200</v>
      </c>
      <c r="S2328" t="s">
        <v>34</v>
      </c>
      <c r="T2328" t="s">
        <v>35</v>
      </c>
      <c r="W2328">
        <v>0</v>
      </c>
      <c r="X2328">
        <v>0</v>
      </c>
      <c r="Y2328">
        <v>0</v>
      </c>
      <c r="Z2328">
        <v>0</v>
      </c>
    </row>
    <row r="2329" spans="1:26" hidden="1" x14ac:dyDescent="0.25">
      <c r="A2329" t="s">
        <v>5065</v>
      </c>
      <c r="B2329" t="s">
        <v>2153</v>
      </c>
      <c r="C2329" s="4">
        <v>45400</v>
      </c>
      <c r="F2329" s="4">
        <v>47362</v>
      </c>
      <c r="G2329" t="s">
        <v>1368</v>
      </c>
      <c r="H2329" t="s">
        <v>5066</v>
      </c>
      <c r="K2329" t="s">
        <v>209</v>
      </c>
      <c r="L2329" t="s">
        <v>4890</v>
      </c>
      <c r="M2329" t="s">
        <v>42</v>
      </c>
      <c r="N2329" t="s">
        <v>4891</v>
      </c>
      <c r="O2329" t="s">
        <v>32</v>
      </c>
      <c r="P2329" t="s">
        <v>5067</v>
      </c>
      <c r="Q2329">
        <v>200</v>
      </c>
      <c r="R2329">
        <v>200</v>
      </c>
      <c r="S2329" t="s">
        <v>56</v>
      </c>
      <c r="T2329" t="s">
        <v>57</v>
      </c>
      <c r="W2329">
        <v>200</v>
      </c>
      <c r="X2329">
        <v>200</v>
      </c>
      <c r="Y2329">
        <v>0</v>
      </c>
      <c r="Z2329">
        <v>0</v>
      </c>
    </row>
    <row r="2330" spans="1:26" hidden="1" x14ac:dyDescent="0.25">
      <c r="A2330" t="s">
        <v>5068</v>
      </c>
      <c r="B2330" t="s">
        <v>38</v>
      </c>
      <c r="C2330" s="4">
        <v>45399</v>
      </c>
      <c r="D2330" s="4">
        <v>45930</v>
      </c>
      <c r="F2330" s="4">
        <v>46874</v>
      </c>
      <c r="G2330" t="s">
        <v>1381</v>
      </c>
      <c r="H2330" t="s">
        <v>3973</v>
      </c>
      <c r="K2330" t="s">
        <v>209</v>
      </c>
      <c r="L2330" t="s">
        <v>4890</v>
      </c>
      <c r="M2330" t="s">
        <v>42</v>
      </c>
      <c r="N2330" t="s">
        <v>4891</v>
      </c>
      <c r="O2330" t="s">
        <v>32</v>
      </c>
      <c r="P2330" t="s">
        <v>5069</v>
      </c>
      <c r="Q2330">
        <v>140</v>
      </c>
      <c r="R2330">
        <v>140</v>
      </c>
      <c r="S2330" t="s">
        <v>56</v>
      </c>
      <c r="T2330" t="s">
        <v>57</v>
      </c>
      <c r="W2330">
        <v>0</v>
      </c>
      <c r="X2330">
        <v>0</v>
      </c>
      <c r="Y2330">
        <v>0</v>
      </c>
      <c r="Z2330">
        <v>0</v>
      </c>
    </row>
    <row r="2331" spans="1:26" hidden="1" x14ac:dyDescent="0.25">
      <c r="A2331" t="s">
        <v>5070</v>
      </c>
      <c r="B2331" t="s">
        <v>2153</v>
      </c>
      <c r="C2331" s="4">
        <v>45400</v>
      </c>
      <c r="F2331" s="4">
        <v>46874</v>
      </c>
      <c r="G2331" t="s">
        <v>3031</v>
      </c>
      <c r="H2331" t="s">
        <v>4479</v>
      </c>
      <c r="K2331" t="s">
        <v>41</v>
      </c>
      <c r="L2331" t="s">
        <v>4890</v>
      </c>
      <c r="M2331" t="s">
        <v>42</v>
      </c>
      <c r="N2331" t="s">
        <v>4891</v>
      </c>
      <c r="O2331" t="s">
        <v>32</v>
      </c>
      <c r="P2331" t="s">
        <v>1345</v>
      </c>
      <c r="Q2331">
        <v>250</v>
      </c>
      <c r="R2331">
        <v>250</v>
      </c>
      <c r="S2331" t="s">
        <v>56</v>
      </c>
      <c r="T2331" t="s">
        <v>57</v>
      </c>
      <c r="W2331">
        <v>250</v>
      </c>
      <c r="X2331">
        <v>250</v>
      </c>
      <c r="Y2331">
        <v>0</v>
      </c>
      <c r="Z2331">
        <v>0</v>
      </c>
    </row>
    <row r="2332" spans="1:26" hidden="1" x14ac:dyDescent="0.25">
      <c r="A2332" t="s">
        <v>5071</v>
      </c>
      <c r="B2332" t="s">
        <v>38</v>
      </c>
      <c r="C2332" s="4">
        <v>45398</v>
      </c>
      <c r="D2332" s="4">
        <v>45930</v>
      </c>
      <c r="F2332" s="4">
        <v>46508</v>
      </c>
      <c r="G2332" t="s">
        <v>1679</v>
      </c>
      <c r="H2332" t="s">
        <v>1663</v>
      </c>
      <c r="K2332" t="s">
        <v>98</v>
      </c>
      <c r="L2332" t="s">
        <v>4890</v>
      </c>
      <c r="M2332" t="s">
        <v>84</v>
      </c>
      <c r="N2332" t="s">
        <v>4891</v>
      </c>
      <c r="O2332" t="s">
        <v>32</v>
      </c>
      <c r="P2332" t="s">
        <v>5072</v>
      </c>
      <c r="Q2332">
        <v>130</v>
      </c>
      <c r="R2332">
        <v>130</v>
      </c>
      <c r="S2332" t="s">
        <v>159</v>
      </c>
      <c r="T2332" t="s">
        <v>159</v>
      </c>
      <c r="W2332">
        <v>0</v>
      </c>
      <c r="X2332">
        <v>0</v>
      </c>
      <c r="Y2332">
        <v>0</v>
      </c>
      <c r="Z2332">
        <v>0</v>
      </c>
    </row>
    <row r="2333" spans="1:26" hidden="1" x14ac:dyDescent="0.25">
      <c r="A2333" t="s">
        <v>5073</v>
      </c>
      <c r="B2333" t="s">
        <v>38</v>
      </c>
      <c r="C2333" s="4">
        <v>45400</v>
      </c>
      <c r="D2333" s="4">
        <v>45930</v>
      </c>
      <c r="F2333" s="4">
        <v>46874</v>
      </c>
      <c r="G2333" t="s">
        <v>117</v>
      </c>
      <c r="H2333" t="s">
        <v>1611</v>
      </c>
      <c r="K2333" t="s">
        <v>83</v>
      </c>
      <c r="L2333" t="s">
        <v>4890</v>
      </c>
      <c r="M2333" t="s">
        <v>84</v>
      </c>
      <c r="N2333" t="s">
        <v>4891</v>
      </c>
      <c r="O2333" t="s">
        <v>32</v>
      </c>
      <c r="P2333" t="s">
        <v>5074</v>
      </c>
      <c r="Q2333">
        <v>150</v>
      </c>
      <c r="R2333">
        <v>150</v>
      </c>
      <c r="S2333" t="s">
        <v>56</v>
      </c>
      <c r="T2333" t="s">
        <v>57</v>
      </c>
      <c r="W2333">
        <v>0</v>
      </c>
      <c r="X2333">
        <v>0</v>
      </c>
      <c r="Y2333">
        <v>0</v>
      </c>
      <c r="Z2333">
        <v>0</v>
      </c>
    </row>
    <row r="2334" spans="1:26" hidden="1" x14ac:dyDescent="0.25">
      <c r="A2334" t="s">
        <v>5075</v>
      </c>
      <c r="B2334" t="s">
        <v>38</v>
      </c>
      <c r="C2334" s="4">
        <v>45399</v>
      </c>
      <c r="D2334" s="4">
        <v>45930</v>
      </c>
      <c r="F2334" s="4">
        <v>46874</v>
      </c>
      <c r="G2334" t="s">
        <v>101</v>
      </c>
      <c r="H2334" t="s">
        <v>1805</v>
      </c>
      <c r="K2334" t="s">
        <v>98</v>
      </c>
      <c r="L2334" t="s">
        <v>4890</v>
      </c>
      <c r="M2334" t="s">
        <v>84</v>
      </c>
      <c r="N2334" t="s">
        <v>4891</v>
      </c>
      <c r="O2334" t="s">
        <v>32</v>
      </c>
      <c r="P2334" t="s">
        <v>4598</v>
      </c>
      <c r="Q2334">
        <v>145</v>
      </c>
      <c r="R2334">
        <v>145</v>
      </c>
      <c r="S2334" t="s">
        <v>159</v>
      </c>
      <c r="T2334" t="s">
        <v>159</v>
      </c>
      <c r="W2334">
        <v>0</v>
      </c>
      <c r="X2334">
        <v>0</v>
      </c>
      <c r="Y2334">
        <v>0</v>
      </c>
      <c r="Z2334">
        <v>0</v>
      </c>
    </row>
    <row r="2335" spans="1:26" hidden="1" x14ac:dyDescent="0.25">
      <c r="A2335" t="s">
        <v>5076</v>
      </c>
      <c r="B2335" t="s">
        <v>38</v>
      </c>
      <c r="C2335" s="4">
        <v>45399</v>
      </c>
      <c r="D2335" s="4">
        <v>45911</v>
      </c>
      <c r="F2335" s="4">
        <v>46874</v>
      </c>
      <c r="G2335" t="s">
        <v>1278</v>
      </c>
      <c r="H2335" t="s">
        <v>2007</v>
      </c>
      <c r="K2335" t="s">
        <v>28</v>
      </c>
      <c r="L2335" t="s">
        <v>4890</v>
      </c>
      <c r="M2335" t="s">
        <v>30</v>
      </c>
      <c r="N2335" t="s">
        <v>4891</v>
      </c>
      <c r="O2335" t="s">
        <v>32</v>
      </c>
      <c r="P2335" t="s">
        <v>5077</v>
      </c>
      <c r="Q2335">
        <v>705</v>
      </c>
      <c r="R2335">
        <v>705</v>
      </c>
      <c r="S2335" t="s">
        <v>389</v>
      </c>
      <c r="T2335" t="s">
        <v>584</v>
      </c>
      <c r="W2335">
        <v>0</v>
      </c>
      <c r="X2335">
        <v>0</v>
      </c>
      <c r="Y2335">
        <v>0</v>
      </c>
      <c r="Z2335">
        <v>0</v>
      </c>
    </row>
    <row r="2336" spans="1:26" hidden="1" x14ac:dyDescent="0.25">
      <c r="A2336" t="s">
        <v>5078</v>
      </c>
      <c r="B2336" t="s">
        <v>2153</v>
      </c>
      <c r="C2336" s="4">
        <v>45399</v>
      </c>
      <c r="F2336" s="4">
        <v>46874</v>
      </c>
      <c r="G2336" t="s">
        <v>1257</v>
      </c>
      <c r="H2336" t="s">
        <v>1805</v>
      </c>
      <c r="K2336" t="s">
        <v>98</v>
      </c>
      <c r="L2336" t="s">
        <v>4890</v>
      </c>
      <c r="M2336" t="s">
        <v>84</v>
      </c>
      <c r="N2336" t="s">
        <v>4891</v>
      </c>
      <c r="O2336" t="s">
        <v>32</v>
      </c>
      <c r="P2336" t="s">
        <v>5079</v>
      </c>
      <c r="Q2336">
        <v>470</v>
      </c>
      <c r="R2336">
        <v>470</v>
      </c>
      <c r="S2336" t="s">
        <v>389</v>
      </c>
      <c r="T2336" t="s">
        <v>584</v>
      </c>
      <c r="W2336">
        <v>470</v>
      </c>
      <c r="X2336">
        <v>470</v>
      </c>
      <c r="Y2336">
        <v>0</v>
      </c>
      <c r="Z2336">
        <v>0</v>
      </c>
    </row>
    <row r="2337" spans="1:26" hidden="1" x14ac:dyDescent="0.25">
      <c r="A2337" t="s">
        <v>5080</v>
      </c>
      <c r="B2337" t="s">
        <v>38</v>
      </c>
      <c r="C2337" s="4">
        <v>45399</v>
      </c>
      <c r="D2337" s="4">
        <v>45930</v>
      </c>
      <c r="F2337" s="4">
        <v>46874</v>
      </c>
      <c r="G2337" t="s">
        <v>1278</v>
      </c>
      <c r="H2337" t="s">
        <v>1999</v>
      </c>
      <c r="K2337" t="s">
        <v>28</v>
      </c>
      <c r="L2337" t="s">
        <v>4890</v>
      </c>
      <c r="M2337" t="s">
        <v>30</v>
      </c>
      <c r="N2337" t="s">
        <v>4891</v>
      </c>
      <c r="O2337" t="s">
        <v>32</v>
      </c>
      <c r="P2337" t="s">
        <v>5081</v>
      </c>
      <c r="Q2337">
        <v>150</v>
      </c>
      <c r="R2337">
        <v>150</v>
      </c>
      <c r="S2337" t="s">
        <v>56</v>
      </c>
      <c r="T2337" t="s">
        <v>57</v>
      </c>
      <c r="W2337">
        <v>0</v>
      </c>
      <c r="X2337">
        <v>0</v>
      </c>
      <c r="Y2337">
        <v>0</v>
      </c>
      <c r="Z2337">
        <v>0</v>
      </c>
    </row>
    <row r="2338" spans="1:26" hidden="1" x14ac:dyDescent="0.25">
      <c r="A2338" t="s">
        <v>5082</v>
      </c>
      <c r="B2338" t="s">
        <v>38</v>
      </c>
      <c r="C2338" s="4">
        <v>45399</v>
      </c>
      <c r="D2338" s="4">
        <v>45930</v>
      </c>
      <c r="F2338" s="4">
        <v>46874</v>
      </c>
      <c r="G2338" t="s">
        <v>907</v>
      </c>
      <c r="H2338" t="s">
        <v>1724</v>
      </c>
      <c r="K2338" t="s">
        <v>53</v>
      </c>
      <c r="L2338" t="s">
        <v>4890</v>
      </c>
      <c r="M2338" t="s">
        <v>54</v>
      </c>
      <c r="N2338" t="s">
        <v>4891</v>
      </c>
      <c r="O2338" t="s">
        <v>32</v>
      </c>
      <c r="P2338" t="s">
        <v>5083</v>
      </c>
      <c r="Q2338">
        <v>150</v>
      </c>
      <c r="R2338">
        <v>150</v>
      </c>
      <c r="S2338" t="s">
        <v>34</v>
      </c>
      <c r="T2338" t="s">
        <v>35</v>
      </c>
      <c r="W2338">
        <v>0</v>
      </c>
      <c r="X2338">
        <v>0</v>
      </c>
      <c r="Y2338">
        <v>0</v>
      </c>
      <c r="Z2338">
        <v>0</v>
      </c>
    </row>
    <row r="2339" spans="1:26" hidden="1" x14ac:dyDescent="0.25">
      <c r="A2339" t="s">
        <v>5084</v>
      </c>
      <c r="B2339" t="s">
        <v>38</v>
      </c>
      <c r="C2339" s="4">
        <v>45387</v>
      </c>
      <c r="D2339" s="4">
        <v>45924</v>
      </c>
      <c r="F2339" s="4">
        <v>46905</v>
      </c>
      <c r="G2339" t="s">
        <v>101</v>
      </c>
      <c r="H2339" t="s">
        <v>1882</v>
      </c>
      <c r="K2339" t="s">
        <v>98</v>
      </c>
      <c r="L2339" t="s">
        <v>4890</v>
      </c>
      <c r="M2339" t="s">
        <v>84</v>
      </c>
      <c r="N2339" t="s">
        <v>4891</v>
      </c>
      <c r="O2339" t="s">
        <v>32</v>
      </c>
      <c r="P2339" t="s">
        <v>5085</v>
      </c>
      <c r="Q2339">
        <v>100</v>
      </c>
      <c r="R2339">
        <v>100</v>
      </c>
      <c r="S2339" t="s">
        <v>159</v>
      </c>
      <c r="T2339" t="s">
        <v>159</v>
      </c>
      <c r="W2339">
        <v>0</v>
      </c>
      <c r="X2339">
        <v>0</v>
      </c>
      <c r="Y2339">
        <v>0</v>
      </c>
      <c r="Z2339">
        <v>0</v>
      </c>
    </row>
    <row r="2340" spans="1:26" hidden="1" x14ac:dyDescent="0.25">
      <c r="A2340" t="s">
        <v>5086</v>
      </c>
      <c r="B2340" t="s">
        <v>38</v>
      </c>
      <c r="C2340" s="4">
        <v>45400</v>
      </c>
      <c r="D2340" s="4">
        <v>45930</v>
      </c>
      <c r="F2340" s="4">
        <v>47027</v>
      </c>
      <c r="G2340" t="s">
        <v>117</v>
      </c>
      <c r="H2340" t="s">
        <v>1765</v>
      </c>
      <c r="K2340" t="s">
        <v>83</v>
      </c>
      <c r="L2340" t="s">
        <v>4890</v>
      </c>
      <c r="M2340" t="s">
        <v>84</v>
      </c>
      <c r="N2340" t="s">
        <v>4891</v>
      </c>
      <c r="O2340" t="s">
        <v>32</v>
      </c>
      <c r="P2340" t="s">
        <v>1345</v>
      </c>
      <c r="Q2340">
        <v>222</v>
      </c>
      <c r="R2340">
        <v>222</v>
      </c>
      <c r="S2340" t="s">
        <v>56</v>
      </c>
      <c r="T2340" t="s">
        <v>57</v>
      </c>
      <c r="W2340">
        <v>0</v>
      </c>
      <c r="X2340">
        <v>0</v>
      </c>
      <c r="Y2340">
        <v>0</v>
      </c>
      <c r="Z2340">
        <v>0</v>
      </c>
    </row>
    <row r="2341" spans="1:26" hidden="1" x14ac:dyDescent="0.25">
      <c r="A2341" t="s">
        <v>5087</v>
      </c>
      <c r="B2341" t="s">
        <v>2153</v>
      </c>
      <c r="C2341" s="4">
        <v>45387</v>
      </c>
      <c r="F2341" s="4">
        <v>46478</v>
      </c>
      <c r="G2341" t="s">
        <v>907</v>
      </c>
      <c r="H2341" t="s">
        <v>3441</v>
      </c>
      <c r="K2341" t="s">
        <v>53</v>
      </c>
      <c r="L2341" t="s">
        <v>4890</v>
      </c>
      <c r="M2341" t="s">
        <v>54</v>
      </c>
      <c r="N2341" t="s">
        <v>4891</v>
      </c>
      <c r="O2341" t="s">
        <v>32</v>
      </c>
      <c r="P2341" t="s">
        <v>5088</v>
      </c>
      <c r="Q2341">
        <v>41.8</v>
      </c>
      <c r="R2341">
        <v>41.8</v>
      </c>
      <c r="S2341" t="s">
        <v>56</v>
      </c>
      <c r="T2341" t="s">
        <v>57</v>
      </c>
      <c r="W2341">
        <v>41.8</v>
      </c>
      <c r="X2341">
        <v>41.8</v>
      </c>
      <c r="Y2341">
        <v>0</v>
      </c>
      <c r="Z2341">
        <v>0</v>
      </c>
    </row>
    <row r="2342" spans="1:26" hidden="1" x14ac:dyDescent="0.25">
      <c r="A2342" t="s">
        <v>5089</v>
      </c>
      <c r="B2342" t="s">
        <v>38</v>
      </c>
      <c r="C2342" s="4">
        <v>45398</v>
      </c>
      <c r="D2342" s="4">
        <v>46014</v>
      </c>
      <c r="F2342" s="4">
        <v>46813</v>
      </c>
      <c r="G2342" t="s">
        <v>1251</v>
      </c>
      <c r="H2342" t="s">
        <v>3250</v>
      </c>
      <c r="K2342" t="s">
        <v>109</v>
      </c>
      <c r="L2342" t="s">
        <v>4890</v>
      </c>
      <c r="M2342" t="s">
        <v>84</v>
      </c>
      <c r="N2342" t="s">
        <v>4891</v>
      </c>
      <c r="O2342" t="s">
        <v>122</v>
      </c>
      <c r="P2342" t="s">
        <v>5090</v>
      </c>
      <c r="Q2342">
        <v>230</v>
      </c>
      <c r="R2342">
        <v>230</v>
      </c>
      <c r="S2342" t="s">
        <v>34</v>
      </c>
      <c r="T2342" t="s">
        <v>35</v>
      </c>
      <c r="W2342">
        <v>0</v>
      </c>
      <c r="X2342">
        <v>0</v>
      </c>
      <c r="Y2342">
        <v>0</v>
      </c>
      <c r="Z2342">
        <v>0</v>
      </c>
    </row>
    <row r="2343" spans="1:26" hidden="1" x14ac:dyDescent="0.25">
      <c r="A2343" t="s">
        <v>5091</v>
      </c>
      <c r="B2343" t="s">
        <v>2153</v>
      </c>
      <c r="C2343" s="4">
        <v>45400</v>
      </c>
      <c r="F2343" s="4">
        <v>47054</v>
      </c>
      <c r="G2343" t="s">
        <v>117</v>
      </c>
      <c r="H2343" t="s">
        <v>3459</v>
      </c>
      <c r="K2343" t="s">
        <v>83</v>
      </c>
      <c r="L2343" t="s">
        <v>4890</v>
      </c>
      <c r="M2343" t="s">
        <v>84</v>
      </c>
      <c r="N2343" t="s">
        <v>4891</v>
      </c>
      <c r="O2343" t="s">
        <v>32</v>
      </c>
      <c r="P2343" t="s">
        <v>4967</v>
      </c>
      <c r="Q2343">
        <v>199.99</v>
      </c>
      <c r="R2343">
        <v>199.99</v>
      </c>
      <c r="S2343" t="s">
        <v>56</v>
      </c>
      <c r="T2343" t="s">
        <v>57</v>
      </c>
      <c r="W2343">
        <v>200</v>
      </c>
      <c r="X2343">
        <v>200</v>
      </c>
      <c r="Y2343">
        <v>0</v>
      </c>
      <c r="Z2343">
        <v>0</v>
      </c>
    </row>
    <row r="2344" spans="1:26" hidden="1" x14ac:dyDescent="0.25">
      <c r="A2344" t="s">
        <v>5092</v>
      </c>
      <c r="B2344" t="s">
        <v>38</v>
      </c>
      <c r="C2344" s="4">
        <v>45398</v>
      </c>
      <c r="D2344" s="4">
        <v>46014</v>
      </c>
      <c r="F2344" s="4">
        <v>47011</v>
      </c>
      <c r="G2344" t="s">
        <v>101</v>
      </c>
      <c r="H2344" t="s">
        <v>2994</v>
      </c>
      <c r="K2344" t="s">
        <v>98</v>
      </c>
      <c r="L2344" t="s">
        <v>4890</v>
      </c>
      <c r="M2344" t="s">
        <v>84</v>
      </c>
      <c r="N2344" t="s">
        <v>4891</v>
      </c>
      <c r="O2344" t="s">
        <v>32</v>
      </c>
      <c r="P2344" t="s">
        <v>5093</v>
      </c>
      <c r="Q2344">
        <v>100</v>
      </c>
      <c r="R2344">
        <v>100</v>
      </c>
      <c r="S2344" t="s">
        <v>159</v>
      </c>
      <c r="T2344" t="s">
        <v>159</v>
      </c>
      <c r="W2344">
        <v>0</v>
      </c>
      <c r="X2344">
        <v>0</v>
      </c>
      <c r="Y2344">
        <v>0</v>
      </c>
      <c r="Z2344">
        <v>0</v>
      </c>
    </row>
    <row r="2345" spans="1:26" hidden="1" x14ac:dyDescent="0.25">
      <c r="A2345" t="s">
        <v>5094</v>
      </c>
      <c r="B2345" t="s">
        <v>2153</v>
      </c>
      <c r="C2345" s="4">
        <v>45369</v>
      </c>
      <c r="F2345" s="4">
        <v>46997</v>
      </c>
      <c r="G2345" t="s">
        <v>117</v>
      </c>
      <c r="H2345" t="s">
        <v>1611</v>
      </c>
      <c r="K2345" t="s">
        <v>83</v>
      </c>
      <c r="L2345" t="s">
        <v>4890</v>
      </c>
      <c r="M2345" t="s">
        <v>84</v>
      </c>
      <c r="N2345" t="s">
        <v>4891</v>
      </c>
      <c r="O2345" t="s">
        <v>32</v>
      </c>
      <c r="P2345" t="s">
        <v>5095</v>
      </c>
      <c r="Q2345">
        <v>175</v>
      </c>
      <c r="R2345">
        <v>175</v>
      </c>
      <c r="S2345" t="s">
        <v>34</v>
      </c>
      <c r="T2345" t="s">
        <v>35</v>
      </c>
      <c r="W2345">
        <v>175</v>
      </c>
      <c r="X2345">
        <v>175</v>
      </c>
      <c r="Y2345">
        <v>0</v>
      </c>
      <c r="Z2345">
        <v>0</v>
      </c>
    </row>
    <row r="2346" spans="1:26" hidden="1" x14ac:dyDescent="0.25">
      <c r="A2346" t="s">
        <v>5096</v>
      </c>
      <c r="B2346" t="s">
        <v>2153</v>
      </c>
      <c r="C2346" s="4">
        <v>45400</v>
      </c>
      <c r="F2346" s="4">
        <v>46996</v>
      </c>
      <c r="G2346" t="s">
        <v>117</v>
      </c>
      <c r="H2346" t="s">
        <v>1611</v>
      </c>
      <c r="K2346" t="s">
        <v>83</v>
      </c>
      <c r="L2346" t="s">
        <v>4890</v>
      </c>
      <c r="M2346" t="s">
        <v>84</v>
      </c>
      <c r="N2346" t="s">
        <v>4891</v>
      </c>
      <c r="O2346" t="s">
        <v>32</v>
      </c>
      <c r="P2346" t="s">
        <v>5097</v>
      </c>
      <c r="Q2346">
        <v>100</v>
      </c>
      <c r="R2346">
        <v>100</v>
      </c>
      <c r="S2346" t="s">
        <v>56</v>
      </c>
      <c r="T2346" t="s">
        <v>57</v>
      </c>
      <c r="W2346">
        <v>100</v>
      </c>
      <c r="X2346">
        <v>100</v>
      </c>
      <c r="Y2346">
        <v>0</v>
      </c>
      <c r="Z2346">
        <v>0</v>
      </c>
    </row>
    <row r="2347" spans="1:26" hidden="1" x14ac:dyDescent="0.25">
      <c r="A2347" t="s">
        <v>5098</v>
      </c>
      <c r="B2347" t="s">
        <v>2153</v>
      </c>
      <c r="C2347" s="4">
        <v>45400</v>
      </c>
      <c r="F2347" s="4">
        <v>46996</v>
      </c>
      <c r="G2347" t="s">
        <v>117</v>
      </c>
      <c r="H2347" t="s">
        <v>1611</v>
      </c>
      <c r="K2347" t="s">
        <v>83</v>
      </c>
      <c r="L2347" t="s">
        <v>4890</v>
      </c>
      <c r="M2347" t="s">
        <v>84</v>
      </c>
      <c r="N2347" t="s">
        <v>4891</v>
      </c>
      <c r="O2347" t="s">
        <v>32</v>
      </c>
      <c r="P2347" t="s">
        <v>5097</v>
      </c>
      <c r="Q2347">
        <v>180</v>
      </c>
      <c r="R2347">
        <v>180</v>
      </c>
      <c r="S2347" t="s">
        <v>34</v>
      </c>
      <c r="T2347" t="s">
        <v>35</v>
      </c>
      <c r="W2347">
        <v>110</v>
      </c>
      <c r="X2347">
        <v>110</v>
      </c>
      <c r="Y2347">
        <v>0</v>
      </c>
      <c r="Z2347">
        <v>0</v>
      </c>
    </row>
    <row r="2348" spans="1:26" hidden="1" x14ac:dyDescent="0.25">
      <c r="A2348" t="s">
        <v>5099</v>
      </c>
      <c r="B2348" t="s">
        <v>38</v>
      </c>
      <c r="C2348" s="4">
        <v>45378</v>
      </c>
      <c r="D2348" s="4">
        <v>45929</v>
      </c>
      <c r="F2348" s="4">
        <v>46997</v>
      </c>
      <c r="G2348" t="s">
        <v>117</v>
      </c>
      <c r="H2348" t="s">
        <v>1387</v>
      </c>
      <c r="K2348" t="s">
        <v>83</v>
      </c>
      <c r="L2348" t="s">
        <v>4890</v>
      </c>
      <c r="M2348" t="s">
        <v>84</v>
      </c>
      <c r="N2348" t="s">
        <v>4891</v>
      </c>
      <c r="O2348" t="s">
        <v>32</v>
      </c>
      <c r="P2348" t="s">
        <v>4311</v>
      </c>
      <c r="Q2348">
        <v>100</v>
      </c>
      <c r="R2348">
        <v>100</v>
      </c>
      <c r="S2348" t="s">
        <v>34</v>
      </c>
      <c r="T2348" t="s">
        <v>35</v>
      </c>
      <c r="W2348">
        <v>0</v>
      </c>
      <c r="X2348">
        <v>0</v>
      </c>
      <c r="Y2348">
        <v>0</v>
      </c>
      <c r="Z2348">
        <v>0</v>
      </c>
    </row>
    <row r="2349" spans="1:26" hidden="1" x14ac:dyDescent="0.25">
      <c r="A2349" t="s">
        <v>5100</v>
      </c>
      <c r="B2349" t="s">
        <v>2153</v>
      </c>
      <c r="C2349" s="4">
        <v>45395</v>
      </c>
      <c r="F2349" s="4">
        <v>46997</v>
      </c>
      <c r="G2349" t="s">
        <v>132</v>
      </c>
      <c r="H2349" t="s">
        <v>1387</v>
      </c>
      <c r="K2349" t="s">
        <v>83</v>
      </c>
      <c r="L2349" t="s">
        <v>4890</v>
      </c>
      <c r="M2349" t="s">
        <v>84</v>
      </c>
      <c r="N2349" t="s">
        <v>4891</v>
      </c>
      <c r="O2349" t="s">
        <v>32</v>
      </c>
      <c r="P2349" t="s">
        <v>4495</v>
      </c>
      <c r="Q2349">
        <v>100</v>
      </c>
      <c r="R2349">
        <v>100</v>
      </c>
      <c r="S2349" t="s">
        <v>159</v>
      </c>
      <c r="T2349" t="s">
        <v>159</v>
      </c>
      <c r="W2349">
        <v>100</v>
      </c>
      <c r="X2349">
        <v>100</v>
      </c>
      <c r="Y2349">
        <v>0</v>
      </c>
      <c r="Z2349">
        <v>0</v>
      </c>
    </row>
    <row r="2350" spans="1:26" hidden="1" x14ac:dyDescent="0.25">
      <c r="A2350" t="s">
        <v>5101</v>
      </c>
      <c r="B2350" t="s">
        <v>38</v>
      </c>
      <c r="C2350" s="4">
        <v>45399</v>
      </c>
      <c r="D2350" s="4">
        <v>45929</v>
      </c>
      <c r="F2350" s="4">
        <v>47011</v>
      </c>
      <c r="G2350" t="s">
        <v>132</v>
      </c>
      <c r="H2350" t="s">
        <v>4869</v>
      </c>
      <c r="K2350" t="s">
        <v>83</v>
      </c>
      <c r="L2350" t="s">
        <v>4890</v>
      </c>
      <c r="M2350" t="s">
        <v>84</v>
      </c>
      <c r="N2350" t="s">
        <v>4891</v>
      </c>
      <c r="O2350" t="s">
        <v>32</v>
      </c>
      <c r="P2350" t="s">
        <v>3226</v>
      </c>
      <c r="Q2350">
        <v>200</v>
      </c>
      <c r="R2350">
        <v>200</v>
      </c>
      <c r="S2350" t="s">
        <v>34</v>
      </c>
      <c r="T2350" t="s">
        <v>35</v>
      </c>
      <c r="W2350">
        <v>0</v>
      </c>
      <c r="X2350">
        <v>0</v>
      </c>
      <c r="Y2350">
        <v>0</v>
      </c>
      <c r="Z2350">
        <v>0</v>
      </c>
    </row>
    <row r="2351" spans="1:26" hidden="1" x14ac:dyDescent="0.25">
      <c r="A2351" t="s">
        <v>5102</v>
      </c>
      <c r="B2351" t="s">
        <v>38</v>
      </c>
      <c r="C2351" s="4">
        <v>45398</v>
      </c>
      <c r="D2351" s="4">
        <v>45930</v>
      </c>
      <c r="F2351" s="4">
        <v>46874</v>
      </c>
      <c r="G2351" t="s">
        <v>173</v>
      </c>
      <c r="H2351" t="s">
        <v>4479</v>
      </c>
      <c r="K2351" t="s">
        <v>41</v>
      </c>
      <c r="L2351" t="s">
        <v>4890</v>
      </c>
      <c r="M2351" t="s">
        <v>42</v>
      </c>
      <c r="N2351" t="s">
        <v>4891</v>
      </c>
      <c r="O2351" t="s">
        <v>32</v>
      </c>
      <c r="P2351" t="s">
        <v>1345</v>
      </c>
      <c r="Q2351">
        <v>250</v>
      </c>
      <c r="R2351">
        <v>250</v>
      </c>
      <c r="S2351" t="s">
        <v>56</v>
      </c>
      <c r="T2351" t="s">
        <v>57</v>
      </c>
      <c r="W2351">
        <v>0</v>
      </c>
      <c r="X2351">
        <v>0</v>
      </c>
      <c r="Y2351">
        <v>0</v>
      </c>
      <c r="Z2351">
        <v>0</v>
      </c>
    </row>
    <row r="2352" spans="1:26" hidden="1" x14ac:dyDescent="0.25">
      <c r="A2352" t="s">
        <v>5103</v>
      </c>
      <c r="B2352" t="s">
        <v>38</v>
      </c>
      <c r="C2352" s="4">
        <v>45398</v>
      </c>
      <c r="D2352" s="4">
        <v>45929</v>
      </c>
      <c r="F2352" s="4">
        <v>47011</v>
      </c>
      <c r="G2352" t="s">
        <v>101</v>
      </c>
      <c r="H2352" t="s">
        <v>1668</v>
      </c>
      <c r="K2352" t="s">
        <v>98</v>
      </c>
      <c r="L2352" t="s">
        <v>4890</v>
      </c>
      <c r="M2352" t="s">
        <v>84</v>
      </c>
      <c r="N2352" t="s">
        <v>4891</v>
      </c>
      <c r="O2352" t="s">
        <v>32</v>
      </c>
      <c r="P2352" t="s">
        <v>5104</v>
      </c>
      <c r="Q2352">
        <v>140</v>
      </c>
      <c r="R2352">
        <v>140</v>
      </c>
      <c r="S2352" t="s">
        <v>34</v>
      </c>
      <c r="T2352" t="s">
        <v>35</v>
      </c>
      <c r="W2352">
        <v>0</v>
      </c>
      <c r="X2352">
        <v>0</v>
      </c>
      <c r="Y2352">
        <v>0</v>
      </c>
      <c r="Z2352">
        <v>0</v>
      </c>
    </row>
    <row r="2353" spans="1:26" hidden="1" x14ac:dyDescent="0.25">
      <c r="A2353" t="s">
        <v>5105</v>
      </c>
      <c r="B2353" t="s">
        <v>38</v>
      </c>
      <c r="C2353" s="4">
        <v>45399</v>
      </c>
      <c r="D2353" s="4">
        <v>45929</v>
      </c>
      <c r="F2353" s="4">
        <v>47011</v>
      </c>
      <c r="G2353" t="s">
        <v>254</v>
      </c>
      <c r="H2353" t="s">
        <v>1500</v>
      </c>
      <c r="K2353" t="s">
        <v>98</v>
      </c>
      <c r="L2353" t="s">
        <v>4890</v>
      </c>
      <c r="M2353" t="s">
        <v>84</v>
      </c>
      <c r="N2353" t="s">
        <v>4891</v>
      </c>
      <c r="O2353" t="s">
        <v>32</v>
      </c>
      <c r="P2353" t="s">
        <v>5106</v>
      </c>
      <c r="Q2353">
        <v>110</v>
      </c>
      <c r="R2353">
        <v>110</v>
      </c>
      <c r="S2353" t="s">
        <v>34</v>
      </c>
      <c r="T2353" t="s">
        <v>35</v>
      </c>
      <c r="W2353">
        <v>0</v>
      </c>
      <c r="X2353">
        <v>0</v>
      </c>
      <c r="Y2353">
        <v>0</v>
      </c>
      <c r="Z2353">
        <v>0</v>
      </c>
    </row>
    <row r="2354" spans="1:26" hidden="1" x14ac:dyDescent="0.25">
      <c r="A2354" t="s">
        <v>5107</v>
      </c>
      <c r="B2354" t="s">
        <v>38</v>
      </c>
      <c r="C2354" s="4">
        <v>45399</v>
      </c>
      <c r="D2354" s="4">
        <v>46014</v>
      </c>
      <c r="F2354" s="4">
        <v>47011</v>
      </c>
      <c r="G2354" t="s">
        <v>132</v>
      </c>
      <c r="H2354" t="s">
        <v>2800</v>
      </c>
      <c r="K2354" t="s">
        <v>83</v>
      </c>
      <c r="L2354" t="s">
        <v>4890</v>
      </c>
      <c r="M2354" t="s">
        <v>84</v>
      </c>
      <c r="N2354" t="s">
        <v>4891</v>
      </c>
      <c r="O2354" t="s">
        <v>32</v>
      </c>
      <c r="P2354" t="s">
        <v>5108</v>
      </c>
      <c r="Q2354">
        <v>400</v>
      </c>
      <c r="R2354">
        <v>400</v>
      </c>
      <c r="S2354" t="s">
        <v>34</v>
      </c>
      <c r="T2354" t="s">
        <v>35</v>
      </c>
      <c r="W2354">
        <v>0</v>
      </c>
      <c r="X2354">
        <v>0</v>
      </c>
      <c r="Y2354">
        <v>0</v>
      </c>
      <c r="Z2354">
        <v>0</v>
      </c>
    </row>
    <row r="2355" spans="1:26" hidden="1" x14ac:dyDescent="0.25">
      <c r="A2355" t="s">
        <v>5109</v>
      </c>
      <c r="B2355" t="s">
        <v>38</v>
      </c>
      <c r="C2355" s="4">
        <v>45400</v>
      </c>
      <c r="D2355" s="4">
        <v>45930</v>
      </c>
      <c r="F2355" s="4">
        <v>46996</v>
      </c>
      <c r="G2355" t="s">
        <v>1251</v>
      </c>
      <c r="H2355" t="s">
        <v>3240</v>
      </c>
      <c r="K2355" t="s">
        <v>109</v>
      </c>
      <c r="L2355" t="s">
        <v>4890</v>
      </c>
      <c r="M2355" t="s">
        <v>84</v>
      </c>
      <c r="N2355" t="s">
        <v>4891</v>
      </c>
      <c r="O2355" t="s">
        <v>32</v>
      </c>
      <c r="P2355" t="s">
        <v>5110</v>
      </c>
      <c r="Q2355">
        <v>200</v>
      </c>
      <c r="R2355">
        <v>200</v>
      </c>
      <c r="S2355" t="s">
        <v>34</v>
      </c>
      <c r="T2355" t="s">
        <v>35</v>
      </c>
      <c r="W2355">
        <v>0</v>
      </c>
      <c r="X2355">
        <v>0</v>
      </c>
      <c r="Y2355">
        <v>0</v>
      </c>
      <c r="Z2355">
        <v>0</v>
      </c>
    </row>
    <row r="2356" spans="1:26" hidden="1" x14ac:dyDescent="0.25">
      <c r="A2356" t="s">
        <v>5111</v>
      </c>
      <c r="B2356" t="s">
        <v>38</v>
      </c>
      <c r="C2356" s="4">
        <v>45386</v>
      </c>
      <c r="D2356" s="4">
        <v>45729</v>
      </c>
      <c r="F2356" s="4">
        <v>46934</v>
      </c>
      <c r="G2356" t="s">
        <v>117</v>
      </c>
      <c r="H2356" t="s">
        <v>1427</v>
      </c>
      <c r="K2356" t="s">
        <v>83</v>
      </c>
      <c r="L2356" t="s">
        <v>4890</v>
      </c>
      <c r="M2356" t="s">
        <v>84</v>
      </c>
      <c r="N2356" t="s">
        <v>4891</v>
      </c>
      <c r="O2356" t="s">
        <v>32</v>
      </c>
      <c r="P2356" t="s">
        <v>5112</v>
      </c>
      <c r="Q2356">
        <v>100</v>
      </c>
      <c r="R2356">
        <v>100</v>
      </c>
      <c r="S2356" t="s">
        <v>159</v>
      </c>
      <c r="T2356" t="s">
        <v>159</v>
      </c>
      <c r="W2356">
        <v>0</v>
      </c>
      <c r="X2356">
        <v>0</v>
      </c>
      <c r="Y2356">
        <v>0</v>
      </c>
      <c r="Z2356">
        <v>0</v>
      </c>
    </row>
    <row r="2357" spans="1:26" hidden="1" x14ac:dyDescent="0.25">
      <c r="A2357" t="s">
        <v>5113</v>
      </c>
      <c r="B2357" t="s">
        <v>2153</v>
      </c>
      <c r="C2357" s="4">
        <v>45398</v>
      </c>
      <c r="F2357" s="4">
        <v>46738</v>
      </c>
      <c r="G2357" t="s">
        <v>1251</v>
      </c>
      <c r="H2357" t="s">
        <v>5114</v>
      </c>
      <c r="K2357" t="s">
        <v>109</v>
      </c>
      <c r="L2357" t="s">
        <v>4890</v>
      </c>
      <c r="M2357" t="s">
        <v>84</v>
      </c>
      <c r="N2357" t="s">
        <v>4891</v>
      </c>
      <c r="O2357" t="s">
        <v>32</v>
      </c>
      <c r="P2357" t="s">
        <v>5115</v>
      </c>
      <c r="Q2357">
        <v>250</v>
      </c>
      <c r="R2357">
        <v>250</v>
      </c>
      <c r="S2357" t="s">
        <v>159</v>
      </c>
      <c r="T2357" t="s">
        <v>159</v>
      </c>
      <c r="W2357">
        <v>250</v>
      </c>
      <c r="X2357">
        <v>250</v>
      </c>
      <c r="Y2357">
        <v>0</v>
      </c>
      <c r="Z2357">
        <v>0</v>
      </c>
    </row>
    <row r="2358" spans="1:26" hidden="1" x14ac:dyDescent="0.25">
      <c r="A2358" t="s">
        <v>5116</v>
      </c>
      <c r="B2358" t="s">
        <v>2153</v>
      </c>
      <c r="C2358" s="4">
        <v>45400</v>
      </c>
      <c r="F2358" s="4">
        <v>46966</v>
      </c>
      <c r="G2358" t="s">
        <v>132</v>
      </c>
      <c r="H2358" t="s">
        <v>1708</v>
      </c>
      <c r="K2358" t="s">
        <v>83</v>
      </c>
      <c r="L2358" t="s">
        <v>4890</v>
      </c>
      <c r="M2358" t="s">
        <v>84</v>
      </c>
      <c r="N2358" t="s">
        <v>4891</v>
      </c>
      <c r="O2358" t="s">
        <v>122</v>
      </c>
      <c r="P2358" t="s">
        <v>2724</v>
      </c>
      <c r="Q2358">
        <v>191.3</v>
      </c>
      <c r="R2358">
        <v>191.3</v>
      </c>
      <c r="S2358" t="s">
        <v>34</v>
      </c>
      <c r="T2358" t="s">
        <v>35</v>
      </c>
      <c r="W2358">
        <v>191.3</v>
      </c>
      <c r="X2358">
        <v>0</v>
      </c>
      <c r="Y2358">
        <v>0</v>
      </c>
      <c r="Z2358">
        <v>0</v>
      </c>
    </row>
    <row r="2359" spans="1:26" hidden="1" x14ac:dyDescent="0.25">
      <c r="A2359" t="s">
        <v>5117</v>
      </c>
      <c r="B2359" t="s">
        <v>38</v>
      </c>
      <c r="C2359" s="4">
        <v>45378</v>
      </c>
      <c r="D2359" s="4">
        <v>45905</v>
      </c>
      <c r="F2359" s="4">
        <v>46934</v>
      </c>
      <c r="G2359" t="s">
        <v>101</v>
      </c>
      <c r="H2359" t="s">
        <v>1430</v>
      </c>
      <c r="K2359" t="s">
        <v>98</v>
      </c>
      <c r="L2359" t="s">
        <v>4890</v>
      </c>
      <c r="M2359" t="s">
        <v>84</v>
      </c>
      <c r="N2359" t="s">
        <v>4891</v>
      </c>
      <c r="O2359" t="s">
        <v>32</v>
      </c>
      <c r="P2359" t="s">
        <v>5118</v>
      </c>
      <c r="Q2359">
        <v>250</v>
      </c>
      <c r="R2359">
        <v>250</v>
      </c>
      <c r="S2359" t="s">
        <v>159</v>
      </c>
      <c r="T2359" t="s">
        <v>159</v>
      </c>
      <c r="W2359">
        <v>0</v>
      </c>
      <c r="X2359">
        <v>0</v>
      </c>
      <c r="Y2359">
        <v>0</v>
      </c>
      <c r="Z2359">
        <v>0</v>
      </c>
    </row>
    <row r="2360" spans="1:26" hidden="1" x14ac:dyDescent="0.25">
      <c r="A2360" t="s">
        <v>5119</v>
      </c>
      <c r="B2360" t="s">
        <v>38</v>
      </c>
      <c r="C2360" s="4">
        <v>45392</v>
      </c>
      <c r="D2360" s="4">
        <v>46014</v>
      </c>
      <c r="F2360" s="4">
        <v>46645</v>
      </c>
      <c r="G2360" t="s">
        <v>117</v>
      </c>
      <c r="H2360" t="s">
        <v>2800</v>
      </c>
      <c r="K2360" t="s">
        <v>83</v>
      </c>
      <c r="L2360" t="s">
        <v>4890</v>
      </c>
      <c r="M2360" t="s">
        <v>84</v>
      </c>
      <c r="N2360" t="s">
        <v>4891</v>
      </c>
      <c r="O2360" t="s">
        <v>122</v>
      </c>
      <c r="P2360" t="s">
        <v>5120</v>
      </c>
      <c r="Q2360">
        <v>100.6</v>
      </c>
      <c r="R2360">
        <v>100.6</v>
      </c>
      <c r="S2360" t="s">
        <v>56</v>
      </c>
      <c r="T2360" t="s">
        <v>57</v>
      </c>
      <c r="W2360">
        <v>0</v>
      </c>
      <c r="X2360">
        <v>0</v>
      </c>
      <c r="Y2360">
        <v>0</v>
      </c>
      <c r="Z2360">
        <v>0</v>
      </c>
    </row>
    <row r="2361" spans="1:26" hidden="1" x14ac:dyDescent="0.25">
      <c r="A2361" t="s">
        <v>5121</v>
      </c>
      <c r="B2361" t="s">
        <v>38</v>
      </c>
      <c r="C2361" s="4">
        <v>45398</v>
      </c>
      <c r="D2361" s="4">
        <v>45926</v>
      </c>
      <c r="F2361" s="4">
        <v>46296</v>
      </c>
      <c r="G2361" t="s">
        <v>138</v>
      </c>
      <c r="H2361" t="s">
        <v>1663</v>
      </c>
      <c r="K2361" t="s">
        <v>98</v>
      </c>
      <c r="L2361" t="s">
        <v>4890</v>
      </c>
      <c r="M2361" t="s">
        <v>84</v>
      </c>
      <c r="N2361" t="s">
        <v>4891</v>
      </c>
      <c r="O2361" t="s">
        <v>32</v>
      </c>
      <c r="P2361" t="s">
        <v>5122</v>
      </c>
      <c r="Q2361">
        <v>65</v>
      </c>
      <c r="R2361">
        <v>65</v>
      </c>
      <c r="S2361" t="s">
        <v>597</v>
      </c>
      <c r="T2361" t="s">
        <v>598</v>
      </c>
      <c r="W2361">
        <v>0</v>
      </c>
      <c r="X2361">
        <v>0</v>
      </c>
      <c r="Y2361">
        <v>0</v>
      </c>
      <c r="Z2361">
        <v>0</v>
      </c>
    </row>
    <row r="2362" spans="1:26" hidden="1" x14ac:dyDescent="0.25">
      <c r="A2362" t="s">
        <v>5123</v>
      </c>
      <c r="B2362" t="s">
        <v>2153</v>
      </c>
      <c r="C2362" s="4">
        <v>45397</v>
      </c>
      <c r="F2362" s="4">
        <v>47118</v>
      </c>
      <c r="G2362" t="s">
        <v>1690</v>
      </c>
      <c r="H2362" t="s">
        <v>3351</v>
      </c>
      <c r="K2362" t="s">
        <v>98</v>
      </c>
      <c r="L2362" t="s">
        <v>4890</v>
      </c>
      <c r="M2362" t="s">
        <v>84</v>
      </c>
      <c r="N2362" t="s">
        <v>4891</v>
      </c>
      <c r="O2362" t="s">
        <v>32</v>
      </c>
      <c r="P2362" t="s">
        <v>5124</v>
      </c>
      <c r="Q2362">
        <v>200</v>
      </c>
      <c r="R2362">
        <v>200</v>
      </c>
      <c r="S2362" t="s">
        <v>159</v>
      </c>
      <c r="T2362" t="s">
        <v>159</v>
      </c>
      <c r="W2362">
        <v>200</v>
      </c>
      <c r="X2362">
        <v>200</v>
      </c>
      <c r="Y2362">
        <v>0</v>
      </c>
      <c r="Z2362">
        <v>0</v>
      </c>
    </row>
    <row r="2363" spans="1:26" hidden="1" x14ac:dyDescent="0.25">
      <c r="A2363" t="s">
        <v>5125</v>
      </c>
      <c r="B2363" t="s">
        <v>38</v>
      </c>
      <c r="C2363" s="4">
        <v>45397</v>
      </c>
      <c r="D2363" s="4">
        <v>46014</v>
      </c>
      <c r="F2363" s="4">
        <v>47118</v>
      </c>
      <c r="G2363" t="s">
        <v>117</v>
      </c>
      <c r="H2363" t="s">
        <v>2145</v>
      </c>
      <c r="K2363" t="s">
        <v>83</v>
      </c>
      <c r="L2363" t="s">
        <v>4890</v>
      </c>
      <c r="M2363" t="s">
        <v>84</v>
      </c>
      <c r="N2363" t="s">
        <v>4891</v>
      </c>
      <c r="O2363" t="s">
        <v>32</v>
      </c>
      <c r="P2363" t="s">
        <v>3023</v>
      </c>
      <c r="Q2363">
        <v>100</v>
      </c>
      <c r="R2363">
        <v>100</v>
      </c>
      <c r="S2363" t="s">
        <v>159</v>
      </c>
      <c r="T2363" t="s">
        <v>159</v>
      </c>
      <c r="W2363">
        <v>0</v>
      </c>
      <c r="X2363">
        <v>0</v>
      </c>
      <c r="Y2363">
        <v>0</v>
      </c>
      <c r="Z2363">
        <v>0</v>
      </c>
    </row>
    <row r="2364" spans="1:26" hidden="1" x14ac:dyDescent="0.25">
      <c r="A2364" t="s">
        <v>5126</v>
      </c>
      <c r="B2364" t="s">
        <v>38</v>
      </c>
      <c r="C2364" s="4">
        <v>45397</v>
      </c>
      <c r="D2364" s="4">
        <v>45930</v>
      </c>
      <c r="F2364" s="4">
        <v>47848</v>
      </c>
      <c r="G2364" t="s">
        <v>117</v>
      </c>
      <c r="H2364" t="s">
        <v>1711</v>
      </c>
      <c r="K2364" t="s">
        <v>83</v>
      </c>
      <c r="L2364" t="s">
        <v>4890</v>
      </c>
      <c r="M2364" t="s">
        <v>84</v>
      </c>
      <c r="N2364" t="s">
        <v>4891</v>
      </c>
      <c r="O2364" t="s">
        <v>32</v>
      </c>
      <c r="P2364" t="s">
        <v>5127</v>
      </c>
      <c r="Q2364">
        <v>80</v>
      </c>
      <c r="R2364">
        <v>80</v>
      </c>
      <c r="S2364" t="s">
        <v>159</v>
      </c>
      <c r="T2364" t="s">
        <v>159</v>
      </c>
      <c r="W2364">
        <v>0</v>
      </c>
      <c r="X2364">
        <v>0</v>
      </c>
      <c r="Y2364">
        <v>0</v>
      </c>
      <c r="Z2364">
        <v>0</v>
      </c>
    </row>
    <row r="2365" spans="1:26" hidden="1" x14ac:dyDescent="0.25">
      <c r="A2365" t="s">
        <v>5128</v>
      </c>
      <c r="B2365" t="s">
        <v>38</v>
      </c>
      <c r="C2365" s="4">
        <v>45400</v>
      </c>
      <c r="D2365" s="4">
        <v>46014</v>
      </c>
      <c r="F2365" s="4">
        <v>46388</v>
      </c>
      <c r="G2365" t="s">
        <v>132</v>
      </c>
      <c r="H2365" t="s">
        <v>1607</v>
      </c>
      <c r="K2365" t="s">
        <v>83</v>
      </c>
      <c r="L2365" t="s">
        <v>4890</v>
      </c>
      <c r="M2365" t="s">
        <v>84</v>
      </c>
      <c r="N2365" t="s">
        <v>4891</v>
      </c>
      <c r="O2365" t="s">
        <v>32</v>
      </c>
      <c r="P2365" t="s">
        <v>5129</v>
      </c>
      <c r="Q2365">
        <v>250</v>
      </c>
      <c r="R2365">
        <v>250</v>
      </c>
      <c r="S2365" t="s">
        <v>159</v>
      </c>
      <c r="T2365" t="s">
        <v>159</v>
      </c>
      <c r="W2365">
        <v>0</v>
      </c>
      <c r="X2365">
        <v>0</v>
      </c>
      <c r="Y2365">
        <v>0</v>
      </c>
      <c r="Z2365">
        <v>0</v>
      </c>
    </row>
    <row r="2366" spans="1:26" hidden="1" x14ac:dyDescent="0.25">
      <c r="A2366" t="s">
        <v>5130</v>
      </c>
      <c r="B2366" t="s">
        <v>2153</v>
      </c>
      <c r="C2366" s="4">
        <v>45394</v>
      </c>
      <c r="F2366" s="4">
        <v>46724</v>
      </c>
      <c r="G2366" t="s">
        <v>907</v>
      </c>
      <c r="H2366" t="s">
        <v>2288</v>
      </c>
      <c r="K2366" t="s">
        <v>53</v>
      </c>
      <c r="L2366" t="s">
        <v>4890</v>
      </c>
      <c r="M2366" t="s">
        <v>54</v>
      </c>
      <c r="N2366" t="s">
        <v>4891</v>
      </c>
      <c r="O2366" t="s">
        <v>32</v>
      </c>
      <c r="P2366" t="s">
        <v>1345</v>
      </c>
      <c r="Q2366">
        <v>254</v>
      </c>
      <c r="R2366">
        <v>254</v>
      </c>
      <c r="S2366" t="s">
        <v>56</v>
      </c>
      <c r="T2366" t="s">
        <v>57</v>
      </c>
      <c r="W2366">
        <v>254</v>
      </c>
      <c r="X2366">
        <v>254</v>
      </c>
      <c r="Y2366">
        <v>0</v>
      </c>
      <c r="Z2366">
        <v>0</v>
      </c>
    </row>
    <row r="2367" spans="1:26" hidden="1" x14ac:dyDescent="0.25">
      <c r="A2367" t="s">
        <v>5131</v>
      </c>
      <c r="B2367" t="s">
        <v>38</v>
      </c>
      <c r="C2367" s="4">
        <v>45397</v>
      </c>
      <c r="D2367" s="4">
        <v>46014</v>
      </c>
      <c r="F2367" s="4">
        <v>46997</v>
      </c>
      <c r="G2367" t="s">
        <v>907</v>
      </c>
      <c r="H2367" t="s">
        <v>5132</v>
      </c>
      <c r="K2367" t="s">
        <v>53</v>
      </c>
      <c r="L2367" t="s">
        <v>4890</v>
      </c>
      <c r="M2367" t="s">
        <v>54</v>
      </c>
      <c r="N2367" t="s">
        <v>4891</v>
      </c>
      <c r="O2367" t="s">
        <v>32</v>
      </c>
      <c r="P2367" t="s">
        <v>2757</v>
      </c>
      <c r="Q2367">
        <v>300</v>
      </c>
      <c r="R2367">
        <v>300</v>
      </c>
      <c r="S2367" t="s">
        <v>159</v>
      </c>
      <c r="T2367" t="s">
        <v>159</v>
      </c>
      <c r="W2367">
        <v>0</v>
      </c>
      <c r="X2367">
        <v>0</v>
      </c>
      <c r="Y2367">
        <v>0</v>
      </c>
      <c r="Z2367">
        <v>0</v>
      </c>
    </row>
    <row r="2368" spans="1:26" hidden="1" x14ac:dyDescent="0.25">
      <c r="A2368" t="s">
        <v>5133</v>
      </c>
      <c r="B2368" t="s">
        <v>38</v>
      </c>
      <c r="C2368" s="4">
        <v>45400</v>
      </c>
      <c r="D2368" s="4">
        <v>46014</v>
      </c>
      <c r="F2368" s="4">
        <v>47011</v>
      </c>
      <c r="G2368" t="s">
        <v>144</v>
      </c>
      <c r="H2368" t="s">
        <v>5134</v>
      </c>
      <c r="K2368" t="s">
        <v>146</v>
      </c>
      <c r="L2368" t="s">
        <v>4890</v>
      </c>
      <c r="M2368" t="s">
        <v>68</v>
      </c>
      <c r="N2368" t="s">
        <v>4891</v>
      </c>
      <c r="O2368" t="s">
        <v>32</v>
      </c>
      <c r="P2368" t="s">
        <v>5135</v>
      </c>
      <c r="Q2368">
        <v>150</v>
      </c>
      <c r="R2368">
        <v>150</v>
      </c>
      <c r="S2368" t="s">
        <v>56</v>
      </c>
      <c r="T2368" t="s">
        <v>57</v>
      </c>
      <c r="W2368">
        <v>0</v>
      </c>
      <c r="X2368">
        <v>0</v>
      </c>
      <c r="Y2368">
        <v>0</v>
      </c>
      <c r="Z2368">
        <v>0</v>
      </c>
    </row>
    <row r="2369" spans="1:26" hidden="1" x14ac:dyDescent="0.25">
      <c r="A2369" t="s">
        <v>5136</v>
      </c>
      <c r="B2369" t="s">
        <v>38</v>
      </c>
      <c r="C2369" s="4">
        <v>45400</v>
      </c>
      <c r="D2369" s="4">
        <v>45930</v>
      </c>
      <c r="F2369" s="4">
        <v>46631</v>
      </c>
      <c r="G2369" t="s">
        <v>144</v>
      </c>
      <c r="H2369" t="s">
        <v>1553</v>
      </c>
      <c r="K2369" t="s">
        <v>146</v>
      </c>
      <c r="L2369" t="s">
        <v>4890</v>
      </c>
      <c r="M2369" t="s">
        <v>68</v>
      </c>
      <c r="N2369" t="s">
        <v>4891</v>
      </c>
      <c r="O2369" t="s">
        <v>32</v>
      </c>
      <c r="P2369" t="s">
        <v>5137</v>
      </c>
      <c r="Q2369">
        <v>50</v>
      </c>
      <c r="R2369">
        <v>50</v>
      </c>
      <c r="S2369" t="s">
        <v>34</v>
      </c>
      <c r="T2369" t="s">
        <v>35</v>
      </c>
      <c r="W2369">
        <v>0</v>
      </c>
      <c r="X2369">
        <v>0</v>
      </c>
      <c r="Y2369">
        <v>0</v>
      </c>
      <c r="Z2369">
        <v>0</v>
      </c>
    </row>
    <row r="2370" spans="1:26" hidden="1" x14ac:dyDescent="0.25">
      <c r="A2370" t="s">
        <v>5138</v>
      </c>
      <c r="B2370" t="s">
        <v>38</v>
      </c>
      <c r="C2370" s="4">
        <v>45378</v>
      </c>
      <c r="D2370" s="4">
        <v>45905</v>
      </c>
      <c r="F2370" s="4">
        <v>46934</v>
      </c>
      <c r="G2370" t="s">
        <v>144</v>
      </c>
      <c r="H2370" t="s">
        <v>2214</v>
      </c>
      <c r="K2370" t="s">
        <v>146</v>
      </c>
      <c r="L2370" t="s">
        <v>4890</v>
      </c>
      <c r="M2370" t="s">
        <v>68</v>
      </c>
      <c r="N2370" t="s">
        <v>4891</v>
      </c>
      <c r="O2370" t="s">
        <v>32</v>
      </c>
      <c r="P2370" t="s">
        <v>5139</v>
      </c>
      <c r="Q2370">
        <v>100</v>
      </c>
      <c r="R2370">
        <v>100</v>
      </c>
      <c r="S2370" t="s">
        <v>34</v>
      </c>
      <c r="T2370" t="s">
        <v>35</v>
      </c>
      <c r="W2370">
        <v>0</v>
      </c>
      <c r="X2370">
        <v>0</v>
      </c>
      <c r="Y2370">
        <v>0</v>
      </c>
      <c r="Z2370">
        <v>0</v>
      </c>
    </row>
    <row r="2371" spans="1:26" hidden="1" x14ac:dyDescent="0.25">
      <c r="A2371" t="s">
        <v>5140</v>
      </c>
      <c r="B2371" t="s">
        <v>38</v>
      </c>
      <c r="C2371" s="4">
        <v>45398</v>
      </c>
      <c r="D2371" s="4">
        <v>45887</v>
      </c>
      <c r="F2371" s="4">
        <v>46843</v>
      </c>
      <c r="G2371" t="s">
        <v>1311</v>
      </c>
      <c r="H2371" t="s">
        <v>3060</v>
      </c>
      <c r="K2371" t="s">
        <v>114</v>
      </c>
      <c r="L2371" t="s">
        <v>4890</v>
      </c>
      <c r="M2371" t="s">
        <v>68</v>
      </c>
      <c r="N2371" t="s">
        <v>4891</v>
      </c>
      <c r="O2371" t="s">
        <v>32</v>
      </c>
      <c r="P2371" t="s">
        <v>5141</v>
      </c>
      <c r="Q2371">
        <v>150</v>
      </c>
      <c r="R2371">
        <v>150</v>
      </c>
      <c r="S2371" t="s">
        <v>56</v>
      </c>
      <c r="T2371" t="s">
        <v>57</v>
      </c>
      <c r="W2371">
        <v>0</v>
      </c>
      <c r="X2371">
        <v>0</v>
      </c>
      <c r="Y2371">
        <v>0</v>
      </c>
      <c r="Z2371">
        <v>0</v>
      </c>
    </row>
    <row r="2372" spans="1:26" hidden="1" x14ac:dyDescent="0.25">
      <c r="A2372" t="s">
        <v>5142</v>
      </c>
      <c r="B2372" t="s">
        <v>38</v>
      </c>
      <c r="C2372" s="4">
        <v>45399</v>
      </c>
      <c r="D2372" s="4">
        <v>45667</v>
      </c>
      <c r="F2372" s="4">
        <v>46874</v>
      </c>
      <c r="G2372" t="s">
        <v>616</v>
      </c>
      <c r="H2372" t="s">
        <v>3063</v>
      </c>
      <c r="K2372" t="s">
        <v>146</v>
      </c>
      <c r="L2372" t="s">
        <v>4890</v>
      </c>
      <c r="M2372" t="s">
        <v>68</v>
      </c>
      <c r="N2372" t="s">
        <v>4891</v>
      </c>
      <c r="O2372" t="s">
        <v>32</v>
      </c>
      <c r="P2372" t="s">
        <v>5143</v>
      </c>
      <c r="Q2372">
        <v>88</v>
      </c>
      <c r="R2372">
        <v>88</v>
      </c>
      <c r="S2372" t="s">
        <v>34</v>
      </c>
      <c r="T2372" t="s">
        <v>35</v>
      </c>
      <c r="W2372">
        <v>0</v>
      </c>
      <c r="X2372">
        <v>0</v>
      </c>
      <c r="Y2372">
        <v>0</v>
      </c>
      <c r="Z2372">
        <v>0</v>
      </c>
    </row>
    <row r="2373" spans="1:26" hidden="1" x14ac:dyDescent="0.25">
      <c r="A2373" t="s">
        <v>5144</v>
      </c>
      <c r="B2373" t="s">
        <v>2153</v>
      </c>
      <c r="C2373" s="4">
        <v>45400</v>
      </c>
      <c r="F2373" s="4">
        <v>47056</v>
      </c>
      <c r="G2373" t="s">
        <v>1108</v>
      </c>
      <c r="H2373" t="s">
        <v>1685</v>
      </c>
      <c r="K2373" t="s">
        <v>146</v>
      </c>
      <c r="L2373" t="s">
        <v>4890</v>
      </c>
      <c r="M2373" t="s">
        <v>68</v>
      </c>
      <c r="N2373" t="s">
        <v>4891</v>
      </c>
      <c r="O2373" t="s">
        <v>32</v>
      </c>
      <c r="P2373" t="s">
        <v>5145</v>
      </c>
      <c r="Q2373">
        <v>199.9</v>
      </c>
      <c r="R2373">
        <v>199.9</v>
      </c>
      <c r="S2373" t="s">
        <v>56</v>
      </c>
      <c r="T2373" t="s">
        <v>57</v>
      </c>
      <c r="W2373">
        <v>199.9</v>
      </c>
      <c r="X2373">
        <v>199.9</v>
      </c>
      <c r="Y2373">
        <v>0</v>
      </c>
      <c r="Z2373">
        <v>0</v>
      </c>
    </row>
    <row r="2374" spans="1:26" hidden="1" x14ac:dyDescent="0.25">
      <c r="A2374" t="s">
        <v>5146</v>
      </c>
      <c r="B2374" t="s">
        <v>38</v>
      </c>
      <c r="C2374" s="4">
        <v>45379</v>
      </c>
      <c r="D2374" s="4">
        <v>46014</v>
      </c>
      <c r="F2374" s="4">
        <v>46767</v>
      </c>
      <c r="G2374" t="s">
        <v>39</v>
      </c>
      <c r="H2374" t="s">
        <v>2878</v>
      </c>
      <c r="K2374" t="s">
        <v>41</v>
      </c>
      <c r="L2374" t="s">
        <v>4890</v>
      </c>
      <c r="M2374" t="s">
        <v>42</v>
      </c>
      <c r="N2374" t="s">
        <v>4891</v>
      </c>
      <c r="O2374" t="s">
        <v>32</v>
      </c>
      <c r="P2374" t="s">
        <v>2879</v>
      </c>
      <c r="Q2374">
        <v>200</v>
      </c>
      <c r="R2374">
        <v>200</v>
      </c>
      <c r="S2374" t="s">
        <v>159</v>
      </c>
      <c r="T2374" t="s">
        <v>159</v>
      </c>
      <c r="W2374">
        <v>0</v>
      </c>
      <c r="X2374">
        <v>0</v>
      </c>
      <c r="Y2374">
        <v>0</v>
      </c>
      <c r="Z2374">
        <v>0</v>
      </c>
    </row>
    <row r="2375" spans="1:26" hidden="1" x14ac:dyDescent="0.25">
      <c r="A2375" t="s">
        <v>5147</v>
      </c>
      <c r="B2375" t="s">
        <v>38</v>
      </c>
      <c r="C2375" s="4">
        <v>45400</v>
      </c>
      <c r="D2375" s="4">
        <v>45897</v>
      </c>
      <c r="F2375" s="4">
        <v>46997</v>
      </c>
      <c r="G2375" t="s">
        <v>177</v>
      </c>
      <c r="H2375" t="s">
        <v>5148</v>
      </c>
      <c r="K2375" t="s">
        <v>41</v>
      </c>
      <c r="L2375" t="s">
        <v>4890</v>
      </c>
      <c r="M2375" t="s">
        <v>42</v>
      </c>
      <c r="N2375" t="s">
        <v>4891</v>
      </c>
      <c r="O2375" t="s">
        <v>32</v>
      </c>
      <c r="P2375" t="s">
        <v>1345</v>
      </c>
      <c r="Q2375">
        <v>150</v>
      </c>
      <c r="R2375">
        <v>150</v>
      </c>
      <c r="S2375" t="s">
        <v>56</v>
      </c>
      <c r="T2375" t="s">
        <v>57</v>
      </c>
      <c r="W2375">
        <v>0</v>
      </c>
      <c r="X2375">
        <v>0</v>
      </c>
      <c r="Y2375">
        <v>0</v>
      </c>
      <c r="Z2375">
        <v>0</v>
      </c>
    </row>
    <row r="2376" spans="1:26" hidden="1" x14ac:dyDescent="0.25">
      <c r="A2376" t="s">
        <v>5149</v>
      </c>
      <c r="B2376" t="s">
        <v>38</v>
      </c>
      <c r="C2376" s="4">
        <v>45400</v>
      </c>
      <c r="D2376" s="4">
        <v>46014</v>
      </c>
      <c r="F2376" s="4">
        <v>46296</v>
      </c>
      <c r="G2376" t="s">
        <v>117</v>
      </c>
      <c r="H2376" t="s">
        <v>1611</v>
      </c>
      <c r="K2376" t="s">
        <v>83</v>
      </c>
      <c r="L2376" t="s">
        <v>4890</v>
      </c>
      <c r="M2376" t="s">
        <v>84</v>
      </c>
      <c r="N2376" t="s">
        <v>4891</v>
      </c>
      <c r="O2376" t="s">
        <v>32</v>
      </c>
      <c r="P2376" t="s">
        <v>1345</v>
      </c>
      <c r="Q2376">
        <v>200</v>
      </c>
      <c r="R2376">
        <v>200</v>
      </c>
      <c r="S2376" t="s">
        <v>34</v>
      </c>
      <c r="T2376" t="s">
        <v>35</v>
      </c>
      <c r="W2376">
        <v>0</v>
      </c>
      <c r="X2376">
        <v>0</v>
      </c>
      <c r="Y2376">
        <v>0</v>
      </c>
      <c r="Z2376">
        <v>0</v>
      </c>
    </row>
    <row r="2377" spans="1:26" hidden="1" x14ac:dyDescent="0.25">
      <c r="A2377" t="s">
        <v>5150</v>
      </c>
      <c r="B2377" t="s">
        <v>38</v>
      </c>
      <c r="C2377" s="4">
        <v>45399</v>
      </c>
      <c r="D2377" s="4">
        <v>46014</v>
      </c>
      <c r="F2377" s="4">
        <v>47011</v>
      </c>
      <c r="G2377" t="s">
        <v>117</v>
      </c>
      <c r="H2377" t="s">
        <v>5151</v>
      </c>
      <c r="K2377" t="s">
        <v>83</v>
      </c>
      <c r="L2377" t="s">
        <v>4890</v>
      </c>
      <c r="M2377" t="s">
        <v>84</v>
      </c>
      <c r="N2377" t="s">
        <v>4891</v>
      </c>
      <c r="O2377" t="s">
        <v>32</v>
      </c>
      <c r="P2377" t="s">
        <v>5152</v>
      </c>
      <c r="Q2377">
        <v>100</v>
      </c>
      <c r="R2377">
        <v>100</v>
      </c>
      <c r="S2377" t="s">
        <v>159</v>
      </c>
      <c r="T2377" t="s">
        <v>159</v>
      </c>
      <c r="W2377">
        <v>0</v>
      </c>
      <c r="X2377">
        <v>0</v>
      </c>
      <c r="Y2377">
        <v>0</v>
      </c>
      <c r="Z2377">
        <v>0</v>
      </c>
    </row>
    <row r="2378" spans="1:26" hidden="1" x14ac:dyDescent="0.25">
      <c r="A2378" t="s">
        <v>5153</v>
      </c>
      <c r="B2378" t="s">
        <v>38</v>
      </c>
      <c r="C2378" s="4">
        <v>45398</v>
      </c>
      <c r="D2378" s="4">
        <v>45924</v>
      </c>
      <c r="F2378" s="4">
        <v>46843</v>
      </c>
      <c r="G2378" t="s">
        <v>65</v>
      </c>
      <c r="H2378" t="s">
        <v>3247</v>
      </c>
      <c r="K2378" t="s">
        <v>67</v>
      </c>
      <c r="L2378" t="s">
        <v>4890</v>
      </c>
      <c r="M2378" t="s">
        <v>68</v>
      </c>
      <c r="N2378" t="s">
        <v>4891</v>
      </c>
      <c r="O2378" t="s">
        <v>122</v>
      </c>
      <c r="P2378" t="s">
        <v>5154</v>
      </c>
      <c r="Q2378">
        <v>200</v>
      </c>
      <c r="R2378">
        <v>200</v>
      </c>
      <c r="S2378" t="s">
        <v>34</v>
      </c>
      <c r="T2378" t="s">
        <v>35</v>
      </c>
      <c r="W2378">
        <v>0</v>
      </c>
      <c r="X2378">
        <v>0</v>
      </c>
      <c r="Y2378">
        <v>0</v>
      </c>
      <c r="Z2378">
        <v>0</v>
      </c>
    </row>
    <row r="2379" spans="1:26" hidden="1" x14ac:dyDescent="0.25">
      <c r="A2379" t="s">
        <v>5155</v>
      </c>
      <c r="B2379" t="s">
        <v>38</v>
      </c>
      <c r="C2379" s="4">
        <v>45400</v>
      </c>
      <c r="D2379" s="4">
        <v>45924</v>
      </c>
      <c r="F2379" s="4">
        <v>47056</v>
      </c>
      <c r="G2379" t="s">
        <v>65</v>
      </c>
      <c r="H2379" t="s">
        <v>3380</v>
      </c>
      <c r="K2379" t="s">
        <v>67</v>
      </c>
      <c r="L2379" t="s">
        <v>4890</v>
      </c>
      <c r="M2379" t="s">
        <v>68</v>
      </c>
      <c r="N2379" t="s">
        <v>4891</v>
      </c>
      <c r="O2379" t="s">
        <v>122</v>
      </c>
      <c r="P2379" t="s">
        <v>3959</v>
      </c>
      <c r="Q2379">
        <v>65</v>
      </c>
      <c r="R2379">
        <v>65</v>
      </c>
      <c r="S2379" t="s">
        <v>56</v>
      </c>
      <c r="T2379" t="s">
        <v>57</v>
      </c>
      <c r="W2379">
        <v>0</v>
      </c>
      <c r="X2379">
        <v>0</v>
      </c>
      <c r="Y2379">
        <v>0</v>
      </c>
      <c r="Z2379">
        <v>0</v>
      </c>
    </row>
    <row r="2380" spans="1:26" hidden="1" x14ac:dyDescent="0.25">
      <c r="A2380" t="s">
        <v>5156</v>
      </c>
      <c r="B2380" t="s">
        <v>38</v>
      </c>
      <c r="C2380" s="4">
        <v>45399</v>
      </c>
      <c r="D2380" s="4">
        <v>45924</v>
      </c>
      <c r="F2380" s="4">
        <v>46843</v>
      </c>
      <c r="G2380" t="s">
        <v>1311</v>
      </c>
      <c r="H2380" t="s">
        <v>1302</v>
      </c>
      <c r="K2380" t="s">
        <v>114</v>
      </c>
      <c r="L2380" t="s">
        <v>4890</v>
      </c>
      <c r="M2380" t="s">
        <v>68</v>
      </c>
      <c r="N2380" t="s">
        <v>4891</v>
      </c>
      <c r="O2380" t="s">
        <v>122</v>
      </c>
      <c r="P2380" t="s">
        <v>5157</v>
      </c>
      <c r="Q2380">
        <v>200</v>
      </c>
      <c r="R2380">
        <v>200</v>
      </c>
      <c r="S2380" t="s">
        <v>34</v>
      </c>
      <c r="T2380" t="s">
        <v>35</v>
      </c>
      <c r="W2380">
        <v>0</v>
      </c>
      <c r="X2380">
        <v>0</v>
      </c>
      <c r="Y2380">
        <v>0</v>
      </c>
      <c r="Z2380">
        <v>0</v>
      </c>
    </row>
    <row r="2381" spans="1:26" hidden="1" x14ac:dyDescent="0.25">
      <c r="A2381" t="s">
        <v>5158</v>
      </c>
      <c r="B2381" t="s">
        <v>38</v>
      </c>
      <c r="C2381" s="4">
        <v>45399</v>
      </c>
      <c r="D2381" s="4">
        <v>45924</v>
      </c>
      <c r="F2381" s="4">
        <v>46843</v>
      </c>
      <c r="G2381" t="s">
        <v>1136</v>
      </c>
      <c r="H2381" t="s">
        <v>1327</v>
      </c>
      <c r="K2381" t="s">
        <v>67</v>
      </c>
      <c r="L2381" t="s">
        <v>4890</v>
      </c>
      <c r="M2381" t="s">
        <v>68</v>
      </c>
      <c r="N2381" t="s">
        <v>4891</v>
      </c>
      <c r="O2381" t="s">
        <v>122</v>
      </c>
      <c r="P2381" t="s">
        <v>5159</v>
      </c>
      <c r="Q2381">
        <v>130</v>
      </c>
      <c r="R2381">
        <v>130</v>
      </c>
      <c r="S2381" t="s">
        <v>34</v>
      </c>
      <c r="T2381" t="s">
        <v>35</v>
      </c>
      <c r="W2381">
        <v>0</v>
      </c>
      <c r="X2381">
        <v>0</v>
      </c>
      <c r="Y2381">
        <v>0</v>
      </c>
      <c r="Z2381">
        <v>0</v>
      </c>
    </row>
    <row r="2382" spans="1:26" hidden="1" x14ac:dyDescent="0.25">
      <c r="A2382" t="s">
        <v>5160</v>
      </c>
      <c r="B2382" t="s">
        <v>38</v>
      </c>
      <c r="C2382" s="4">
        <v>45400</v>
      </c>
      <c r="D2382" s="4">
        <v>46014</v>
      </c>
      <c r="F2382" s="4">
        <v>46843</v>
      </c>
      <c r="G2382" t="s">
        <v>144</v>
      </c>
      <c r="H2382" t="s">
        <v>1648</v>
      </c>
      <c r="K2382" t="s">
        <v>146</v>
      </c>
      <c r="L2382" t="s">
        <v>4890</v>
      </c>
      <c r="M2382" t="s">
        <v>68</v>
      </c>
      <c r="N2382" t="s">
        <v>4891</v>
      </c>
      <c r="O2382" t="s">
        <v>122</v>
      </c>
      <c r="P2382" t="s">
        <v>5161</v>
      </c>
      <c r="Q2382">
        <v>150</v>
      </c>
      <c r="R2382">
        <v>150</v>
      </c>
      <c r="S2382" t="s">
        <v>34</v>
      </c>
      <c r="T2382" t="s">
        <v>35</v>
      </c>
      <c r="W2382">
        <v>0</v>
      </c>
      <c r="X2382">
        <v>0</v>
      </c>
      <c r="Y2382">
        <v>0</v>
      </c>
      <c r="Z2382">
        <v>0</v>
      </c>
    </row>
    <row r="2383" spans="1:26" hidden="1" x14ac:dyDescent="0.25">
      <c r="A2383" t="s">
        <v>5162</v>
      </c>
      <c r="B2383" t="s">
        <v>38</v>
      </c>
      <c r="C2383" s="4">
        <v>45400</v>
      </c>
      <c r="D2383" s="4">
        <v>46014</v>
      </c>
      <c r="F2383" s="4">
        <v>46843</v>
      </c>
      <c r="G2383" t="s">
        <v>144</v>
      </c>
      <c r="H2383" t="s">
        <v>1437</v>
      </c>
      <c r="K2383" t="s">
        <v>146</v>
      </c>
      <c r="L2383" t="s">
        <v>4890</v>
      </c>
      <c r="M2383" t="s">
        <v>68</v>
      </c>
      <c r="N2383" t="s">
        <v>4891</v>
      </c>
      <c r="O2383" t="s">
        <v>122</v>
      </c>
      <c r="P2383" t="s">
        <v>5163</v>
      </c>
      <c r="Q2383">
        <v>140</v>
      </c>
      <c r="R2383">
        <v>140</v>
      </c>
      <c r="S2383" t="s">
        <v>34</v>
      </c>
      <c r="T2383" t="s">
        <v>35</v>
      </c>
      <c r="W2383">
        <v>0</v>
      </c>
      <c r="X2383">
        <v>0</v>
      </c>
      <c r="Y2383">
        <v>0</v>
      </c>
      <c r="Z2383">
        <v>0</v>
      </c>
    </row>
    <row r="2384" spans="1:26" hidden="1" x14ac:dyDescent="0.25">
      <c r="A2384" t="s">
        <v>5164</v>
      </c>
      <c r="B2384" t="s">
        <v>2153</v>
      </c>
      <c r="C2384" s="4">
        <v>45400</v>
      </c>
      <c r="F2384" s="4">
        <v>46801</v>
      </c>
      <c r="G2384" t="s">
        <v>117</v>
      </c>
      <c r="H2384" t="s">
        <v>1824</v>
      </c>
      <c r="K2384" t="s">
        <v>83</v>
      </c>
      <c r="L2384" t="s">
        <v>4890</v>
      </c>
      <c r="M2384" t="s">
        <v>84</v>
      </c>
      <c r="N2384" t="s">
        <v>4891</v>
      </c>
      <c r="O2384" t="s">
        <v>122</v>
      </c>
      <c r="P2384" t="s">
        <v>3279</v>
      </c>
      <c r="Q2384">
        <v>100</v>
      </c>
      <c r="R2384">
        <v>100</v>
      </c>
      <c r="S2384" t="s">
        <v>34</v>
      </c>
      <c r="T2384" t="s">
        <v>35</v>
      </c>
      <c r="W2384">
        <v>100</v>
      </c>
      <c r="X2384">
        <v>0</v>
      </c>
      <c r="Y2384">
        <v>0</v>
      </c>
      <c r="Z2384">
        <v>0</v>
      </c>
    </row>
    <row r="2385" spans="1:26" hidden="1" x14ac:dyDescent="0.25">
      <c r="A2385" t="s">
        <v>5165</v>
      </c>
      <c r="B2385" t="s">
        <v>38</v>
      </c>
      <c r="C2385" s="4">
        <v>45400</v>
      </c>
      <c r="D2385" s="4">
        <v>45926</v>
      </c>
      <c r="F2385" s="4">
        <v>47026</v>
      </c>
      <c r="G2385" t="s">
        <v>65</v>
      </c>
      <c r="H2385" t="s">
        <v>3370</v>
      </c>
      <c r="K2385" t="s">
        <v>67</v>
      </c>
      <c r="L2385" t="s">
        <v>4890</v>
      </c>
      <c r="M2385" t="s">
        <v>68</v>
      </c>
      <c r="N2385" t="s">
        <v>4891</v>
      </c>
      <c r="O2385" t="s">
        <v>32</v>
      </c>
      <c r="P2385" t="s">
        <v>4210</v>
      </c>
      <c r="Q2385">
        <v>155</v>
      </c>
      <c r="R2385">
        <v>155</v>
      </c>
      <c r="S2385" t="s">
        <v>34</v>
      </c>
      <c r="T2385" t="s">
        <v>35</v>
      </c>
      <c r="W2385">
        <v>0</v>
      </c>
      <c r="X2385">
        <v>0</v>
      </c>
      <c r="Y2385">
        <v>0</v>
      </c>
      <c r="Z2385">
        <v>0</v>
      </c>
    </row>
    <row r="2386" spans="1:26" hidden="1" x14ac:dyDescent="0.25">
      <c r="A2386" t="s">
        <v>5166</v>
      </c>
      <c r="B2386" t="s">
        <v>38</v>
      </c>
      <c r="C2386" s="4">
        <v>45400</v>
      </c>
      <c r="D2386" s="4">
        <v>46029</v>
      </c>
      <c r="F2386" s="4">
        <v>46753</v>
      </c>
      <c r="G2386" t="s">
        <v>65</v>
      </c>
      <c r="H2386" t="s">
        <v>3330</v>
      </c>
      <c r="K2386" t="s">
        <v>67</v>
      </c>
      <c r="L2386" t="s">
        <v>4890</v>
      </c>
      <c r="M2386" t="s">
        <v>68</v>
      </c>
      <c r="N2386" t="s">
        <v>4891</v>
      </c>
      <c r="O2386" t="s">
        <v>32</v>
      </c>
      <c r="P2386" t="s">
        <v>5167</v>
      </c>
      <c r="Q2386">
        <v>150.91999999999999</v>
      </c>
      <c r="R2386">
        <v>150.91999999999999</v>
      </c>
      <c r="S2386" t="s">
        <v>34</v>
      </c>
      <c r="T2386" t="s">
        <v>598</v>
      </c>
      <c r="W2386">
        <v>150.91999999999999</v>
      </c>
      <c r="X2386">
        <v>150.91999999999999</v>
      </c>
      <c r="Y2386">
        <v>0</v>
      </c>
      <c r="Z2386">
        <v>0</v>
      </c>
    </row>
    <row r="2387" spans="1:26" hidden="1" x14ac:dyDescent="0.25">
      <c r="A2387" t="s">
        <v>5168</v>
      </c>
      <c r="B2387" t="s">
        <v>2153</v>
      </c>
      <c r="C2387" s="4">
        <v>45400</v>
      </c>
      <c r="F2387" s="4">
        <v>47026</v>
      </c>
      <c r="G2387" t="s">
        <v>117</v>
      </c>
      <c r="H2387" t="s">
        <v>5169</v>
      </c>
      <c r="K2387" t="s">
        <v>83</v>
      </c>
      <c r="L2387" t="s">
        <v>4890</v>
      </c>
      <c r="M2387" t="s">
        <v>84</v>
      </c>
      <c r="N2387" t="s">
        <v>4891</v>
      </c>
      <c r="O2387" t="s">
        <v>32</v>
      </c>
      <c r="P2387" t="s">
        <v>5170</v>
      </c>
      <c r="Q2387">
        <v>171</v>
      </c>
      <c r="R2387">
        <v>171</v>
      </c>
      <c r="S2387" t="s">
        <v>34</v>
      </c>
      <c r="T2387" t="s">
        <v>35</v>
      </c>
      <c r="W2387">
        <v>171</v>
      </c>
      <c r="X2387">
        <v>171</v>
      </c>
      <c r="Y2387">
        <v>0</v>
      </c>
      <c r="Z2387">
        <v>0</v>
      </c>
    </row>
    <row r="2388" spans="1:26" hidden="1" x14ac:dyDescent="0.25">
      <c r="A2388" t="s">
        <v>5171</v>
      </c>
      <c r="B2388" t="s">
        <v>38</v>
      </c>
      <c r="C2388" s="4">
        <v>45400</v>
      </c>
      <c r="D2388" s="4">
        <v>46010</v>
      </c>
      <c r="F2388" s="4">
        <v>46997</v>
      </c>
      <c r="G2388" t="s">
        <v>101</v>
      </c>
      <c r="H2388" t="s">
        <v>1781</v>
      </c>
      <c r="K2388" t="s">
        <v>98</v>
      </c>
      <c r="L2388" t="s">
        <v>5172</v>
      </c>
      <c r="M2388" t="s">
        <v>84</v>
      </c>
      <c r="N2388" t="s">
        <v>3122</v>
      </c>
      <c r="O2388" t="s">
        <v>32</v>
      </c>
      <c r="P2388" t="s">
        <v>5173</v>
      </c>
      <c r="Q2388">
        <v>300</v>
      </c>
      <c r="R2388">
        <v>300</v>
      </c>
      <c r="S2388" t="s">
        <v>34</v>
      </c>
      <c r="T2388" t="s">
        <v>35</v>
      </c>
      <c r="W2388">
        <v>0</v>
      </c>
      <c r="X2388">
        <v>0</v>
      </c>
      <c r="Y2388">
        <v>0</v>
      </c>
      <c r="Z2388">
        <v>0</v>
      </c>
    </row>
    <row r="2389" spans="1:26" hidden="1" x14ac:dyDescent="0.25">
      <c r="A2389" t="s">
        <v>5174</v>
      </c>
      <c r="B2389" t="s">
        <v>2153</v>
      </c>
      <c r="C2389" s="4">
        <v>45399</v>
      </c>
      <c r="F2389" s="4">
        <v>47057</v>
      </c>
      <c r="G2389" t="s">
        <v>1499</v>
      </c>
      <c r="H2389" t="s">
        <v>5175</v>
      </c>
      <c r="K2389" t="s">
        <v>41</v>
      </c>
      <c r="L2389" t="s">
        <v>4890</v>
      </c>
      <c r="M2389" t="s">
        <v>42</v>
      </c>
      <c r="N2389" t="s">
        <v>4891</v>
      </c>
      <c r="O2389" t="s">
        <v>32</v>
      </c>
      <c r="P2389" t="s">
        <v>5176</v>
      </c>
      <c r="Q2389">
        <v>300</v>
      </c>
      <c r="R2389">
        <v>300</v>
      </c>
      <c r="S2389" t="s">
        <v>56</v>
      </c>
      <c r="T2389" t="s">
        <v>57</v>
      </c>
      <c r="W2389">
        <v>300</v>
      </c>
      <c r="X2389">
        <v>300</v>
      </c>
      <c r="Y2389">
        <v>0</v>
      </c>
      <c r="Z2389">
        <v>0</v>
      </c>
    </row>
    <row r="2390" spans="1:26" hidden="1" x14ac:dyDescent="0.25">
      <c r="A2390" t="s">
        <v>5177</v>
      </c>
      <c r="B2390" t="s">
        <v>38</v>
      </c>
      <c r="C2390" s="4">
        <v>45399</v>
      </c>
      <c r="D2390" s="4">
        <v>45869</v>
      </c>
      <c r="F2390" s="4">
        <v>46661</v>
      </c>
      <c r="G2390" t="s">
        <v>81</v>
      </c>
      <c r="H2390" t="s">
        <v>1663</v>
      </c>
      <c r="K2390" t="s">
        <v>83</v>
      </c>
      <c r="L2390" t="s">
        <v>4890</v>
      </c>
      <c r="M2390" t="s">
        <v>84</v>
      </c>
      <c r="N2390" t="s">
        <v>4891</v>
      </c>
      <c r="O2390" t="s">
        <v>32</v>
      </c>
      <c r="P2390" t="s">
        <v>5178</v>
      </c>
      <c r="Q2390">
        <v>50</v>
      </c>
      <c r="R2390">
        <v>50</v>
      </c>
      <c r="S2390" t="s">
        <v>34</v>
      </c>
      <c r="T2390" t="s">
        <v>35</v>
      </c>
      <c r="W2390">
        <v>0</v>
      </c>
      <c r="X2390">
        <v>0</v>
      </c>
      <c r="Y2390">
        <v>0</v>
      </c>
      <c r="Z2390">
        <v>0</v>
      </c>
    </row>
    <row r="2391" spans="1:26" hidden="1" x14ac:dyDescent="0.25">
      <c r="A2391" t="s">
        <v>5179</v>
      </c>
      <c r="B2391" t="s">
        <v>38</v>
      </c>
      <c r="C2391" s="4">
        <v>45400</v>
      </c>
      <c r="D2391" s="4">
        <v>45926</v>
      </c>
      <c r="F2391" s="4">
        <v>47026</v>
      </c>
      <c r="G2391" t="s">
        <v>65</v>
      </c>
      <c r="H2391" t="s">
        <v>1530</v>
      </c>
      <c r="K2391" t="s">
        <v>67</v>
      </c>
      <c r="L2391" t="s">
        <v>4890</v>
      </c>
      <c r="M2391" t="s">
        <v>68</v>
      </c>
      <c r="N2391" t="s">
        <v>4891</v>
      </c>
      <c r="O2391" t="s">
        <v>32</v>
      </c>
      <c r="P2391" t="s">
        <v>3267</v>
      </c>
      <c r="Q2391">
        <v>500</v>
      </c>
      <c r="R2391">
        <v>500</v>
      </c>
      <c r="S2391" t="s">
        <v>34</v>
      </c>
      <c r="T2391" t="s">
        <v>35</v>
      </c>
      <c r="W2391">
        <v>0</v>
      </c>
      <c r="X2391">
        <v>0</v>
      </c>
      <c r="Y2391">
        <v>0</v>
      </c>
      <c r="Z2391">
        <v>0</v>
      </c>
    </row>
    <row r="2392" spans="1:26" hidden="1" x14ac:dyDescent="0.25">
      <c r="A2392" t="s">
        <v>5180</v>
      </c>
      <c r="B2392" t="s">
        <v>2153</v>
      </c>
      <c r="C2392" s="4">
        <v>45400</v>
      </c>
      <c r="F2392" s="4">
        <v>46296</v>
      </c>
      <c r="G2392" t="s">
        <v>691</v>
      </c>
      <c r="H2392" t="s">
        <v>1800</v>
      </c>
      <c r="K2392" t="s">
        <v>98</v>
      </c>
      <c r="L2392" t="s">
        <v>4890</v>
      </c>
      <c r="M2392" t="s">
        <v>84</v>
      </c>
      <c r="N2392" t="s">
        <v>4891</v>
      </c>
      <c r="O2392" t="s">
        <v>32</v>
      </c>
      <c r="P2392" t="s">
        <v>5181</v>
      </c>
      <c r="Q2392">
        <v>150</v>
      </c>
      <c r="R2392">
        <v>150</v>
      </c>
      <c r="S2392" t="s">
        <v>159</v>
      </c>
      <c r="T2392" t="s">
        <v>159</v>
      </c>
      <c r="W2392">
        <v>150</v>
      </c>
      <c r="X2392">
        <v>150</v>
      </c>
      <c r="Y2392">
        <v>0</v>
      </c>
      <c r="Z2392">
        <v>0</v>
      </c>
    </row>
    <row r="2393" spans="1:26" hidden="1" x14ac:dyDescent="0.25">
      <c r="A2393" t="s">
        <v>5182</v>
      </c>
      <c r="B2393" t="s">
        <v>38</v>
      </c>
      <c r="C2393" s="4">
        <v>45400</v>
      </c>
      <c r="D2393" s="4">
        <v>45926</v>
      </c>
      <c r="F2393" s="4">
        <v>47026</v>
      </c>
      <c r="G2393" t="s">
        <v>65</v>
      </c>
      <c r="H2393" t="s">
        <v>1530</v>
      </c>
      <c r="K2393" t="s">
        <v>67</v>
      </c>
      <c r="L2393" t="s">
        <v>4890</v>
      </c>
      <c r="M2393" t="s">
        <v>68</v>
      </c>
      <c r="N2393" t="s">
        <v>4891</v>
      </c>
      <c r="O2393" t="s">
        <v>32</v>
      </c>
      <c r="P2393" t="s">
        <v>3267</v>
      </c>
      <c r="Q2393">
        <v>400</v>
      </c>
      <c r="R2393">
        <v>400</v>
      </c>
      <c r="S2393" t="s">
        <v>34</v>
      </c>
      <c r="T2393" t="s">
        <v>35</v>
      </c>
      <c r="W2393">
        <v>0</v>
      </c>
      <c r="X2393">
        <v>0</v>
      </c>
      <c r="Y2393">
        <v>0</v>
      </c>
      <c r="Z2393">
        <v>0</v>
      </c>
    </row>
    <row r="2394" spans="1:26" hidden="1" x14ac:dyDescent="0.25">
      <c r="A2394" t="s">
        <v>5183</v>
      </c>
      <c r="B2394" t="s">
        <v>38</v>
      </c>
      <c r="C2394" s="4">
        <v>45378</v>
      </c>
      <c r="D2394" s="4">
        <v>45929</v>
      </c>
      <c r="F2394" s="4">
        <v>46997</v>
      </c>
      <c r="G2394" t="s">
        <v>117</v>
      </c>
      <c r="H2394" t="s">
        <v>1542</v>
      </c>
      <c r="K2394" t="s">
        <v>83</v>
      </c>
      <c r="L2394" t="s">
        <v>4890</v>
      </c>
      <c r="M2394" t="s">
        <v>84</v>
      </c>
      <c r="N2394" t="s">
        <v>4891</v>
      </c>
      <c r="O2394" t="s">
        <v>32</v>
      </c>
      <c r="P2394" t="s">
        <v>5184</v>
      </c>
      <c r="Q2394">
        <v>150</v>
      </c>
      <c r="R2394">
        <v>150</v>
      </c>
      <c r="S2394" t="s">
        <v>34</v>
      </c>
      <c r="T2394" t="s">
        <v>35</v>
      </c>
      <c r="W2394">
        <v>0</v>
      </c>
      <c r="X2394">
        <v>0</v>
      </c>
      <c r="Y2394">
        <v>0</v>
      </c>
      <c r="Z2394">
        <v>0</v>
      </c>
    </row>
    <row r="2395" spans="1:26" hidden="1" x14ac:dyDescent="0.25">
      <c r="A2395" t="s">
        <v>5185</v>
      </c>
      <c r="B2395" t="s">
        <v>38</v>
      </c>
      <c r="C2395" s="4">
        <v>45399</v>
      </c>
      <c r="D2395" s="4">
        <v>45869</v>
      </c>
      <c r="F2395" s="4">
        <v>46661</v>
      </c>
      <c r="G2395" t="s">
        <v>101</v>
      </c>
      <c r="H2395" t="s">
        <v>1771</v>
      </c>
      <c r="K2395" t="s">
        <v>98</v>
      </c>
      <c r="L2395" t="s">
        <v>4890</v>
      </c>
      <c r="M2395" t="s">
        <v>84</v>
      </c>
      <c r="N2395" t="s">
        <v>4891</v>
      </c>
      <c r="O2395" t="s">
        <v>32</v>
      </c>
      <c r="P2395" t="s">
        <v>5186</v>
      </c>
      <c r="Q2395">
        <v>37</v>
      </c>
      <c r="R2395">
        <v>37</v>
      </c>
      <c r="S2395" t="s">
        <v>34</v>
      </c>
      <c r="T2395" t="s">
        <v>35</v>
      </c>
      <c r="W2395">
        <v>0</v>
      </c>
      <c r="X2395">
        <v>0</v>
      </c>
      <c r="Y2395">
        <v>0</v>
      </c>
      <c r="Z2395">
        <v>0</v>
      </c>
    </row>
    <row r="2396" spans="1:26" hidden="1" x14ac:dyDescent="0.25">
      <c r="A2396" t="s">
        <v>5187</v>
      </c>
      <c r="B2396" t="s">
        <v>2153</v>
      </c>
      <c r="C2396" s="4">
        <v>45392</v>
      </c>
      <c r="F2396" s="4">
        <v>46645</v>
      </c>
      <c r="G2396" t="s">
        <v>117</v>
      </c>
      <c r="H2396" t="s">
        <v>1954</v>
      </c>
      <c r="K2396" t="s">
        <v>83</v>
      </c>
      <c r="L2396" t="s">
        <v>4890</v>
      </c>
      <c r="M2396" t="s">
        <v>84</v>
      </c>
      <c r="N2396" t="s">
        <v>4891</v>
      </c>
      <c r="O2396" t="s">
        <v>122</v>
      </c>
      <c r="P2396" t="s">
        <v>5188</v>
      </c>
      <c r="Q2396">
        <v>200.3</v>
      </c>
      <c r="R2396">
        <v>200.3</v>
      </c>
      <c r="S2396" t="s">
        <v>56</v>
      </c>
      <c r="T2396" t="s">
        <v>57</v>
      </c>
      <c r="W2396">
        <v>200.3</v>
      </c>
      <c r="X2396">
        <v>0</v>
      </c>
      <c r="Y2396">
        <v>0</v>
      </c>
      <c r="Z2396">
        <v>0</v>
      </c>
    </row>
    <row r="2397" spans="1:26" hidden="1" x14ac:dyDescent="0.25">
      <c r="A2397" t="s">
        <v>5189</v>
      </c>
      <c r="B2397" t="s">
        <v>38</v>
      </c>
      <c r="C2397" s="4">
        <v>45399</v>
      </c>
      <c r="D2397" s="4">
        <v>45869</v>
      </c>
      <c r="F2397" s="4">
        <v>46661</v>
      </c>
      <c r="G2397" t="s">
        <v>81</v>
      </c>
      <c r="H2397" t="s">
        <v>2878</v>
      </c>
      <c r="K2397" t="s">
        <v>83</v>
      </c>
      <c r="L2397" t="s">
        <v>4890</v>
      </c>
      <c r="M2397" t="s">
        <v>84</v>
      </c>
      <c r="N2397" t="s">
        <v>4891</v>
      </c>
      <c r="O2397" t="s">
        <v>122</v>
      </c>
      <c r="P2397" t="s">
        <v>5190</v>
      </c>
      <c r="Q2397">
        <v>25</v>
      </c>
      <c r="R2397">
        <v>25</v>
      </c>
      <c r="S2397" t="s">
        <v>34</v>
      </c>
      <c r="T2397" t="s">
        <v>35</v>
      </c>
      <c r="W2397">
        <v>0</v>
      </c>
      <c r="X2397">
        <v>0</v>
      </c>
      <c r="Y2397">
        <v>0</v>
      </c>
      <c r="Z2397">
        <v>0</v>
      </c>
    </row>
    <row r="2398" spans="1:26" hidden="1" x14ac:dyDescent="0.25">
      <c r="A2398" t="s">
        <v>5191</v>
      </c>
      <c r="B2398" t="s">
        <v>38</v>
      </c>
      <c r="C2398" s="4">
        <v>45393</v>
      </c>
      <c r="D2398" s="4">
        <v>45929</v>
      </c>
      <c r="F2398" s="4">
        <v>46568</v>
      </c>
      <c r="G2398" t="s">
        <v>1577</v>
      </c>
      <c r="H2398" t="s">
        <v>1578</v>
      </c>
      <c r="K2398" t="s">
        <v>683</v>
      </c>
      <c r="L2398" t="s">
        <v>4890</v>
      </c>
      <c r="M2398" t="s">
        <v>84</v>
      </c>
      <c r="N2398" t="s">
        <v>4891</v>
      </c>
      <c r="O2398" t="s">
        <v>32</v>
      </c>
      <c r="P2398" t="s">
        <v>5192</v>
      </c>
      <c r="Q2398">
        <v>150</v>
      </c>
      <c r="R2398">
        <v>150</v>
      </c>
      <c r="S2398" t="s">
        <v>34</v>
      </c>
      <c r="T2398" t="s">
        <v>35</v>
      </c>
      <c r="W2398">
        <v>0</v>
      </c>
      <c r="X2398">
        <v>0</v>
      </c>
      <c r="Y2398">
        <v>0</v>
      </c>
      <c r="Z2398">
        <v>0</v>
      </c>
    </row>
    <row r="2399" spans="1:26" hidden="1" x14ac:dyDescent="0.25">
      <c r="A2399" t="s">
        <v>5193</v>
      </c>
      <c r="B2399" t="s">
        <v>2153</v>
      </c>
      <c r="C2399" s="4">
        <v>45398</v>
      </c>
      <c r="F2399" s="4">
        <v>46447</v>
      </c>
      <c r="G2399" t="s">
        <v>1108</v>
      </c>
      <c r="H2399" t="s">
        <v>1685</v>
      </c>
      <c r="K2399" t="s">
        <v>146</v>
      </c>
      <c r="L2399" t="s">
        <v>4890</v>
      </c>
      <c r="M2399" t="s">
        <v>68</v>
      </c>
      <c r="N2399" t="s">
        <v>4891</v>
      </c>
      <c r="O2399" t="s">
        <v>32</v>
      </c>
      <c r="P2399" t="s">
        <v>5145</v>
      </c>
      <c r="Q2399">
        <v>155.6</v>
      </c>
      <c r="R2399">
        <v>155.6</v>
      </c>
      <c r="S2399" t="s">
        <v>56</v>
      </c>
      <c r="T2399" t="s">
        <v>57</v>
      </c>
      <c r="W2399">
        <v>155.6</v>
      </c>
      <c r="X2399">
        <v>155.6</v>
      </c>
      <c r="Y2399">
        <v>0</v>
      </c>
      <c r="Z2399">
        <v>0</v>
      </c>
    </row>
    <row r="2400" spans="1:26" hidden="1" x14ac:dyDescent="0.25">
      <c r="A2400" t="s">
        <v>5194</v>
      </c>
      <c r="B2400" t="s">
        <v>38</v>
      </c>
      <c r="C2400" s="4">
        <v>45399</v>
      </c>
      <c r="D2400" s="4">
        <v>45869</v>
      </c>
      <c r="F2400" s="4">
        <v>46661</v>
      </c>
      <c r="G2400" t="s">
        <v>81</v>
      </c>
      <c r="H2400" t="s">
        <v>1291</v>
      </c>
      <c r="K2400" t="s">
        <v>83</v>
      </c>
      <c r="L2400" t="s">
        <v>4890</v>
      </c>
      <c r="M2400" t="s">
        <v>84</v>
      </c>
      <c r="N2400" t="s">
        <v>4891</v>
      </c>
      <c r="O2400" t="s">
        <v>32</v>
      </c>
      <c r="P2400" t="s">
        <v>5195</v>
      </c>
      <c r="Q2400">
        <v>30</v>
      </c>
      <c r="R2400">
        <v>30</v>
      </c>
      <c r="S2400" t="s">
        <v>34</v>
      </c>
      <c r="T2400" t="s">
        <v>35</v>
      </c>
      <c r="W2400">
        <v>0</v>
      </c>
      <c r="X2400">
        <v>0</v>
      </c>
      <c r="Y2400">
        <v>0</v>
      </c>
      <c r="Z2400">
        <v>0</v>
      </c>
    </row>
    <row r="2401" spans="1:26" hidden="1" x14ac:dyDescent="0.25">
      <c r="A2401" t="s">
        <v>5196</v>
      </c>
      <c r="B2401" t="s">
        <v>38</v>
      </c>
      <c r="C2401" s="4">
        <v>45399</v>
      </c>
      <c r="D2401" s="4">
        <v>45869</v>
      </c>
      <c r="F2401" s="4">
        <v>46661</v>
      </c>
      <c r="G2401" t="s">
        <v>81</v>
      </c>
      <c r="H2401" t="s">
        <v>2878</v>
      </c>
      <c r="K2401" t="s">
        <v>83</v>
      </c>
      <c r="L2401" t="s">
        <v>4890</v>
      </c>
      <c r="M2401" t="s">
        <v>84</v>
      </c>
      <c r="N2401" t="s">
        <v>4891</v>
      </c>
      <c r="O2401" t="s">
        <v>122</v>
      </c>
      <c r="P2401" t="s">
        <v>5197</v>
      </c>
      <c r="Q2401">
        <v>30</v>
      </c>
      <c r="R2401">
        <v>30</v>
      </c>
      <c r="S2401" t="s">
        <v>34</v>
      </c>
      <c r="T2401" t="s">
        <v>35</v>
      </c>
      <c r="W2401">
        <v>0</v>
      </c>
      <c r="X2401">
        <v>0</v>
      </c>
      <c r="Y2401">
        <v>0</v>
      </c>
      <c r="Z2401">
        <v>0</v>
      </c>
    </row>
    <row r="2402" spans="1:26" hidden="1" x14ac:dyDescent="0.25">
      <c r="A2402" t="s">
        <v>5198</v>
      </c>
      <c r="B2402" t="s">
        <v>38</v>
      </c>
      <c r="C2402" s="4">
        <v>45369</v>
      </c>
      <c r="D2402" s="4">
        <v>46014</v>
      </c>
      <c r="F2402" s="4">
        <v>46249</v>
      </c>
      <c r="G2402" t="s">
        <v>72</v>
      </c>
      <c r="H2402" t="s">
        <v>1485</v>
      </c>
      <c r="K2402" t="s">
        <v>41</v>
      </c>
      <c r="L2402" t="s">
        <v>4890</v>
      </c>
      <c r="M2402" t="s">
        <v>42</v>
      </c>
      <c r="N2402" t="s">
        <v>4891</v>
      </c>
      <c r="O2402" t="s">
        <v>1110</v>
      </c>
      <c r="P2402" t="s">
        <v>5199</v>
      </c>
      <c r="Q2402">
        <v>80</v>
      </c>
      <c r="R2402">
        <v>80</v>
      </c>
      <c r="S2402" t="s">
        <v>34</v>
      </c>
      <c r="T2402" t="s">
        <v>35</v>
      </c>
      <c r="W2402">
        <v>0</v>
      </c>
      <c r="X2402">
        <v>0</v>
      </c>
      <c r="Y2402">
        <v>0</v>
      </c>
      <c r="Z2402">
        <v>0</v>
      </c>
    </row>
    <row r="2403" spans="1:26" hidden="1" x14ac:dyDescent="0.25">
      <c r="A2403" t="s">
        <v>5200</v>
      </c>
      <c r="B2403" t="s">
        <v>38</v>
      </c>
      <c r="C2403" s="4">
        <v>45399</v>
      </c>
      <c r="D2403" s="4">
        <v>45869</v>
      </c>
      <c r="F2403" s="4">
        <v>46661</v>
      </c>
      <c r="G2403" t="s">
        <v>81</v>
      </c>
      <c r="H2403" t="s">
        <v>1676</v>
      </c>
      <c r="K2403" t="s">
        <v>83</v>
      </c>
      <c r="L2403" t="s">
        <v>4890</v>
      </c>
      <c r="M2403" t="s">
        <v>84</v>
      </c>
      <c r="N2403" t="s">
        <v>4891</v>
      </c>
      <c r="O2403" t="s">
        <v>122</v>
      </c>
      <c r="P2403" t="s">
        <v>5201</v>
      </c>
      <c r="Q2403">
        <v>30</v>
      </c>
      <c r="R2403">
        <v>30</v>
      </c>
      <c r="S2403" t="s">
        <v>34</v>
      </c>
      <c r="T2403" t="s">
        <v>35</v>
      </c>
      <c r="W2403">
        <v>0</v>
      </c>
      <c r="X2403">
        <v>0</v>
      </c>
      <c r="Y2403">
        <v>0</v>
      </c>
      <c r="Z2403">
        <v>0</v>
      </c>
    </row>
    <row r="2404" spans="1:26" hidden="1" x14ac:dyDescent="0.25">
      <c r="A2404" t="s">
        <v>5202</v>
      </c>
      <c r="B2404" t="s">
        <v>2153</v>
      </c>
      <c r="C2404" s="4">
        <v>45391</v>
      </c>
      <c r="F2404" s="4">
        <v>46966</v>
      </c>
      <c r="G2404" t="s">
        <v>39</v>
      </c>
      <c r="H2404" t="s">
        <v>1271</v>
      </c>
      <c r="K2404" t="s">
        <v>41</v>
      </c>
      <c r="L2404" t="s">
        <v>4890</v>
      </c>
      <c r="M2404" t="s">
        <v>42</v>
      </c>
      <c r="N2404" t="s">
        <v>4891</v>
      </c>
      <c r="O2404" t="s">
        <v>32</v>
      </c>
      <c r="P2404" t="s">
        <v>5203</v>
      </c>
      <c r="Q2404">
        <v>300</v>
      </c>
      <c r="R2404">
        <v>300</v>
      </c>
      <c r="S2404" t="s">
        <v>34</v>
      </c>
      <c r="T2404" t="s">
        <v>35</v>
      </c>
      <c r="W2404">
        <v>300</v>
      </c>
      <c r="X2404">
        <v>300</v>
      </c>
      <c r="Y2404">
        <v>0</v>
      </c>
      <c r="Z2404">
        <v>0</v>
      </c>
    </row>
    <row r="2405" spans="1:26" hidden="1" x14ac:dyDescent="0.25">
      <c r="A2405" t="s">
        <v>5204</v>
      </c>
      <c r="B2405" t="s">
        <v>2153</v>
      </c>
      <c r="C2405" s="4">
        <v>45371</v>
      </c>
      <c r="F2405" s="4">
        <v>46862</v>
      </c>
      <c r="G2405" t="s">
        <v>1499</v>
      </c>
      <c r="H2405" t="s">
        <v>2477</v>
      </c>
      <c r="K2405" t="s">
        <v>62</v>
      </c>
      <c r="L2405" t="s">
        <v>4890</v>
      </c>
      <c r="M2405" t="s">
        <v>42</v>
      </c>
      <c r="N2405" t="s">
        <v>4891</v>
      </c>
      <c r="O2405" t="s">
        <v>32</v>
      </c>
      <c r="P2405" t="s">
        <v>5205</v>
      </c>
      <c r="Q2405">
        <v>142.19999999999999</v>
      </c>
      <c r="R2405">
        <v>142.19999999999999</v>
      </c>
      <c r="S2405" t="s">
        <v>597</v>
      </c>
      <c r="T2405" t="s">
        <v>2129</v>
      </c>
      <c r="W2405">
        <v>142.19999999999999</v>
      </c>
      <c r="X2405">
        <v>142.19999999999999</v>
      </c>
      <c r="Y2405">
        <v>0</v>
      </c>
      <c r="Z2405">
        <v>0</v>
      </c>
    </row>
    <row r="2406" spans="1:26" hidden="1" x14ac:dyDescent="0.25">
      <c r="A2406" t="s">
        <v>5206</v>
      </c>
      <c r="B2406" t="s">
        <v>2153</v>
      </c>
      <c r="C2406" s="4">
        <v>45400</v>
      </c>
      <c r="F2406" s="4">
        <v>46998</v>
      </c>
      <c r="G2406" t="s">
        <v>1326</v>
      </c>
      <c r="H2406" t="s">
        <v>1327</v>
      </c>
      <c r="K2406" t="s">
        <v>67</v>
      </c>
      <c r="L2406" t="s">
        <v>4890</v>
      </c>
      <c r="M2406" t="s">
        <v>68</v>
      </c>
      <c r="N2406" t="s">
        <v>4891</v>
      </c>
      <c r="O2406" t="s">
        <v>32</v>
      </c>
      <c r="P2406" t="s">
        <v>2265</v>
      </c>
      <c r="Q2406">
        <v>500</v>
      </c>
      <c r="R2406">
        <v>500</v>
      </c>
      <c r="S2406" t="s">
        <v>34</v>
      </c>
      <c r="T2406" t="s">
        <v>35</v>
      </c>
      <c r="W2406">
        <v>500</v>
      </c>
      <c r="X2406">
        <v>490</v>
      </c>
      <c r="Y2406">
        <v>0</v>
      </c>
      <c r="Z2406">
        <v>0</v>
      </c>
    </row>
    <row r="2407" spans="1:26" hidden="1" x14ac:dyDescent="0.25">
      <c r="A2407" t="s">
        <v>5207</v>
      </c>
      <c r="B2407" t="s">
        <v>2153</v>
      </c>
      <c r="C2407" s="4">
        <v>45400</v>
      </c>
      <c r="F2407" s="4">
        <v>46904</v>
      </c>
      <c r="G2407" t="s">
        <v>1278</v>
      </c>
      <c r="H2407" t="s">
        <v>1295</v>
      </c>
      <c r="K2407" t="s">
        <v>28</v>
      </c>
      <c r="L2407" t="s">
        <v>4890</v>
      </c>
      <c r="M2407" t="s">
        <v>30</v>
      </c>
      <c r="N2407" t="s">
        <v>4891</v>
      </c>
      <c r="O2407" t="s">
        <v>32</v>
      </c>
      <c r="P2407" t="s">
        <v>5208</v>
      </c>
      <c r="Q2407">
        <v>200</v>
      </c>
      <c r="R2407">
        <v>200</v>
      </c>
      <c r="S2407" t="s">
        <v>159</v>
      </c>
      <c r="T2407" t="s">
        <v>159</v>
      </c>
      <c r="W2407">
        <v>200</v>
      </c>
      <c r="X2407">
        <v>200</v>
      </c>
      <c r="Y2407">
        <v>0</v>
      </c>
      <c r="Z2407">
        <v>0</v>
      </c>
    </row>
    <row r="2408" spans="1:26" hidden="1" x14ac:dyDescent="0.25">
      <c r="A2408" t="s">
        <v>5209</v>
      </c>
      <c r="B2408" t="s">
        <v>38</v>
      </c>
      <c r="C2408" s="4">
        <v>45400</v>
      </c>
      <c r="D2408" s="4">
        <v>45930</v>
      </c>
      <c r="F2408" s="4">
        <v>46980</v>
      </c>
      <c r="G2408" t="s">
        <v>132</v>
      </c>
      <c r="H2408" t="s">
        <v>1768</v>
      </c>
      <c r="K2408" t="s">
        <v>109</v>
      </c>
      <c r="L2408" t="s">
        <v>4890</v>
      </c>
      <c r="M2408" t="s">
        <v>84</v>
      </c>
      <c r="N2408" t="s">
        <v>4891</v>
      </c>
      <c r="O2408" t="s">
        <v>32</v>
      </c>
      <c r="P2408" t="s">
        <v>1345</v>
      </c>
      <c r="Q2408">
        <v>200</v>
      </c>
      <c r="R2408">
        <v>200</v>
      </c>
      <c r="S2408" t="s">
        <v>34</v>
      </c>
      <c r="T2408" t="s">
        <v>35</v>
      </c>
      <c r="W2408">
        <v>0</v>
      </c>
      <c r="X2408">
        <v>0</v>
      </c>
      <c r="Y2408">
        <v>0</v>
      </c>
      <c r="Z2408">
        <v>0</v>
      </c>
    </row>
    <row r="2409" spans="1:26" hidden="1" x14ac:dyDescent="0.25">
      <c r="A2409" t="s">
        <v>5210</v>
      </c>
      <c r="B2409" t="s">
        <v>38</v>
      </c>
      <c r="C2409" s="4">
        <v>45400</v>
      </c>
      <c r="D2409" s="4">
        <v>45930</v>
      </c>
      <c r="F2409" s="4">
        <v>46980</v>
      </c>
      <c r="G2409" t="s">
        <v>132</v>
      </c>
      <c r="H2409" t="s">
        <v>1768</v>
      </c>
      <c r="K2409" t="s">
        <v>109</v>
      </c>
      <c r="L2409" t="s">
        <v>4890</v>
      </c>
      <c r="M2409" t="s">
        <v>84</v>
      </c>
      <c r="N2409" t="s">
        <v>4891</v>
      </c>
      <c r="O2409" t="s">
        <v>32</v>
      </c>
      <c r="P2409" t="s">
        <v>1345</v>
      </c>
      <c r="Q2409">
        <v>300</v>
      </c>
      <c r="R2409">
        <v>300</v>
      </c>
      <c r="S2409" t="s">
        <v>34</v>
      </c>
      <c r="T2409" t="s">
        <v>35</v>
      </c>
      <c r="W2409">
        <v>0</v>
      </c>
      <c r="X2409">
        <v>0</v>
      </c>
      <c r="Y2409">
        <v>0</v>
      </c>
      <c r="Z2409">
        <v>0</v>
      </c>
    </row>
    <row r="2410" spans="1:26" hidden="1" x14ac:dyDescent="0.25">
      <c r="A2410" t="s">
        <v>5211</v>
      </c>
      <c r="B2410" t="s">
        <v>38</v>
      </c>
      <c r="C2410" s="4">
        <v>45392</v>
      </c>
      <c r="D2410" s="4">
        <v>45926</v>
      </c>
      <c r="F2410" s="4">
        <v>46913</v>
      </c>
      <c r="G2410" t="s">
        <v>1597</v>
      </c>
      <c r="H2410" t="s">
        <v>3587</v>
      </c>
      <c r="K2410" t="s">
        <v>41</v>
      </c>
      <c r="L2410" t="s">
        <v>4890</v>
      </c>
      <c r="M2410" t="s">
        <v>42</v>
      </c>
      <c r="N2410" t="s">
        <v>4891</v>
      </c>
      <c r="O2410" t="s">
        <v>32</v>
      </c>
      <c r="P2410" t="s">
        <v>5212</v>
      </c>
      <c r="Q2410">
        <v>144</v>
      </c>
      <c r="R2410">
        <v>144</v>
      </c>
      <c r="S2410" t="s">
        <v>56</v>
      </c>
      <c r="T2410" t="s">
        <v>57</v>
      </c>
      <c r="W2410">
        <v>0</v>
      </c>
      <c r="X2410">
        <v>0</v>
      </c>
      <c r="Y2410">
        <v>0</v>
      </c>
      <c r="Z2410">
        <v>0</v>
      </c>
    </row>
    <row r="2411" spans="1:26" hidden="1" x14ac:dyDescent="0.25">
      <c r="A2411" t="s">
        <v>5213</v>
      </c>
      <c r="B2411" t="s">
        <v>38</v>
      </c>
      <c r="C2411" s="4">
        <v>45399</v>
      </c>
      <c r="D2411" s="4">
        <v>45868</v>
      </c>
      <c r="F2411" s="4">
        <v>46852</v>
      </c>
      <c r="G2411" t="s">
        <v>144</v>
      </c>
      <c r="H2411" t="s">
        <v>1405</v>
      </c>
      <c r="K2411" t="s">
        <v>146</v>
      </c>
      <c r="L2411" t="s">
        <v>4890</v>
      </c>
      <c r="M2411" t="s">
        <v>68</v>
      </c>
      <c r="N2411" t="s">
        <v>4891</v>
      </c>
      <c r="O2411" t="s">
        <v>32</v>
      </c>
      <c r="P2411" t="s">
        <v>5214</v>
      </c>
      <c r="Q2411">
        <v>100</v>
      </c>
      <c r="R2411">
        <v>100</v>
      </c>
      <c r="S2411" t="s">
        <v>34</v>
      </c>
      <c r="T2411" t="s">
        <v>35</v>
      </c>
      <c r="W2411">
        <v>0</v>
      </c>
      <c r="X2411">
        <v>0</v>
      </c>
      <c r="Y2411">
        <v>0</v>
      </c>
      <c r="Z2411">
        <v>0</v>
      </c>
    </row>
    <row r="2412" spans="1:26" hidden="1" x14ac:dyDescent="0.25">
      <c r="A2412" t="s">
        <v>5215</v>
      </c>
      <c r="B2412" t="s">
        <v>38</v>
      </c>
      <c r="C2412" s="4">
        <v>45393</v>
      </c>
      <c r="D2412" s="4">
        <v>46027</v>
      </c>
      <c r="F2412" s="4">
        <v>47057</v>
      </c>
      <c r="G2412" t="s">
        <v>52</v>
      </c>
      <c r="H2412" t="s">
        <v>5216</v>
      </c>
      <c r="K2412" t="s">
        <v>53</v>
      </c>
      <c r="L2412" t="s">
        <v>4890</v>
      </c>
      <c r="M2412" t="s">
        <v>54</v>
      </c>
      <c r="N2412" t="s">
        <v>4891</v>
      </c>
      <c r="O2412" t="s">
        <v>32</v>
      </c>
      <c r="P2412" t="s">
        <v>5217</v>
      </c>
      <c r="Q2412">
        <v>300</v>
      </c>
      <c r="R2412">
        <v>300</v>
      </c>
      <c r="S2412" t="s">
        <v>389</v>
      </c>
      <c r="T2412" t="s">
        <v>584</v>
      </c>
      <c r="W2412">
        <v>300</v>
      </c>
      <c r="X2412">
        <v>300</v>
      </c>
      <c r="Y2412">
        <v>0</v>
      </c>
      <c r="Z2412">
        <v>0</v>
      </c>
    </row>
    <row r="2413" spans="1:26" hidden="1" x14ac:dyDescent="0.25">
      <c r="A2413" t="s">
        <v>5218</v>
      </c>
      <c r="B2413" t="s">
        <v>38</v>
      </c>
      <c r="C2413" s="4">
        <v>45400</v>
      </c>
      <c r="D2413" s="4">
        <v>45800</v>
      </c>
      <c r="F2413" s="4">
        <v>46813</v>
      </c>
      <c r="G2413" t="s">
        <v>616</v>
      </c>
      <c r="H2413" t="s">
        <v>1756</v>
      </c>
      <c r="K2413" t="s">
        <v>146</v>
      </c>
      <c r="L2413" t="s">
        <v>4890</v>
      </c>
      <c r="M2413" t="s">
        <v>68</v>
      </c>
      <c r="N2413" t="s">
        <v>4891</v>
      </c>
      <c r="O2413" t="s">
        <v>32</v>
      </c>
      <c r="P2413" t="s">
        <v>2249</v>
      </c>
      <c r="Q2413">
        <v>450</v>
      </c>
      <c r="R2413">
        <v>450</v>
      </c>
      <c r="S2413" t="s">
        <v>34</v>
      </c>
      <c r="T2413" t="s">
        <v>35</v>
      </c>
      <c r="W2413">
        <v>0</v>
      </c>
      <c r="X2413">
        <v>0</v>
      </c>
      <c r="Y2413">
        <v>0</v>
      </c>
      <c r="Z2413">
        <v>0</v>
      </c>
    </row>
    <row r="2414" spans="1:26" hidden="1" x14ac:dyDescent="0.25">
      <c r="A2414" t="s">
        <v>5219</v>
      </c>
      <c r="B2414" t="s">
        <v>38</v>
      </c>
      <c r="C2414" s="4">
        <v>45394</v>
      </c>
      <c r="D2414" s="4">
        <v>45929</v>
      </c>
      <c r="F2414" s="4">
        <v>46813</v>
      </c>
      <c r="G2414" t="s">
        <v>149</v>
      </c>
      <c r="H2414" t="s">
        <v>1691</v>
      </c>
      <c r="K2414" t="s">
        <v>151</v>
      </c>
      <c r="L2414" t="s">
        <v>4890</v>
      </c>
      <c r="M2414" t="s">
        <v>68</v>
      </c>
      <c r="N2414" t="s">
        <v>4891</v>
      </c>
      <c r="O2414" t="s">
        <v>122</v>
      </c>
      <c r="P2414" t="s">
        <v>5220</v>
      </c>
      <c r="Q2414">
        <v>400</v>
      </c>
      <c r="R2414">
        <v>400</v>
      </c>
      <c r="S2414" t="s">
        <v>34</v>
      </c>
      <c r="T2414" t="s">
        <v>35</v>
      </c>
      <c r="W2414">
        <v>0</v>
      </c>
      <c r="X2414">
        <v>0</v>
      </c>
      <c r="Y2414">
        <v>0</v>
      </c>
      <c r="Z2414">
        <v>0</v>
      </c>
    </row>
    <row r="2415" spans="1:26" hidden="1" x14ac:dyDescent="0.25">
      <c r="A2415" t="s">
        <v>5221</v>
      </c>
      <c r="B2415" t="s">
        <v>38</v>
      </c>
      <c r="C2415" s="4">
        <v>45394</v>
      </c>
      <c r="D2415" s="4">
        <v>45884</v>
      </c>
      <c r="F2415" s="4">
        <v>46813</v>
      </c>
      <c r="G2415" t="s">
        <v>117</v>
      </c>
      <c r="H2415" t="s">
        <v>1302</v>
      </c>
      <c r="K2415" t="s">
        <v>83</v>
      </c>
      <c r="L2415" t="s">
        <v>4890</v>
      </c>
      <c r="M2415" t="s">
        <v>84</v>
      </c>
      <c r="N2415" t="s">
        <v>4891</v>
      </c>
      <c r="O2415" t="s">
        <v>32</v>
      </c>
      <c r="P2415" t="s">
        <v>5222</v>
      </c>
      <c r="Q2415">
        <v>120</v>
      </c>
      <c r="R2415">
        <v>120</v>
      </c>
      <c r="S2415" t="s">
        <v>34</v>
      </c>
      <c r="T2415" t="s">
        <v>35</v>
      </c>
      <c r="W2415">
        <v>0</v>
      </c>
      <c r="X2415">
        <v>0</v>
      </c>
      <c r="Y2415">
        <v>0</v>
      </c>
      <c r="Z2415">
        <v>0</v>
      </c>
    </row>
    <row r="2416" spans="1:26" hidden="1" x14ac:dyDescent="0.25">
      <c r="A2416" t="s">
        <v>5223</v>
      </c>
      <c r="B2416" t="s">
        <v>38</v>
      </c>
      <c r="C2416" s="4">
        <v>45394</v>
      </c>
      <c r="D2416" s="4">
        <v>46014</v>
      </c>
      <c r="F2416" s="4">
        <v>46813</v>
      </c>
      <c r="G2416" t="s">
        <v>1251</v>
      </c>
      <c r="H2416" t="s">
        <v>3240</v>
      </c>
      <c r="K2416" t="s">
        <v>109</v>
      </c>
      <c r="L2416" t="s">
        <v>4890</v>
      </c>
      <c r="M2416" t="s">
        <v>84</v>
      </c>
      <c r="N2416" t="s">
        <v>4891</v>
      </c>
      <c r="O2416" t="s">
        <v>122</v>
      </c>
      <c r="P2416" t="s">
        <v>3241</v>
      </c>
      <c r="Q2416">
        <v>120</v>
      </c>
      <c r="R2416">
        <v>120</v>
      </c>
      <c r="S2416" t="s">
        <v>34</v>
      </c>
      <c r="T2416" t="s">
        <v>35</v>
      </c>
      <c r="W2416">
        <v>0</v>
      </c>
      <c r="X2416">
        <v>0</v>
      </c>
      <c r="Y2416">
        <v>0</v>
      </c>
      <c r="Z2416">
        <v>0</v>
      </c>
    </row>
    <row r="2417" spans="1:26" hidden="1" x14ac:dyDescent="0.25">
      <c r="A2417" t="s">
        <v>5224</v>
      </c>
      <c r="B2417" t="s">
        <v>2153</v>
      </c>
      <c r="C2417" s="4">
        <v>45369</v>
      </c>
      <c r="F2417" s="4">
        <v>46997</v>
      </c>
      <c r="G2417" t="s">
        <v>117</v>
      </c>
      <c r="H2417" t="s">
        <v>4619</v>
      </c>
      <c r="K2417" t="s">
        <v>83</v>
      </c>
      <c r="L2417" t="s">
        <v>4890</v>
      </c>
      <c r="M2417" t="s">
        <v>84</v>
      </c>
      <c r="N2417" t="s">
        <v>4891</v>
      </c>
      <c r="O2417" t="s">
        <v>32</v>
      </c>
      <c r="P2417" t="s">
        <v>1345</v>
      </c>
      <c r="Q2417">
        <v>300</v>
      </c>
      <c r="R2417">
        <v>300</v>
      </c>
      <c r="S2417" t="s">
        <v>34</v>
      </c>
      <c r="T2417" t="s">
        <v>35</v>
      </c>
      <c r="W2417">
        <v>300</v>
      </c>
      <c r="X2417">
        <v>300</v>
      </c>
      <c r="Y2417">
        <v>0</v>
      </c>
      <c r="Z2417">
        <v>0</v>
      </c>
    </row>
    <row r="2418" spans="1:26" hidden="1" x14ac:dyDescent="0.25">
      <c r="A2418" t="s">
        <v>5225</v>
      </c>
      <c r="B2418" t="s">
        <v>38</v>
      </c>
      <c r="C2418" s="4">
        <v>45380</v>
      </c>
      <c r="D2418" s="4">
        <v>46014</v>
      </c>
      <c r="F2418" s="4">
        <v>46952</v>
      </c>
      <c r="G2418" t="s">
        <v>65</v>
      </c>
      <c r="H2418" t="s">
        <v>1887</v>
      </c>
      <c r="K2418" t="s">
        <v>67</v>
      </c>
      <c r="L2418" t="s">
        <v>4890</v>
      </c>
      <c r="M2418" t="s">
        <v>68</v>
      </c>
      <c r="N2418" t="s">
        <v>4891</v>
      </c>
      <c r="O2418" t="s">
        <v>32</v>
      </c>
      <c r="P2418" t="s">
        <v>5226</v>
      </c>
      <c r="Q2418">
        <v>150</v>
      </c>
      <c r="R2418">
        <v>150</v>
      </c>
      <c r="S2418" t="s">
        <v>597</v>
      </c>
      <c r="T2418" t="s">
        <v>598</v>
      </c>
      <c r="W2418">
        <v>0</v>
      </c>
      <c r="X2418">
        <v>0</v>
      </c>
      <c r="Y2418">
        <v>0</v>
      </c>
      <c r="Z2418">
        <v>0</v>
      </c>
    </row>
    <row r="2419" spans="1:26" hidden="1" x14ac:dyDescent="0.25">
      <c r="A2419" t="s">
        <v>5227</v>
      </c>
      <c r="B2419" t="s">
        <v>38</v>
      </c>
      <c r="C2419" s="4">
        <v>45398</v>
      </c>
      <c r="D2419" s="4">
        <v>45924</v>
      </c>
      <c r="F2419" s="4">
        <v>47026</v>
      </c>
      <c r="G2419" t="s">
        <v>1679</v>
      </c>
      <c r="H2419" t="s">
        <v>4377</v>
      </c>
      <c r="K2419" t="s">
        <v>98</v>
      </c>
      <c r="L2419" t="s">
        <v>4890</v>
      </c>
      <c r="M2419" t="s">
        <v>84</v>
      </c>
      <c r="N2419" t="s">
        <v>4891</v>
      </c>
      <c r="O2419" t="s">
        <v>32</v>
      </c>
      <c r="P2419" t="s">
        <v>4378</v>
      </c>
      <c r="Q2419">
        <v>200</v>
      </c>
      <c r="R2419">
        <v>200</v>
      </c>
      <c r="S2419" t="s">
        <v>34</v>
      </c>
      <c r="T2419" t="s">
        <v>35</v>
      </c>
      <c r="W2419">
        <v>0</v>
      </c>
      <c r="X2419">
        <v>0</v>
      </c>
      <c r="Y2419">
        <v>0</v>
      </c>
      <c r="Z2419">
        <v>0</v>
      </c>
    </row>
    <row r="2420" spans="1:26" hidden="1" x14ac:dyDescent="0.25">
      <c r="A2420" t="s">
        <v>5228</v>
      </c>
      <c r="B2420" t="s">
        <v>38</v>
      </c>
      <c r="C2420" s="4">
        <v>45369</v>
      </c>
      <c r="D2420" s="4">
        <v>45862</v>
      </c>
      <c r="F2420" s="4">
        <v>46966</v>
      </c>
      <c r="G2420" t="s">
        <v>183</v>
      </c>
      <c r="H2420" t="s">
        <v>3782</v>
      </c>
      <c r="K2420" t="s">
        <v>185</v>
      </c>
      <c r="L2420" t="s">
        <v>4890</v>
      </c>
      <c r="M2420" t="s">
        <v>42</v>
      </c>
      <c r="N2420" t="s">
        <v>4891</v>
      </c>
      <c r="O2420" t="s">
        <v>32</v>
      </c>
      <c r="P2420" t="s">
        <v>5229</v>
      </c>
      <c r="Q2420">
        <v>250</v>
      </c>
      <c r="R2420">
        <v>250</v>
      </c>
      <c r="S2420" t="s">
        <v>34</v>
      </c>
      <c r="T2420" t="s">
        <v>35</v>
      </c>
      <c r="W2420">
        <v>0</v>
      </c>
      <c r="X2420">
        <v>0</v>
      </c>
      <c r="Y2420">
        <v>0</v>
      </c>
      <c r="Z2420">
        <v>0</v>
      </c>
    </row>
    <row r="2421" spans="1:26" hidden="1" x14ac:dyDescent="0.25">
      <c r="A2421" t="s">
        <v>5230</v>
      </c>
      <c r="B2421" t="s">
        <v>38</v>
      </c>
      <c r="C2421" s="4">
        <v>45372</v>
      </c>
      <c r="D2421" s="4">
        <v>46014</v>
      </c>
      <c r="F2421" s="4">
        <v>46631</v>
      </c>
      <c r="G2421" t="s">
        <v>52</v>
      </c>
      <c r="H2421" t="s">
        <v>1574</v>
      </c>
      <c r="K2421" t="s">
        <v>53</v>
      </c>
      <c r="L2421" t="s">
        <v>4890</v>
      </c>
      <c r="M2421" t="s">
        <v>54</v>
      </c>
      <c r="N2421" t="s">
        <v>4891</v>
      </c>
      <c r="O2421" t="s">
        <v>32</v>
      </c>
      <c r="P2421" t="s">
        <v>5231</v>
      </c>
      <c r="Q2421">
        <v>200</v>
      </c>
      <c r="R2421">
        <v>200</v>
      </c>
      <c r="S2421" t="s">
        <v>159</v>
      </c>
      <c r="T2421" t="s">
        <v>159</v>
      </c>
      <c r="W2421">
        <v>0</v>
      </c>
      <c r="X2421">
        <v>0</v>
      </c>
      <c r="Y2421">
        <v>0</v>
      </c>
      <c r="Z2421">
        <v>0</v>
      </c>
    </row>
    <row r="2422" spans="1:26" hidden="1" x14ac:dyDescent="0.25">
      <c r="A2422" t="s">
        <v>5232</v>
      </c>
      <c r="B2422" t="s">
        <v>2153</v>
      </c>
      <c r="C2422" s="4">
        <v>45399</v>
      </c>
      <c r="F2422" s="4">
        <v>47002</v>
      </c>
      <c r="G2422" t="s">
        <v>117</v>
      </c>
      <c r="H2422" t="s">
        <v>1768</v>
      </c>
      <c r="K2422" t="s">
        <v>83</v>
      </c>
      <c r="L2422" t="s">
        <v>4890</v>
      </c>
      <c r="M2422" t="s">
        <v>84</v>
      </c>
      <c r="N2422" t="s">
        <v>4891</v>
      </c>
      <c r="O2422" t="s">
        <v>32</v>
      </c>
      <c r="P2422" t="s">
        <v>5233</v>
      </c>
      <c r="Q2422">
        <v>300</v>
      </c>
      <c r="R2422">
        <v>300</v>
      </c>
      <c r="S2422" t="s">
        <v>159</v>
      </c>
      <c r="T2422" t="s">
        <v>159</v>
      </c>
      <c r="W2422">
        <v>300</v>
      </c>
      <c r="X2422">
        <v>300</v>
      </c>
      <c r="Y2422">
        <v>0</v>
      </c>
      <c r="Z2422">
        <v>0</v>
      </c>
    </row>
    <row r="2423" spans="1:26" hidden="1" x14ac:dyDescent="0.25">
      <c r="A2423" t="s">
        <v>5234</v>
      </c>
      <c r="B2423" t="s">
        <v>2153</v>
      </c>
      <c r="C2423" s="4">
        <v>45399</v>
      </c>
      <c r="F2423" s="4">
        <v>47011</v>
      </c>
      <c r="G2423" t="s">
        <v>132</v>
      </c>
      <c r="H2423" t="s">
        <v>1291</v>
      </c>
      <c r="K2423" t="s">
        <v>83</v>
      </c>
      <c r="L2423" t="s">
        <v>4890</v>
      </c>
      <c r="M2423" t="s">
        <v>84</v>
      </c>
      <c r="N2423" t="s">
        <v>4891</v>
      </c>
      <c r="O2423" t="s">
        <v>32</v>
      </c>
      <c r="P2423" t="s">
        <v>5235</v>
      </c>
      <c r="Q2423">
        <v>220</v>
      </c>
      <c r="R2423">
        <v>220</v>
      </c>
      <c r="S2423" t="s">
        <v>34</v>
      </c>
      <c r="T2423" t="s">
        <v>35</v>
      </c>
      <c r="W2423">
        <v>220</v>
      </c>
      <c r="X2423">
        <v>0</v>
      </c>
      <c r="Y2423">
        <v>0</v>
      </c>
      <c r="Z2423">
        <v>0</v>
      </c>
    </row>
    <row r="2424" spans="1:26" hidden="1" x14ac:dyDescent="0.25">
      <c r="A2424" t="s">
        <v>5236</v>
      </c>
      <c r="B2424" t="s">
        <v>2153</v>
      </c>
      <c r="C2424" s="4">
        <v>45369</v>
      </c>
      <c r="F2424" s="4">
        <v>46997</v>
      </c>
      <c r="G2424" t="s">
        <v>907</v>
      </c>
      <c r="H2424" t="s">
        <v>1357</v>
      </c>
      <c r="K2424" t="s">
        <v>53</v>
      </c>
      <c r="L2424" t="s">
        <v>4890</v>
      </c>
      <c r="M2424" t="s">
        <v>54</v>
      </c>
      <c r="N2424" t="s">
        <v>4891</v>
      </c>
      <c r="O2424" t="s">
        <v>32</v>
      </c>
      <c r="P2424" t="s">
        <v>5237</v>
      </c>
      <c r="Q2424">
        <v>150</v>
      </c>
      <c r="R2424">
        <v>150</v>
      </c>
      <c r="S2424" t="s">
        <v>34</v>
      </c>
      <c r="T2424" t="s">
        <v>35</v>
      </c>
      <c r="W2424">
        <v>150</v>
      </c>
      <c r="X2424">
        <v>150</v>
      </c>
      <c r="Y2424">
        <v>0</v>
      </c>
      <c r="Z2424">
        <v>0</v>
      </c>
    </row>
    <row r="2425" spans="1:26" hidden="1" x14ac:dyDescent="0.25">
      <c r="A2425" t="s">
        <v>5238</v>
      </c>
      <c r="B2425" t="s">
        <v>2153</v>
      </c>
      <c r="C2425" s="4">
        <v>45369</v>
      </c>
      <c r="F2425" s="4">
        <v>46966</v>
      </c>
      <c r="G2425" t="s">
        <v>1499</v>
      </c>
      <c r="H2425" t="s">
        <v>1623</v>
      </c>
      <c r="K2425" t="s">
        <v>62</v>
      </c>
      <c r="L2425" t="s">
        <v>4890</v>
      </c>
      <c r="M2425" t="s">
        <v>42</v>
      </c>
      <c r="N2425" t="s">
        <v>4891</v>
      </c>
      <c r="O2425" t="s">
        <v>32</v>
      </c>
      <c r="P2425" t="s">
        <v>2445</v>
      </c>
      <c r="Q2425">
        <v>200</v>
      </c>
      <c r="R2425">
        <v>200</v>
      </c>
      <c r="S2425" t="s">
        <v>56</v>
      </c>
      <c r="T2425" t="s">
        <v>57</v>
      </c>
      <c r="W2425">
        <v>200</v>
      </c>
      <c r="X2425">
        <v>200</v>
      </c>
      <c r="Y2425">
        <v>0</v>
      </c>
      <c r="Z2425">
        <v>0</v>
      </c>
    </row>
    <row r="2426" spans="1:26" hidden="1" x14ac:dyDescent="0.25">
      <c r="A2426" t="s">
        <v>5239</v>
      </c>
      <c r="B2426" t="s">
        <v>2153</v>
      </c>
      <c r="C2426" s="4">
        <v>45397</v>
      </c>
      <c r="F2426" s="4">
        <v>46934</v>
      </c>
      <c r="G2426" t="s">
        <v>907</v>
      </c>
      <c r="H2426" t="s">
        <v>1357</v>
      </c>
      <c r="K2426" t="s">
        <v>53</v>
      </c>
      <c r="L2426" t="s">
        <v>4890</v>
      </c>
      <c r="M2426" t="s">
        <v>54</v>
      </c>
      <c r="N2426" t="s">
        <v>4891</v>
      </c>
      <c r="O2426" t="s">
        <v>32</v>
      </c>
      <c r="P2426" t="s">
        <v>5237</v>
      </c>
      <c r="Q2426">
        <v>100</v>
      </c>
      <c r="R2426">
        <v>100</v>
      </c>
      <c r="S2426" t="s">
        <v>159</v>
      </c>
      <c r="T2426" t="s">
        <v>159</v>
      </c>
      <c r="W2426">
        <v>100</v>
      </c>
      <c r="X2426">
        <v>100</v>
      </c>
      <c r="Y2426">
        <v>0</v>
      </c>
      <c r="Z2426">
        <v>0</v>
      </c>
    </row>
    <row r="2427" spans="1:26" hidden="1" x14ac:dyDescent="0.25">
      <c r="A2427" t="s">
        <v>5240</v>
      </c>
      <c r="B2427" t="s">
        <v>38</v>
      </c>
      <c r="C2427" s="4">
        <v>45377</v>
      </c>
      <c r="D2427" s="4">
        <v>45930</v>
      </c>
      <c r="F2427" s="4">
        <v>46934</v>
      </c>
      <c r="G2427" t="s">
        <v>65</v>
      </c>
      <c r="H2427" t="s">
        <v>1470</v>
      </c>
      <c r="K2427" t="s">
        <v>67</v>
      </c>
      <c r="L2427" t="s">
        <v>4890</v>
      </c>
      <c r="M2427" t="s">
        <v>68</v>
      </c>
      <c r="N2427" t="s">
        <v>4891</v>
      </c>
      <c r="O2427" t="s">
        <v>32</v>
      </c>
      <c r="P2427" t="s">
        <v>3923</v>
      </c>
      <c r="Q2427">
        <v>145</v>
      </c>
      <c r="R2427">
        <v>145</v>
      </c>
      <c r="S2427" t="s">
        <v>34</v>
      </c>
      <c r="T2427" t="s">
        <v>35</v>
      </c>
      <c r="W2427">
        <v>0</v>
      </c>
      <c r="X2427">
        <v>0</v>
      </c>
      <c r="Y2427">
        <v>0</v>
      </c>
      <c r="Z2427">
        <v>0</v>
      </c>
    </row>
    <row r="2428" spans="1:26" hidden="1" x14ac:dyDescent="0.25">
      <c r="A2428" t="s">
        <v>5241</v>
      </c>
      <c r="B2428" t="s">
        <v>38</v>
      </c>
      <c r="C2428" s="4">
        <v>45428</v>
      </c>
      <c r="D2428" s="4">
        <v>45930</v>
      </c>
      <c r="F2428" s="4">
        <v>47000</v>
      </c>
      <c r="G2428" t="s">
        <v>65</v>
      </c>
      <c r="H2428" t="s">
        <v>1437</v>
      </c>
      <c r="K2428" t="s">
        <v>67</v>
      </c>
      <c r="L2428" t="s">
        <v>4890</v>
      </c>
      <c r="M2428" t="s">
        <v>68</v>
      </c>
      <c r="N2428" t="s">
        <v>4891</v>
      </c>
      <c r="O2428" t="s">
        <v>32</v>
      </c>
      <c r="P2428" t="s">
        <v>5242</v>
      </c>
      <c r="Q2428">
        <v>200</v>
      </c>
      <c r="R2428">
        <v>200</v>
      </c>
      <c r="S2428" t="s">
        <v>34</v>
      </c>
      <c r="T2428" t="s">
        <v>35</v>
      </c>
      <c r="W2428">
        <v>0</v>
      </c>
      <c r="X2428">
        <v>0</v>
      </c>
      <c r="Y2428">
        <v>0</v>
      </c>
      <c r="Z2428">
        <v>0</v>
      </c>
    </row>
    <row r="2429" spans="1:26" hidden="1" x14ac:dyDescent="0.25">
      <c r="A2429" t="s">
        <v>5243</v>
      </c>
      <c r="B2429" t="s">
        <v>38</v>
      </c>
      <c r="C2429" s="4">
        <v>45398</v>
      </c>
      <c r="D2429" s="4">
        <v>46014</v>
      </c>
      <c r="F2429" s="4">
        <v>47026</v>
      </c>
      <c r="G2429" t="s">
        <v>1679</v>
      </c>
      <c r="H2429" t="s">
        <v>4377</v>
      </c>
      <c r="K2429" t="s">
        <v>98</v>
      </c>
      <c r="L2429" t="s">
        <v>4890</v>
      </c>
      <c r="M2429" t="s">
        <v>84</v>
      </c>
      <c r="N2429" t="s">
        <v>4891</v>
      </c>
      <c r="O2429" t="s">
        <v>32</v>
      </c>
      <c r="P2429" t="s">
        <v>4378</v>
      </c>
      <c r="Q2429">
        <v>300</v>
      </c>
      <c r="R2429">
        <v>300</v>
      </c>
      <c r="S2429" t="s">
        <v>159</v>
      </c>
      <c r="T2429" t="s">
        <v>159</v>
      </c>
      <c r="W2429">
        <v>0</v>
      </c>
      <c r="X2429">
        <v>0</v>
      </c>
      <c r="Y2429">
        <v>0</v>
      </c>
      <c r="Z2429">
        <v>0</v>
      </c>
    </row>
    <row r="2430" spans="1:26" hidden="1" x14ac:dyDescent="0.25">
      <c r="A2430" t="s">
        <v>5244</v>
      </c>
      <c r="B2430" t="s">
        <v>38</v>
      </c>
      <c r="C2430" s="4">
        <v>45392</v>
      </c>
      <c r="D2430" s="4">
        <v>45929</v>
      </c>
      <c r="F2430" s="4">
        <v>46539</v>
      </c>
      <c r="G2430" t="s">
        <v>2944</v>
      </c>
      <c r="H2430" t="s">
        <v>2366</v>
      </c>
      <c r="K2430" t="s">
        <v>151</v>
      </c>
      <c r="L2430" t="s">
        <v>4890</v>
      </c>
      <c r="M2430" t="s">
        <v>68</v>
      </c>
      <c r="N2430" t="s">
        <v>4891</v>
      </c>
      <c r="O2430" t="s">
        <v>122</v>
      </c>
      <c r="P2430" t="s">
        <v>5245</v>
      </c>
      <c r="Q2430">
        <v>59.2</v>
      </c>
      <c r="R2430">
        <v>59.2</v>
      </c>
      <c r="S2430" t="s">
        <v>34</v>
      </c>
      <c r="T2430" t="s">
        <v>35</v>
      </c>
      <c r="W2430">
        <v>0</v>
      </c>
      <c r="X2430">
        <v>0</v>
      </c>
      <c r="Y2430">
        <v>0</v>
      </c>
      <c r="Z2430">
        <v>0</v>
      </c>
    </row>
    <row r="2431" spans="1:26" hidden="1" x14ac:dyDescent="0.25">
      <c r="A2431" t="s">
        <v>5246</v>
      </c>
      <c r="B2431" t="s">
        <v>38</v>
      </c>
      <c r="C2431" s="4">
        <v>45370</v>
      </c>
      <c r="D2431" s="4">
        <v>45839</v>
      </c>
      <c r="F2431" s="4">
        <v>46997</v>
      </c>
      <c r="G2431" t="s">
        <v>65</v>
      </c>
      <c r="H2431" t="s">
        <v>2764</v>
      </c>
      <c r="K2431" t="s">
        <v>67</v>
      </c>
      <c r="L2431" t="s">
        <v>4890</v>
      </c>
      <c r="M2431" t="s">
        <v>68</v>
      </c>
      <c r="N2431" t="s">
        <v>4891</v>
      </c>
      <c r="O2431" t="s">
        <v>32</v>
      </c>
      <c r="P2431" t="s">
        <v>5247</v>
      </c>
      <c r="Q2431">
        <v>500</v>
      </c>
      <c r="R2431">
        <v>500</v>
      </c>
      <c r="S2431" t="s">
        <v>34</v>
      </c>
      <c r="T2431" t="s">
        <v>35</v>
      </c>
      <c r="W2431">
        <v>0</v>
      </c>
      <c r="X2431">
        <v>0</v>
      </c>
      <c r="Y2431">
        <v>0</v>
      </c>
      <c r="Z2431">
        <v>0</v>
      </c>
    </row>
    <row r="2432" spans="1:26" hidden="1" x14ac:dyDescent="0.25">
      <c r="A2432" t="s">
        <v>5248</v>
      </c>
      <c r="B2432" t="s">
        <v>38</v>
      </c>
      <c r="C2432" s="4">
        <v>45377</v>
      </c>
      <c r="D2432" s="4">
        <v>46014</v>
      </c>
      <c r="F2432" s="4">
        <v>46934</v>
      </c>
      <c r="G2432" t="s">
        <v>65</v>
      </c>
      <c r="H2432" t="s">
        <v>1327</v>
      </c>
      <c r="K2432" t="s">
        <v>67</v>
      </c>
      <c r="L2432" t="s">
        <v>4890</v>
      </c>
      <c r="M2432" t="s">
        <v>68</v>
      </c>
      <c r="N2432" t="s">
        <v>4891</v>
      </c>
      <c r="O2432" t="s">
        <v>32</v>
      </c>
      <c r="P2432" t="s">
        <v>5249</v>
      </c>
      <c r="Q2432">
        <v>500</v>
      </c>
      <c r="R2432">
        <v>500</v>
      </c>
      <c r="S2432" t="s">
        <v>34</v>
      </c>
      <c r="T2432" t="s">
        <v>35</v>
      </c>
      <c r="W2432">
        <v>0</v>
      </c>
      <c r="X2432">
        <v>0</v>
      </c>
      <c r="Y2432">
        <v>0</v>
      </c>
      <c r="Z2432">
        <v>0</v>
      </c>
    </row>
    <row r="2433" spans="1:26" hidden="1" x14ac:dyDescent="0.25">
      <c r="A2433" t="s">
        <v>5250</v>
      </c>
      <c r="B2433" t="s">
        <v>2153</v>
      </c>
      <c r="C2433" s="4">
        <v>45369</v>
      </c>
      <c r="F2433" s="4">
        <v>46966</v>
      </c>
      <c r="G2433" t="s">
        <v>1499</v>
      </c>
      <c r="H2433" t="s">
        <v>1623</v>
      </c>
      <c r="K2433" t="s">
        <v>62</v>
      </c>
      <c r="L2433" t="s">
        <v>4890</v>
      </c>
      <c r="M2433" t="s">
        <v>42</v>
      </c>
      <c r="N2433" t="s">
        <v>4891</v>
      </c>
      <c r="O2433" t="s">
        <v>32</v>
      </c>
      <c r="P2433" t="s">
        <v>2445</v>
      </c>
      <c r="Q2433">
        <v>200</v>
      </c>
      <c r="R2433">
        <v>200</v>
      </c>
      <c r="S2433" t="s">
        <v>56</v>
      </c>
      <c r="T2433" t="s">
        <v>57</v>
      </c>
      <c r="W2433">
        <v>200</v>
      </c>
      <c r="X2433">
        <v>200</v>
      </c>
      <c r="Y2433">
        <v>0</v>
      </c>
      <c r="Z2433">
        <v>0</v>
      </c>
    </row>
    <row r="2434" spans="1:26" hidden="1" x14ac:dyDescent="0.25">
      <c r="A2434" t="s">
        <v>5251</v>
      </c>
      <c r="B2434" t="s">
        <v>38</v>
      </c>
      <c r="C2434" s="4">
        <v>45400</v>
      </c>
      <c r="D2434" s="4">
        <v>46014</v>
      </c>
      <c r="F2434" s="4">
        <v>46904</v>
      </c>
      <c r="G2434" t="s">
        <v>65</v>
      </c>
      <c r="H2434" t="s">
        <v>4636</v>
      </c>
      <c r="K2434" t="s">
        <v>109</v>
      </c>
      <c r="L2434" t="s">
        <v>4890</v>
      </c>
      <c r="M2434" t="s">
        <v>68</v>
      </c>
      <c r="N2434" t="s">
        <v>4891</v>
      </c>
      <c r="O2434" t="s">
        <v>32</v>
      </c>
      <c r="P2434" t="s">
        <v>5252</v>
      </c>
      <c r="Q2434">
        <v>160</v>
      </c>
      <c r="R2434">
        <v>160</v>
      </c>
      <c r="S2434" t="s">
        <v>34</v>
      </c>
      <c r="T2434" t="s">
        <v>35</v>
      </c>
      <c r="W2434">
        <v>0</v>
      </c>
      <c r="X2434">
        <v>0</v>
      </c>
      <c r="Y2434">
        <v>0</v>
      </c>
      <c r="Z2434">
        <v>0</v>
      </c>
    </row>
    <row r="2435" spans="1:26" hidden="1" x14ac:dyDescent="0.25">
      <c r="A2435" t="s">
        <v>5253</v>
      </c>
      <c r="B2435" t="s">
        <v>38</v>
      </c>
      <c r="C2435" s="4">
        <v>45398</v>
      </c>
      <c r="D2435" s="4">
        <v>46014</v>
      </c>
      <c r="F2435" s="4">
        <v>47026</v>
      </c>
      <c r="G2435" t="s">
        <v>117</v>
      </c>
      <c r="H2435" t="s">
        <v>1470</v>
      </c>
      <c r="K2435" t="s">
        <v>83</v>
      </c>
      <c r="L2435" t="s">
        <v>4890</v>
      </c>
      <c r="M2435" t="s">
        <v>84</v>
      </c>
      <c r="N2435" t="s">
        <v>4891</v>
      </c>
      <c r="O2435" t="s">
        <v>32</v>
      </c>
      <c r="P2435" t="s">
        <v>5254</v>
      </c>
      <c r="Q2435">
        <v>150</v>
      </c>
      <c r="R2435">
        <v>150</v>
      </c>
      <c r="S2435" t="s">
        <v>34</v>
      </c>
      <c r="T2435" t="s">
        <v>35</v>
      </c>
      <c r="W2435">
        <v>0</v>
      </c>
      <c r="X2435">
        <v>0</v>
      </c>
      <c r="Y2435">
        <v>0</v>
      </c>
      <c r="Z2435">
        <v>0</v>
      </c>
    </row>
    <row r="2436" spans="1:26" hidden="1" x14ac:dyDescent="0.25">
      <c r="A2436" t="s">
        <v>5255</v>
      </c>
      <c r="B2436" t="s">
        <v>38</v>
      </c>
      <c r="C2436" s="4">
        <v>45370</v>
      </c>
      <c r="D2436" s="4">
        <v>45894</v>
      </c>
      <c r="F2436" s="4">
        <v>46997</v>
      </c>
      <c r="G2436" t="s">
        <v>1311</v>
      </c>
      <c r="H2436" t="s">
        <v>3909</v>
      </c>
      <c r="K2436" t="s">
        <v>114</v>
      </c>
      <c r="L2436" t="s">
        <v>4890</v>
      </c>
      <c r="M2436" t="s">
        <v>68</v>
      </c>
      <c r="N2436" t="s">
        <v>4891</v>
      </c>
      <c r="O2436" t="s">
        <v>32</v>
      </c>
      <c r="P2436" t="s">
        <v>4940</v>
      </c>
      <c r="Q2436">
        <v>300</v>
      </c>
      <c r="R2436">
        <v>300</v>
      </c>
      <c r="S2436" t="s">
        <v>34</v>
      </c>
      <c r="T2436" t="s">
        <v>35</v>
      </c>
      <c r="W2436">
        <v>0</v>
      </c>
      <c r="X2436">
        <v>0</v>
      </c>
      <c r="Y2436">
        <v>0</v>
      </c>
      <c r="Z2436">
        <v>0</v>
      </c>
    </row>
    <row r="2437" spans="1:26" hidden="1" x14ac:dyDescent="0.25">
      <c r="A2437" t="s">
        <v>5256</v>
      </c>
      <c r="B2437" t="s">
        <v>38</v>
      </c>
      <c r="C2437" s="4">
        <v>45398</v>
      </c>
      <c r="D2437" s="4">
        <v>46014</v>
      </c>
      <c r="F2437" s="4">
        <v>47026</v>
      </c>
      <c r="G2437" t="s">
        <v>117</v>
      </c>
      <c r="H2437" t="s">
        <v>1470</v>
      </c>
      <c r="K2437" t="s">
        <v>83</v>
      </c>
      <c r="L2437" t="s">
        <v>4890</v>
      </c>
      <c r="M2437" t="s">
        <v>84</v>
      </c>
      <c r="N2437" t="s">
        <v>4891</v>
      </c>
      <c r="O2437" t="s">
        <v>32</v>
      </c>
      <c r="P2437" t="s">
        <v>5254</v>
      </c>
      <c r="Q2437">
        <v>150</v>
      </c>
      <c r="R2437">
        <v>150</v>
      </c>
      <c r="S2437" t="s">
        <v>159</v>
      </c>
      <c r="T2437" t="s">
        <v>159</v>
      </c>
      <c r="W2437">
        <v>0</v>
      </c>
      <c r="X2437">
        <v>0</v>
      </c>
      <c r="Y2437">
        <v>0</v>
      </c>
      <c r="Z2437">
        <v>0</v>
      </c>
    </row>
    <row r="2438" spans="1:26" hidden="1" x14ac:dyDescent="0.25">
      <c r="A2438" t="s">
        <v>5257</v>
      </c>
      <c r="B2438" t="s">
        <v>38</v>
      </c>
      <c r="C2438" s="4">
        <v>45398</v>
      </c>
      <c r="D2438" s="4">
        <v>45924</v>
      </c>
      <c r="F2438" s="4">
        <v>47026</v>
      </c>
      <c r="G2438" t="s">
        <v>871</v>
      </c>
      <c r="H2438" t="s">
        <v>2072</v>
      </c>
      <c r="K2438" t="s">
        <v>28</v>
      </c>
      <c r="L2438" t="s">
        <v>4890</v>
      </c>
      <c r="M2438" t="s">
        <v>42</v>
      </c>
      <c r="N2438" t="s">
        <v>4891</v>
      </c>
      <c r="O2438" t="s">
        <v>32</v>
      </c>
      <c r="P2438" t="s">
        <v>5258</v>
      </c>
      <c r="Q2438">
        <v>115</v>
      </c>
      <c r="R2438">
        <v>115</v>
      </c>
      <c r="S2438" t="s">
        <v>34</v>
      </c>
      <c r="T2438" t="s">
        <v>35</v>
      </c>
      <c r="W2438">
        <v>0</v>
      </c>
      <c r="X2438">
        <v>0</v>
      </c>
      <c r="Y2438">
        <v>0</v>
      </c>
      <c r="Z2438">
        <v>0</v>
      </c>
    </row>
    <row r="2439" spans="1:26" hidden="1" x14ac:dyDescent="0.25">
      <c r="A2439" t="s">
        <v>5259</v>
      </c>
      <c r="B2439" t="s">
        <v>2153</v>
      </c>
      <c r="C2439" s="4">
        <v>45369</v>
      </c>
      <c r="F2439" s="4">
        <v>46997</v>
      </c>
      <c r="G2439" t="s">
        <v>3031</v>
      </c>
      <c r="H2439" t="s">
        <v>5260</v>
      </c>
      <c r="K2439" t="s">
        <v>41</v>
      </c>
      <c r="L2439" t="s">
        <v>4890</v>
      </c>
      <c r="M2439" t="s">
        <v>42</v>
      </c>
      <c r="N2439" t="s">
        <v>4891</v>
      </c>
      <c r="O2439" t="s">
        <v>32</v>
      </c>
      <c r="P2439" t="s">
        <v>5261</v>
      </c>
      <c r="Q2439">
        <v>200</v>
      </c>
      <c r="R2439">
        <v>200</v>
      </c>
      <c r="S2439" t="s">
        <v>34</v>
      </c>
      <c r="T2439" t="s">
        <v>35</v>
      </c>
      <c r="W2439">
        <v>200</v>
      </c>
      <c r="X2439">
        <v>200</v>
      </c>
      <c r="Y2439">
        <v>0</v>
      </c>
      <c r="Z2439">
        <v>0</v>
      </c>
    </row>
    <row r="2440" spans="1:26" hidden="1" x14ac:dyDescent="0.25">
      <c r="A2440" t="s">
        <v>5262</v>
      </c>
      <c r="B2440" t="s">
        <v>38</v>
      </c>
      <c r="C2440" s="4">
        <v>45400</v>
      </c>
      <c r="D2440" s="4">
        <v>45929</v>
      </c>
      <c r="F2440" s="4">
        <v>46844</v>
      </c>
      <c r="G2440" t="s">
        <v>65</v>
      </c>
      <c r="H2440" t="s">
        <v>2482</v>
      </c>
      <c r="K2440" t="s">
        <v>67</v>
      </c>
      <c r="L2440" t="s">
        <v>4890</v>
      </c>
      <c r="M2440" t="s">
        <v>68</v>
      </c>
      <c r="N2440" t="s">
        <v>4891</v>
      </c>
      <c r="O2440" t="s">
        <v>32</v>
      </c>
      <c r="P2440" t="s">
        <v>2488</v>
      </c>
      <c r="Q2440">
        <v>210</v>
      </c>
      <c r="R2440">
        <v>210</v>
      </c>
      <c r="S2440" t="s">
        <v>34</v>
      </c>
      <c r="T2440" t="s">
        <v>35</v>
      </c>
      <c r="W2440">
        <v>0</v>
      </c>
      <c r="X2440">
        <v>0</v>
      </c>
      <c r="Y2440">
        <v>0</v>
      </c>
      <c r="Z2440">
        <v>0</v>
      </c>
    </row>
    <row r="2441" spans="1:26" hidden="1" x14ac:dyDescent="0.25">
      <c r="A2441" t="s">
        <v>5263</v>
      </c>
      <c r="B2441" t="s">
        <v>2153</v>
      </c>
      <c r="C2441" s="4">
        <v>45399</v>
      </c>
      <c r="F2441" s="4">
        <v>47026</v>
      </c>
      <c r="G2441" t="s">
        <v>132</v>
      </c>
      <c r="H2441" t="s">
        <v>2499</v>
      </c>
      <c r="K2441" t="s">
        <v>109</v>
      </c>
      <c r="L2441" t="s">
        <v>4890</v>
      </c>
      <c r="M2441" t="s">
        <v>84</v>
      </c>
      <c r="N2441" t="s">
        <v>4891</v>
      </c>
      <c r="O2441" t="s">
        <v>32</v>
      </c>
      <c r="P2441" t="s">
        <v>1345</v>
      </c>
      <c r="Q2441">
        <v>200</v>
      </c>
      <c r="R2441">
        <v>200</v>
      </c>
      <c r="S2441" t="s">
        <v>34</v>
      </c>
      <c r="T2441" t="s">
        <v>35</v>
      </c>
      <c r="W2441">
        <v>200</v>
      </c>
      <c r="X2441">
        <v>200</v>
      </c>
      <c r="Y2441">
        <v>0</v>
      </c>
      <c r="Z2441">
        <v>0</v>
      </c>
    </row>
    <row r="2442" spans="1:26" hidden="1" x14ac:dyDescent="0.25">
      <c r="A2442" t="s">
        <v>5264</v>
      </c>
      <c r="B2442" t="s">
        <v>38</v>
      </c>
      <c r="C2442" s="4">
        <v>45418</v>
      </c>
      <c r="D2442" s="4">
        <v>46014</v>
      </c>
      <c r="F2442" s="4">
        <v>46660</v>
      </c>
      <c r="G2442" t="s">
        <v>52</v>
      </c>
      <c r="H2442" t="s">
        <v>3920</v>
      </c>
      <c r="K2442" t="s">
        <v>53</v>
      </c>
      <c r="L2442" t="s">
        <v>4890</v>
      </c>
      <c r="M2442" t="s">
        <v>54</v>
      </c>
      <c r="N2442" t="s">
        <v>4891</v>
      </c>
      <c r="O2442" t="s">
        <v>32</v>
      </c>
      <c r="P2442" t="s">
        <v>5265</v>
      </c>
      <c r="Q2442">
        <v>160</v>
      </c>
      <c r="R2442">
        <v>160</v>
      </c>
      <c r="S2442" t="s">
        <v>597</v>
      </c>
      <c r="T2442" t="s">
        <v>1077</v>
      </c>
      <c r="W2442">
        <v>0</v>
      </c>
      <c r="X2442">
        <v>0</v>
      </c>
      <c r="Y2442">
        <v>0</v>
      </c>
      <c r="Z2442">
        <v>0</v>
      </c>
    </row>
    <row r="2443" spans="1:26" hidden="1" x14ac:dyDescent="0.25">
      <c r="A2443" t="s">
        <v>5266</v>
      </c>
      <c r="B2443" t="s">
        <v>2338</v>
      </c>
      <c r="C2443" s="4">
        <v>45377</v>
      </c>
      <c r="F2443" s="4">
        <v>46934</v>
      </c>
      <c r="G2443" t="s">
        <v>52</v>
      </c>
      <c r="H2443" t="s">
        <v>2351</v>
      </c>
      <c r="K2443" t="s">
        <v>53</v>
      </c>
      <c r="L2443" t="s">
        <v>4890</v>
      </c>
      <c r="M2443" t="s">
        <v>54</v>
      </c>
      <c r="N2443" t="s">
        <v>4891</v>
      </c>
      <c r="O2443" t="s">
        <v>32</v>
      </c>
      <c r="P2443" t="s">
        <v>2595</v>
      </c>
      <c r="Q2443">
        <v>250</v>
      </c>
      <c r="R2443">
        <v>250</v>
      </c>
      <c r="S2443" t="s">
        <v>159</v>
      </c>
      <c r="T2443" t="s">
        <v>159</v>
      </c>
      <c r="W2443">
        <v>250</v>
      </c>
      <c r="X2443">
        <v>250</v>
      </c>
      <c r="Y2443">
        <v>0</v>
      </c>
      <c r="Z2443">
        <v>0</v>
      </c>
    </row>
    <row r="2444" spans="1:26" hidden="1" x14ac:dyDescent="0.25">
      <c r="A2444" t="s">
        <v>5267</v>
      </c>
      <c r="B2444" t="s">
        <v>2153</v>
      </c>
      <c r="C2444" s="4">
        <v>45393</v>
      </c>
      <c r="F2444" s="4">
        <v>46326</v>
      </c>
      <c r="G2444" t="s">
        <v>173</v>
      </c>
      <c r="H2444" t="s">
        <v>1375</v>
      </c>
      <c r="K2444" t="s">
        <v>41</v>
      </c>
      <c r="L2444" t="s">
        <v>4890</v>
      </c>
      <c r="M2444" t="s">
        <v>42</v>
      </c>
      <c r="N2444" t="s">
        <v>4891</v>
      </c>
      <c r="O2444" t="s">
        <v>32</v>
      </c>
      <c r="P2444" t="s">
        <v>5268</v>
      </c>
      <c r="Q2444">
        <v>72</v>
      </c>
      <c r="R2444">
        <v>72</v>
      </c>
      <c r="S2444" t="s">
        <v>34</v>
      </c>
      <c r="T2444" t="s">
        <v>35</v>
      </c>
      <c r="W2444">
        <v>72</v>
      </c>
      <c r="X2444">
        <v>72</v>
      </c>
      <c r="Y2444">
        <v>0</v>
      </c>
      <c r="Z2444">
        <v>0</v>
      </c>
    </row>
    <row r="2445" spans="1:26" hidden="1" x14ac:dyDescent="0.25">
      <c r="A2445" t="s">
        <v>5269</v>
      </c>
      <c r="B2445" t="s">
        <v>2153</v>
      </c>
      <c r="C2445" s="4">
        <v>45399</v>
      </c>
      <c r="F2445" s="4">
        <v>47026</v>
      </c>
      <c r="G2445" t="s">
        <v>132</v>
      </c>
      <c r="H2445" t="s">
        <v>2499</v>
      </c>
      <c r="K2445" t="s">
        <v>109</v>
      </c>
      <c r="L2445" t="s">
        <v>4890</v>
      </c>
      <c r="M2445" t="s">
        <v>84</v>
      </c>
      <c r="N2445" t="s">
        <v>4891</v>
      </c>
      <c r="O2445" t="s">
        <v>32</v>
      </c>
      <c r="P2445" t="s">
        <v>1345</v>
      </c>
      <c r="Q2445">
        <v>200</v>
      </c>
      <c r="R2445">
        <v>200</v>
      </c>
      <c r="S2445" t="s">
        <v>159</v>
      </c>
      <c r="T2445" t="s">
        <v>159</v>
      </c>
      <c r="W2445">
        <v>200</v>
      </c>
      <c r="X2445">
        <v>200</v>
      </c>
      <c r="Y2445">
        <v>0</v>
      </c>
      <c r="Z2445">
        <v>0</v>
      </c>
    </row>
    <row r="2446" spans="1:26" hidden="1" x14ac:dyDescent="0.25">
      <c r="A2446" t="s">
        <v>5270</v>
      </c>
      <c r="B2446" t="s">
        <v>38</v>
      </c>
      <c r="C2446" s="4">
        <v>45378</v>
      </c>
      <c r="D2446" s="4">
        <v>45930</v>
      </c>
      <c r="F2446" s="4">
        <v>46934</v>
      </c>
      <c r="G2446" t="s">
        <v>149</v>
      </c>
      <c r="H2446" t="s">
        <v>5271</v>
      </c>
      <c r="K2446" t="s">
        <v>151</v>
      </c>
      <c r="L2446" t="s">
        <v>4890</v>
      </c>
      <c r="M2446" t="s">
        <v>68</v>
      </c>
      <c r="N2446" t="s">
        <v>4891</v>
      </c>
      <c r="O2446" t="s">
        <v>32</v>
      </c>
      <c r="P2446" t="s">
        <v>5272</v>
      </c>
      <c r="Q2446">
        <v>500</v>
      </c>
      <c r="R2446">
        <v>500</v>
      </c>
      <c r="S2446" t="s">
        <v>34</v>
      </c>
      <c r="T2446" t="s">
        <v>35</v>
      </c>
      <c r="W2446">
        <v>0</v>
      </c>
      <c r="X2446">
        <v>0</v>
      </c>
      <c r="Y2446">
        <v>0</v>
      </c>
      <c r="Z2446">
        <v>0</v>
      </c>
    </row>
    <row r="2447" spans="1:26" hidden="1" x14ac:dyDescent="0.25">
      <c r="A2447" t="s">
        <v>5273</v>
      </c>
      <c r="B2447" t="s">
        <v>2153</v>
      </c>
      <c r="C2447" s="4">
        <v>45398</v>
      </c>
      <c r="F2447" s="4">
        <v>47026</v>
      </c>
      <c r="G2447" t="s">
        <v>1251</v>
      </c>
      <c r="H2447" t="s">
        <v>2878</v>
      </c>
      <c r="K2447" t="s">
        <v>109</v>
      </c>
      <c r="L2447" t="s">
        <v>4890</v>
      </c>
      <c r="M2447" t="s">
        <v>84</v>
      </c>
      <c r="N2447" t="s">
        <v>4891</v>
      </c>
      <c r="O2447" t="s">
        <v>32</v>
      </c>
      <c r="P2447" t="s">
        <v>5274</v>
      </c>
      <c r="Q2447">
        <v>156</v>
      </c>
      <c r="R2447">
        <v>156</v>
      </c>
      <c r="S2447" t="s">
        <v>34</v>
      </c>
      <c r="T2447" t="s">
        <v>35</v>
      </c>
      <c r="W2447">
        <v>156</v>
      </c>
      <c r="X2447">
        <v>156</v>
      </c>
      <c r="Y2447">
        <v>0</v>
      </c>
      <c r="Z2447">
        <v>0</v>
      </c>
    </row>
    <row r="2448" spans="1:26" hidden="1" x14ac:dyDescent="0.25">
      <c r="A2448" t="s">
        <v>5275</v>
      </c>
      <c r="B2448" t="s">
        <v>2153</v>
      </c>
      <c r="C2448" s="4">
        <v>45394</v>
      </c>
      <c r="F2448" s="4">
        <v>46905</v>
      </c>
      <c r="G2448" t="s">
        <v>1499</v>
      </c>
      <c r="H2448" t="s">
        <v>5175</v>
      </c>
      <c r="K2448" t="s">
        <v>41</v>
      </c>
      <c r="L2448" t="s">
        <v>4890</v>
      </c>
      <c r="M2448" t="s">
        <v>42</v>
      </c>
      <c r="N2448" t="s">
        <v>4891</v>
      </c>
      <c r="O2448" t="s">
        <v>32</v>
      </c>
      <c r="P2448" t="s">
        <v>5276</v>
      </c>
      <c r="Q2448">
        <v>250</v>
      </c>
      <c r="R2448">
        <v>250</v>
      </c>
      <c r="S2448" t="s">
        <v>597</v>
      </c>
      <c r="T2448" t="s">
        <v>2552</v>
      </c>
      <c r="W2448">
        <v>250</v>
      </c>
      <c r="X2448">
        <v>250</v>
      </c>
      <c r="Y2448">
        <v>0</v>
      </c>
      <c r="Z2448">
        <v>0</v>
      </c>
    </row>
    <row r="2449" spans="1:26" hidden="1" x14ac:dyDescent="0.25">
      <c r="A2449" t="s">
        <v>5277</v>
      </c>
      <c r="B2449" t="s">
        <v>38</v>
      </c>
      <c r="C2449" s="4">
        <v>45377</v>
      </c>
      <c r="D2449" s="4">
        <v>45930</v>
      </c>
      <c r="F2449" s="4">
        <v>46934</v>
      </c>
      <c r="G2449" t="s">
        <v>65</v>
      </c>
      <c r="H2449" t="s">
        <v>1279</v>
      </c>
      <c r="K2449" t="s">
        <v>67</v>
      </c>
      <c r="L2449" t="s">
        <v>4890</v>
      </c>
      <c r="M2449" t="s">
        <v>68</v>
      </c>
      <c r="N2449" t="s">
        <v>4891</v>
      </c>
      <c r="O2449" t="s">
        <v>32</v>
      </c>
      <c r="P2449" t="s">
        <v>5278</v>
      </c>
      <c r="Q2449">
        <v>125</v>
      </c>
      <c r="R2449">
        <v>125</v>
      </c>
      <c r="S2449" t="s">
        <v>34</v>
      </c>
      <c r="T2449" t="s">
        <v>35</v>
      </c>
      <c r="W2449">
        <v>0</v>
      </c>
      <c r="X2449">
        <v>0</v>
      </c>
      <c r="Y2449">
        <v>0</v>
      </c>
      <c r="Z2449">
        <v>0</v>
      </c>
    </row>
    <row r="2450" spans="1:26" hidden="1" x14ac:dyDescent="0.25">
      <c r="A2450" t="s">
        <v>5279</v>
      </c>
      <c r="B2450" t="s">
        <v>38</v>
      </c>
      <c r="C2450" s="4">
        <v>45393</v>
      </c>
      <c r="D2450" s="4">
        <v>45924</v>
      </c>
      <c r="F2450" s="4">
        <v>46966</v>
      </c>
      <c r="G2450" t="s">
        <v>5280</v>
      </c>
      <c r="H2450" t="s">
        <v>1275</v>
      </c>
      <c r="K2450" t="s">
        <v>41</v>
      </c>
      <c r="L2450" t="s">
        <v>4890</v>
      </c>
      <c r="M2450" t="s">
        <v>42</v>
      </c>
      <c r="N2450" t="s">
        <v>4891</v>
      </c>
      <c r="O2450" t="s">
        <v>32</v>
      </c>
      <c r="P2450" t="s">
        <v>5281</v>
      </c>
      <c r="Q2450">
        <v>45</v>
      </c>
      <c r="R2450">
        <v>49</v>
      </c>
      <c r="S2450" t="s">
        <v>389</v>
      </c>
      <c r="T2450" t="s">
        <v>584</v>
      </c>
      <c r="W2450">
        <v>0</v>
      </c>
      <c r="X2450">
        <v>0</v>
      </c>
      <c r="Y2450">
        <v>0</v>
      </c>
      <c r="Z2450">
        <v>0</v>
      </c>
    </row>
    <row r="2451" spans="1:26" hidden="1" x14ac:dyDescent="0.25">
      <c r="A2451" t="s">
        <v>5282</v>
      </c>
      <c r="B2451" t="s">
        <v>38</v>
      </c>
      <c r="C2451" s="4">
        <v>45386</v>
      </c>
      <c r="D2451" s="4">
        <v>45912</v>
      </c>
      <c r="F2451" s="4">
        <v>46934</v>
      </c>
      <c r="G2451" t="s">
        <v>52</v>
      </c>
      <c r="H2451" t="s">
        <v>1262</v>
      </c>
      <c r="K2451" t="s">
        <v>53</v>
      </c>
      <c r="L2451" t="s">
        <v>4890</v>
      </c>
      <c r="M2451" t="s">
        <v>54</v>
      </c>
      <c r="N2451" t="s">
        <v>4891</v>
      </c>
      <c r="O2451" t="s">
        <v>32</v>
      </c>
      <c r="P2451" t="s">
        <v>5283</v>
      </c>
      <c r="Q2451">
        <v>200</v>
      </c>
      <c r="R2451">
        <v>200</v>
      </c>
      <c r="S2451" t="s">
        <v>159</v>
      </c>
      <c r="T2451" t="s">
        <v>159</v>
      </c>
      <c r="W2451">
        <v>0</v>
      </c>
      <c r="X2451">
        <v>0</v>
      </c>
      <c r="Y2451">
        <v>0</v>
      </c>
      <c r="Z2451">
        <v>0</v>
      </c>
    </row>
    <row r="2452" spans="1:26" hidden="1" x14ac:dyDescent="0.25">
      <c r="A2452" t="s">
        <v>5284</v>
      </c>
      <c r="B2452" t="s">
        <v>38</v>
      </c>
      <c r="C2452" s="4">
        <v>45377</v>
      </c>
      <c r="D2452" s="4">
        <v>45930</v>
      </c>
      <c r="F2452" s="4">
        <v>46934</v>
      </c>
      <c r="G2452" t="s">
        <v>112</v>
      </c>
      <c r="H2452" t="s">
        <v>1813</v>
      </c>
      <c r="K2452" t="s">
        <v>114</v>
      </c>
      <c r="L2452" t="s">
        <v>4890</v>
      </c>
      <c r="M2452" t="s">
        <v>68</v>
      </c>
      <c r="N2452" t="s">
        <v>4891</v>
      </c>
      <c r="O2452" t="s">
        <v>32</v>
      </c>
      <c r="P2452" t="s">
        <v>5285</v>
      </c>
      <c r="Q2452">
        <v>125</v>
      </c>
      <c r="R2452">
        <v>125</v>
      </c>
      <c r="S2452" t="s">
        <v>34</v>
      </c>
      <c r="T2452" t="s">
        <v>35</v>
      </c>
      <c r="W2452">
        <v>0</v>
      </c>
      <c r="X2452">
        <v>0</v>
      </c>
      <c r="Y2452">
        <v>0</v>
      </c>
      <c r="Z2452">
        <v>0</v>
      </c>
    </row>
    <row r="2453" spans="1:26" hidden="1" x14ac:dyDescent="0.25">
      <c r="A2453" t="s">
        <v>5286</v>
      </c>
      <c r="B2453" t="s">
        <v>2153</v>
      </c>
      <c r="C2453" s="4">
        <v>45400</v>
      </c>
      <c r="F2453" s="4">
        <v>46996</v>
      </c>
      <c r="G2453" t="s">
        <v>1294</v>
      </c>
      <c r="H2453" t="s">
        <v>1505</v>
      </c>
      <c r="K2453" t="s">
        <v>28</v>
      </c>
      <c r="L2453" t="s">
        <v>4890</v>
      </c>
      <c r="M2453" t="s">
        <v>42</v>
      </c>
      <c r="N2453" t="s">
        <v>4891</v>
      </c>
      <c r="O2453" t="s">
        <v>32</v>
      </c>
      <c r="P2453" t="s">
        <v>5287</v>
      </c>
      <c r="Q2453">
        <v>180</v>
      </c>
      <c r="R2453">
        <v>180</v>
      </c>
      <c r="S2453" t="s">
        <v>56</v>
      </c>
      <c r="T2453" t="s">
        <v>57</v>
      </c>
      <c r="W2453">
        <v>180</v>
      </c>
      <c r="X2453">
        <v>140</v>
      </c>
      <c r="Y2453">
        <v>0</v>
      </c>
      <c r="Z2453">
        <v>0</v>
      </c>
    </row>
    <row r="2454" spans="1:26" hidden="1" x14ac:dyDescent="0.25">
      <c r="A2454" t="s">
        <v>5288</v>
      </c>
      <c r="B2454" t="s">
        <v>2338</v>
      </c>
      <c r="C2454" s="4">
        <v>45377</v>
      </c>
      <c r="F2454" s="4">
        <v>46934</v>
      </c>
      <c r="G2454" t="s">
        <v>1326</v>
      </c>
      <c r="H2454" t="s">
        <v>1453</v>
      </c>
      <c r="K2454" t="s">
        <v>67</v>
      </c>
      <c r="L2454" t="s">
        <v>4890</v>
      </c>
      <c r="M2454" t="s">
        <v>68</v>
      </c>
      <c r="N2454" t="s">
        <v>4891</v>
      </c>
      <c r="O2454" t="s">
        <v>32</v>
      </c>
      <c r="P2454" t="s">
        <v>5289</v>
      </c>
      <c r="Q2454">
        <v>200</v>
      </c>
      <c r="R2454">
        <v>200</v>
      </c>
      <c r="S2454" t="s">
        <v>34</v>
      </c>
      <c r="T2454" t="s">
        <v>35</v>
      </c>
      <c r="W2454">
        <v>200</v>
      </c>
      <c r="X2454">
        <v>0</v>
      </c>
      <c r="Y2454">
        <v>0</v>
      </c>
      <c r="Z2454">
        <v>0</v>
      </c>
    </row>
    <row r="2455" spans="1:26" hidden="1" x14ac:dyDescent="0.25">
      <c r="A2455" t="s">
        <v>5290</v>
      </c>
      <c r="B2455" t="s">
        <v>38</v>
      </c>
      <c r="C2455" s="4">
        <v>45400</v>
      </c>
      <c r="D2455" s="4">
        <v>45923</v>
      </c>
      <c r="F2455" s="4">
        <v>46980</v>
      </c>
      <c r="G2455" t="s">
        <v>1311</v>
      </c>
      <c r="H2455" t="s">
        <v>3896</v>
      </c>
      <c r="K2455" t="s">
        <v>114</v>
      </c>
      <c r="L2455" t="s">
        <v>4890</v>
      </c>
      <c r="M2455" t="s">
        <v>68</v>
      </c>
      <c r="N2455" t="s">
        <v>4891</v>
      </c>
      <c r="O2455" t="s">
        <v>32</v>
      </c>
      <c r="P2455" t="s">
        <v>5291</v>
      </c>
      <c r="Q2455">
        <v>200</v>
      </c>
      <c r="R2455">
        <v>200</v>
      </c>
      <c r="S2455" t="s">
        <v>34</v>
      </c>
      <c r="T2455" t="s">
        <v>35</v>
      </c>
      <c r="W2455">
        <v>0</v>
      </c>
      <c r="X2455">
        <v>0</v>
      </c>
      <c r="Y2455">
        <v>0</v>
      </c>
      <c r="Z2455">
        <v>0</v>
      </c>
    </row>
    <row r="2456" spans="1:26" hidden="1" x14ac:dyDescent="0.25">
      <c r="A2456" t="s">
        <v>5292</v>
      </c>
      <c r="B2456" t="s">
        <v>2153</v>
      </c>
      <c r="C2456" s="4">
        <v>45387</v>
      </c>
      <c r="F2456" s="4">
        <v>46478</v>
      </c>
      <c r="G2456" t="s">
        <v>52</v>
      </c>
      <c r="H2456" t="s">
        <v>3675</v>
      </c>
      <c r="K2456" t="s">
        <v>53</v>
      </c>
      <c r="L2456" t="s">
        <v>4890</v>
      </c>
      <c r="M2456" t="s">
        <v>54</v>
      </c>
      <c r="N2456" t="s">
        <v>4891</v>
      </c>
      <c r="O2456" t="s">
        <v>32</v>
      </c>
      <c r="P2456" t="s">
        <v>3676</v>
      </c>
      <c r="Q2456">
        <v>120</v>
      </c>
      <c r="R2456">
        <v>120</v>
      </c>
      <c r="S2456" t="s">
        <v>34</v>
      </c>
      <c r="T2456" t="s">
        <v>35</v>
      </c>
      <c r="W2456">
        <v>120</v>
      </c>
      <c r="X2456">
        <v>120</v>
      </c>
      <c r="Y2456">
        <v>0</v>
      </c>
      <c r="Z2456">
        <v>0</v>
      </c>
    </row>
    <row r="2457" spans="1:26" hidden="1" x14ac:dyDescent="0.25">
      <c r="A2457" t="s">
        <v>5293</v>
      </c>
      <c r="B2457" t="s">
        <v>38</v>
      </c>
      <c r="C2457" s="4">
        <v>45395</v>
      </c>
      <c r="D2457" s="4">
        <v>46014</v>
      </c>
      <c r="F2457" s="4">
        <v>46997</v>
      </c>
      <c r="G2457" t="s">
        <v>144</v>
      </c>
      <c r="H2457" t="s">
        <v>1418</v>
      </c>
      <c r="K2457" t="s">
        <v>146</v>
      </c>
      <c r="L2457" t="s">
        <v>4890</v>
      </c>
      <c r="M2457" t="s">
        <v>68</v>
      </c>
      <c r="N2457" t="s">
        <v>4891</v>
      </c>
      <c r="O2457" t="s">
        <v>32</v>
      </c>
      <c r="P2457" t="s">
        <v>4974</v>
      </c>
      <c r="Q2457">
        <v>50</v>
      </c>
      <c r="R2457">
        <v>50</v>
      </c>
      <c r="S2457" t="s">
        <v>159</v>
      </c>
      <c r="T2457" t="s">
        <v>159</v>
      </c>
      <c r="W2457">
        <v>0</v>
      </c>
      <c r="X2457">
        <v>0</v>
      </c>
      <c r="Y2457">
        <v>0</v>
      </c>
      <c r="Z2457">
        <v>0</v>
      </c>
    </row>
    <row r="2458" spans="1:26" hidden="1" x14ac:dyDescent="0.25">
      <c r="A2458" t="s">
        <v>5294</v>
      </c>
      <c r="B2458" t="s">
        <v>38</v>
      </c>
      <c r="C2458" s="4">
        <v>45395</v>
      </c>
      <c r="D2458" s="4">
        <v>45929</v>
      </c>
      <c r="F2458" s="4">
        <v>46997</v>
      </c>
      <c r="G2458" t="s">
        <v>1311</v>
      </c>
      <c r="H2458" t="s">
        <v>3909</v>
      </c>
      <c r="K2458" t="s">
        <v>114</v>
      </c>
      <c r="L2458" t="s">
        <v>4890</v>
      </c>
      <c r="M2458" t="s">
        <v>68</v>
      </c>
      <c r="N2458" t="s">
        <v>4891</v>
      </c>
      <c r="O2458" t="s">
        <v>32</v>
      </c>
      <c r="P2458" t="s">
        <v>4940</v>
      </c>
      <c r="Q2458">
        <v>100</v>
      </c>
      <c r="R2458">
        <v>100</v>
      </c>
      <c r="S2458" t="s">
        <v>159</v>
      </c>
      <c r="T2458" t="s">
        <v>159</v>
      </c>
      <c r="W2458">
        <v>0</v>
      </c>
      <c r="X2458">
        <v>0</v>
      </c>
      <c r="Y2458">
        <v>0</v>
      </c>
      <c r="Z2458">
        <v>0</v>
      </c>
    </row>
    <row r="2459" spans="1:26" hidden="1" x14ac:dyDescent="0.25">
      <c r="A2459" t="s">
        <v>5295</v>
      </c>
      <c r="B2459" t="s">
        <v>2153</v>
      </c>
      <c r="C2459" s="4">
        <v>45395</v>
      </c>
      <c r="F2459" s="4">
        <v>46997</v>
      </c>
      <c r="G2459" t="s">
        <v>1753</v>
      </c>
      <c r="H2459" t="s">
        <v>1418</v>
      </c>
      <c r="K2459" t="s">
        <v>146</v>
      </c>
      <c r="L2459" t="s">
        <v>4890</v>
      </c>
      <c r="M2459" t="s">
        <v>68</v>
      </c>
      <c r="N2459" t="s">
        <v>4891</v>
      </c>
      <c r="O2459" t="s">
        <v>32</v>
      </c>
      <c r="P2459" t="s">
        <v>4974</v>
      </c>
      <c r="Q2459">
        <v>300</v>
      </c>
      <c r="R2459">
        <v>300</v>
      </c>
      <c r="S2459" t="s">
        <v>34</v>
      </c>
      <c r="T2459" t="s">
        <v>35</v>
      </c>
      <c r="W2459">
        <v>300</v>
      </c>
      <c r="X2459">
        <v>0</v>
      </c>
      <c r="Y2459">
        <v>0</v>
      </c>
      <c r="Z2459">
        <v>0</v>
      </c>
    </row>
    <row r="2460" spans="1:26" hidden="1" x14ac:dyDescent="0.25">
      <c r="A2460" t="s">
        <v>5296</v>
      </c>
      <c r="B2460" t="s">
        <v>38</v>
      </c>
      <c r="C2460" s="4">
        <v>45378</v>
      </c>
      <c r="D2460" s="4">
        <v>45930</v>
      </c>
      <c r="F2460" s="4">
        <v>46934</v>
      </c>
      <c r="G2460" t="s">
        <v>2944</v>
      </c>
      <c r="H2460" t="s">
        <v>5297</v>
      </c>
      <c r="K2460" t="s">
        <v>151</v>
      </c>
      <c r="L2460" t="s">
        <v>4890</v>
      </c>
      <c r="M2460" t="s">
        <v>68</v>
      </c>
      <c r="N2460" t="s">
        <v>4891</v>
      </c>
      <c r="O2460" t="s">
        <v>32</v>
      </c>
      <c r="P2460" t="s">
        <v>5298</v>
      </c>
      <c r="Q2460">
        <v>250</v>
      </c>
      <c r="R2460">
        <v>250</v>
      </c>
      <c r="S2460" t="s">
        <v>34</v>
      </c>
      <c r="T2460" t="s">
        <v>35</v>
      </c>
      <c r="W2460">
        <v>0</v>
      </c>
      <c r="X2460">
        <v>0</v>
      </c>
      <c r="Y2460">
        <v>0</v>
      </c>
      <c r="Z2460">
        <v>0</v>
      </c>
    </row>
    <row r="2461" spans="1:26" hidden="1" x14ac:dyDescent="0.25">
      <c r="A2461" t="s">
        <v>5299</v>
      </c>
      <c r="B2461" t="s">
        <v>2153</v>
      </c>
      <c r="C2461" s="4">
        <v>45400</v>
      </c>
      <c r="F2461" s="4">
        <v>46904</v>
      </c>
      <c r="G2461" t="s">
        <v>117</v>
      </c>
      <c r="H2461" t="s">
        <v>1711</v>
      </c>
      <c r="K2461" t="s">
        <v>83</v>
      </c>
      <c r="L2461" t="s">
        <v>4890</v>
      </c>
      <c r="M2461" t="s">
        <v>84</v>
      </c>
      <c r="N2461" t="s">
        <v>4891</v>
      </c>
      <c r="O2461" t="s">
        <v>32</v>
      </c>
      <c r="P2461" t="s">
        <v>5300</v>
      </c>
      <c r="Q2461">
        <v>100</v>
      </c>
      <c r="R2461">
        <v>100</v>
      </c>
      <c r="S2461" t="s">
        <v>56</v>
      </c>
      <c r="T2461" t="s">
        <v>57</v>
      </c>
      <c r="W2461">
        <v>100</v>
      </c>
      <c r="X2461">
        <v>100</v>
      </c>
      <c r="Y2461">
        <v>0</v>
      </c>
      <c r="Z2461">
        <v>0</v>
      </c>
    </row>
    <row r="2462" spans="1:26" hidden="1" x14ac:dyDescent="0.25">
      <c r="A2462" t="s">
        <v>5301</v>
      </c>
      <c r="B2462" t="s">
        <v>2153</v>
      </c>
      <c r="C2462" s="4">
        <v>45394</v>
      </c>
      <c r="F2462" s="4">
        <v>46446</v>
      </c>
      <c r="G2462" t="s">
        <v>1326</v>
      </c>
      <c r="H2462" t="s">
        <v>2482</v>
      </c>
      <c r="K2462" t="s">
        <v>67</v>
      </c>
      <c r="L2462" t="s">
        <v>4890</v>
      </c>
      <c r="M2462" t="s">
        <v>68</v>
      </c>
      <c r="N2462" t="s">
        <v>4891</v>
      </c>
      <c r="O2462" t="s">
        <v>122</v>
      </c>
      <c r="P2462" t="s">
        <v>2488</v>
      </c>
      <c r="Q2462">
        <v>215</v>
      </c>
      <c r="R2462">
        <v>215</v>
      </c>
      <c r="S2462" t="s">
        <v>34</v>
      </c>
      <c r="T2462" t="s">
        <v>35</v>
      </c>
      <c r="W2462">
        <v>215</v>
      </c>
      <c r="X2462">
        <v>0</v>
      </c>
      <c r="Y2462">
        <v>0</v>
      </c>
      <c r="Z2462">
        <v>0</v>
      </c>
    </row>
    <row r="2463" spans="1:26" hidden="1" x14ac:dyDescent="0.25">
      <c r="A2463" t="s">
        <v>5302</v>
      </c>
      <c r="B2463" t="s">
        <v>38</v>
      </c>
      <c r="C2463" s="4">
        <v>45400</v>
      </c>
      <c r="D2463" s="4">
        <v>45925</v>
      </c>
      <c r="F2463" s="4">
        <v>46753</v>
      </c>
      <c r="G2463" t="s">
        <v>65</v>
      </c>
      <c r="H2463" t="s">
        <v>1879</v>
      </c>
      <c r="K2463" t="s">
        <v>67</v>
      </c>
      <c r="L2463" t="s">
        <v>4890</v>
      </c>
      <c r="M2463" t="s">
        <v>68</v>
      </c>
      <c r="N2463" t="s">
        <v>4891</v>
      </c>
      <c r="O2463" t="s">
        <v>32</v>
      </c>
      <c r="P2463" t="s">
        <v>5303</v>
      </c>
      <c r="Q2463">
        <v>170</v>
      </c>
      <c r="R2463">
        <v>170</v>
      </c>
      <c r="S2463" t="s">
        <v>34</v>
      </c>
      <c r="T2463" t="s">
        <v>598</v>
      </c>
      <c r="W2463">
        <v>0</v>
      </c>
      <c r="X2463">
        <v>0</v>
      </c>
      <c r="Y2463">
        <v>0</v>
      </c>
      <c r="Z2463">
        <v>0</v>
      </c>
    </row>
    <row r="2464" spans="1:26" hidden="1" x14ac:dyDescent="0.25">
      <c r="A2464" t="s">
        <v>5304</v>
      </c>
      <c r="B2464" t="s">
        <v>38</v>
      </c>
      <c r="C2464" s="4">
        <v>45399</v>
      </c>
      <c r="D2464" s="4">
        <v>45929</v>
      </c>
      <c r="F2464" s="4">
        <v>47011</v>
      </c>
      <c r="G2464" t="s">
        <v>65</v>
      </c>
      <c r="H2464" t="s">
        <v>3195</v>
      </c>
      <c r="K2464" t="s">
        <v>67</v>
      </c>
      <c r="L2464" t="s">
        <v>4890</v>
      </c>
      <c r="M2464" t="s">
        <v>68</v>
      </c>
      <c r="N2464" t="s">
        <v>4891</v>
      </c>
      <c r="O2464" t="s">
        <v>32</v>
      </c>
      <c r="P2464" t="s">
        <v>5023</v>
      </c>
      <c r="Q2464">
        <v>200</v>
      </c>
      <c r="R2464">
        <v>200</v>
      </c>
      <c r="S2464" t="s">
        <v>34</v>
      </c>
      <c r="T2464" t="s">
        <v>35</v>
      </c>
      <c r="W2464">
        <v>0</v>
      </c>
      <c r="X2464">
        <v>0</v>
      </c>
      <c r="Y2464">
        <v>0</v>
      </c>
      <c r="Z2464">
        <v>0</v>
      </c>
    </row>
    <row r="2465" spans="1:26" hidden="1" x14ac:dyDescent="0.25">
      <c r="A2465" t="s">
        <v>5305</v>
      </c>
      <c r="B2465" t="s">
        <v>38</v>
      </c>
      <c r="C2465" s="4">
        <v>45398</v>
      </c>
      <c r="D2465" s="4">
        <v>46014</v>
      </c>
      <c r="F2465" s="4">
        <v>47011</v>
      </c>
      <c r="G2465" t="s">
        <v>907</v>
      </c>
      <c r="H2465" t="s">
        <v>1333</v>
      </c>
      <c r="K2465" t="s">
        <v>53</v>
      </c>
      <c r="L2465" t="s">
        <v>4890</v>
      </c>
      <c r="M2465" t="s">
        <v>54</v>
      </c>
      <c r="N2465" t="s">
        <v>4891</v>
      </c>
      <c r="O2465" t="s">
        <v>32</v>
      </c>
      <c r="P2465" t="s">
        <v>4934</v>
      </c>
      <c r="Q2465">
        <v>290</v>
      </c>
      <c r="R2465">
        <v>290</v>
      </c>
      <c r="S2465" t="s">
        <v>159</v>
      </c>
      <c r="T2465" t="s">
        <v>159</v>
      </c>
      <c r="W2465">
        <v>0</v>
      </c>
      <c r="X2465">
        <v>0</v>
      </c>
      <c r="Y2465">
        <v>0</v>
      </c>
      <c r="Z2465">
        <v>0</v>
      </c>
    </row>
    <row r="2466" spans="1:26" hidden="1" x14ac:dyDescent="0.25">
      <c r="A2466" t="s">
        <v>5306</v>
      </c>
      <c r="B2466" t="s">
        <v>2153</v>
      </c>
      <c r="C2466" s="4">
        <v>45399</v>
      </c>
      <c r="F2466" s="4">
        <v>46874</v>
      </c>
      <c r="G2466" t="s">
        <v>1368</v>
      </c>
      <c r="H2466" t="s">
        <v>2329</v>
      </c>
      <c r="K2466" t="s">
        <v>209</v>
      </c>
      <c r="L2466" t="s">
        <v>4890</v>
      </c>
      <c r="M2466" t="s">
        <v>42</v>
      </c>
      <c r="N2466" t="s">
        <v>4891</v>
      </c>
      <c r="O2466" t="s">
        <v>32</v>
      </c>
      <c r="P2466" t="s">
        <v>5307</v>
      </c>
      <c r="Q2466">
        <v>156</v>
      </c>
      <c r="R2466">
        <v>156</v>
      </c>
      <c r="S2466" t="s">
        <v>34</v>
      </c>
      <c r="T2466" t="s">
        <v>35</v>
      </c>
      <c r="W2466">
        <v>156</v>
      </c>
      <c r="X2466">
        <v>156</v>
      </c>
      <c r="Y2466">
        <v>0</v>
      </c>
      <c r="Z2466">
        <v>0</v>
      </c>
    </row>
    <row r="2467" spans="1:26" hidden="1" x14ac:dyDescent="0.25">
      <c r="A2467" t="s">
        <v>5308</v>
      </c>
      <c r="B2467" t="s">
        <v>38</v>
      </c>
      <c r="C2467" s="4">
        <v>45399</v>
      </c>
      <c r="D2467" s="4">
        <v>45812</v>
      </c>
      <c r="F2467" s="4">
        <v>46874</v>
      </c>
      <c r="G2467" t="s">
        <v>72</v>
      </c>
      <c r="H2467" t="s">
        <v>2537</v>
      </c>
      <c r="K2467" t="s">
        <v>209</v>
      </c>
      <c r="L2467" t="s">
        <v>4890</v>
      </c>
      <c r="M2467" t="s">
        <v>42</v>
      </c>
      <c r="N2467" t="s">
        <v>4891</v>
      </c>
      <c r="O2467" t="s">
        <v>32</v>
      </c>
      <c r="P2467" t="s">
        <v>5309</v>
      </c>
      <c r="Q2467">
        <v>187</v>
      </c>
      <c r="R2467">
        <v>187</v>
      </c>
      <c r="S2467" t="s">
        <v>34</v>
      </c>
      <c r="T2467" t="s">
        <v>35</v>
      </c>
      <c r="W2467">
        <v>0</v>
      </c>
      <c r="X2467">
        <v>0</v>
      </c>
      <c r="Y2467">
        <v>0</v>
      </c>
      <c r="Z2467">
        <v>0</v>
      </c>
    </row>
    <row r="2468" spans="1:26" hidden="1" x14ac:dyDescent="0.25">
      <c r="A2468" t="s">
        <v>5310</v>
      </c>
      <c r="B2468" t="s">
        <v>38</v>
      </c>
      <c r="C2468" s="4">
        <v>45400</v>
      </c>
      <c r="D2468" s="4">
        <v>45817</v>
      </c>
      <c r="F2468" s="4">
        <v>46296</v>
      </c>
      <c r="G2468" t="s">
        <v>1311</v>
      </c>
      <c r="H2468" t="s">
        <v>1279</v>
      </c>
      <c r="K2468" t="s">
        <v>114</v>
      </c>
      <c r="L2468" t="s">
        <v>4890</v>
      </c>
      <c r="M2468" t="s">
        <v>68</v>
      </c>
      <c r="N2468" t="s">
        <v>4891</v>
      </c>
      <c r="O2468" t="s">
        <v>32</v>
      </c>
      <c r="P2468" t="s">
        <v>5311</v>
      </c>
      <c r="Q2468">
        <v>100</v>
      </c>
      <c r="R2468">
        <v>100</v>
      </c>
      <c r="S2468" t="s">
        <v>34</v>
      </c>
      <c r="T2468" t="s">
        <v>35</v>
      </c>
      <c r="W2468">
        <v>0</v>
      </c>
      <c r="X2468">
        <v>0</v>
      </c>
      <c r="Y2468">
        <v>0</v>
      </c>
      <c r="Z2468">
        <v>0</v>
      </c>
    </row>
    <row r="2469" spans="1:26" hidden="1" x14ac:dyDescent="0.25">
      <c r="A2469" t="s">
        <v>5312</v>
      </c>
      <c r="B2469" t="s">
        <v>2153</v>
      </c>
      <c r="C2469" s="4">
        <v>45398</v>
      </c>
      <c r="F2469" s="4">
        <v>46934</v>
      </c>
      <c r="G2469" t="s">
        <v>72</v>
      </c>
      <c r="H2469" t="s">
        <v>1892</v>
      </c>
      <c r="K2469" t="s">
        <v>209</v>
      </c>
      <c r="L2469" t="s">
        <v>4890</v>
      </c>
      <c r="M2469" t="s">
        <v>42</v>
      </c>
      <c r="N2469" t="s">
        <v>4891</v>
      </c>
      <c r="O2469" t="s">
        <v>32</v>
      </c>
      <c r="P2469" t="s">
        <v>2629</v>
      </c>
      <c r="Q2469">
        <v>200</v>
      </c>
      <c r="R2469">
        <v>200</v>
      </c>
      <c r="S2469" t="s">
        <v>34</v>
      </c>
      <c r="T2469" t="s">
        <v>35</v>
      </c>
      <c r="W2469">
        <v>200</v>
      </c>
      <c r="X2469">
        <v>0</v>
      </c>
      <c r="Y2469">
        <v>0</v>
      </c>
      <c r="Z2469">
        <v>0</v>
      </c>
    </row>
    <row r="2470" spans="1:26" hidden="1" x14ac:dyDescent="0.25">
      <c r="A2470" t="s">
        <v>5313</v>
      </c>
      <c r="B2470" t="s">
        <v>2153</v>
      </c>
      <c r="C2470" s="4">
        <v>45378</v>
      </c>
      <c r="F2470" s="4">
        <v>46174</v>
      </c>
      <c r="G2470" t="s">
        <v>173</v>
      </c>
      <c r="H2470" t="s">
        <v>2534</v>
      </c>
      <c r="K2470" t="s">
        <v>41</v>
      </c>
      <c r="L2470" t="s">
        <v>4890</v>
      </c>
      <c r="M2470" t="s">
        <v>42</v>
      </c>
      <c r="N2470" t="s">
        <v>4891</v>
      </c>
      <c r="O2470" t="s">
        <v>32</v>
      </c>
      <c r="P2470" t="s">
        <v>5314</v>
      </c>
      <c r="Q2470">
        <v>40</v>
      </c>
      <c r="R2470">
        <v>40</v>
      </c>
      <c r="S2470" t="s">
        <v>597</v>
      </c>
      <c r="T2470" t="s">
        <v>584</v>
      </c>
      <c r="W2470">
        <v>20</v>
      </c>
      <c r="X2470">
        <v>40</v>
      </c>
      <c r="Y2470">
        <v>0</v>
      </c>
      <c r="Z2470">
        <v>0</v>
      </c>
    </row>
    <row r="2471" spans="1:26" hidden="1" x14ac:dyDescent="0.25">
      <c r="A2471" t="s">
        <v>5315</v>
      </c>
      <c r="B2471" t="s">
        <v>2153</v>
      </c>
      <c r="C2471" s="4">
        <v>45398</v>
      </c>
      <c r="F2471" s="4">
        <v>46934</v>
      </c>
      <c r="G2471" t="s">
        <v>1278</v>
      </c>
      <c r="H2471" t="s">
        <v>1926</v>
      </c>
      <c r="K2471" t="s">
        <v>28</v>
      </c>
      <c r="L2471" t="s">
        <v>4890</v>
      </c>
      <c r="M2471" t="s">
        <v>30</v>
      </c>
      <c r="N2471" t="s">
        <v>4891</v>
      </c>
      <c r="O2471" t="s">
        <v>32</v>
      </c>
      <c r="P2471" t="s">
        <v>5316</v>
      </c>
      <c r="Q2471">
        <v>100</v>
      </c>
      <c r="R2471">
        <v>100</v>
      </c>
      <c r="S2471" t="s">
        <v>34</v>
      </c>
      <c r="T2471" t="s">
        <v>35</v>
      </c>
      <c r="W2471">
        <v>100</v>
      </c>
      <c r="X2471">
        <v>75</v>
      </c>
      <c r="Y2471">
        <v>0</v>
      </c>
      <c r="Z2471">
        <v>0</v>
      </c>
    </row>
    <row r="2472" spans="1:26" hidden="1" x14ac:dyDescent="0.25">
      <c r="A2472" t="s">
        <v>5317</v>
      </c>
      <c r="B2472" t="s">
        <v>38</v>
      </c>
      <c r="C2472" s="4">
        <v>45400</v>
      </c>
      <c r="D2472" s="4">
        <v>45930</v>
      </c>
      <c r="F2472" s="4">
        <v>46492</v>
      </c>
      <c r="G2472" t="s">
        <v>117</v>
      </c>
      <c r="H2472" t="s">
        <v>1765</v>
      </c>
      <c r="K2472" t="s">
        <v>83</v>
      </c>
      <c r="L2472" t="s">
        <v>4890</v>
      </c>
      <c r="M2472" t="s">
        <v>84</v>
      </c>
      <c r="N2472" t="s">
        <v>4891</v>
      </c>
      <c r="O2472" t="s">
        <v>32</v>
      </c>
      <c r="P2472" t="s">
        <v>4857</v>
      </c>
      <c r="Q2472">
        <v>200</v>
      </c>
      <c r="R2472">
        <v>200</v>
      </c>
      <c r="S2472" t="s">
        <v>597</v>
      </c>
      <c r="T2472" t="s">
        <v>598</v>
      </c>
      <c r="W2472">
        <v>0</v>
      </c>
      <c r="X2472">
        <v>0</v>
      </c>
      <c r="Y2472">
        <v>0</v>
      </c>
      <c r="Z2472">
        <v>0</v>
      </c>
    </row>
    <row r="2473" spans="1:26" hidden="1" x14ac:dyDescent="0.25">
      <c r="A2473" t="s">
        <v>5318</v>
      </c>
      <c r="B2473" t="s">
        <v>2153</v>
      </c>
      <c r="C2473" s="4">
        <v>45394</v>
      </c>
      <c r="F2473" s="4">
        <v>46934</v>
      </c>
      <c r="G2473" t="s">
        <v>1499</v>
      </c>
      <c r="H2473" t="s">
        <v>1347</v>
      </c>
      <c r="K2473" t="s">
        <v>62</v>
      </c>
      <c r="L2473" t="s">
        <v>4890</v>
      </c>
      <c r="M2473" t="s">
        <v>42</v>
      </c>
      <c r="N2473" t="s">
        <v>4891</v>
      </c>
      <c r="O2473" t="s">
        <v>32</v>
      </c>
      <c r="P2473" t="s">
        <v>5319</v>
      </c>
      <c r="Q2473">
        <v>300</v>
      </c>
      <c r="R2473">
        <v>300</v>
      </c>
      <c r="S2473" t="s">
        <v>597</v>
      </c>
      <c r="T2473" t="s">
        <v>2552</v>
      </c>
      <c r="W2473">
        <v>300</v>
      </c>
      <c r="X2473">
        <v>300</v>
      </c>
      <c r="Y2473">
        <v>0</v>
      </c>
      <c r="Z2473">
        <v>0</v>
      </c>
    </row>
    <row r="2474" spans="1:26" hidden="1" x14ac:dyDescent="0.25">
      <c r="A2474" t="s">
        <v>5320</v>
      </c>
      <c r="B2474" t="s">
        <v>2338</v>
      </c>
      <c r="C2474" s="4">
        <v>45398</v>
      </c>
      <c r="F2474" s="4">
        <v>46203</v>
      </c>
      <c r="G2474" t="s">
        <v>1278</v>
      </c>
      <c r="H2474" t="s">
        <v>1308</v>
      </c>
      <c r="K2474" t="s">
        <v>28</v>
      </c>
      <c r="L2474" t="s">
        <v>4890</v>
      </c>
      <c r="M2474" t="s">
        <v>30</v>
      </c>
      <c r="N2474" t="s">
        <v>4891</v>
      </c>
      <c r="O2474" t="s">
        <v>32</v>
      </c>
      <c r="P2474" t="s">
        <v>5321</v>
      </c>
      <c r="Q2474">
        <v>100</v>
      </c>
      <c r="R2474">
        <v>100</v>
      </c>
      <c r="S2474" t="s">
        <v>56</v>
      </c>
      <c r="T2474" t="s">
        <v>57</v>
      </c>
      <c r="W2474">
        <v>100</v>
      </c>
      <c r="X2474">
        <v>100</v>
      </c>
      <c r="Y2474">
        <v>0</v>
      </c>
      <c r="Z2474">
        <v>0</v>
      </c>
    </row>
    <row r="2475" spans="1:26" hidden="1" x14ac:dyDescent="0.25">
      <c r="A2475" t="s">
        <v>5322</v>
      </c>
      <c r="B2475" t="s">
        <v>2338</v>
      </c>
      <c r="C2475" s="4">
        <v>45398</v>
      </c>
      <c r="F2475" s="4">
        <v>46539</v>
      </c>
      <c r="G2475" t="s">
        <v>907</v>
      </c>
      <c r="H2475" t="s">
        <v>3441</v>
      </c>
      <c r="K2475" t="s">
        <v>53</v>
      </c>
      <c r="L2475" t="s">
        <v>4890</v>
      </c>
      <c r="M2475" t="s">
        <v>54</v>
      </c>
      <c r="N2475" t="s">
        <v>4891</v>
      </c>
      <c r="O2475" t="s">
        <v>32</v>
      </c>
      <c r="P2475" t="s">
        <v>1345</v>
      </c>
      <c r="Q2475">
        <v>100</v>
      </c>
      <c r="R2475">
        <v>100</v>
      </c>
      <c r="S2475" t="s">
        <v>34</v>
      </c>
      <c r="T2475" t="s">
        <v>35</v>
      </c>
      <c r="W2475">
        <v>100</v>
      </c>
      <c r="X2475">
        <v>100</v>
      </c>
      <c r="Y2475">
        <v>0</v>
      </c>
      <c r="Z2475">
        <v>0</v>
      </c>
    </row>
    <row r="2476" spans="1:26" hidden="1" x14ac:dyDescent="0.25">
      <c r="A2476" t="s">
        <v>5323</v>
      </c>
      <c r="B2476" t="s">
        <v>2338</v>
      </c>
      <c r="C2476" s="4">
        <v>45400</v>
      </c>
      <c r="F2476" s="4">
        <v>47058</v>
      </c>
      <c r="G2476" t="s">
        <v>52</v>
      </c>
      <c r="H2476" t="s">
        <v>1433</v>
      </c>
      <c r="K2476" t="s">
        <v>53</v>
      </c>
      <c r="L2476" t="s">
        <v>4890</v>
      </c>
      <c r="M2476" t="s">
        <v>54</v>
      </c>
      <c r="N2476" t="s">
        <v>4891</v>
      </c>
      <c r="O2476" t="s">
        <v>32</v>
      </c>
      <c r="P2476" t="s">
        <v>5324</v>
      </c>
      <c r="Q2476">
        <v>150</v>
      </c>
      <c r="R2476">
        <v>150</v>
      </c>
      <c r="S2476" t="s">
        <v>34</v>
      </c>
      <c r="T2476" t="s">
        <v>35</v>
      </c>
      <c r="W2476">
        <v>150</v>
      </c>
      <c r="X2476">
        <v>150</v>
      </c>
      <c r="Y2476">
        <v>0</v>
      </c>
      <c r="Z2476">
        <v>0</v>
      </c>
    </row>
    <row r="2477" spans="1:26" hidden="1" x14ac:dyDescent="0.25">
      <c r="A2477" t="s">
        <v>5325</v>
      </c>
      <c r="B2477" t="s">
        <v>2338</v>
      </c>
      <c r="C2477" s="4">
        <v>45399</v>
      </c>
      <c r="F2477" s="4">
        <v>47058</v>
      </c>
      <c r="G2477" t="s">
        <v>907</v>
      </c>
      <c r="H2477" t="s">
        <v>1728</v>
      </c>
      <c r="K2477" t="s">
        <v>53</v>
      </c>
      <c r="L2477" t="s">
        <v>4890</v>
      </c>
      <c r="M2477" t="s">
        <v>54</v>
      </c>
      <c r="N2477" t="s">
        <v>4891</v>
      </c>
      <c r="O2477" t="s">
        <v>32</v>
      </c>
      <c r="P2477" t="s">
        <v>1345</v>
      </c>
      <c r="Q2477">
        <v>200</v>
      </c>
      <c r="R2477">
        <v>200</v>
      </c>
      <c r="S2477" t="s">
        <v>34</v>
      </c>
      <c r="T2477" t="s">
        <v>35</v>
      </c>
      <c r="W2477">
        <v>200</v>
      </c>
      <c r="X2477">
        <v>200</v>
      </c>
      <c r="Y2477">
        <v>0</v>
      </c>
      <c r="Z2477">
        <v>0</v>
      </c>
    </row>
    <row r="2478" spans="1:26" hidden="1" x14ac:dyDescent="0.25">
      <c r="A2478" t="s">
        <v>5326</v>
      </c>
      <c r="B2478" t="s">
        <v>2338</v>
      </c>
      <c r="C2478" s="4">
        <v>45400</v>
      </c>
      <c r="F2478" s="4">
        <v>47058</v>
      </c>
      <c r="G2478" t="s">
        <v>907</v>
      </c>
      <c r="H2478" t="s">
        <v>2288</v>
      </c>
      <c r="K2478" t="s">
        <v>53</v>
      </c>
      <c r="L2478" t="s">
        <v>4890</v>
      </c>
      <c r="M2478" t="s">
        <v>54</v>
      </c>
      <c r="N2478" t="s">
        <v>4891</v>
      </c>
      <c r="O2478" t="s">
        <v>32</v>
      </c>
      <c r="P2478" t="s">
        <v>1345</v>
      </c>
      <c r="Q2478">
        <v>150</v>
      </c>
      <c r="R2478">
        <v>150</v>
      </c>
      <c r="S2478" t="s">
        <v>34</v>
      </c>
      <c r="T2478" t="s">
        <v>35</v>
      </c>
      <c r="W2478">
        <v>150</v>
      </c>
      <c r="X2478">
        <v>150</v>
      </c>
      <c r="Y2478">
        <v>0</v>
      </c>
      <c r="Z2478">
        <v>0</v>
      </c>
    </row>
    <row r="2479" spans="1:26" hidden="1" x14ac:dyDescent="0.25">
      <c r="A2479" t="s">
        <v>5327</v>
      </c>
      <c r="B2479" t="s">
        <v>38</v>
      </c>
      <c r="C2479" s="4">
        <v>45400</v>
      </c>
      <c r="D2479" s="4">
        <v>46014</v>
      </c>
      <c r="F2479" s="4">
        <v>47011</v>
      </c>
      <c r="G2479" t="s">
        <v>52</v>
      </c>
      <c r="H2479" t="s">
        <v>4025</v>
      </c>
      <c r="K2479" t="s">
        <v>53</v>
      </c>
      <c r="L2479" t="s">
        <v>4890</v>
      </c>
      <c r="M2479" t="s">
        <v>54</v>
      </c>
      <c r="N2479" t="s">
        <v>4891</v>
      </c>
      <c r="O2479" t="s">
        <v>32</v>
      </c>
      <c r="P2479" t="s">
        <v>5328</v>
      </c>
      <c r="Q2479">
        <v>128</v>
      </c>
      <c r="R2479">
        <v>128</v>
      </c>
      <c r="S2479" t="s">
        <v>34</v>
      </c>
      <c r="T2479" t="s">
        <v>35</v>
      </c>
      <c r="W2479">
        <v>0</v>
      </c>
      <c r="X2479">
        <v>0</v>
      </c>
      <c r="Y2479">
        <v>0</v>
      </c>
      <c r="Z2479">
        <v>0</v>
      </c>
    </row>
    <row r="2480" spans="1:26" hidden="1" x14ac:dyDescent="0.25">
      <c r="A2480" t="s">
        <v>5329</v>
      </c>
      <c r="B2480" t="s">
        <v>38</v>
      </c>
      <c r="C2480" s="4">
        <v>45400</v>
      </c>
      <c r="D2480" s="4">
        <v>45869</v>
      </c>
      <c r="F2480" s="4">
        <v>46886</v>
      </c>
      <c r="G2480" t="s">
        <v>81</v>
      </c>
      <c r="H2480" t="s">
        <v>3260</v>
      </c>
      <c r="K2480" t="s">
        <v>83</v>
      </c>
      <c r="L2480" t="s">
        <v>4890</v>
      </c>
      <c r="M2480" t="s">
        <v>84</v>
      </c>
      <c r="N2480" t="s">
        <v>4891</v>
      </c>
      <c r="O2480" t="s">
        <v>32</v>
      </c>
      <c r="P2480" t="s">
        <v>5330</v>
      </c>
      <c r="Q2480">
        <v>200</v>
      </c>
      <c r="R2480">
        <v>200</v>
      </c>
      <c r="S2480" t="s">
        <v>34</v>
      </c>
      <c r="T2480" t="s">
        <v>35</v>
      </c>
      <c r="W2480">
        <v>0</v>
      </c>
      <c r="X2480">
        <v>0</v>
      </c>
      <c r="Y2480">
        <v>0</v>
      </c>
      <c r="Z2480">
        <v>0</v>
      </c>
    </row>
    <row r="2481" spans="1:26" hidden="1" x14ac:dyDescent="0.25">
      <c r="A2481" t="s">
        <v>5331</v>
      </c>
      <c r="B2481" t="s">
        <v>38</v>
      </c>
      <c r="C2481" s="4">
        <v>45399</v>
      </c>
      <c r="D2481" s="4">
        <v>45929</v>
      </c>
      <c r="F2481" s="4">
        <v>47011</v>
      </c>
      <c r="G2481" t="s">
        <v>39</v>
      </c>
      <c r="H2481" t="s">
        <v>1519</v>
      </c>
      <c r="K2481" t="s">
        <v>28</v>
      </c>
      <c r="L2481" t="s">
        <v>4890</v>
      </c>
      <c r="M2481" t="s">
        <v>42</v>
      </c>
      <c r="N2481" t="s">
        <v>4891</v>
      </c>
      <c r="O2481" t="s">
        <v>32</v>
      </c>
      <c r="P2481" t="s">
        <v>5332</v>
      </c>
      <c r="Q2481">
        <v>150</v>
      </c>
      <c r="R2481">
        <v>150</v>
      </c>
      <c r="S2481" t="s">
        <v>34</v>
      </c>
      <c r="T2481" t="s">
        <v>35</v>
      </c>
      <c r="W2481">
        <v>0</v>
      </c>
      <c r="X2481">
        <v>0</v>
      </c>
      <c r="Y2481">
        <v>0</v>
      </c>
      <c r="Z2481">
        <v>0</v>
      </c>
    </row>
    <row r="2482" spans="1:26" hidden="1" x14ac:dyDescent="0.25">
      <c r="A2482" t="s">
        <v>5333</v>
      </c>
      <c r="B2482" t="s">
        <v>2153</v>
      </c>
      <c r="C2482" s="4">
        <v>45400</v>
      </c>
      <c r="F2482" s="4">
        <v>46871</v>
      </c>
      <c r="G2482" t="s">
        <v>1368</v>
      </c>
      <c r="H2482" t="s">
        <v>1369</v>
      </c>
      <c r="K2482" t="s">
        <v>209</v>
      </c>
      <c r="L2482" t="s">
        <v>4890</v>
      </c>
      <c r="M2482" t="s">
        <v>42</v>
      </c>
      <c r="N2482" t="s">
        <v>4891</v>
      </c>
      <c r="O2482" t="s">
        <v>32</v>
      </c>
      <c r="P2482" t="s">
        <v>1345</v>
      </c>
      <c r="Q2482">
        <v>200</v>
      </c>
      <c r="R2482">
        <v>200</v>
      </c>
      <c r="S2482" t="s">
        <v>34</v>
      </c>
      <c r="T2482" t="s">
        <v>35</v>
      </c>
      <c r="W2482">
        <v>200</v>
      </c>
      <c r="X2482">
        <v>150</v>
      </c>
      <c r="Y2482">
        <v>0</v>
      </c>
      <c r="Z2482">
        <v>0</v>
      </c>
    </row>
    <row r="2483" spans="1:26" hidden="1" x14ac:dyDescent="0.25">
      <c r="A2483" t="s">
        <v>5334</v>
      </c>
      <c r="B2483" t="s">
        <v>38</v>
      </c>
      <c r="C2483" s="4">
        <v>45399</v>
      </c>
      <c r="D2483" s="4">
        <v>45869</v>
      </c>
      <c r="F2483" s="4">
        <v>46661</v>
      </c>
      <c r="G2483" t="s">
        <v>138</v>
      </c>
      <c r="H2483" t="s">
        <v>1873</v>
      </c>
      <c r="K2483" t="s">
        <v>98</v>
      </c>
      <c r="L2483" t="s">
        <v>4890</v>
      </c>
      <c r="M2483" t="s">
        <v>84</v>
      </c>
      <c r="N2483" t="s">
        <v>4891</v>
      </c>
      <c r="O2483" t="s">
        <v>122</v>
      </c>
      <c r="P2483" t="s">
        <v>1345</v>
      </c>
      <c r="Q2483">
        <v>35</v>
      </c>
      <c r="R2483">
        <v>35</v>
      </c>
      <c r="S2483" t="s">
        <v>34</v>
      </c>
      <c r="T2483" t="s">
        <v>35</v>
      </c>
      <c r="W2483">
        <v>0</v>
      </c>
      <c r="X2483">
        <v>0</v>
      </c>
      <c r="Y2483">
        <v>0</v>
      </c>
      <c r="Z2483">
        <v>0</v>
      </c>
    </row>
    <row r="2484" spans="1:26" hidden="1" x14ac:dyDescent="0.25">
      <c r="A2484" t="s">
        <v>5335</v>
      </c>
      <c r="B2484" t="s">
        <v>2153</v>
      </c>
      <c r="C2484" s="4">
        <v>45394</v>
      </c>
      <c r="F2484" s="4">
        <v>46446</v>
      </c>
      <c r="G2484" t="s">
        <v>1108</v>
      </c>
      <c r="H2484" t="s">
        <v>2467</v>
      </c>
      <c r="K2484" t="s">
        <v>146</v>
      </c>
      <c r="L2484" t="s">
        <v>4890</v>
      </c>
      <c r="M2484" t="s">
        <v>68</v>
      </c>
      <c r="N2484" t="s">
        <v>4891</v>
      </c>
      <c r="O2484" t="s">
        <v>122</v>
      </c>
      <c r="P2484" t="s">
        <v>4842</v>
      </c>
      <c r="Q2484">
        <v>200</v>
      </c>
      <c r="R2484">
        <v>200</v>
      </c>
      <c r="S2484" t="s">
        <v>34</v>
      </c>
      <c r="T2484" t="s">
        <v>35</v>
      </c>
      <c r="W2484">
        <v>200</v>
      </c>
      <c r="X2484">
        <v>0</v>
      </c>
      <c r="Y2484">
        <v>0</v>
      </c>
      <c r="Z2484">
        <v>0</v>
      </c>
    </row>
    <row r="2485" spans="1:26" hidden="1" x14ac:dyDescent="0.25">
      <c r="A2485" t="s">
        <v>5336</v>
      </c>
      <c r="B2485" t="s">
        <v>2153</v>
      </c>
      <c r="C2485" s="4">
        <v>45399</v>
      </c>
      <c r="F2485" s="4">
        <v>46167</v>
      </c>
      <c r="G2485" t="s">
        <v>52</v>
      </c>
      <c r="H2485" t="s">
        <v>4025</v>
      </c>
      <c r="K2485" t="s">
        <v>53</v>
      </c>
      <c r="L2485" t="s">
        <v>4890</v>
      </c>
      <c r="M2485" t="s">
        <v>54</v>
      </c>
      <c r="N2485" t="s">
        <v>4891</v>
      </c>
      <c r="O2485" t="s">
        <v>32</v>
      </c>
      <c r="P2485" t="s">
        <v>5337</v>
      </c>
      <c r="Q2485">
        <v>199.9</v>
      </c>
      <c r="R2485">
        <v>199.9</v>
      </c>
      <c r="S2485" t="s">
        <v>159</v>
      </c>
      <c r="T2485" t="s">
        <v>159</v>
      </c>
      <c r="W2485">
        <v>199.9</v>
      </c>
      <c r="X2485">
        <v>199.9</v>
      </c>
      <c r="Y2485">
        <v>0</v>
      </c>
      <c r="Z2485">
        <v>0</v>
      </c>
    </row>
    <row r="2486" spans="1:26" hidden="1" x14ac:dyDescent="0.25">
      <c r="A2486" t="s">
        <v>5338</v>
      </c>
      <c r="B2486" t="s">
        <v>2153</v>
      </c>
      <c r="C2486" s="4">
        <v>45394</v>
      </c>
      <c r="F2486" s="4">
        <v>46446</v>
      </c>
      <c r="G2486" t="s">
        <v>1326</v>
      </c>
      <c r="H2486" t="s">
        <v>1505</v>
      </c>
      <c r="K2486" t="s">
        <v>67</v>
      </c>
      <c r="L2486" t="s">
        <v>4890</v>
      </c>
      <c r="M2486" t="s">
        <v>68</v>
      </c>
      <c r="N2486" t="s">
        <v>4891</v>
      </c>
      <c r="O2486" t="s">
        <v>122</v>
      </c>
      <c r="P2486" t="s">
        <v>5339</v>
      </c>
      <c r="Q2486">
        <v>100</v>
      </c>
      <c r="R2486">
        <v>100</v>
      </c>
      <c r="S2486" t="s">
        <v>34</v>
      </c>
      <c r="T2486" t="s">
        <v>35</v>
      </c>
      <c r="W2486">
        <v>100</v>
      </c>
      <c r="X2486">
        <v>0</v>
      </c>
      <c r="Y2486">
        <v>0</v>
      </c>
      <c r="Z2486">
        <v>0</v>
      </c>
    </row>
    <row r="2487" spans="1:26" hidden="1" x14ac:dyDescent="0.25">
      <c r="A2487" t="s">
        <v>5340</v>
      </c>
      <c r="B2487" t="s">
        <v>38</v>
      </c>
      <c r="C2487" s="4">
        <v>45398</v>
      </c>
      <c r="D2487" s="4">
        <v>46014</v>
      </c>
      <c r="F2487" s="4">
        <v>47026</v>
      </c>
      <c r="G2487" t="s">
        <v>117</v>
      </c>
      <c r="H2487" t="s">
        <v>1765</v>
      </c>
      <c r="K2487" t="s">
        <v>83</v>
      </c>
      <c r="L2487" t="s">
        <v>4890</v>
      </c>
      <c r="M2487" t="s">
        <v>84</v>
      </c>
      <c r="N2487" t="s">
        <v>4891</v>
      </c>
      <c r="O2487" t="s">
        <v>122</v>
      </c>
      <c r="P2487" t="s">
        <v>1345</v>
      </c>
      <c r="Q2487">
        <v>350</v>
      </c>
      <c r="R2487">
        <v>350</v>
      </c>
      <c r="S2487" t="s">
        <v>34</v>
      </c>
      <c r="T2487" t="s">
        <v>35</v>
      </c>
      <c r="W2487">
        <v>0</v>
      </c>
      <c r="X2487">
        <v>0</v>
      </c>
      <c r="Y2487">
        <v>0</v>
      </c>
      <c r="Z2487">
        <v>0</v>
      </c>
    </row>
    <row r="2488" spans="1:26" hidden="1" x14ac:dyDescent="0.25">
      <c r="A2488" t="s">
        <v>5341</v>
      </c>
      <c r="B2488" t="s">
        <v>38</v>
      </c>
      <c r="C2488" s="4">
        <v>45398</v>
      </c>
      <c r="D2488" s="4">
        <v>45538</v>
      </c>
      <c r="F2488" s="4">
        <v>46447</v>
      </c>
      <c r="G2488" t="s">
        <v>117</v>
      </c>
      <c r="H2488" t="s">
        <v>1708</v>
      </c>
      <c r="K2488" t="s">
        <v>83</v>
      </c>
      <c r="L2488" t="s">
        <v>4890</v>
      </c>
      <c r="M2488" t="s">
        <v>84</v>
      </c>
      <c r="N2488" t="s">
        <v>4891</v>
      </c>
      <c r="O2488" t="s">
        <v>32</v>
      </c>
      <c r="P2488" t="s">
        <v>5342</v>
      </c>
      <c r="Q2488">
        <v>137.4</v>
      </c>
      <c r="R2488">
        <v>137.4</v>
      </c>
      <c r="S2488" t="s">
        <v>56</v>
      </c>
      <c r="T2488" t="s">
        <v>57</v>
      </c>
      <c r="U2488" t="s">
        <v>44</v>
      </c>
      <c r="W2488">
        <v>0</v>
      </c>
      <c r="X2488">
        <v>0</v>
      </c>
      <c r="Y2488">
        <v>0</v>
      </c>
      <c r="Z2488">
        <v>0</v>
      </c>
    </row>
    <row r="2489" spans="1:26" hidden="1" x14ac:dyDescent="0.25">
      <c r="A2489" t="s">
        <v>5343</v>
      </c>
      <c r="B2489" t="s">
        <v>38</v>
      </c>
      <c r="C2489" s="4">
        <v>45394</v>
      </c>
      <c r="D2489" s="4">
        <v>46014</v>
      </c>
      <c r="F2489" s="4">
        <v>46446</v>
      </c>
      <c r="G2489" t="s">
        <v>65</v>
      </c>
      <c r="H2489" t="s">
        <v>1285</v>
      </c>
      <c r="K2489" t="s">
        <v>67</v>
      </c>
      <c r="L2489" t="s">
        <v>4890</v>
      </c>
      <c r="M2489" t="s">
        <v>68</v>
      </c>
      <c r="N2489" t="s">
        <v>4891</v>
      </c>
      <c r="O2489" t="s">
        <v>122</v>
      </c>
      <c r="P2489" t="s">
        <v>4288</v>
      </c>
      <c r="Q2489">
        <v>200</v>
      </c>
      <c r="R2489">
        <v>200</v>
      </c>
      <c r="S2489" t="s">
        <v>34</v>
      </c>
      <c r="T2489" t="s">
        <v>35</v>
      </c>
      <c r="W2489">
        <v>0</v>
      </c>
      <c r="X2489">
        <v>0</v>
      </c>
      <c r="Y2489">
        <v>0</v>
      </c>
      <c r="Z2489">
        <v>0</v>
      </c>
    </row>
    <row r="2490" spans="1:26" hidden="1" x14ac:dyDescent="0.25">
      <c r="A2490" t="s">
        <v>5344</v>
      </c>
      <c r="B2490" t="s">
        <v>2153</v>
      </c>
      <c r="C2490" s="4">
        <v>45398</v>
      </c>
      <c r="F2490" s="4">
        <v>47011</v>
      </c>
      <c r="G2490" t="s">
        <v>907</v>
      </c>
      <c r="H2490" t="s">
        <v>1357</v>
      </c>
      <c r="K2490" t="s">
        <v>53</v>
      </c>
      <c r="L2490" t="s">
        <v>4890</v>
      </c>
      <c r="M2490" t="s">
        <v>54</v>
      </c>
      <c r="N2490" t="s">
        <v>4891</v>
      </c>
      <c r="O2490" t="s">
        <v>32</v>
      </c>
      <c r="P2490" t="s">
        <v>3711</v>
      </c>
      <c r="Q2490">
        <v>100</v>
      </c>
      <c r="R2490">
        <v>100</v>
      </c>
      <c r="S2490" t="s">
        <v>159</v>
      </c>
      <c r="T2490" t="s">
        <v>159</v>
      </c>
      <c r="W2490">
        <v>100</v>
      </c>
      <c r="X2490">
        <v>100</v>
      </c>
      <c r="Y2490">
        <v>0</v>
      </c>
      <c r="Z2490">
        <v>0</v>
      </c>
    </row>
    <row r="2491" spans="1:26" hidden="1" x14ac:dyDescent="0.25">
      <c r="A2491" t="s">
        <v>5345</v>
      </c>
      <c r="B2491" t="s">
        <v>38</v>
      </c>
      <c r="C2491" s="4">
        <v>45397</v>
      </c>
      <c r="D2491" s="4">
        <v>45925</v>
      </c>
      <c r="F2491" s="4">
        <v>46905</v>
      </c>
      <c r="G2491" t="s">
        <v>2735</v>
      </c>
      <c r="H2491" t="s">
        <v>1350</v>
      </c>
      <c r="K2491" t="s">
        <v>53</v>
      </c>
      <c r="L2491" t="s">
        <v>4890</v>
      </c>
      <c r="M2491" t="s">
        <v>54</v>
      </c>
      <c r="N2491" t="s">
        <v>4891</v>
      </c>
      <c r="O2491" t="s">
        <v>32</v>
      </c>
      <c r="P2491" t="s">
        <v>5346</v>
      </c>
      <c r="Q2491">
        <v>200</v>
      </c>
      <c r="R2491">
        <v>200</v>
      </c>
      <c r="S2491" t="s">
        <v>159</v>
      </c>
      <c r="T2491" t="s">
        <v>159</v>
      </c>
      <c r="W2491">
        <v>0</v>
      </c>
      <c r="X2491">
        <v>0</v>
      </c>
      <c r="Y2491">
        <v>0</v>
      </c>
      <c r="Z2491">
        <v>0</v>
      </c>
    </row>
    <row r="2492" spans="1:26" hidden="1" x14ac:dyDescent="0.25">
      <c r="A2492" t="s">
        <v>5347</v>
      </c>
      <c r="B2492" t="s">
        <v>38</v>
      </c>
      <c r="C2492" s="4">
        <v>45398</v>
      </c>
      <c r="D2492" s="4">
        <v>46014</v>
      </c>
      <c r="F2492" s="4">
        <v>47026</v>
      </c>
      <c r="G2492" t="s">
        <v>101</v>
      </c>
      <c r="H2492" t="s">
        <v>1336</v>
      </c>
      <c r="K2492" t="s">
        <v>98</v>
      </c>
      <c r="L2492" t="s">
        <v>4890</v>
      </c>
      <c r="M2492" t="s">
        <v>84</v>
      </c>
      <c r="N2492" t="s">
        <v>4891</v>
      </c>
      <c r="O2492" t="s">
        <v>32</v>
      </c>
      <c r="P2492" t="s">
        <v>5348</v>
      </c>
      <c r="Q2492">
        <v>400</v>
      </c>
      <c r="R2492">
        <v>400</v>
      </c>
      <c r="S2492" t="s">
        <v>34</v>
      </c>
      <c r="T2492" t="s">
        <v>35</v>
      </c>
      <c r="W2492">
        <v>0</v>
      </c>
      <c r="X2492">
        <v>0</v>
      </c>
      <c r="Y2492">
        <v>0</v>
      </c>
      <c r="Z2492">
        <v>0</v>
      </c>
    </row>
    <row r="2493" spans="1:26" hidden="1" x14ac:dyDescent="0.25">
      <c r="A2493" t="s">
        <v>5349</v>
      </c>
      <c r="B2493" t="s">
        <v>38</v>
      </c>
      <c r="C2493" s="4">
        <v>45398</v>
      </c>
      <c r="D2493" s="4">
        <v>45924</v>
      </c>
      <c r="F2493" s="4">
        <v>47026</v>
      </c>
      <c r="G2493" t="s">
        <v>101</v>
      </c>
      <c r="H2493" t="s">
        <v>1336</v>
      </c>
      <c r="K2493" t="s">
        <v>98</v>
      </c>
      <c r="L2493" t="s">
        <v>4890</v>
      </c>
      <c r="M2493" t="s">
        <v>84</v>
      </c>
      <c r="N2493" t="s">
        <v>4891</v>
      </c>
      <c r="O2493" t="s">
        <v>32</v>
      </c>
      <c r="P2493" t="s">
        <v>5348</v>
      </c>
      <c r="Q2493">
        <v>400</v>
      </c>
      <c r="R2493">
        <v>400</v>
      </c>
      <c r="S2493" t="s">
        <v>159</v>
      </c>
      <c r="T2493" t="s">
        <v>159</v>
      </c>
      <c r="W2493">
        <v>0</v>
      </c>
      <c r="X2493">
        <v>0</v>
      </c>
      <c r="Y2493">
        <v>0</v>
      </c>
      <c r="Z2493">
        <v>0</v>
      </c>
    </row>
    <row r="2494" spans="1:26" hidden="1" x14ac:dyDescent="0.25">
      <c r="A2494" t="s">
        <v>5350</v>
      </c>
      <c r="B2494" t="s">
        <v>38</v>
      </c>
      <c r="C2494" s="4">
        <v>45397</v>
      </c>
      <c r="D2494" s="4">
        <v>45930</v>
      </c>
      <c r="F2494" s="4">
        <v>47011</v>
      </c>
      <c r="G2494" t="s">
        <v>132</v>
      </c>
      <c r="H2494" t="s">
        <v>1827</v>
      </c>
      <c r="K2494" t="s">
        <v>83</v>
      </c>
      <c r="L2494" t="s">
        <v>4890</v>
      </c>
      <c r="M2494" t="s">
        <v>84</v>
      </c>
      <c r="N2494" t="s">
        <v>4891</v>
      </c>
      <c r="O2494" t="s">
        <v>32</v>
      </c>
      <c r="P2494" t="s">
        <v>1345</v>
      </c>
      <c r="Q2494">
        <v>105</v>
      </c>
      <c r="R2494">
        <v>105</v>
      </c>
      <c r="S2494" t="s">
        <v>34</v>
      </c>
      <c r="T2494" t="s">
        <v>35</v>
      </c>
      <c r="W2494">
        <v>0</v>
      </c>
      <c r="X2494">
        <v>0</v>
      </c>
      <c r="Y2494">
        <v>0</v>
      </c>
      <c r="Z2494">
        <v>0</v>
      </c>
    </row>
    <row r="2495" spans="1:26" hidden="1" x14ac:dyDescent="0.25">
      <c r="A2495" t="s">
        <v>5351</v>
      </c>
      <c r="B2495" t="s">
        <v>38</v>
      </c>
      <c r="C2495" s="4">
        <v>45372</v>
      </c>
      <c r="D2495" s="4">
        <v>46014</v>
      </c>
      <c r="F2495" s="4">
        <v>46631</v>
      </c>
      <c r="G2495" t="s">
        <v>681</v>
      </c>
      <c r="H2495" t="s">
        <v>1653</v>
      </c>
      <c r="K2495" t="s">
        <v>683</v>
      </c>
      <c r="L2495" t="s">
        <v>4890</v>
      </c>
      <c r="M2495" t="s">
        <v>84</v>
      </c>
      <c r="N2495" t="s">
        <v>4891</v>
      </c>
      <c r="O2495" t="s">
        <v>32</v>
      </c>
      <c r="P2495" t="s">
        <v>1162</v>
      </c>
      <c r="Q2495">
        <v>200</v>
      </c>
      <c r="R2495">
        <v>200</v>
      </c>
      <c r="S2495" t="s">
        <v>159</v>
      </c>
      <c r="T2495" t="s">
        <v>159</v>
      </c>
      <c r="W2495">
        <v>0</v>
      </c>
      <c r="X2495">
        <v>0</v>
      </c>
      <c r="Y2495">
        <v>0</v>
      </c>
      <c r="Z2495">
        <v>0</v>
      </c>
    </row>
    <row r="2496" spans="1:26" hidden="1" x14ac:dyDescent="0.25">
      <c r="A2496" t="s">
        <v>5352</v>
      </c>
      <c r="B2496" t="s">
        <v>38</v>
      </c>
      <c r="C2496" s="4">
        <v>45398</v>
      </c>
      <c r="D2496" s="4">
        <v>45758</v>
      </c>
      <c r="F2496" s="4">
        <v>47026</v>
      </c>
      <c r="G2496" t="s">
        <v>1679</v>
      </c>
      <c r="H2496" t="s">
        <v>4377</v>
      </c>
      <c r="K2496" t="s">
        <v>98</v>
      </c>
      <c r="L2496" t="s">
        <v>4890</v>
      </c>
      <c r="M2496" t="s">
        <v>84</v>
      </c>
      <c r="N2496" t="s">
        <v>4891</v>
      </c>
      <c r="O2496" t="s">
        <v>32</v>
      </c>
      <c r="P2496" t="s">
        <v>4378</v>
      </c>
      <c r="Q2496">
        <v>45</v>
      </c>
      <c r="R2496">
        <v>45</v>
      </c>
      <c r="S2496" t="s">
        <v>34</v>
      </c>
      <c r="T2496" t="s">
        <v>35</v>
      </c>
      <c r="W2496">
        <v>0</v>
      </c>
      <c r="X2496">
        <v>0</v>
      </c>
      <c r="Y2496">
        <v>0</v>
      </c>
      <c r="Z2496">
        <v>0</v>
      </c>
    </row>
    <row r="2497" spans="1:26" hidden="1" x14ac:dyDescent="0.25">
      <c r="A2497" t="s">
        <v>5353</v>
      </c>
      <c r="B2497" t="s">
        <v>38</v>
      </c>
      <c r="C2497" s="4">
        <v>45398</v>
      </c>
      <c r="D2497" s="4">
        <v>45758</v>
      </c>
      <c r="F2497" s="4">
        <v>47026</v>
      </c>
      <c r="G2497" t="s">
        <v>1679</v>
      </c>
      <c r="H2497" t="s">
        <v>4377</v>
      </c>
      <c r="K2497" t="s">
        <v>98</v>
      </c>
      <c r="L2497" t="s">
        <v>4890</v>
      </c>
      <c r="M2497" t="s">
        <v>84</v>
      </c>
      <c r="N2497" t="s">
        <v>4891</v>
      </c>
      <c r="O2497" t="s">
        <v>32</v>
      </c>
      <c r="P2497" t="s">
        <v>4378</v>
      </c>
      <c r="Q2497">
        <v>45</v>
      </c>
      <c r="R2497">
        <v>45</v>
      </c>
      <c r="S2497" t="s">
        <v>159</v>
      </c>
      <c r="T2497" t="s">
        <v>159</v>
      </c>
      <c r="W2497">
        <v>0</v>
      </c>
      <c r="X2497">
        <v>0</v>
      </c>
      <c r="Y2497">
        <v>0</v>
      </c>
      <c r="Z2497">
        <v>0</v>
      </c>
    </row>
    <row r="2498" spans="1:26" hidden="1" x14ac:dyDescent="0.25">
      <c r="A2498" t="s">
        <v>5354</v>
      </c>
      <c r="B2498" t="s">
        <v>2153</v>
      </c>
      <c r="C2498" s="4">
        <v>45399</v>
      </c>
      <c r="F2498" s="4">
        <v>47011</v>
      </c>
      <c r="G2498" t="s">
        <v>132</v>
      </c>
      <c r="H2498" t="s">
        <v>1827</v>
      </c>
      <c r="K2498" t="s">
        <v>83</v>
      </c>
      <c r="L2498" t="s">
        <v>4890</v>
      </c>
      <c r="M2498" t="s">
        <v>84</v>
      </c>
      <c r="N2498" t="s">
        <v>4891</v>
      </c>
      <c r="O2498" t="s">
        <v>32</v>
      </c>
      <c r="P2498" t="s">
        <v>1345</v>
      </c>
      <c r="Q2498">
        <v>200</v>
      </c>
      <c r="R2498">
        <v>200</v>
      </c>
      <c r="S2498" t="s">
        <v>56</v>
      </c>
      <c r="T2498" t="s">
        <v>57</v>
      </c>
      <c r="W2498">
        <v>200</v>
      </c>
      <c r="X2498">
        <v>200</v>
      </c>
      <c r="Y2498">
        <v>0</v>
      </c>
      <c r="Z2498">
        <v>0</v>
      </c>
    </row>
    <row r="2499" spans="1:26" hidden="1" x14ac:dyDescent="0.25">
      <c r="A2499" t="s">
        <v>5355</v>
      </c>
      <c r="B2499" t="s">
        <v>38</v>
      </c>
      <c r="C2499" s="4">
        <v>45397</v>
      </c>
      <c r="D2499" s="4">
        <v>45930</v>
      </c>
      <c r="F2499" s="4">
        <v>46997</v>
      </c>
      <c r="G2499" t="s">
        <v>101</v>
      </c>
      <c r="H2499" t="s">
        <v>1676</v>
      </c>
      <c r="K2499" t="s">
        <v>98</v>
      </c>
      <c r="L2499" t="s">
        <v>4890</v>
      </c>
      <c r="M2499" t="s">
        <v>84</v>
      </c>
      <c r="N2499" t="s">
        <v>4891</v>
      </c>
      <c r="O2499" t="s">
        <v>32</v>
      </c>
      <c r="P2499" t="s">
        <v>1874</v>
      </c>
      <c r="Q2499">
        <v>175</v>
      </c>
      <c r="R2499">
        <v>175</v>
      </c>
      <c r="S2499" t="s">
        <v>34</v>
      </c>
      <c r="T2499" t="s">
        <v>35</v>
      </c>
      <c r="W2499">
        <v>0</v>
      </c>
      <c r="X2499">
        <v>0</v>
      </c>
      <c r="Y2499">
        <v>0</v>
      </c>
      <c r="Z2499">
        <v>0</v>
      </c>
    </row>
    <row r="2500" spans="1:26" hidden="1" x14ac:dyDescent="0.25">
      <c r="A2500" t="s">
        <v>5356</v>
      </c>
      <c r="B2500" t="s">
        <v>2153</v>
      </c>
      <c r="C2500" s="4">
        <v>45397</v>
      </c>
      <c r="F2500" s="4">
        <v>47011</v>
      </c>
      <c r="G2500" t="s">
        <v>138</v>
      </c>
      <c r="H2500" t="s">
        <v>1676</v>
      </c>
      <c r="K2500" t="s">
        <v>98</v>
      </c>
      <c r="L2500" t="s">
        <v>4890</v>
      </c>
      <c r="M2500" t="s">
        <v>84</v>
      </c>
      <c r="N2500" t="s">
        <v>4891</v>
      </c>
      <c r="O2500" t="s">
        <v>32</v>
      </c>
      <c r="P2500" t="s">
        <v>4413</v>
      </c>
      <c r="Q2500">
        <v>220</v>
      </c>
      <c r="R2500">
        <v>220</v>
      </c>
      <c r="S2500" t="s">
        <v>34</v>
      </c>
      <c r="T2500" t="s">
        <v>35</v>
      </c>
      <c r="W2500">
        <v>220</v>
      </c>
      <c r="X2500">
        <v>220</v>
      </c>
      <c r="Y2500">
        <v>0</v>
      </c>
      <c r="Z2500">
        <v>0</v>
      </c>
    </row>
    <row r="2501" spans="1:26" hidden="1" x14ac:dyDescent="0.25">
      <c r="A2501" t="s">
        <v>5357</v>
      </c>
      <c r="B2501" t="s">
        <v>2153</v>
      </c>
      <c r="C2501" s="4">
        <v>45394</v>
      </c>
      <c r="F2501" s="4">
        <v>46724</v>
      </c>
      <c r="G2501" t="s">
        <v>907</v>
      </c>
      <c r="H2501" t="s">
        <v>1450</v>
      </c>
      <c r="K2501" t="s">
        <v>53</v>
      </c>
      <c r="L2501" t="s">
        <v>4890</v>
      </c>
      <c r="M2501" t="s">
        <v>54</v>
      </c>
      <c r="N2501" t="s">
        <v>4891</v>
      </c>
      <c r="O2501" t="s">
        <v>32</v>
      </c>
      <c r="P2501" t="s">
        <v>3787</v>
      </c>
      <c r="Q2501">
        <v>220</v>
      </c>
      <c r="R2501">
        <v>220</v>
      </c>
      <c r="S2501" t="s">
        <v>56</v>
      </c>
      <c r="T2501" t="s">
        <v>57</v>
      </c>
      <c r="W2501">
        <v>220</v>
      </c>
      <c r="X2501">
        <v>220</v>
      </c>
      <c r="Y2501">
        <v>0</v>
      </c>
      <c r="Z2501">
        <v>0</v>
      </c>
    </row>
    <row r="2502" spans="1:26" hidden="1" x14ac:dyDescent="0.25">
      <c r="A2502" t="s">
        <v>5358</v>
      </c>
      <c r="B2502" t="s">
        <v>2153</v>
      </c>
      <c r="C2502" s="4">
        <v>45399</v>
      </c>
      <c r="F2502" s="4">
        <v>47026</v>
      </c>
      <c r="G2502" t="s">
        <v>117</v>
      </c>
      <c r="H2502" t="s">
        <v>1887</v>
      </c>
      <c r="K2502" t="s">
        <v>83</v>
      </c>
      <c r="L2502" t="s">
        <v>4890</v>
      </c>
      <c r="M2502" t="s">
        <v>84</v>
      </c>
      <c r="N2502" t="s">
        <v>4891</v>
      </c>
      <c r="O2502" t="s">
        <v>32</v>
      </c>
      <c r="P2502" t="s">
        <v>1345</v>
      </c>
      <c r="Q2502">
        <v>200</v>
      </c>
      <c r="R2502">
        <v>200</v>
      </c>
      <c r="S2502" t="s">
        <v>159</v>
      </c>
      <c r="T2502" t="s">
        <v>159</v>
      </c>
      <c r="W2502">
        <v>200</v>
      </c>
      <c r="X2502">
        <v>200</v>
      </c>
      <c r="Y2502">
        <v>0</v>
      </c>
      <c r="Z2502">
        <v>0</v>
      </c>
    </row>
    <row r="2503" spans="1:26" hidden="1" x14ac:dyDescent="0.25">
      <c r="A2503" t="s">
        <v>5359</v>
      </c>
      <c r="B2503" t="s">
        <v>2153</v>
      </c>
      <c r="C2503" s="4">
        <v>45395</v>
      </c>
      <c r="F2503" s="4">
        <v>47011</v>
      </c>
      <c r="G2503" t="s">
        <v>132</v>
      </c>
      <c r="H2503" t="s">
        <v>1387</v>
      </c>
      <c r="K2503" t="s">
        <v>83</v>
      </c>
      <c r="L2503" t="s">
        <v>4890</v>
      </c>
      <c r="M2503" t="s">
        <v>84</v>
      </c>
      <c r="N2503" t="s">
        <v>4891</v>
      </c>
      <c r="O2503" t="s">
        <v>32</v>
      </c>
      <c r="P2503" t="s">
        <v>4495</v>
      </c>
      <c r="Q2503">
        <v>250</v>
      </c>
      <c r="R2503">
        <v>250</v>
      </c>
      <c r="S2503" t="s">
        <v>34</v>
      </c>
      <c r="T2503" t="s">
        <v>35</v>
      </c>
      <c r="W2503">
        <v>250</v>
      </c>
      <c r="X2503">
        <v>250</v>
      </c>
      <c r="Y2503">
        <v>0</v>
      </c>
      <c r="Z2503">
        <v>0</v>
      </c>
    </row>
    <row r="2504" spans="1:26" hidden="1" x14ac:dyDescent="0.25">
      <c r="A2504" t="s">
        <v>5360</v>
      </c>
      <c r="B2504" t="s">
        <v>38</v>
      </c>
      <c r="C2504" s="4">
        <v>45396</v>
      </c>
      <c r="D2504" s="4">
        <v>45868</v>
      </c>
      <c r="F2504" s="4">
        <v>47011</v>
      </c>
      <c r="G2504" t="s">
        <v>254</v>
      </c>
      <c r="H2504" t="s">
        <v>3351</v>
      </c>
      <c r="K2504" t="s">
        <v>98</v>
      </c>
      <c r="L2504" t="s">
        <v>4890</v>
      </c>
      <c r="M2504" t="s">
        <v>84</v>
      </c>
      <c r="N2504" t="s">
        <v>4891</v>
      </c>
      <c r="O2504" t="s">
        <v>32</v>
      </c>
      <c r="P2504" t="s">
        <v>5361</v>
      </c>
      <c r="Q2504">
        <v>300</v>
      </c>
      <c r="R2504">
        <v>300</v>
      </c>
      <c r="S2504" t="s">
        <v>34</v>
      </c>
      <c r="T2504" t="s">
        <v>35</v>
      </c>
      <c r="W2504">
        <v>0</v>
      </c>
      <c r="X2504">
        <v>0</v>
      </c>
      <c r="Y2504">
        <v>0</v>
      </c>
      <c r="Z2504">
        <v>0</v>
      </c>
    </row>
    <row r="2505" spans="1:26" hidden="1" x14ac:dyDescent="0.25">
      <c r="A2505" t="s">
        <v>5362</v>
      </c>
      <c r="B2505" t="s">
        <v>38</v>
      </c>
      <c r="C2505" s="4">
        <v>45399</v>
      </c>
      <c r="D2505" s="4">
        <v>46014</v>
      </c>
      <c r="F2505" s="4">
        <v>47011</v>
      </c>
      <c r="G2505" t="s">
        <v>39</v>
      </c>
      <c r="H2505" t="s">
        <v>1268</v>
      </c>
      <c r="K2505" t="s">
        <v>41</v>
      </c>
      <c r="L2505" t="s">
        <v>4890</v>
      </c>
      <c r="M2505" t="s">
        <v>42</v>
      </c>
      <c r="N2505" t="s">
        <v>4891</v>
      </c>
      <c r="O2505" t="s">
        <v>32</v>
      </c>
      <c r="P2505" t="s">
        <v>5363</v>
      </c>
      <c r="Q2505">
        <v>150</v>
      </c>
      <c r="R2505">
        <v>150</v>
      </c>
      <c r="S2505" t="s">
        <v>159</v>
      </c>
      <c r="T2505" t="s">
        <v>159</v>
      </c>
      <c r="W2505">
        <v>0</v>
      </c>
      <c r="X2505">
        <v>0</v>
      </c>
      <c r="Y2505">
        <v>0</v>
      </c>
      <c r="Z2505">
        <v>0</v>
      </c>
    </row>
    <row r="2506" spans="1:26" hidden="1" x14ac:dyDescent="0.25">
      <c r="A2506" t="s">
        <v>5364</v>
      </c>
      <c r="B2506" t="s">
        <v>38</v>
      </c>
      <c r="C2506" s="4">
        <v>45397</v>
      </c>
      <c r="D2506" s="4">
        <v>46014</v>
      </c>
      <c r="F2506" s="4">
        <v>46905</v>
      </c>
      <c r="G2506" t="s">
        <v>52</v>
      </c>
      <c r="H2506" t="s">
        <v>5365</v>
      </c>
      <c r="K2506" t="s">
        <v>53</v>
      </c>
      <c r="L2506" t="s">
        <v>4890</v>
      </c>
      <c r="M2506" t="s">
        <v>54</v>
      </c>
      <c r="N2506" t="s">
        <v>4891</v>
      </c>
      <c r="O2506" t="s">
        <v>32</v>
      </c>
      <c r="P2506" t="s">
        <v>5366</v>
      </c>
      <c r="Q2506">
        <v>200</v>
      </c>
      <c r="R2506">
        <v>200</v>
      </c>
      <c r="S2506" t="s">
        <v>159</v>
      </c>
      <c r="T2506" t="s">
        <v>159</v>
      </c>
      <c r="W2506">
        <v>0</v>
      </c>
      <c r="X2506">
        <v>0</v>
      </c>
      <c r="Y2506">
        <v>0</v>
      </c>
      <c r="Z2506">
        <v>0</v>
      </c>
    </row>
    <row r="2507" spans="1:26" hidden="1" x14ac:dyDescent="0.25">
      <c r="A2507" t="s">
        <v>5367</v>
      </c>
      <c r="B2507" t="s">
        <v>38</v>
      </c>
      <c r="C2507" s="4">
        <v>45399</v>
      </c>
      <c r="D2507" s="4">
        <v>45929</v>
      </c>
      <c r="F2507" s="4">
        <v>47011</v>
      </c>
      <c r="G2507" t="s">
        <v>52</v>
      </c>
      <c r="H2507" t="s">
        <v>2165</v>
      </c>
      <c r="K2507" t="s">
        <v>53</v>
      </c>
      <c r="L2507" t="s">
        <v>4890</v>
      </c>
      <c r="M2507" t="s">
        <v>54</v>
      </c>
      <c r="N2507" t="s">
        <v>4891</v>
      </c>
      <c r="O2507" t="s">
        <v>32</v>
      </c>
      <c r="P2507" t="s">
        <v>2677</v>
      </c>
      <c r="Q2507">
        <v>200</v>
      </c>
      <c r="R2507">
        <v>200</v>
      </c>
      <c r="S2507" t="s">
        <v>159</v>
      </c>
      <c r="T2507" t="s">
        <v>159</v>
      </c>
      <c r="W2507">
        <v>0</v>
      </c>
      <c r="X2507">
        <v>0</v>
      </c>
      <c r="Y2507">
        <v>0</v>
      </c>
      <c r="Z2507">
        <v>0</v>
      </c>
    </row>
    <row r="2508" spans="1:26" hidden="1" x14ac:dyDescent="0.25">
      <c r="A2508" t="s">
        <v>5368</v>
      </c>
      <c r="B2508" t="s">
        <v>38</v>
      </c>
      <c r="C2508" s="4">
        <v>45400</v>
      </c>
      <c r="D2508" s="4">
        <v>45930</v>
      </c>
      <c r="F2508" s="4">
        <v>47026</v>
      </c>
      <c r="G2508" t="s">
        <v>254</v>
      </c>
      <c r="H2508" t="s">
        <v>1691</v>
      </c>
      <c r="K2508" t="s">
        <v>98</v>
      </c>
      <c r="L2508" t="s">
        <v>4890</v>
      </c>
      <c r="M2508" t="s">
        <v>84</v>
      </c>
      <c r="N2508" t="s">
        <v>4891</v>
      </c>
      <c r="O2508" t="s">
        <v>32</v>
      </c>
      <c r="P2508" t="s">
        <v>5369</v>
      </c>
      <c r="Q2508">
        <v>200</v>
      </c>
      <c r="R2508">
        <v>200</v>
      </c>
      <c r="S2508" t="s">
        <v>34</v>
      </c>
      <c r="T2508" t="s">
        <v>35</v>
      </c>
      <c r="W2508">
        <v>0</v>
      </c>
      <c r="X2508">
        <v>0</v>
      </c>
      <c r="Y2508">
        <v>0</v>
      </c>
      <c r="Z2508">
        <v>0</v>
      </c>
    </row>
    <row r="2509" spans="1:26" hidden="1" x14ac:dyDescent="0.25">
      <c r="A2509" t="s">
        <v>5370</v>
      </c>
      <c r="B2509" t="s">
        <v>38</v>
      </c>
      <c r="C2509" s="4">
        <v>45398</v>
      </c>
      <c r="D2509" s="4">
        <v>46014</v>
      </c>
      <c r="F2509" s="4">
        <v>47026</v>
      </c>
      <c r="G2509" t="s">
        <v>1251</v>
      </c>
      <c r="H2509" t="s">
        <v>1341</v>
      </c>
      <c r="K2509" t="s">
        <v>109</v>
      </c>
      <c r="L2509" t="s">
        <v>4890</v>
      </c>
      <c r="M2509" t="s">
        <v>84</v>
      </c>
      <c r="N2509" t="s">
        <v>4891</v>
      </c>
      <c r="O2509" t="s">
        <v>32</v>
      </c>
      <c r="P2509" t="s">
        <v>5371</v>
      </c>
      <c r="Q2509">
        <v>150</v>
      </c>
      <c r="R2509">
        <v>150</v>
      </c>
      <c r="S2509" t="s">
        <v>34</v>
      </c>
      <c r="T2509" t="s">
        <v>35</v>
      </c>
      <c r="W2509">
        <v>0</v>
      </c>
      <c r="X2509">
        <v>0</v>
      </c>
      <c r="Y2509">
        <v>0</v>
      </c>
      <c r="Z2509">
        <v>0</v>
      </c>
    </row>
    <row r="2510" spans="1:26" hidden="1" x14ac:dyDescent="0.25">
      <c r="A2510" t="s">
        <v>5372</v>
      </c>
      <c r="B2510" t="s">
        <v>2153</v>
      </c>
      <c r="C2510" s="4">
        <v>45398</v>
      </c>
      <c r="F2510" s="4">
        <v>47026</v>
      </c>
      <c r="G2510" t="s">
        <v>1251</v>
      </c>
      <c r="H2510" t="s">
        <v>1341</v>
      </c>
      <c r="K2510" t="s">
        <v>109</v>
      </c>
      <c r="L2510" t="s">
        <v>4890</v>
      </c>
      <c r="M2510" t="s">
        <v>84</v>
      </c>
      <c r="N2510" t="s">
        <v>4891</v>
      </c>
      <c r="O2510" t="s">
        <v>32</v>
      </c>
      <c r="P2510" t="s">
        <v>5371</v>
      </c>
      <c r="Q2510">
        <v>150</v>
      </c>
      <c r="R2510">
        <v>150</v>
      </c>
      <c r="S2510" t="s">
        <v>159</v>
      </c>
      <c r="T2510" t="s">
        <v>159</v>
      </c>
      <c r="W2510">
        <v>150</v>
      </c>
      <c r="X2510">
        <v>150</v>
      </c>
      <c r="Y2510">
        <v>0</v>
      </c>
      <c r="Z2510">
        <v>0</v>
      </c>
    </row>
    <row r="2511" spans="1:26" hidden="1" x14ac:dyDescent="0.25">
      <c r="A2511" t="s">
        <v>5373</v>
      </c>
      <c r="B2511" t="s">
        <v>38</v>
      </c>
      <c r="C2511" s="4">
        <v>45397</v>
      </c>
      <c r="D2511" s="4">
        <v>45517</v>
      </c>
      <c r="F2511" s="4">
        <v>46934</v>
      </c>
      <c r="G2511" t="s">
        <v>117</v>
      </c>
      <c r="H2511" t="s">
        <v>1663</v>
      </c>
      <c r="K2511" t="s">
        <v>83</v>
      </c>
      <c r="L2511" t="s">
        <v>4890</v>
      </c>
      <c r="M2511" t="s">
        <v>84</v>
      </c>
      <c r="N2511" t="s">
        <v>4891</v>
      </c>
      <c r="O2511" t="s">
        <v>32</v>
      </c>
      <c r="P2511" t="s">
        <v>5374</v>
      </c>
      <c r="Q2511">
        <v>100</v>
      </c>
      <c r="R2511">
        <v>100</v>
      </c>
      <c r="S2511" t="s">
        <v>159</v>
      </c>
      <c r="T2511" t="s">
        <v>159</v>
      </c>
      <c r="W2511">
        <v>0</v>
      </c>
      <c r="X2511">
        <v>0</v>
      </c>
      <c r="Y2511">
        <v>0</v>
      </c>
      <c r="Z2511">
        <v>0</v>
      </c>
    </row>
    <row r="2512" spans="1:26" hidden="1" x14ac:dyDescent="0.25">
      <c r="A2512" t="s">
        <v>5375</v>
      </c>
      <c r="B2512" t="s">
        <v>38</v>
      </c>
      <c r="C2512" s="4">
        <v>45383</v>
      </c>
      <c r="D2512" s="4">
        <v>46014</v>
      </c>
      <c r="F2512" s="4">
        <v>46507</v>
      </c>
      <c r="G2512" t="s">
        <v>117</v>
      </c>
      <c r="H2512" t="s">
        <v>2013</v>
      </c>
      <c r="K2512" t="s">
        <v>83</v>
      </c>
      <c r="L2512" t="s">
        <v>4890</v>
      </c>
      <c r="M2512" t="s">
        <v>84</v>
      </c>
      <c r="N2512" t="s">
        <v>4891</v>
      </c>
      <c r="O2512" t="s">
        <v>32</v>
      </c>
      <c r="P2512" t="s">
        <v>5376</v>
      </c>
      <c r="Q2512">
        <v>17</v>
      </c>
      <c r="R2512">
        <v>17</v>
      </c>
      <c r="S2512" t="s">
        <v>34</v>
      </c>
      <c r="T2512" t="s">
        <v>35</v>
      </c>
      <c r="W2512">
        <v>0</v>
      </c>
      <c r="X2512">
        <v>0</v>
      </c>
      <c r="Y2512">
        <v>0</v>
      </c>
      <c r="Z2512">
        <v>0</v>
      </c>
    </row>
    <row r="2513" spans="1:26" hidden="1" x14ac:dyDescent="0.25">
      <c r="A2513" t="s">
        <v>5377</v>
      </c>
      <c r="B2513" t="s">
        <v>38</v>
      </c>
      <c r="C2513" s="4">
        <v>45383</v>
      </c>
      <c r="D2513" s="4">
        <v>46014</v>
      </c>
      <c r="F2513" s="4">
        <v>46507</v>
      </c>
      <c r="G2513" t="s">
        <v>117</v>
      </c>
      <c r="H2513" t="s">
        <v>2800</v>
      </c>
      <c r="K2513" t="s">
        <v>83</v>
      </c>
      <c r="L2513" t="s">
        <v>4890</v>
      </c>
      <c r="M2513" t="s">
        <v>84</v>
      </c>
      <c r="N2513" t="s">
        <v>4891</v>
      </c>
      <c r="O2513" t="s">
        <v>32</v>
      </c>
      <c r="P2513" t="s">
        <v>5378</v>
      </c>
      <c r="Q2513">
        <v>16.3</v>
      </c>
      <c r="R2513">
        <v>16.3</v>
      </c>
      <c r="S2513" t="s">
        <v>34</v>
      </c>
      <c r="T2513" t="s">
        <v>35</v>
      </c>
      <c r="W2513">
        <v>0</v>
      </c>
      <c r="X2513">
        <v>0</v>
      </c>
      <c r="Y2513">
        <v>0</v>
      </c>
      <c r="Z2513">
        <v>0</v>
      </c>
    </row>
    <row r="2514" spans="1:26" hidden="1" x14ac:dyDescent="0.25">
      <c r="A2514" t="s">
        <v>5379</v>
      </c>
      <c r="B2514" t="s">
        <v>38</v>
      </c>
      <c r="C2514" s="4">
        <v>45398</v>
      </c>
      <c r="D2514" s="4">
        <v>46014</v>
      </c>
      <c r="F2514" s="4">
        <v>46738</v>
      </c>
      <c r="G2514" t="s">
        <v>1594</v>
      </c>
      <c r="H2514" t="s">
        <v>1291</v>
      </c>
      <c r="K2514" t="s">
        <v>83</v>
      </c>
      <c r="L2514" t="s">
        <v>4890</v>
      </c>
      <c r="M2514" t="s">
        <v>84</v>
      </c>
      <c r="N2514" t="s">
        <v>4891</v>
      </c>
      <c r="O2514" t="s">
        <v>32</v>
      </c>
      <c r="P2514" t="s">
        <v>5380</v>
      </c>
      <c r="Q2514">
        <v>380</v>
      </c>
      <c r="R2514">
        <v>380</v>
      </c>
      <c r="S2514" t="s">
        <v>159</v>
      </c>
      <c r="T2514" t="s">
        <v>159</v>
      </c>
      <c r="W2514">
        <v>0</v>
      </c>
      <c r="X2514">
        <v>0</v>
      </c>
      <c r="Y2514">
        <v>0</v>
      </c>
      <c r="Z2514">
        <v>0</v>
      </c>
    </row>
    <row r="2515" spans="1:26" hidden="1" x14ac:dyDescent="0.25">
      <c r="A2515" t="s">
        <v>5381</v>
      </c>
      <c r="B2515" t="s">
        <v>38</v>
      </c>
      <c r="C2515" s="4">
        <v>45399</v>
      </c>
      <c r="D2515" s="4">
        <v>46014</v>
      </c>
      <c r="F2515" s="4">
        <v>46966</v>
      </c>
      <c r="G2515" t="s">
        <v>65</v>
      </c>
      <c r="H2515" t="s">
        <v>1879</v>
      </c>
      <c r="K2515" t="s">
        <v>67</v>
      </c>
      <c r="L2515" t="s">
        <v>4890</v>
      </c>
      <c r="M2515" t="s">
        <v>68</v>
      </c>
      <c r="N2515" t="s">
        <v>4891</v>
      </c>
      <c r="O2515" t="s">
        <v>32</v>
      </c>
      <c r="P2515" t="s">
        <v>2092</v>
      </c>
      <c r="Q2515">
        <v>175</v>
      </c>
      <c r="R2515">
        <v>175</v>
      </c>
      <c r="S2515" t="s">
        <v>597</v>
      </c>
      <c r="T2515" t="s">
        <v>598</v>
      </c>
      <c r="W2515">
        <v>0</v>
      </c>
      <c r="X2515">
        <v>0</v>
      </c>
      <c r="Y2515">
        <v>0</v>
      </c>
      <c r="Z2515">
        <v>0</v>
      </c>
    </row>
    <row r="2516" spans="1:26" hidden="1" x14ac:dyDescent="0.25">
      <c r="A2516" t="s">
        <v>5382</v>
      </c>
      <c r="B2516" t="s">
        <v>38</v>
      </c>
      <c r="C2516" s="4">
        <v>45399</v>
      </c>
      <c r="D2516" s="4">
        <v>45929</v>
      </c>
      <c r="F2516" s="4">
        <v>47011</v>
      </c>
      <c r="G2516" t="s">
        <v>65</v>
      </c>
      <c r="H2516" t="s">
        <v>2482</v>
      </c>
      <c r="K2516" t="s">
        <v>67</v>
      </c>
      <c r="L2516" t="s">
        <v>4890</v>
      </c>
      <c r="M2516" t="s">
        <v>68</v>
      </c>
      <c r="N2516" t="s">
        <v>4891</v>
      </c>
      <c r="O2516" t="s">
        <v>32</v>
      </c>
      <c r="P2516" t="s">
        <v>2488</v>
      </c>
      <c r="Q2516">
        <v>250</v>
      </c>
      <c r="R2516">
        <v>250</v>
      </c>
      <c r="S2516" t="s">
        <v>34</v>
      </c>
      <c r="T2516" t="s">
        <v>35</v>
      </c>
      <c r="W2516">
        <v>0</v>
      </c>
      <c r="X2516">
        <v>0</v>
      </c>
      <c r="Y2516">
        <v>0</v>
      </c>
      <c r="Z2516">
        <v>0</v>
      </c>
    </row>
    <row r="2517" spans="1:26" hidden="1" x14ac:dyDescent="0.25">
      <c r="A2517" t="s">
        <v>5383</v>
      </c>
      <c r="B2517" t="s">
        <v>38</v>
      </c>
      <c r="C2517" s="4">
        <v>45387</v>
      </c>
      <c r="D2517" s="4">
        <v>45924</v>
      </c>
      <c r="F2517" s="4">
        <v>46905</v>
      </c>
      <c r="G2517" t="s">
        <v>907</v>
      </c>
      <c r="H2517" t="s">
        <v>2288</v>
      </c>
      <c r="K2517" t="s">
        <v>53</v>
      </c>
      <c r="L2517" t="s">
        <v>4890</v>
      </c>
      <c r="M2517" t="s">
        <v>54</v>
      </c>
      <c r="N2517" t="s">
        <v>4891</v>
      </c>
      <c r="O2517" t="s">
        <v>32</v>
      </c>
      <c r="P2517" t="s">
        <v>5384</v>
      </c>
      <c r="Q2517">
        <v>150</v>
      </c>
      <c r="R2517">
        <v>150</v>
      </c>
      <c r="S2517" t="s">
        <v>159</v>
      </c>
      <c r="T2517" t="s">
        <v>159</v>
      </c>
      <c r="W2517">
        <v>0</v>
      </c>
      <c r="X2517">
        <v>0</v>
      </c>
      <c r="Y2517">
        <v>0</v>
      </c>
      <c r="Z2517">
        <v>0</v>
      </c>
    </row>
    <row r="2518" spans="1:26" hidden="1" x14ac:dyDescent="0.25">
      <c r="A2518" t="s">
        <v>5385</v>
      </c>
      <c r="B2518" t="s">
        <v>38</v>
      </c>
      <c r="C2518" s="4">
        <v>45399</v>
      </c>
      <c r="D2518" s="4">
        <v>45929</v>
      </c>
      <c r="F2518" s="4">
        <v>47011</v>
      </c>
      <c r="G2518" t="s">
        <v>144</v>
      </c>
      <c r="H2518" t="s">
        <v>1462</v>
      </c>
      <c r="K2518" t="s">
        <v>146</v>
      </c>
      <c r="L2518" t="s">
        <v>4890</v>
      </c>
      <c r="M2518" t="s">
        <v>68</v>
      </c>
      <c r="N2518" t="s">
        <v>4891</v>
      </c>
      <c r="O2518" t="s">
        <v>32</v>
      </c>
      <c r="P2518" t="s">
        <v>5386</v>
      </c>
      <c r="Q2518">
        <v>550</v>
      </c>
      <c r="R2518">
        <v>550</v>
      </c>
      <c r="S2518" t="s">
        <v>34</v>
      </c>
      <c r="T2518" t="s">
        <v>35</v>
      </c>
      <c r="W2518">
        <v>0</v>
      </c>
      <c r="X2518">
        <v>0</v>
      </c>
      <c r="Y2518">
        <v>0</v>
      </c>
      <c r="Z2518">
        <v>0</v>
      </c>
    </row>
    <row r="2519" spans="1:26" hidden="1" x14ac:dyDescent="0.25">
      <c r="A2519" t="s">
        <v>5387</v>
      </c>
      <c r="B2519" t="s">
        <v>38</v>
      </c>
      <c r="C2519" s="4">
        <v>45387</v>
      </c>
      <c r="D2519" s="4">
        <v>45764</v>
      </c>
      <c r="F2519" s="4">
        <v>46905</v>
      </c>
      <c r="G2519" t="s">
        <v>1278</v>
      </c>
      <c r="H2519" t="s">
        <v>1694</v>
      </c>
      <c r="K2519" t="s">
        <v>53</v>
      </c>
      <c r="L2519" t="s">
        <v>4890</v>
      </c>
      <c r="M2519" t="s">
        <v>30</v>
      </c>
      <c r="N2519" t="s">
        <v>4891</v>
      </c>
      <c r="O2519" t="s">
        <v>32</v>
      </c>
      <c r="P2519" t="s">
        <v>5388</v>
      </c>
      <c r="Q2519">
        <v>100</v>
      </c>
      <c r="R2519">
        <v>100</v>
      </c>
      <c r="S2519" t="s">
        <v>34</v>
      </c>
      <c r="T2519" t="s">
        <v>35</v>
      </c>
      <c r="W2519">
        <v>0</v>
      </c>
      <c r="X2519">
        <v>0</v>
      </c>
      <c r="Y2519">
        <v>0</v>
      </c>
      <c r="Z2519">
        <v>0</v>
      </c>
    </row>
    <row r="2520" spans="1:26" hidden="1" x14ac:dyDescent="0.25">
      <c r="A2520" t="s">
        <v>5389</v>
      </c>
      <c r="B2520" t="s">
        <v>2153</v>
      </c>
      <c r="C2520" s="4">
        <v>45399</v>
      </c>
      <c r="F2520" s="4">
        <v>46167</v>
      </c>
      <c r="G2520" t="s">
        <v>1594</v>
      </c>
      <c r="H2520" t="s">
        <v>1291</v>
      </c>
      <c r="K2520" t="s">
        <v>83</v>
      </c>
      <c r="L2520" t="s">
        <v>4890</v>
      </c>
      <c r="M2520" t="s">
        <v>84</v>
      </c>
      <c r="N2520" t="s">
        <v>4891</v>
      </c>
      <c r="O2520" t="s">
        <v>122</v>
      </c>
      <c r="P2520" t="s">
        <v>5380</v>
      </c>
      <c r="Q2520">
        <v>199.9</v>
      </c>
      <c r="R2520">
        <v>199.9</v>
      </c>
      <c r="S2520" t="s">
        <v>159</v>
      </c>
      <c r="T2520" t="s">
        <v>159</v>
      </c>
      <c r="W2520">
        <v>199.9</v>
      </c>
      <c r="X2520">
        <v>0</v>
      </c>
      <c r="Y2520">
        <v>0</v>
      </c>
      <c r="Z2520">
        <v>0</v>
      </c>
    </row>
    <row r="2521" spans="1:26" hidden="1" x14ac:dyDescent="0.25">
      <c r="A2521" t="s">
        <v>5390</v>
      </c>
      <c r="B2521" t="s">
        <v>38</v>
      </c>
      <c r="C2521" s="4">
        <v>45399</v>
      </c>
      <c r="D2521" s="4">
        <v>45883</v>
      </c>
      <c r="F2521" s="4">
        <v>46167</v>
      </c>
      <c r="G2521" t="s">
        <v>117</v>
      </c>
      <c r="H2521" t="s">
        <v>1437</v>
      </c>
      <c r="K2521" t="s">
        <v>83</v>
      </c>
      <c r="L2521" t="s">
        <v>4890</v>
      </c>
      <c r="M2521" t="s">
        <v>84</v>
      </c>
      <c r="N2521" t="s">
        <v>4891</v>
      </c>
      <c r="O2521" t="s">
        <v>122</v>
      </c>
      <c r="P2521" t="s">
        <v>5391</v>
      </c>
      <c r="Q2521">
        <v>83.4</v>
      </c>
      <c r="R2521">
        <v>83.4</v>
      </c>
      <c r="S2521" t="s">
        <v>159</v>
      </c>
      <c r="T2521" t="s">
        <v>159</v>
      </c>
      <c r="W2521">
        <v>0</v>
      </c>
      <c r="X2521">
        <v>0</v>
      </c>
      <c r="Y2521">
        <v>0</v>
      </c>
      <c r="Z2521">
        <v>0</v>
      </c>
    </row>
    <row r="2522" spans="1:26" hidden="1" x14ac:dyDescent="0.25">
      <c r="A2522" t="s">
        <v>5392</v>
      </c>
      <c r="B2522" t="s">
        <v>2338</v>
      </c>
      <c r="C2522" s="4">
        <v>45401</v>
      </c>
      <c r="F2522" s="4">
        <v>47057</v>
      </c>
      <c r="G2522" t="s">
        <v>117</v>
      </c>
      <c r="H2522" t="s">
        <v>3011</v>
      </c>
      <c r="K2522" t="s">
        <v>83</v>
      </c>
      <c r="L2522" t="s">
        <v>5172</v>
      </c>
      <c r="M2522" t="s">
        <v>84</v>
      </c>
      <c r="N2522" t="s">
        <v>3122</v>
      </c>
      <c r="O2522" t="s">
        <v>32</v>
      </c>
      <c r="P2522" t="s">
        <v>5393</v>
      </c>
      <c r="Q2522">
        <v>190</v>
      </c>
      <c r="R2522">
        <v>190</v>
      </c>
      <c r="S2522" t="s">
        <v>159</v>
      </c>
      <c r="T2522" t="s">
        <v>159</v>
      </c>
      <c r="W2522">
        <v>145</v>
      </c>
      <c r="X2522">
        <v>145</v>
      </c>
      <c r="Y2522">
        <v>0</v>
      </c>
      <c r="Z2522">
        <v>0</v>
      </c>
    </row>
    <row r="2523" spans="1:26" hidden="1" x14ac:dyDescent="0.25">
      <c r="A2523" t="s">
        <v>5394</v>
      </c>
      <c r="B2523" t="s">
        <v>2338</v>
      </c>
      <c r="C2523" s="4">
        <v>45401</v>
      </c>
      <c r="F2523" s="4">
        <v>47057</v>
      </c>
      <c r="G2523" t="s">
        <v>1251</v>
      </c>
      <c r="H2523" t="s">
        <v>3637</v>
      </c>
      <c r="K2523" t="s">
        <v>109</v>
      </c>
      <c r="L2523" t="s">
        <v>5172</v>
      </c>
      <c r="M2523" t="s">
        <v>84</v>
      </c>
      <c r="N2523" t="s">
        <v>3122</v>
      </c>
      <c r="O2523" t="s">
        <v>32</v>
      </c>
      <c r="P2523" t="s">
        <v>5395</v>
      </c>
      <c r="Q2523">
        <v>300</v>
      </c>
      <c r="R2523">
        <v>300</v>
      </c>
      <c r="S2523" t="s">
        <v>159</v>
      </c>
      <c r="T2523" t="s">
        <v>159</v>
      </c>
      <c r="W2523">
        <v>300</v>
      </c>
      <c r="X2523">
        <v>300</v>
      </c>
      <c r="Y2523">
        <v>0</v>
      </c>
      <c r="Z2523">
        <v>0</v>
      </c>
    </row>
    <row r="2524" spans="1:26" hidden="1" x14ac:dyDescent="0.25">
      <c r="A2524" t="s">
        <v>5396</v>
      </c>
      <c r="B2524" t="s">
        <v>2153</v>
      </c>
      <c r="C2524" s="4">
        <v>45399</v>
      </c>
      <c r="F2524" s="4">
        <v>47056</v>
      </c>
      <c r="G2524" t="s">
        <v>117</v>
      </c>
      <c r="H2524" t="s">
        <v>3260</v>
      </c>
      <c r="K2524" t="s">
        <v>83</v>
      </c>
      <c r="L2524" t="s">
        <v>4890</v>
      </c>
      <c r="M2524" t="s">
        <v>84</v>
      </c>
      <c r="N2524" t="s">
        <v>4891</v>
      </c>
      <c r="O2524" t="s">
        <v>32</v>
      </c>
      <c r="P2524" t="s">
        <v>5397</v>
      </c>
      <c r="Q2524">
        <v>199.9</v>
      </c>
      <c r="R2524">
        <v>199.9</v>
      </c>
      <c r="S2524" t="s">
        <v>56</v>
      </c>
      <c r="T2524" t="s">
        <v>57</v>
      </c>
      <c r="W2524">
        <v>200</v>
      </c>
      <c r="X2524">
        <v>100</v>
      </c>
      <c r="Y2524">
        <v>0</v>
      </c>
      <c r="Z2524">
        <v>0</v>
      </c>
    </row>
    <row r="2525" spans="1:26" hidden="1" x14ac:dyDescent="0.25">
      <c r="A2525" t="s">
        <v>5398</v>
      </c>
      <c r="B2525" t="s">
        <v>38</v>
      </c>
      <c r="C2525" s="4">
        <v>45400</v>
      </c>
      <c r="D2525" s="4">
        <v>45930</v>
      </c>
      <c r="F2525" s="4">
        <v>46753</v>
      </c>
      <c r="G2525" t="s">
        <v>117</v>
      </c>
      <c r="H2525" t="s">
        <v>1708</v>
      </c>
      <c r="K2525" t="s">
        <v>83</v>
      </c>
      <c r="L2525" t="s">
        <v>4890</v>
      </c>
      <c r="M2525" t="s">
        <v>84</v>
      </c>
      <c r="N2525" t="s">
        <v>4891</v>
      </c>
      <c r="O2525" t="s">
        <v>32</v>
      </c>
      <c r="P2525" t="s">
        <v>5170</v>
      </c>
      <c r="Q2525">
        <v>215</v>
      </c>
      <c r="R2525">
        <v>215</v>
      </c>
      <c r="S2525" t="s">
        <v>597</v>
      </c>
      <c r="T2525" t="s">
        <v>35</v>
      </c>
      <c r="W2525">
        <v>0</v>
      </c>
      <c r="X2525">
        <v>0</v>
      </c>
      <c r="Y2525">
        <v>0</v>
      </c>
      <c r="Z2525">
        <v>0</v>
      </c>
    </row>
    <row r="2526" spans="1:26" hidden="1" x14ac:dyDescent="0.25">
      <c r="A2526" t="s">
        <v>5399</v>
      </c>
      <c r="B2526" t="s">
        <v>2153</v>
      </c>
      <c r="C2526" s="4">
        <v>45400</v>
      </c>
      <c r="F2526" s="4">
        <v>47011</v>
      </c>
      <c r="G2526" t="s">
        <v>117</v>
      </c>
      <c r="H2526" t="s">
        <v>1821</v>
      </c>
      <c r="K2526" t="s">
        <v>83</v>
      </c>
      <c r="L2526" t="s">
        <v>4890</v>
      </c>
      <c r="M2526" t="s">
        <v>84</v>
      </c>
      <c r="N2526" t="s">
        <v>4891</v>
      </c>
      <c r="O2526" t="s">
        <v>32</v>
      </c>
      <c r="P2526" t="s">
        <v>5400</v>
      </c>
      <c r="Q2526">
        <v>350</v>
      </c>
      <c r="R2526">
        <v>350</v>
      </c>
      <c r="S2526" t="s">
        <v>56</v>
      </c>
      <c r="T2526" t="s">
        <v>57</v>
      </c>
      <c r="W2526">
        <v>350</v>
      </c>
      <c r="X2526">
        <v>200</v>
      </c>
      <c r="Y2526">
        <v>0</v>
      </c>
      <c r="Z2526">
        <v>0</v>
      </c>
    </row>
    <row r="2527" spans="1:26" hidden="1" x14ac:dyDescent="0.25">
      <c r="A2527" t="s">
        <v>5401</v>
      </c>
      <c r="B2527" t="s">
        <v>2153</v>
      </c>
      <c r="C2527" s="4">
        <v>45369</v>
      </c>
      <c r="F2527" s="4">
        <v>46966</v>
      </c>
      <c r="G2527" t="s">
        <v>39</v>
      </c>
      <c r="H2527" t="s">
        <v>1402</v>
      </c>
      <c r="K2527" t="s">
        <v>185</v>
      </c>
      <c r="L2527" t="s">
        <v>4890</v>
      </c>
      <c r="M2527" t="s">
        <v>42</v>
      </c>
      <c r="N2527" t="s">
        <v>4891</v>
      </c>
      <c r="O2527" t="s">
        <v>32</v>
      </c>
      <c r="P2527" t="s">
        <v>4740</v>
      </c>
      <c r="Q2527">
        <v>200</v>
      </c>
      <c r="R2527">
        <v>200</v>
      </c>
      <c r="S2527" t="s">
        <v>34</v>
      </c>
      <c r="T2527" t="s">
        <v>35</v>
      </c>
      <c r="W2527">
        <v>200</v>
      </c>
      <c r="X2527">
        <v>200</v>
      </c>
      <c r="Y2527">
        <v>0</v>
      </c>
      <c r="Z2527">
        <v>0</v>
      </c>
    </row>
    <row r="2528" spans="1:26" hidden="1" x14ac:dyDescent="0.25">
      <c r="A2528" t="s">
        <v>5402</v>
      </c>
      <c r="B2528" t="s">
        <v>2153</v>
      </c>
      <c r="C2528" s="4">
        <v>45398</v>
      </c>
      <c r="F2528" s="4">
        <v>47026</v>
      </c>
      <c r="G2528" t="s">
        <v>1294</v>
      </c>
      <c r="H2528" t="s">
        <v>2072</v>
      </c>
      <c r="K2528" t="s">
        <v>28</v>
      </c>
      <c r="L2528" t="s">
        <v>4890</v>
      </c>
      <c r="M2528" t="s">
        <v>42</v>
      </c>
      <c r="N2528" t="s">
        <v>4891</v>
      </c>
      <c r="O2528" t="s">
        <v>32</v>
      </c>
      <c r="P2528" t="s">
        <v>5258</v>
      </c>
      <c r="Q2528">
        <v>115</v>
      </c>
      <c r="R2528">
        <v>115</v>
      </c>
      <c r="S2528" t="s">
        <v>159</v>
      </c>
      <c r="T2528" t="s">
        <v>159</v>
      </c>
      <c r="W2528">
        <v>115</v>
      </c>
      <c r="X2528">
        <v>115</v>
      </c>
      <c r="Y2528">
        <v>0</v>
      </c>
      <c r="Z2528">
        <v>0</v>
      </c>
    </row>
    <row r="2529" spans="1:26" hidden="1" x14ac:dyDescent="0.25">
      <c r="A2529" t="s">
        <v>5403</v>
      </c>
      <c r="B2529" t="s">
        <v>38</v>
      </c>
      <c r="C2529" s="4">
        <v>45400</v>
      </c>
      <c r="D2529" s="4">
        <v>45929</v>
      </c>
      <c r="F2529" s="4">
        <v>46996</v>
      </c>
      <c r="G2529" t="s">
        <v>39</v>
      </c>
      <c r="H2529" t="s">
        <v>5404</v>
      </c>
      <c r="K2529" t="s">
        <v>41</v>
      </c>
      <c r="L2529" t="s">
        <v>4890</v>
      </c>
      <c r="M2529" t="s">
        <v>42</v>
      </c>
      <c r="N2529" t="s">
        <v>4891</v>
      </c>
      <c r="O2529" t="s">
        <v>32</v>
      </c>
      <c r="P2529" t="s">
        <v>5405</v>
      </c>
      <c r="Q2529">
        <v>300</v>
      </c>
      <c r="R2529">
        <v>300</v>
      </c>
      <c r="S2529" t="s">
        <v>34</v>
      </c>
      <c r="T2529" t="s">
        <v>35</v>
      </c>
      <c r="W2529">
        <v>0</v>
      </c>
      <c r="X2529">
        <v>0</v>
      </c>
      <c r="Y2529">
        <v>0</v>
      </c>
      <c r="Z2529">
        <v>0</v>
      </c>
    </row>
    <row r="2530" spans="1:26" hidden="1" x14ac:dyDescent="0.25">
      <c r="A2530" t="s">
        <v>5406</v>
      </c>
      <c r="B2530" t="s">
        <v>2153</v>
      </c>
      <c r="C2530" s="4">
        <v>45399</v>
      </c>
      <c r="F2530" s="4">
        <v>47002</v>
      </c>
      <c r="G2530" t="s">
        <v>1368</v>
      </c>
      <c r="H2530" t="s">
        <v>3555</v>
      </c>
      <c r="K2530" t="s">
        <v>83</v>
      </c>
      <c r="L2530" t="s">
        <v>4890</v>
      </c>
      <c r="M2530" t="s">
        <v>42</v>
      </c>
      <c r="N2530" t="s">
        <v>4891</v>
      </c>
      <c r="O2530" t="s">
        <v>32</v>
      </c>
      <c r="P2530" t="s">
        <v>5407</v>
      </c>
      <c r="Q2530">
        <v>300</v>
      </c>
      <c r="R2530">
        <v>300</v>
      </c>
      <c r="S2530" t="s">
        <v>159</v>
      </c>
      <c r="T2530" t="s">
        <v>159</v>
      </c>
      <c r="W2530">
        <v>300</v>
      </c>
      <c r="X2530">
        <v>300</v>
      </c>
      <c r="Y2530">
        <v>0</v>
      </c>
      <c r="Z2530">
        <v>0</v>
      </c>
    </row>
    <row r="2531" spans="1:26" hidden="1" x14ac:dyDescent="0.25">
      <c r="A2531" t="s">
        <v>5408</v>
      </c>
      <c r="B2531" t="s">
        <v>38</v>
      </c>
      <c r="C2531" s="4">
        <v>45397</v>
      </c>
      <c r="D2531" s="4">
        <v>45930</v>
      </c>
      <c r="F2531" s="4">
        <v>47848</v>
      </c>
      <c r="G2531" t="s">
        <v>39</v>
      </c>
      <c r="H2531" t="s">
        <v>1271</v>
      </c>
      <c r="K2531" t="s">
        <v>41</v>
      </c>
      <c r="L2531" t="s">
        <v>4890</v>
      </c>
      <c r="M2531" t="s">
        <v>42</v>
      </c>
      <c r="N2531" t="s">
        <v>4891</v>
      </c>
      <c r="O2531" t="s">
        <v>32</v>
      </c>
      <c r="P2531" t="s">
        <v>3466</v>
      </c>
      <c r="Q2531">
        <v>200</v>
      </c>
      <c r="R2531">
        <v>200</v>
      </c>
      <c r="S2531" t="s">
        <v>159</v>
      </c>
      <c r="T2531" t="s">
        <v>159</v>
      </c>
      <c r="W2531">
        <v>0</v>
      </c>
      <c r="X2531">
        <v>0</v>
      </c>
      <c r="Y2531">
        <v>0</v>
      </c>
      <c r="Z2531">
        <v>0</v>
      </c>
    </row>
    <row r="2532" spans="1:26" hidden="1" x14ac:dyDescent="0.25">
      <c r="A2532" t="s">
        <v>5409</v>
      </c>
      <c r="B2532" t="s">
        <v>38</v>
      </c>
      <c r="C2532" s="4">
        <v>45398</v>
      </c>
      <c r="D2532" s="4">
        <v>46014</v>
      </c>
      <c r="F2532" s="4">
        <v>46447</v>
      </c>
      <c r="G2532" t="s">
        <v>72</v>
      </c>
      <c r="H2532" t="s">
        <v>1902</v>
      </c>
      <c r="K2532" t="s">
        <v>209</v>
      </c>
      <c r="L2532" t="s">
        <v>4890</v>
      </c>
      <c r="M2532" t="s">
        <v>42</v>
      </c>
      <c r="N2532" t="s">
        <v>4891</v>
      </c>
      <c r="O2532" t="s">
        <v>32</v>
      </c>
      <c r="P2532" t="s">
        <v>5410</v>
      </c>
      <c r="Q2532">
        <v>136</v>
      </c>
      <c r="R2532">
        <v>136</v>
      </c>
      <c r="S2532" t="s">
        <v>56</v>
      </c>
      <c r="T2532" t="s">
        <v>57</v>
      </c>
      <c r="W2532">
        <v>0</v>
      </c>
      <c r="X2532">
        <v>0</v>
      </c>
      <c r="Y2532">
        <v>0</v>
      </c>
      <c r="Z2532">
        <v>0</v>
      </c>
    </row>
    <row r="2533" spans="1:26" hidden="1" x14ac:dyDescent="0.25">
      <c r="A2533" t="s">
        <v>5411</v>
      </c>
      <c r="B2533" t="s">
        <v>2153</v>
      </c>
      <c r="C2533" s="4">
        <v>45397</v>
      </c>
      <c r="F2533" s="4">
        <v>46386</v>
      </c>
      <c r="G2533" t="s">
        <v>117</v>
      </c>
      <c r="H2533" t="s">
        <v>2366</v>
      </c>
      <c r="K2533" t="s">
        <v>83</v>
      </c>
      <c r="L2533" t="s">
        <v>4890</v>
      </c>
      <c r="M2533" t="s">
        <v>84</v>
      </c>
      <c r="N2533" t="s">
        <v>4891</v>
      </c>
      <c r="O2533" t="s">
        <v>32</v>
      </c>
      <c r="P2533" t="s">
        <v>2741</v>
      </c>
      <c r="Q2533">
        <v>225</v>
      </c>
      <c r="R2533">
        <v>225</v>
      </c>
      <c r="S2533" t="s">
        <v>597</v>
      </c>
      <c r="T2533" t="s">
        <v>598</v>
      </c>
      <c r="W2533">
        <v>225</v>
      </c>
      <c r="X2533">
        <v>225</v>
      </c>
      <c r="Y2533">
        <v>0</v>
      </c>
      <c r="Z2533">
        <v>0</v>
      </c>
    </row>
    <row r="2534" spans="1:26" hidden="1" x14ac:dyDescent="0.25">
      <c r="A2534" t="s">
        <v>5412</v>
      </c>
      <c r="B2534" t="s">
        <v>2153</v>
      </c>
      <c r="C2534" s="4">
        <v>45432</v>
      </c>
      <c r="F2534" s="4">
        <v>46903</v>
      </c>
      <c r="G2534" t="s">
        <v>1499</v>
      </c>
      <c r="H2534" t="s">
        <v>5413</v>
      </c>
      <c r="K2534" t="s">
        <v>41</v>
      </c>
      <c r="L2534" t="s">
        <v>4890</v>
      </c>
      <c r="M2534" t="s">
        <v>42</v>
      </c>
      <c r="N2534" t="s">
        <v>4891</v>
      </c>
      <c r="O2534" t="s">
        <v>32</v>
      </c>
      <c r="P2534" t="s">
        <v>5414</v>
      </c>
      <c r="Q2534">
        <v>64</v>
      </c>
      <c r="R2534">
        <v>64</v>
      </c>
      <c r="S2534" t="s">
        <v>34</v>
      </c>
      <c r="T2534" t="s">
        <v>35</v>
      </c>
      <c r="W2534">
        <v>64</v>
      </c>
      <c r="X2534">
        <v>64</v>
      </c>
      <c r="Y2534">
        <v>0</v>
      </c>
      <c r="Z2534">
        <v>0</v>
      </c>
    </row>
    <row r="2535" spans="1:26" hidden="1" x14ac:dyDescent="0.25">
      <c r="A2535" t="s">
        <v>5415</v>
      </c>
      <c r="B2535" t="s">
        <v>38</v>
      </c>
      <c r="C2535" s="4">
        <v>45398</v>
      </c>
      <c r="D2535" s="4">
        <v>46014</v>
      </c>
      <c r="F2535" s="4">
        <v>46934</v>
      </c>
      <c r="G2535" t="s">
        <v>65</v>
      </c>
      <c r="H2535" t="s">
        <v>2777</v>
      </c>
      <c r="K2535" t="s">
        <v>67</v>
      </c>
      <c r="L2535" t="s">
        <v>4890</v>
      </c>
      <c r="M2535" t="s">
        <v>68</v>
      </c>
      <c r="N2535" t="s">
        <v>4891</v>
      </c>
      <c r="O2535" t="s">
        <v>32</v>
      </c>
      <c r="P2535" t="s">
        <v>5416</v>
      </c>
      <c r="Q2535">
        <v>500</v>
      </c>
      <c r="R2535">
        <v>500</v>
      </c>
      <c r="S2535" t="s">
        <v>34</v>
      </c>
      <c r="T2535" t="s">
        <v>35</v>
      </c>
      <c r="W2535">
        <v>0</v>
      </c>
      <c r="X2535">
        <v>0</v>
      </c>
      <c r="Y2535">
        <v>0</v>
      </c>
      <c r="Z2535">
        <v>0</v>
      </c>
    </row>
    <row r="2536" spans="1:26" hidden="1" x14ac:dyDescent="0.25">
      <c r="A2536" t="s">
        <v>5417</v>
      </c>
      <c r="B2536" t="s">
        <v>38</v>
      </c>
      <c r="C2536" s="4">
        <v>45399</v>
      </c>
      <c r="D2536" s="4">
        <v>45924</v>
      </c>
      <c r="F2536" s="4">
        <v>46539</v>
      </c>
      <c r="G2536" t="s">
        <v>65</v>
      </c>
      <c r="H2536" t="s">
        <v>1640</v>
      </c>
      <c r="K2536" t="s">
        <v>67</v>
      </c>
      <c r="L2536" t="s">
        <v>4890</v>
      </c>
      <c r="M2536" t="s">
        <v>68</v>
      </c>
      <c r="N2536" t="s">
        <v>4891</v>
      </c>
      <c r="O2536" t="s">
        <v>32</v>
      </c>
      <c r="P2536" t="s">
        <v>1345</v>
      </c>
      <c r="Q2536">
        <v>100</v>
      </c>
      <c r="R2536">
        <v>100</v>
      </c>
      <c r="S2536" t="s">
        <v>34</v>
      </c>
      <c r="T2536" t="s">
        <v>35</v>
      </c>
      <c r="W2536">
        <v>0</v>
      </c>
      <c r="X2536">
        <v>0</v>
      </c>
      <c r="Y2536">
        <v>0</v>
      </c>
      <c r="Z2536">
        <v>0</v>
      </c>
    </row>
    <row r="2537" spans="1:26" hidden="1" x14ac:dyDescent="0.25">
      <c r="A2537" t="s">
        <v>5418</v>
      </c>
      <c r="B2537" t="s">
        <v>2153</v>
      </c>
      <c r="C2537" s="4">
        <v>45400</v>
      </c>
      <c r="F2537" s="4">
        <v>47026</v>
      </c>
      <c r="G2537" t="s">
        <v>39</v>
      </c>
      <c r="H2537" t="s">
        <v>5419</v>
      </c>
      <c r="K2537" t="s">
        <v>41</v>
      </c>
      <c r="L2537" t="s">
        <v>4890</v>
      </c>
      <c r="M2537" t="s">
        <v>42</v>
      </c>
      <c r="N2537" t="s">
        <v>4891</v>
      </c>
      <c r="O2537" t="s">
        <v>32</v>
      </c>
      <c r="P2537" t="s">
        <v>5420</v>
      </c>
      <c r="Q2537">
        <v>500</v>
      </c>
      <c r="R2537">
        <v>500</v>
      </c>
      <c r="S2537" t="s">
        <v>34</v>
      </c>
      <c r="T2537" t="s">
        <v>35</v>
      </c>
      <c r="W2537">
        <v>500</v>
      </c>
      <c r="X2537">
        <v>500</v>
      </c>
      <c r="Y2537">
        <v>0</v>
      </c>
      <c r="Z2537">
        <v>0</v>
      </c>
    </row>
    <row r="2538" spans="1:26" hidden="1" x14ac:dyDescent="0.25">
      <c r="A2538" t="s">
        <v>5421</v>
      </c>
      <c r="B2538" t="s">
        <v>38</v>
      </c>
      <c r="C2538" s="4">
        <v>45400</v>
      </c>
      <c r="D2538" s="4">
        <v>45929</v>
      </c>
      <c r="F2538" s="4">
        <v>46996</v>
      </c>
      <c r="G2538" t="s">
        <v>1251</v>
      </c>
      <c r="H2538" t="s">
        <v>3240</v>
      </c>
      <c r="K2538" t="s">
        <v>109</v>
      </c>
      <c r="L2538" t="s">
        <v>4890</v>
      </c>
      <c r="M2538" t="s">
        <v>84</v>
      </c>
      <c r="N2538" t="s">
        <v>4891</v>
      </c>
      <c r="O2538" t="s">
        <v>32</v>
      </c>
      <c r="P2538" t="s">
        <v>5422</v>
      </c>
      <c r="Q2538">
        <v>200</v>
      </c>
      <c r="R2538">
        <v>200</v>
      </c>
      <c r="S2538" t="s">
        <v>56</v>
      </c>
      <c r="T2538" t="s">
        <v>57</v>
      </c>
      <c r="W2538">
        <v>0</v>
      </c>
      <c r="X2538">
        <v>0</v>
      </c>
      <c r="Y2538">
        <v>0</v>
      </c>
      <c r="Z2538">
        <v>0</v>
      </c>
    </row>
    <row r="2539" spans="1:26" hidden="1" x14ac:dyDescent="0.25">
      <c r="A2539" t="s">
        <v>5423</v>
      </c>
      <c r="B2539" t="s">
        <v>38</v>
      </c>
      <c r="C2539" s="4">
        <v>45399</v>
      </c>
      <c r="D2539" s="4">
        <v>46014</v>
      </c>
      <c r="F2539" s="4">
        <v>46966</v>
      </c>
      <c r="G2539" t="s">
        <v>144</v>
      </c>
      <c r="H2539" t="s">
        <v>1648</v>
      </c>
      <c r="K2539" t="s">
        <v>146</v>
      </c>
      <c r="L2539" t="s">
        <v>4890</v>
      </c>
      <c r="M2539" t="s">
        <v>68</v>
      </c>
      <c r="N2539" t="s">
        <v>4891</v>
      </c>
      <c r="O2539" t="s">
        <v>32</v>
      </c>
      <c r="P2539" t="s">
        <v>5161</v>
      </c>
      <c r="Q2539">
        <v>125</v>
      </c>
      <c r="R2539">
        <v>125</v>
      </c>
      <c r="S2539" t="s">
        <v>597</v>
      </c>
      <c r="T2539" t="s">
        <v>598</v>
      </c>
      <c r="W2539">
        <v>0</v>
      </c>
      <c r="X2539">
        <v>0</v>
      </c>
      <c r="Y2539">
        <v>0</v>
      </c>
      <c r="Z2539">
        <v>0</v>
      </c>
    </row>
    <row r="2540" spans="1:26" hidden="1" x14ac:dyDescent="0.25">
      <c r="A2540" t="s">
        <v>5424</v>
      </c>
      <c r="B2540" t="s">
        <v>38</v>
      </c>
      <c r="C2540" s="4">
        <v>45399</v>
      </c>
      <c r="D2540" s="4">
        <v>46014</v>
      </c>
      <c r="F2540" s="4">
        <v>46966</v>
      </c>
      <c r="G2540" t="s">
        <v>65</v>
      </c>
      <c r="H2540" t="s">
        <v>3815</v>
      </c>
      <c r="K2540" t="s">
        <v>109</v>
      </c>
      <c r="L2540" t="s">
        <v>4890</v>
      </c>
      <c r="M2540" t="s">
        <v>68</v>
      </c>
      <c r="N2540" t="s">
        <v>4891</v>
      </c>
      <c r="O2540" t="s">
        <v>32</v>
      </c>
      <c r="P2540" t="s">
        <v>5252</v>
      </c>
      <c r="Q2540">
        <v>200</v>
      </c>
      <c r="R2540">
        <v>200</v>
      </c>
      <c r="S2540" t="s">
        <v>597</v>
      </c>
      <c r="T2540" t="s">
        <v>598</v>
      </c>
      <c r="W2540">
        <v>0</v>
      </c>
      <c r="X2540">
        <v>0</v>
      </c>
      <c r="Y2540">
        <v>0</v>
      </c>
      <c r="Z2540">
        <v>0</v>
      </c>
    </row>
    <row r="2541" spans="1:26" hidden="1" x14ac:dyDescent="0.25">
      <c r="A2541" t="s">
        <v>5425</v>
      </c>
      <c r="B2541" t="s">
        <v>38</v>
      </c>
      <c r="C2541" s="4">
        <v>45399</v>
      </c>
      <c r="D2541" s="4">
        <v>46014</v>
      </c>
      <c r="F2541" s="4">
        <v>46966</v>
      </c>
      <c r="G2541" t="s">
        <v>65</v>
      </c>
      <c r="H2541" t="s">
        <v>3247</v>
      </c>
      <c r="K2541" t="s">
        <v>67</v>
      </c>
      <c r="L2541" t="s">
        <v>4890</v>
      </c>
      <c r="M2541" t="s">
        <v>68</v>
      </c>
      <c r="N2541" t="s">
        <v>4891</v>
      </c>
      <c r="O2541" t="s">
        <v>32</v>
      </c>
      <c r="P2541" t="s">
        <v>5426</v>
      </c>
      <c r="Q2541">
        <v>190</v>
      </c>
      <c r="R2541">
        <v>190</v>
      </c>
      <c r="S2541" t="s">
        <v>597</v>
      </c>
      <c r="T2541" t="s">
        <v>598</v>
      </c>
      <c r="W2541">
        <v>0</v>
      </c>
      <c r="X2541">
        <v>0</v>
      </c>
      <c r="Y2541">
        <v>0</v>
      </c>
      <c r="Z2541">
        <v>0</v>
      </c>
    </row>
    <row r="2542" spans="1:26" hidden="1" x14ac:dyDescent="0.25">
      <c r="A2542" t="s">
        <v>5427</v>
      </c>
      <c r="B2542" t="s">
        <v>38</v>
      </c>
      <c r="C2542" s="4">
        <v>45398</v>
      </c>
      <c r="D2542" s="4">
        <v>45930</v>
      </c>
      <c r="F2542" s="4">
        <v>46934</v>
      </c>
      <c r="G2542" t="s">
        <v>52</v>
      </c>
      <c r="H2542" t="s">
        <v>2258</v>
      </c>
      <c r="K2542" t="s">
        <v>53</v>
      </c>
      <c r="L2542" t="s">
        <v>4890</v>
      </c>
      <c r="M2542" t="s">
        <v>54</v>
      </c>
      <c r="N2542" t="s">
        <v>4891</v>
      </c>
      <c r="O2542" t="s">
        <v>32</v>
      </c>
      <c r="P2542" t="s">
        <v>5428</v>
      </c>
      <c r="Q2542">
        <v>265</v>
      </c>
      <c r="R2542">
        <v>265</v>
      </c>
      <c r="S2542" t="s">
        <v>159</v>
      </c>
      <c r="T2542" t="s">
        <v>159</v>
      </c>
      <c r="W2542">
        <v>0</v>
      </c>
      <c r="X2542">
        <v>0</v>
      </c>
      <c r="Y2542">
        <v>0</v>
      </c>
      <c r="Z2542">
        <v>0</v>
      </c>
    </row>
    <row r="2543" spans="1:26" hidden="1" x14ac:dyDescent="0.25">
      <c r="A2543" t="s">
        <v>5429</v>
      </c>
      <c r="B2543" t="s">
        <v>38</v>
      </c>
      <c r="C2543" s="4">
        <v>45399</v>
      </c>
      <c r="D2543" s="4">
        <v>45924</v>
      </c>
      <c r="F2543" s="4">
        <v>46476</v>
      </c>
      <c r="G2543" t="s">
        <v>1311</v>
      </c>
      <c r="H2543" t="s">
        <v>1996</v>
      </c>
      <c r="K2543" t="s">
        <v>114</v>
      </c>
      <c r="L2543" t="s">
        <v>4890</v>
      </c>
      <c r="M2543" t="s">
        <v>68</v>
      </c>
      <c r="N2543" t="s">
        <v>4891</v>
      </c>
      <c r="O2543" t="s">
        <v>32</v>
      </c>
      <c r="P2543" t="s">
        <v>5430</v>
      </c>
      <c r="Q2543">
        <v>730</v>
      </c>
      <c r="R2543">
        <v>770</v>
      </c>
      <c r="S2543" t="s">
        <v>389</v>
      </c>
      <c r="T2543" t="s">
        <v>2141</v>
      </c>
      <c r="W2543">
        <v>0</v>
      </c>
      <c r="X2543">
        <v>0</v>
      </c>
      <c r="Y2543">
        <v>0</v>
      </c>
      <c r="Z2543">
        <v>0</v>
      </c>
    </row>
    <row r="2544" spans="1:26" hidden="1" x14ac:dyDescent="0.25">
      <c r="A2544" t="s">
        <v>5431</v>
      </c>
      <c r="B2544" t="s">
        <v>2153</v>
      </c>
      <c r="C2544" s="4">
        <v>45379</v>
      </c>
      <c r="F2544" s="4">
        <v>46478</v>
      </c>
      <c r="G2544" t="s">
        <v>52</v>
      </c>
      <c r="H2544" t="s">
        <v>3675</v>
      </c>
      <c r="K2544" t="s">
        <v>53</v>
      </c>
      <c r="L2544" t="s">
        <v>4890</v>
      </c>
      <c r="M2544" t="s">
        <v>54</v>
      </c>
      <c r="N2544" t="s">
        <v>4891</v>
      </c>
      <c r="O2544" t="s">
        <v>32</v>
      </c>
      <c r="P2544" t="s">
        <v>5432</v>
      </c>
      <c r="Q2544">
        <v>116.9</v>
      </c>
      <c r="R2544">
        <v>116.9</v>
      </c>
      <c r="S2544" t="s">
        <v>34</v>
      </c>
      <c r="T2544" t="s">
        <v>35</v>
      </c>
      <c r="W2544">
        <v>116.9</v>
      </c>
      <c r="X2544">
        <v>116.9</v>
      </c>
      <c r="Y2544">
        <v>0</v>
      </c>
      <c r="Z2544">
        <v>0</v>
      </c>
    </row>
    <row r="2545" spans="1:26" hidden="1" x14ac:dyDescent="0.25">
      <c r="A2545" t="s">
        <v>5433</v>
      </c>
      <c r="B2545" t="s">
        <v>38</v>
      </c>
      <c r="C2545" s="4">
        <v>45397</v>
      </c>
      <c r="D2545" s="4">
        <v>45869</v>
      </c>
      <c r="F2545" s="4">
        <v>46886</v>
      </c>
      <c r="G2545" t="s">
        <v>65</v>
      </c>
      <c r="H2545" t="s">
        <v>1421</v>
      </c>
      <c r="K2545" t="s">
        <v>67</v>
      </c>
      <c r="L2545" t="s">
        <v>4890</v>
      </c>
      <c r="M2545" t="s">
        <v>68</v>
      </c>
      <c r="N2545" t="s">
        <v>4891</v>
      </c>
      <c r="O2545" t="s">
        <v>122</v>
      </c>
      <c r="P2545" t="s">
        <v>3959</v>
      </c>
      <c r="Q2545">
        <v>400</v>
      </c>
      <c r="R2545">
        <v>400</v>
      </c>
      <c r="S2545" t="s">
        <v>34</v>
      </c>
      <c r="T2545" t="s">
        <v>35</v>
      </c>
      <c r="W2545">
        <v>0</v>
      </c>
      <c r="X2545">
        <v>0</v>
      </c>
      <c r="Y2545">
        <v>0</v>
      </c>
      <c r="Z2545">
        <v>0</v>
      </c>
    </row>
    <row r="2546" spans="1:26" hidden="1" x14ac:dyDescent="0.25">
      <c r="A2546" t="s">
        <v>5434</v>
      </c>
      <c r="B2546" t="s">
        <v>38</v>
      </c>
      <c r="C2546" s="4">
        <v>45397</v>
      </c>
      <c r="D2546" s="4">
        <v>45869</v>
      </c>
      <c r="F2546" s="4">
        <v>46886</v>
      </c>
      <c r="G2546" t="s">
        <v>1311</v>
      </c>
      <c r="H2546" t="s">
        <v>3054</v>
      </c>
      <c r="K2546" t="s">
        <v>114</v>
      </c>
      <c r="L2546" t="s">
        <v>4890</v>
      </c>
      <c r="M2546" t="s">
        <v>68</v>
      </c>
      <c r="N2546" t="s">
        <v>4891</v>
      </c>
      <c r="O2546" t="s">
        <v>122</v>
      </c>
      <c r="P2546" t="s">
        <v>5435</v>
      </c>
      <c r="Q2546">
        <v>150</v>
      </c>
      <c r="R2546">
        <v>150</v>
      </c>
      <c r="S2546" t="s">
        <v>34</v>
      </c>
      <c r="T2546" t="s">
        <v>35</v>
      </c>
      <c r="W2546">
        <v>0</v>
      </c>
      <c r="X2546">
        <v>0</v>
      </c>
      <c r="Y2546">
        <v>0</v>
      </c>
      <c r="Z2546">
        <v>0</v>
      </c>
    </row>
    <row r="2547" spans="1:26" hidden="1" x14ac:dyDescent="0.25">
      <c r="A2547" t="s">
        <v>5436</v>
      </c>
      <c r="B2547" t="s">
        <v>38</v>
      </c>
      <c r="C2547" s="4">
        <v>45399</v>
      </c>
      <c r="D2547" s="4">
        <v>46014</v>
      </c>
      <c r="F2547" s="4">
        <v>47026</v>
      </c>
      <c r="G2547" t="s">
        <v>1311</v>
      </c>
      <c r="H2547" t="s">
        <v>3025</v>
      </c>
      <c r="K2547" t="s">
        <v>114</v>
      </c>
      <c r="L2547" t="s">
        <v>4890</v>
      </c>
      <c r="M2547" t="s">
        <v>68</v>
      </c>
      <c r="N2547" t="s">
        <v>4891</v>
      </c>
      <c r="O2547" t="s">
        <v>32</v>
      </c>
      <c r="P2547" t="s">
        <v>4251</v>
      </c>
      <c r="Q2547">
        <v>80</v>
      </c>
      <c r="R2547">
        <v>80</v>
      </c>
      <c r="S2547" t="s">
        <v>34</v>
      </c>
      <c r="T2547" t="s">
        <v>35</v>
      </c>
      <c r="W2547">
        <v>0</v>
      </c>
      <c r="X2547">
        <v>0</v>
      </c>
      <c r="Y2547">
        <v>0</v>
      </c>
      <c r="Z2547">
        <v>0</v>
      </c>
    </row>
    <row r="2548" spans="1:26" hidden="1" x14ac:dyDescent="0.25">
      <c r="A2548" t="s">
        <v>5437</v>
      </c>
      <c r="B2548" t="s">
        <v>2153</v>
      </c>
      <c r="C2548" s="4">
        <v>45400</v>
      </c>
      <c r="F2548" s="4">
        <v>46934</v>
      </c>
      <c r="G2548" t="s">
        <v>173</v>
      </c>
      <c r="H2548" t="s">
        <v>2111</v>
      </c>
      <c r="K2548" t="s">
        <v>41</v>
      </c>
      <c r="L2548" t="s">
        <v>4890</v>
      </c>
      <c r="M2548" t="s">
        <v>42</v>
      </c>
      <c r="N2548" t="s">
        <v>4891</v>
      </c>
      <c r="O2548" t="s">
        <v>32</v>
      </c>
      <c r="P2548" t="s">
        <v>5438</v>
      </c>
      <c r="Q2548">
        <v>135</v>
      </c>
      <c r="R2548">
        <v>135</v>
      </c>
      <c r="S2548" t="s">
        <v>159</v>
      </c>
      <c r="T2548" t="s">
        <v>159</v>
      </c>
      <c r="W2548">
        <v>135</v>
      </c>
      <c r="X2548">
        <v>135</v>
      </c>
      <c r="Y2548">
        <v>0</v>
      </c>
      <c r="Z2548">
        <v>0</v>
      </c>
    </row>
    <row r="2549" spans="1:26" hidden="1" x14ac:dyDescent="0.25">
      <c r="A2549" t="s">
        <v>5439</v>
      </c>
      <c r="B2549" t="s">
        <v>38</v>
      </c>
      <c r="C2549" s="4">
        <v>45399</v>
      </c>
      <c r="D2549" s="4">
        <v>45847</v>
      </c>
      <c r="F2549" s="4">
        <v>46690</v>
      </c>
      <c r="G2549" t="s">
        <v>72</v>
      </c>
      <c r="H2549" t="s">
        <v>2537</v>
      </c>
      <c r="K2549" t="s">
        <v>209</v>
      </c>
      <c r="L2549" t="s">
        <v>4890</v>
      </c>
      <c r="M2549" t="s">
        <v>42</v>
      </c>
      <c r="N2549" t="s">
        <v>4891</v>
      </c>
      <c r="O2549" t="s">
        <v>32</v>
      </c>
      <c r="P2549" t="s">
        <v>5440</v>
      </c>
      <c r="Q2549">
        <v>62</v>
      </c>
      <c r="R2549">
        <v>62</v>
      </c>
      <c r="S2549" t="s">
        <v>56</v>
      </c>
      <c r="T2549" t="s">
        <v>57</v>
      </c>
      <c r="W2549">
        <v>0</v>
      </c>
      <c r="X2549">
        <v>0</v>
      </c>
      <c r="Y2549">
        <v>0</v>
      </c>
      <c r="Z2549">
        <v>0</v>
      </c>
    </row>
    <row r="2550" spans="1:26" hidden="1" x14ac:dyDescent="0.25">
      <c r="A2550" t="s">
        <v>5441</v>
      </c>
      <c r="B2550" t="s">
        <v>2153</v>
      </c>
      <c r="C2550" s="4">
        <v>45397</v>
      </c>
      <c r="F2550" s="4">
        <v>47011</v>
      </c>
      <c r="G2550" t="s">
        <v>52</v>
      </c>
      <c r="H2550" t="s">
        <v>1442</v>
      </c>
      <c r="K2550" t="s">
        <v>53</v>
      </c>
      <c r="L2550" t="s">
        <v>4890</v>
      </c>
      <c r="M2550" t="s">
        <v>54</v>
      </c>
      <c r="N2550" t="s">
        <v>4891</v>
      </c>
      <c r="O2550" t="s">
        <v>32</v>
      </c>
      <c r="P2550" t="s">
        <v>5442</v>
      </c>
      <c r="Q2550">
        <v>200</v>
      </c>
      <c r="R2550">
        <v>200</v>
      </c>
      <c r="S2550" t="s">
        <v>34</v>
      </c>
      <c r="T2550" t="s">
        <v>35</v>
      </c>
      <c r="W2550">
        <v>200</v>
      </c>
      <c r="X2550">
        <v>200</v>
      </c>
      <c r="Y2550">
        <v>0</v>
      </c>
      <c r="Z2550">
        <v>0</v>
      </c>
    </row>
    <row r="2551" spans="1:26" hidden="1" x14ac:dyDescent="0.25">
      <c r="A2551" t="s">
        <v>5443</v>
      </c>
      <c r="B2551" t="s">
        <v>2153</v>
      </c>
      <c r="C2551" s="4">
        <v>45400</v>
      </c>
      <c r="F2551" s="4">
        <v>46966</v>
      </c>
      <c r="G2551" t="s">
        <v>39</v>
      </c>
      <c r="H2551" t="s">
        <v>3025</v>
      </c>
      <c r="K2551" t="s">
        <v>62</v>
      </c>
      <c r="L2551" t="s">
        <v>4890</v>
      </c>
      <c r="M2551" t="s">
        <v>42</v>
      </c>
      <c r="N2551" t="s">
        <v>4891</v>
      </c>
      <c r="O2551" t="s">
        <v>32</v>
      </c>
      <c r="P2551" t="s">
        <v>5444</v>
      </c>
      <c r="Q2551">
        <v>120</v>
      </c>
      <c r="R2551">
        <v>120</v>
      </c>
      <c r="S2551" t="s">
        <v>56</v>
      </c>
      <c r="T2551" t="s">
        <v>57</v>
      </c>
      <c r="W2551">
        <v>120</v>
      </c>
      <c r="X2551">
        <v>120</v>
      </c>
      <c r="Y2551">
        <v>0</v>
      </c>
      <c r="Z2551">
        <v>0</v>
      </c>
    </row>
    <row r="2552" spans="1:26" hidden="1" x14ac:dyDescent="0.25">
      <c r="A2552" t="s">
        <v>5445</v>
      </c>
      <c r="B2552" t="s">
        <v>38</v>
      </c>
      <c r="C2552" s="4">
        <v>45399</v>
      </c>
      <c r="D2552" s="4">
        <v>46014</v>
      </c>
      <c r="F2552" s="4">
        <v>46174</v>
      </c>
      <c r="G2552" t="s">
        <v>39</v>
      </c>
      <c r="H2552" t="s">
        <v>1473</v>
      </c>
      <c r="K2552" t="s">
        <v>41</v>
      </c>
      <c r="L2552" t="s">
        <v>4890</v>
      </c>
      <c r="M2552" t="s">
        <v>42</v>
      </c>
      <c r="N2552" t="s">
        <v>4891</v>
      </c>
      <c r="O2552" t="s">
        <v>32</v>
      </c>
      <c r="P2552" t="s">
        <v>5446</v>
      </c>
      <c r="Q2552">
        <v>549.6</v>
      </c>
      <c r="R2552">
        <v>630</v>
      </c>
      <c r="S2552" t="s">
        <v>597</v>
      </c>
      <c r="T2552" t="s">
        <v>584</v>
      </c>
      <c r="W2552">
        <v>0</v>
      </c>
      <c r="X2552">
        <v>0</v>
      </c>
      <c r="Y2552">
        <v>0</v>
      </c>
      <c r="Z2552">
        <v>0</v>
      </c>
    </row>
    <row r="2553" spans="1:26" hidden="1" x14ac:dyDescent="0.25">
      <c r="A2553" t="s">
        <v>5447</v>
      </c>
      <c r="B2553" t="s">
        <v>38</v>
      </c>
      <c r="C2553" s="4">
        <v>45400</v>
      </c>
      <c r="D2553" s="4">
        <v>45847</v>
      </c>
      <c r="F2553" s="4">
        <v>46690</v>
      </c>
      <c r="G2553" t="s">
        <v>72</v>
      </c>
      <c r="H2553" t="s">
        <v>1500</v>
      </c>
      <c r="K2553" t="s">
        <v>209</v>
      </c>
      <c r="L2553" t="s">
        <v>4890</v>
      </c>
      <c r="M2553" t="s">
        <v>42</v>
      </c>
      <c r="N2553" t="s">
        <v>4891</v>
      </c>
      <c r="O2553" t="s">
        <v>32</v>
      </c>
      <c r="P2553" t="s">
        <v>5448</v>
      </c>
      <c r="Q2553">
        <v>62</v>
      </c>
      <c r="R2553">
        <v>62</v>
      </c>
      <c r="S2553" t="s">
        <v>56</v>
      </c>
      <c r="T2553" t="s">
        <v>57</v>
      </c>
      <c r="W2553">
        <v>0</v>
      </c>
      <c r="X2553">
        <v>0</v>
      </c>
      <c r="Y2553">
        <v>0</v>
      </c>
      <c r="Z2553">
        <v>0</v>
      </c>
    </row>
    <row r="2554" spans="1:26" hidden="1" x14ac:dyDescent="0.25">
      <c r="A2554" t="s">
        <v>5449</v>
      </c>
      <c r="B2554" t="s">
        <v>38</v>
      </c>
      <c r="C2554" s="4">
        <v>45399</v>
      </c>
      <c r="D2554" s="4">
        <v>46014</v>
      </c>
      <c r="F2554" s="4">
        <v>46174</v>
      </c>
      <c r="G2554" t="s">
        <v>173</v>
      </c>
      <c r="H2554" t="s">
        <v>2057</v>
      </c>
      <c r="K2554" t="s">
        <v>41</v>
      </c>
      <c r="L2554" t="s">
        <v>4890</v>
      </c>
      <c r="M2554" t="s">
        <v>42</v>
      </c>
      <c r="N2554" t="s">
        <v>4891</v>
      </c>
      <c r="O2554" t="s">
        <v>32</v>
      </c>
      <c r="P2554" t="s">
        <v>5450</v>
      </c>
      <c r="Q2554">
        <v>484.5</v>
      </c>
      <c r="R2554">
        <v>515</v>
      </c>
      <c r="S2554" t="s">
        <v>389</v>
      </c>
      <c r="T2554" t="s">
        <v>584</v>
      </c>
      <c r="W2554">
        <v>0</v>
      </c>
      <c r="X2554">
        <v>0</v>
      </c>
      <c r="Y2554">
        <v>0</v>
      </c>
      <c r="Z2554">
        <v>0</v>
      </c>
    </row>
    <row r="2555" spans="1:26" hidden="1" x14ac:dyDescent="0.25">
      <c r="A2555" t="s">
        <v>5451</v>
      </c>
      <c r="B2555" t="s">
        <v>2153</v>
      </c>
      <c r="C2555" s="4">
        <v>45400</v>
      </c>
      <c r="F2555" s="4">
        <v>46640</v>
      </c>
      <c r="G2555" t="s">
        <v>1679</v>
      </c>
      <c r="H2555" t="s">
        <v>1841</v>
      </c>
      <c r="K2555" t="s">
        <v>98</v>
      </c>
      <c r="L2555" t="s">
        <v>4890</v>
      </c>
      <c r="M2555" t="s">
        <v>84</v>
      </c>
      <c r="N2555" t="s">
        <v>4891</v>
      </c>
      <c r="O2555" t="s">
        <v>32</v>
      </c>
      <c r="P2555" t="s">
        <v>5452</v>
      </c>
      <c r="Q2555">
        <v>200</v>
      </c>
      <c r="R2555">
        <v>200</v>
      </c>
      <c r="S2555" t="s">
        <v>159</v>
      </c>
      <c r="T2555" t="s">
        <v>159</v>
      </c>
      <c r="W2555">
        <v>200</v>
      </c>
      <c r="X2555">
        <v>200</v>
      </c>
      <c r="Y2555">
        <v>0</v>
      </c>
      <c r="Z2555">
        <v>0</v>
      </c>
    </row>
    <row r="2556" spans="1:26" hidden="1" x14ac:dyDescent="0.25">
      <c r="A2556" t="s">
        <v>5453</v>
      </c>
      <c r="B2556" t="s">
        <v>2153</v>
      </c>
      <c r="C2556" s="4">
        <v>45400</v>
      </c>
      <c r="F2556" s="4">
        <v>46640</v>
      </c>
      <c r="G2556" t="s">
        <v>1368</v>
      </c>
      <c r="H2556" t="s">
        <v>5454</v>
      </c>
      <c r="K2556" t="s">
        <v>209</v>
      </c>
      <c r="L2556" t="s">
        <v>4890</v>
      </c>
      <c r="M2556" t="s">
        <v>42</v>
      </c>
      <c r="N2556" t="s">
        <v>4891</v>
      </c>
      <c r="O2556" t="s">
        <v>32</v>
      </c>
      <c r="P2556" t="s">
        <v>5455</v>
      </c>
      <c r="Q2556">
        <v>200</v>
      </c>
      <c r="R2556">
        <v>200</v>
      </c>
      <c r="S2556" t="s">
        <v>159</v>
      </c>
      <c r="T2556" t="s">
        <v>159</v>
      </c>
      <c r="W2556">
        <v>200</v>
      </c>
      <c r="X2556">
        <v>200</v>
      </c>
      <c r="Y2556">
        <v>0</v>
      </c>
      <c r="Z2556">
        <v>0</v>
      </c>
    </row>
    <row r="2557" spans="1:26" hidden="1" x14ac:dyDescent="0.25">
      <c r="A2557" t="s">
        <v>5456</v>
      </c>
      <c r="B2557" t="s">
        <v>2153</v>
      </c>
      <c r="C2557" s="4">
        <v>45398</v>
      </c>
      <c r="F2557" s="4">
        <v>47057</v>
      </c>
      <c r="G2557" t="s">
        <v>173</v>
      </c>
      <c r="H2557" t="s">
        <v>5457</v>
      </c>
      <c r="K2557" t="s">
        <v>41</v>
      </c>
      <c r="L2557" t="s">
        <v>4890</v>
      </c>
      <c r="M2557" t="s">
        <v>42</v>
      </c>
      <c r="N2557" t="s">
        <v>4891</v>
      </c>
      <c r="O2557" t="s">
        <v>32</v>
      </c>
      <c r="P2557" t="s">
        <v>5458</v>
      </c>
      <c r="Q2557">
        <v>112</v>
      </c>
      <c r="R2557">
        <v>112</v>
      </c>
      <c r="S2557" t="s">
        <v>34</v>
      </c>
      <c r="T2557" t="s">
        <v>35</v>
      </c>
      <c r="W2557">
        <v>112</v>
      </c>
      <c r="X2557">
        <v>112</v>
      </c>
      <c r="Y2557">
        <v>0</v>
      </c>
      <c r="Z2557">
        <v>0</v>
      </c>
    </row>
    <row r="2558" spans="1:26" hidden="1" x14ac:dyDescent="0.25">
      <c r="A2558" t="s">
        <v>5459</v>
      </c>
      <c r="B2558" t="s">
        <v>38</v>
      </c>
      <c r="C2558" s="4">
        <v>45400</v>
      </c>
      <c r="D2558" s="4">
        <v>46014</v>
      </c>
      <c r="F2558" s="4">
        <v>47087</v>
      </c>
      <c r="G2558" t="s">
        <v>1381</v>
      </c>
      <c r="H2558" t="s">
        <v>2761</v>
      </c>
      <c r="K2558" t="s">
        <v>209</v>
      </c>
      <c r="L2558" t="s">
        <v>4890</v>
      </c>
      <c r="M2558" t="s">
        <v>42</v>
      </c>
      <c r="N2558" t="s">
        <v>4891</v>
      </c>
      <c r="O2558" t="s">
        <v>32</v>
      </c>
      <c r="P2558" t="s">
        <v>5460</v>
      </c>
      <c r="Q2558">
        <v>244</v>
      </c>
      <c r="R2558">
        <v>263</v>
      </c>
      <c r="S2558" t="s">
        <v>389</v>
      </c>
      <c r="T2558" t="s">
        <v>584</v>
      </c>
      <c r="W2558">
        <v>0</v>
      </c>
      <c r="X2558">
        <v>0</v>
      </c>
      <c r="Y2558">
        <v>0</v>
      </c>
      <c r="Z2558">
        <v>0</v>
      </c>
    </row>
    <row r="2559" spans="1:26" hidden="1" x14ac:dyDescent="0.25">
      <c r="A2559" t="s">
        <v>5461</v>
      </c>
      <c r="B2559" t="s">
        <v>38</v>
      </c>
      <c r="C2559" s="4">
        <v>45400</v>
      </c>
      <c r="D2559" s="4">
        <v>45847</v>
      </c>
      <c r="F2559" s="4">
        <v>46690</v>
      </c>
      <c r="G2559" t="s">
        <v>1381</v>
      </c>
      <c r="H2559" t="s">
        <v>2761</v>
      </c>
      <c r="K2559" t="s">
        <v>209</v>
      </c>
      <c r="L2559" t="s">
        <v>4890</v>
      </c>
      <c r="M2559" t="s">
        <v>42</v>
      </c>
      <c r="N2559" t="s">
        <v>4891</v>
      </c>
      <c r="O2559" t="s">
        <v>32</v>
      </c>
      <c r="P2559" t="s">
        <v>5462</v>
      </c>
      <c r="Q2559">
        <v>96</v>
      </c>
      <c r="R2559">
        <v>96</v>
      </c>
      <c r="S2559" t="s">
        <v>56</v>
      </c>
      <c r="T2559" t="s">
        <v>57</v>
      </c>
      <c r="W2559">
        <v>0</v>
      </c>
      <c r="X2559">
        <v>0</v>
      </c>
      <c r="Y2559">
        <v>0</v>
      </c>
      <c r="Z2559">
        <v>0</v>
      </c>
    </row>
    <row r="2560" spans="1:26" hidden="1" x14ac:dyDescent="0.25">
      <c r="A2560" t="s">
        <v>5463</v>
      </c>
      <c r="B2560" t="s">
        <v>38</v>
      </c>
      <c r="C2560" s="4">
        <v>45400</v>
      </c>
      <c r="D2560" s="4">
        <v>45847</v>
      </c>
      <c r="F2560" s="4">
        <v>46690</v>
      </c>
      <c r="G2560" t="s">
        <v>1381</v>
      </c>
      <c r="H2560" t="s">
        <v>1781</v>
      </c>
      <c r="K2560" t="s">
        <v>209</v>
      </c>
      <c r="L2560" t="s">
        <v>4890</v>
      </c>
      <c r="M2560" t="s">
        <v>42</v>
      </c>
      <c r="N2560" t="s">
        <v>4891</v>
      </c>
      <c r="O2560" t="s">
        <v>32</v>
      </c>
      <c r="P2560" t="s">
        <v>5464</v>
      </c>
      <c r="Q2560">
        <v>84</v>
      </c>
      <c r="R2560">
        <v>84</v>
      </c>
      <c r="S2560" t="s">
        <v>56</v>
      </c>
      <c r="T2560" t="s">
        <v>57</v>
      </c>
      <c r="W2560">
        <v>0</v>
      </c>
      <c r="X2560">
        <v>0</v>
      </c>
      <c r="Y2560">
        <v>0</v>
      </c>
      <c r="Z2560">
        <v>0</v>
      </c>
    </row>
    <row r="2561" spans="1:26" hidden="1" x14ac:dyDescent="0.25">
      <c r="A2561" t="s">
        <v>5465</v>
      </c>
      <c r="B2561" t="s">
        <v>2153</v>
      </c>
      <c r="C2561" s="4">
        <v>45400</v>
      </c>
      <c r="F2561" s="4">
        <v>46996</v>
      </c>
      <c r="G2561" t="s">
        <v>117</v>
      </c>
      <c r="H2561" t="s">
        <v>2013</v>
      </c>
      <c r="K2561" t="s">
        <v>83</v>
      </c>
      <c r="L2561" t="s">
        <v>4890</v>
      </c>
      <c r="M2561" t="s">
        <v>84</v>
      </c>
      <c r="N2561" t="s">
        <v>4891</v>
      </c>
      <c r="O2561" t="s">
        <v>32</v>
      </c>
      <c r="P2561" t="s">
        <v>3843</v>
      </c>
      <c r="Q2561">
        <v>250</v>
      </c>
      <c r="R2561">
        <v>250</v>
      </c>
      <c r="S2561" t="s">
        <v>34</v>
      </c>
      <c r="T2561" t="s">
        <v>35</v>
      </c>
      <c r="W2561">
        <v>250</v>
      </c>
      <c r="X2561">
        <v>0</v>
      </c>
      <c r="Y2561">
        <v>0</v>
      </c>
      <c r="Z2561">
        <v>0</v>
      </c>
    </row>
    <row r="2562" spans="1:26" hidden="1" x14ac:dyDescent="0.25">
      <c r="A2562" t="s">
        <v>5466</v>
      </c>
      <c r="B2562" t="s">
        <v>38</v>
      </c>
      <c r="C2562" s="4">
        <v>45400</v>
      </c>
      <c r="D2562" s="4">
        <v>45929</v>
      </c>
      <c r="F2562" s="4">
        <v>46996</v>
      </c>
      <c r="G2562" t="s">
        <v>1257</v>
      </c>
      <c r="H2562" t="s">
        <v>1607</v>
      </c>
      <c r="K2562" t="s">
        <v>98</v>
      </c>
      <c r="L2562" t="s">
        <v>4890</v>
      </c>
      <c r="M2562" t="s">
        <v>84</v>
      </c>
      <c r="N2562" t="s">
        <v>4891</v>
      </c>
      <c r="O2562" t="s">
        <v>32</v>
      </c>
      <c r="P2562" t="s">
        <v>5467</v>
      </c>
      <c r="Q2562">
        <v>200</v>
      </c>
      <c r="R2562">
        <v>200</v>
      </c>
      <c r="S2562" t="s">
        <v>159</v>
      </c>
      <c r="T2562" t="s">
        <v>159</v>
      </c>
      <c r="W2562">
        <v>0</v>
      </c>
      <c r="X2562">
        <v>0</v>
      </c>
      <c r="Y2562">
        <v>0</v>
      </c>
      <c r="Z2562">
        <v>0</v>
      </c>
    </row>
    <row r="2563" spans="1:26" hidden="1" x14ac:dyDescent="0.25">
      <c r="A2563" t="s">
        <v>5468</v>
      </c>
      <c r="B2563" t="s">
        <v>2153</v>
      </c>
      <c r="C2563" s="4">
        <v>45400</v>
      </c>
      <c r="F2563" s="4">
        <v>46640</v>
      </c>
      <c r="G2563" t="s">
        <v>132</v>
      </c>
      <c r="H2563" t="s">
        <v>1708</v>
      </c>
      <c r="K2563" t="s">
        <v>83</v>
      </c>
      <c r="L2563" t="s">
        <v>4890</v>
      </c>
      <c r="M2563" t="s">
        <v>84</v>
      </c>
      <c r="N2563" t="s">
        <v>4891</v>
      </c>
      <c r="O2563" t="s">
        <v>32</v>
      </c>
      <c r="P2563" t="s">
        <v>2724</v>
      </c>
      <c r="Q2563">
        <v>300</v>
      </c>
      <c r="R2563">
        <v>300</v>
      </c>
      <c r="S2563" t="s">
        <v>159</v>
      </c>
      <c r="T2563" t="s">
        <v>159</v>
      </c>
      <c r="W2563">
        <v>300</v>
      </c>
      <c r="X2563">
        <v>300</v>
      </c>
      <c r="Y2563">
        <v>0</v>
      </c>
      <c r="Z2563">
        <v>0</v>
      </c>
    </row>
    <row r="2564" spans="1:26" hidden="1" x14ac:dyDescent="0.25">
      <c r="A2564" t="s">
        <v>5469</v>
      </c>
      <c r="B2564" t="s">
        <v>38</v>
      </c>
      <c r="C2564" s="4">
        <v>45400</v>
      </c>
      <c r="D2564" s="4">
        <v>46014</v>
      </c>
      <c r="F2564" s="4">
        <v>46640</v>
      </c>
      <c r="G2564" t="s">
        <v>681</v>
      </c>
      <c r="H2564" t="s">
        <v>1668</v>
      </c>
      <c r="K2564" t="s">
        <v>683</v>
      </c>
      <c r="L2564" t="s">
        <v>4890</v>
      </c>
      <c r="M2564" t="s">
        <v>84</v>
      </c>
      <c r="N2564" t="s">
        <v>4891</v>
      </c>
      <c r="O2564" t="s">
        <v>32</v>
      </c>
      <c r="P2564" t="s">
        <v>5470</v>
      </c>
      <c r="Q2564">
        <v>250</v>
      </c>
      <c r="R2564">
        <v>250</v>
      </c>
      <c r="S2564" t="s">
        <v>159</v>
      </c>
      <c r="T2564" t="s">
        <v>159</v>
      </c>
      <c r="W2564">
        <v>0</v>
      </c>
      <c r="X2564">
        <v>0</v>
      </c>
      <c r="Y2564">
        <v>0</v>
      </c>
      <c r="Z2564">
        <v>0</v>
      </c>
    </row>
    <row r="2565" spans="1:26" hidden="1" x14ac:dyDescent="0.25">
      <c r="A2565" t="s">
        <v>5471</v>
      </c>
      <c r="B2565" t="s">
        <v>38</v>
      </c>
      <c r="C2565" s="4">
        <v>45387</v>
      </c>
      <c r="D2565" s="4">
        <v>46014</v>
      </c>
      <c r="F2565" s="4">
        <v>46507</v>
      </c>
      <c r="G2565" t="s">
        <v>117</v>
      </c>
      <c r="H2565" t="s">
        <v>1427</v>
      </c>
      <c r="K2565" t="s">
        <v>83</v>
      </c>
      <c r="L2565" t="s">
        <v>4890</v>
      </c>
      <c r="M2565" t="s">
        <v>84</v>
      </c>
      <c r="N2565" t="s">
        <v>4891</v>
      </c>
      <c r="O2565" t="s">
        <v>32</v>
      </c>
      <c r="P2565" t="s">
        <v>5472</v>
      </c>
      <c r="Q2565">
        <v>20</v>
      </c>
      <c r="R2565">
        <v>20</v>
      </c>
      <c r="S2565" t="s">
        <v>34</v>
      </c>
      <c r="T2565" t="s">
        <v>35</v>
      </c>
      <c r="W2565">
        <v>0</v>
      </c>
      <c r="X2565">
        <v>0</v>
      </c>
      <c r="Y2565">
        <v>0</v>
      </c>
      <c r="Z2565">
        <v>0</v>
      </c>
    </row>
    <row r="2566" spans="1:26" hidden="1" x14ac:dyDescent="0.25">
      <c r="A2566" t="s">
        <v>5473</v>
      </c>
      <c r="B2566" t="s">
        <v>38</v>
      </c>
      <c r="C2566" s="4">
        <v>45400</v>
      </c>
      <c r="D2566" s="4">
        <v>46014</v>
      </c>
      <c r="F2566" s="4">
        <v>46753</v>
      </c>
      <c r="G2566" t="s">
        <v>72</v>
      </c>
      <c r="H2566" t="s">
        <v>5474</v>
      </c>
      <c r="K2566" t="s">
        <v>83</v>
      </c>
      <c r="L2566" t="s">
        <v>4890</v>
      </c>
      <c r="M2566" t="s">
        <v>42</v>
      </c>
      <c r="N2566" t="s">
        <v>4891</v>
      </c>
      <c r="O2566" t="s">
        <v>32</v>
      </c>
      <c r="P2566" t="s">
        <v>5475</v>
      </c>
      <c r="Q2566">
        <v>135</v>
      </c>
      <c r="R2566">
        <v>135</v>
      </c>
      <c r="S2566" t="s">
        <v>34</v>
      </c>
      <c r="T2566" t="s">
        <v>35</v>
      </c>
      <c r="W2566">
        <v>0</v>
      </c>
      <c r="X2566">
        <v>0</v>
      </c>
      <c r="Y2566">
        <v>0</v>
      </c>
      <c r="Z2566">
        <v>0</v>
      </c>
    </row>
    <row r="2567" spans="1:26" hidden="1" x14ac:dyDescent="0.25">
      <c r="A2567" t="s">
        <v>5476</v>
      </c>
      <c r="B2567" t="s">
        <v>38</v>
      </c>
      <c r="C2567" s="4">
        <v>45399</v>
      </c>
      <c r="D2567" s="4">
        <v>45926</v>
      </c>
      <c r="F2567" s="4">
        <v>46905</v>
      </c>
      <c r="G2567" t="s">
        <v>117</v>
      </c>
      <c r="H2567" t="s">
        <v>1611</v>
      </c>
      <c r="K2567" t="s">
        <v>83</v>
      </c>
      <c r="L2567" t="s">
        <v>4890</v>
      </c>
      <c r="M2567" t="s">
        <v>84</v>
      </c>
      <c r="N2567" t="s">
        <v>4891</v>
      </c>
      <c r="O2567" t="s">
        <v>32</v>
      </c>
      <c r="P2567" t="s">
        <v>5477</v>
      </c>
      <c r="Q2567">
        <v>300</v>
      </c>
      <c r="R2567">
        <v>300</v>
      </c>
      <c r="S2567" t="s">
        <v>34</v>
      </c>
      <c r="T2567" t="s">
        <v>35</v>
      </c>
      <c r="W2567">
        <v>0</v>
      </c>
      <c r="X2567">
        <v>0</v>
      </c>
      <c r="Y2567">
        <v>0</v>
      </c>
      <c r="Z2567">
        <v>0</v>
      </c>
    </row>
    <row r="2568" spans="1:26" hidden="1" x14ac:dyDescent="0.25">
      <c r="A2568" t="s">
        <v>5478</v>
      </c>
      <c r="B2568" t="s">
        <v>38</v>
      </c>
      <c r="C2568" s="4">
        <v>45400</v>
      </c>
      <c r="D2568" s="4">
        <v>45926</v>
      </c>
      <c r="F2568" s="4">
        <v>46905</v>
      </c>
      <c r="G2568" t="s">
        <v>117</v>
      </c>
      <c r="H2568" t="s">
        <v>1424</v>
      </c>
      <c r="K2568" t="s">
        <v>83</v>
      </c>
      <c r="L2568" t="s">
        <v>4890</v>
      </c>
      <c r="M2568" t="s">
        <v>84</v>
      </c>
      <c r="N2568" t="s">
        <v>4891</v>
      </c>
      <c r="O2568" t="s">
        <v>32</v>
      </c>
      <c r="P2568" t="s">
        <v>5479</v>
      </c>
      <c r="Q2568">
        <v>200</v>
      </c>
      <c r="R2568">
        <v>200</v>
      </c>
      <c r="S2568" t="s">
        <v>34</v>
      </c>
      <c r="T2568" t="s">
        <v>35</v>
      </c>
      <c r="W2568">
        <v>0</v>
      </c>
      <c r="X2568">
        <v>0</v>
      </c>
      <c r="Y2568">
        <v>0</v>
      </c>
      <c r="Z2568">
        <v>0</v>
      </c>
    </row>
    <row r="2569" spans="1:26" hidden="1" x14ac:dyDescent="0.25">
      <c r="A2569" t="s">
        <v>5480</v>
      </c>
      <c r="B2569" t="s">
        <v>2153</v>
      </c>
      <c r="C2569" s="4">
        <v>45400</v>
      </c>
      <c r="F2569" s="4">
        <v>46966</v>
      </c>
      <c r="G2569" t="s">
        <v>1690</v>
      </c>
      <c r="H2569" t="s">
        <v>1691</v>
      </c>
      <c r="K2569" t="s">
        <v>98</v>
      </c>
      <c r="L2569" t="s">
        <v>4890</v>
      </c>
      <c r="M2569" t="s">
        <v>84</v>
      </c>
      <c r="N2569" t="s">
        <v>4891</v>
      </c>
      <c r="O2569" t="s">
        <v>32</v>
      </c>
      <c r="P2569" t="s">
        <v>1345</v>
      </c>
      <c r="Q2569">
        <v>275</v>
      </c>
      <c r="R2569">
        <v>275</v>
      </c>
      <c r="S2569" t="s">
        <v>56</v>
      </c>
      <c r="T2569" t="s">
        <v>57</v>
      </c>
      <c r="W2569">
        <v>275</v>
      </c>
      <c r="X2569">
        <v>0</v>
      </c>
      <c r="Y2569">
        <v>0</v>
      </c>
      <c r="Z2569">
        <v>0</v>
      </c>
    </row>
    <row r="2570" spans="1:26" hidden="1" x14ac:dyDescent="0.25">
      <c r="A2570" t="s">
        <v>5481</v>
      </c>
      <c r="B2570" t="s">
        <v>2153</v>
      </c>
      <c r="C2570" s="4">
        <v>45400</v>
      </c>
      <c r="F2570" s="4">
        <v>46966</v>
      </c>
      <c r="G2570" t="s">
        <v>132</v>
      </c>
      <c r="H2570" t="s">
        <v>1708</v>
      </c>
      <c r="K2570" t="s">
        <v>83</v>
      </c>
      <c r="L2570" t="s">
        <v>4890</v>
      </c>
      <c r="M2570" t="s">
        <v>84</v>
      </c>
      <c r="N2570" t="s">
        <v>4891</v>
      </c>
      <c r="O2570" t="s">
        <v>32</v>
      </c>
      <c r="P2570" t="s">
        <v>2724</v>
      </c>
      <c r="Q2570">
        <v>100</v>
      </c>
      <c r="R2570">
        <v>100</v>
      </c>
      <c r="S2570" t="s">
        <v>159</v>
      </c>
      <c r="T2570" t="s">
        <v>159</v>
      </c>
      <c r="W2570">
        <v>100</v>
      </c>
      <c r="X2570">
        <v>100</v>
      </c>
      <c r="Y2570">
        <v>0</v>
      </c>
      <c r="Z2570">
        <v>0</v>
      </c>
    </row>
    <row r="2571" spans="1:26" hidden="1" x14ac:dyDescent="0.25">
      <c r="A2571" t="s">
        <v>5482</v>
      </c>
      <c r="B2571" t="s">
        <v>2153</v>
      </c>
      <c r="C2571" s="4">
        <v>45400</v>
      </c>
      <c r="F2571" s="4">
        <v>46966</v>
      </c>
      <c r="G2571" t="s">
        <v>132</v>
      </c>
      <c r="H2571" t="s">
        <v>1765</v>
      </c>
      <c r="K2571" t="s">
        <v>83</v>
      </c>
      <c r="L2571" t="s">
        <v>4890</v>
      </c>
      <c r="M2571" t="s">
        <v>84</v>
      </c>
      <c r="N2571" t="s">
        <v>4891</v>
      </c>
      <c r="O2571" t="s">
        <v>122</v>
      </c>
      <c r="P2571" t="s">
        <v>1345</v>
      </c>
      <c r="Q2571">
        <v>198</v>
      </c>
      <c r="R2571">
        <v>198</v>
      </c>
      <c r="S2571" t="s">
        <v>56</v>
      </c>
      <c r="T2571" t="s">
        <v>57</v>
      </c>
      <c r="W2571">
        <v>198</v>
      </c>
      <c r="X2571">
        <v>0</v>
      </c>
      <c r="Y2571">
        <v>0</v>
      </c>
      <c r="Z2571">
        <v>0</v>
      </c>
    </row>
    <row r="2572" spans="1:26" hidden="1" x14ac:dyDescent="0.25">
      <c r="A2572" t="s">
        <v>5483</v>
      </c>
      <c r="B2572" t="s">
        <v>38</v>
      </c>
      <c r="C2572" s="4">
        <v>45400</v>
      </c>
      <c r="D2572" s="4">
        <v>45786</v>
      </c>
      <c r="F2572" s="4">
        <v>46174</v>
      </c>
      <c r="G2572" t="s">
        <v>65</v>
      </c>
      <c r="H2572" t="s">
        <v>1530</v>
      </c>
      <c r="K2572" t="s">
        <v>67</v>
      </c>
      <c r="L2572" t="s">
        <v>4890</v>
      </c>
      <c r="M2572" t="s">
        <v>68</v>
      </c>
      <c r="N2572" t="s">
        <v>4891</v>
      </c>
      <c r="O2572" t="s">
        <v>32</v>
      </c>
      <c r="P2572" t="s">
        <v>3267</v>
      </c>
      <c r="Q2572">
        <v>200</v>
      </c>
      <c r="R2572">
        <v>200</v>
      </c>
      <c r="S2572" t="s">
        <v>159</v>
      </c>
      <c r="T2572" t="s">
        <v>159</v>
      </c>
      <c r="W2572">
        <v>0</v>
      </c>
      <c r="X2572">
        <v>0</v>
      </c>
      <c r="Y2572">
        <v>0</v>
      </c>
      <c r="Z2572">
        <v>0</v>
      </c>
    </row>
    <row r="2573" spans="1:26" hidden="1" x14ac:dyDescent="0.25">
      <c r="A2573" t="s">
        <v>5484</v>
      </c>
      <c r="B2573" t="s">
        <v>38</v>
      </c>
      <c r="C2573" s="4">
        <v>45397</v>
      </c>
      <c r="D2573" s="4">
        <v>45869</v>
      </c>
      <c r="F2573" s="4">
        <v>46886</v>
      </c>
      <c r="G2573" t="s">
        <v>1311</v>
      </c>
      <c r="H2573" t="s">
        <v>1312</v>
      </c>
      <c r="K2573" t="s">
        <v>114</v>
      </c>
      <c r="L2573" t="s">
        <v>4890</v>
      </c>
      <c r="M2573" t="s">
        <v>68</v>
      </c>
      <c r="N2573" t="s">
        <v>4891</v>
      </c>
      <c r="O2573" t="s">
        <v>122</v>
      </c>
      <c r="P2573" t="s">
        <v>5485</v>
      </c>
      <c r="Q2573">
        <v>250</v>
      </c>
      <c r="R2573">
        <v>250</v>
      </c>
      <c r="S2573" t="s">
        <v>34</v>
      </c>
      <c r="T2573" t="s">
        <v>35</v>
      </c>
      <c r="W2573">
        <v>0</v>
      </c>
      <c r="X2573">
        <v>0</v>
      </c>
      <c r="Y2573">
        <v>0</v>
      </c>
      <c r="Z2573">
        <v>0</v>
      </c>
    </row>
    <row r="2574" spans="1:26" hidden="1" x14ac:dyDescent="0.25">
      <c r="A2574" t="s">
        <v>5486</v>
      </c>
      <c r="B2574" t="s">
        <v>38</v>
      </c>
      <c r="C2574" s="4">
        <v>45400</v>
      </c>
      <c r="D2574" s="4">
        <v>46014</v>
      </c>
      <c r="F2574" s="4">
        <v>46753</v>
      </c>
      <c r="G2574" t="s">
        <v>65</v>
      </c>
      <c r="H2574" t="s">
        <v>3247</v>
      </c>
      <c r="K2574" t="s">
        <v>67</v>
      </c>
      <c r="L2574" t="s">
        <v>4890</v>
      </c>
      <c r="M2574" t="s">
        <v>68</v>
      </c>
      <c r="N2574" t="s">
        <v>4891</v>
      </c>
      <c r="O2574" t="s">
        <v>32</v>
      </c>
      <c r="P2574" t="s">
        <v>5487</v>
      </c>
      <c r="Q2574">
        <v>300</v>
      </c>
      <c r="R2574">
        <v>300</v>
      </c>
      <c r="S2574" t="s">
        <v>597</v>
      </c>
      <c r="T2574" t="s">
        <v>35</v>
      </c>
      <c r="W2574">
        <v>0</v>
      </c>
      <c r="X2574">
        <v>0</v>
      </c>
      <c r="Y2574">
        <v>0</v>
      </c>
      <c r="Z2574">
        <v>0</v>
      </c>
    </row>
    <row r="2575" spans="1:26" hidden="1" x14ac:dyDescent="0.25">
      <c r="A2575" t="s">
        <v>5488</v>
      </c>
      <c r="B2575" t="s">
        <v>38</v>
      </c>
      <c r="C2575" s="4">
        <v>45400</v>
      </c>
      <c r="D2575" s="4">
        <v>46014</v>
      </c>
      <c r="F2575" s="4">
        <v>46753</v>
      </c>
      <c r="G2575" t="s">
        <v>65</v>
      </c>
      <c r="H2575" t="s">
        <v>1879</v>
      </c>
      <c r="K2575" t="s">
        <v>67</v>
      </c>
      <c r="L2575" t="s">
        <v>4890</v>
      </c>
      <c r="M2575" t="s">
        <v>68</v>
      </c>
      <c r="N2575" t="s">
        <v>4891</v>
      </c>
      <c r="O2575" t="s">
        <v>32</v>
      </c>
      <c r="P2575" t="s">
        <v>5489</v>
      </c>
      <c r="Q2575">
        <v>300</v>
      </c>
      <c r="R2575">
        <v>300</v>
      </c>
      <c r="S2575" t="s">
        <v>597</v>
      </c>
      <c r="T2575" t="s">
        <v>35</v>
      </c>
      <c r="W2575">
        <v>0</v>
      </c>
      <c r="X2575">
        <v>0</v>
      </c>
      <c r="Y2575">
        <v>0</v>
      </c>
      <c r="Z2575">
        <v>0</v>
      </c>
    </row>
    <row r="2576" spans="1:26" hidden="1" x14ac:dyDescent="0.25">
      <c r="A2576" t="s">
        <v>5490</v>
      </c>
      <c r="B2576" t="s">
        <v>38</v>
      </c>
      <c r="C2576" s="4">
        <v>45400</v>
      </c>
      <c r="D2576" s="4">
        <v>45897</v>
      </c>
      <c r="F2576" s="4">
        <v>46753</v>
      </c>
      <c r="G2576" t="s">
        <v>65</v>
      </c>
      <c r="H2576" t="s">
        <v>3247</v>
      </c>
      <c r="K2576" t="s">
        <v>67</v>
      </c>
      <c r="L2576" t="s">
        <v>4890</v>
      </c>
      <c r="M2576" t="s">
        <v>68</v>
      </c>
      <c r="N2576" t="s">
        <v>4891</v>
      </c>
      <c r="O2576" t="s">
        <v>32</v>
      </c>
      <c r="P2576" t="s">
        <v>5491</v>
      </c>
      <c r="Q2576">
        <v>250</v>
      </c>
      <c r="R2576">
        <v>250</v>
      </c>
      <c r="S2576" t="s">
        <v>597</v>
      </c>
      <c r="T2576" t="s">
        <v>35</v>
      </c>
      <c r="W2576">
        <v>0</v>
      </c>
      <c r="X2576">
        <v>0</v>
      </c>
      <c r="Y2576">
        <v>0</v>
      </c>
      <c r="Z2576">
        <v>0</v>
      </c>
    </row>
    <row r="2577" spans="1:26" hidden="1" x14ac:dyDescent="0.25">
      <c r="A2577" t="s">
        <v>5492</v>
      </c>
      <c r="B2577" t="s">
        <v>38</v>
      </c>
      <c r="C2577" s="4">
        <v>45400</v>
      </c>
      <c r="D2577" s="4">
        <v>45902</v>
      </c>
      <c r="F2577" s="4">
        <v>46753</v>
      </c>
      <c r="G2577" t="s">
        <v>144</v>
      </c>
      <c r="H2577" t="s">
        <v>5493</v>
      </c>
      <c r="K2577" t="s">
        <v>146</v>
      </c>
      <c r="L2577" t="s">
        <v>4890</v>
      </c>
      <c r="M2577" t="s">
        <v>68</v>
      </c>
      <c r="N2577" t="s">
        <v>4891</v>
      </c>
      <c r="O2577" t="s">
        <v>32</v>
      </c>
      <c r="P2577" t="s">
        <v>5494</v>
      </c>
      <c r="Q2577">
        <v>200</v>
      </c>
      <c r="R2577">
        <v>200</v>
      </c>
      <c r="S2577" t="s">
        <v>597</v>
      </c>
      <c r="T2577" t="s">
        <v>35</v>
      </c>
      <c r="W2577">
        <v>0</v>
      </c>
      <c r="X2577">
        <v>0</v>
      </c>
      <c r="Y2577">
        <v>0</v>
      </c>
      <c r="Z2577">
        <v>0</v>
      </c>
    </row>
    <row r="2578" spans="1:26" hidden="1" x14ac:dyDescent="0.25">
      <c r="A2578" t="s">
        <v>5495</v>
      </c>
      <c r="B2578" t="s">
        <v>38</v>
      </c>
      <c r="C2578" s="4">
        <v>45400</v>
      </c>
      <c r="D2578" s="4">
        <v>45930</v>
      </c>
      <c r="F2578" s="4">
        <v>46753</v>
      </c>
      <c r="G2578" t="s">
        <v>144</v>
      </c>
      <c r="H2578" t="s">
        <v>1418</v>
      </c>
      <c r="K2578" t="s">
        <v>146</v>
      </c>
      <c r="L2578" t="s">
        <v>4890</v>
      </c>
      <c r="M2578" t="s">
        <v>68</v>
      </c>
      <c r="N2578" t="s">
        <v>4891</v>
      </c>
      <c r="O2578" t="s">
        <v>32</v>
      </c>
      <c r="P2578" t="s">
        <v>5496</v>
      </c>
      <c r="Q2578">
        <v>200</v>
      </c>
      <c r="R2578">
        <v>200</v>
      </c>
      <c r="S2578" t="s">
        <v>597</v>
      </c>
      <c r="T2578" t="s">
        <v>35</v>
      </c>
      <c r="W2578">
        <v>0</v>
      </c>
      <c r="X2578">
        <v>0</v>
      </c>
      <c r="Y2578">
        <v>0</v>
      </c>
      <c r="Z2578">
        <v>0</v>
      </c>
    </row>
    <row r="2579" spans="1:26" hidden="1" x14ac:dyDescent="0.25">
      <c r="A2579" t="s">
        <v>5497</v>
      </c>
      <c r="B2579" t="s">
        <v>38</v>
      </c>
      <c r="C2579" s="4">
        <v>45399</v>
      </c>
      <c r="D2579" s="4">
        <v>45869</v>
      </c>
      <c r="F2579" s="4">
        <v>46661</v>
      </c>
      <c r="G2579" t="s">
        <v>101</v>
      </c>
      <c r="H2579" t="s">
        <v>2052</v>
      </c>
      <c r="K2579" t="s">
        <v>98</v>
      </c>
      <c r="L2579" t="s">
        <v>4890</v>
      </c>
      <c r="M2579" t="s">
        <v>84</v>
      </c>
      <c r="N2579" t="s">
        <v>4891</v>
      </c>
      <c r="O2579" t="s">
        <v>32</v>
      </c>
      <c r="P2579" t="s">
        <v>1345</v>
      </c>
      <c r="Q2579">
        <v>60</v>
      </c>
      <c r="R2579">
        <v>60</v>
      </c>
      <c r="S2579" t="s">
        <v>34</v>
      </c>
      <c r="T2579" t="s">
        <v>35</v>
      </c>
      <c r="W2579">
        <v>0</v>
      </c>
      <c r="X2579">
        <v>0</v>
      </c>
      <c r="Y2579">
        <v>0</v>
      </c>
      <c r="Z2579">
        <v>0</v>
      </c>
    </row>
    <row r="2580" spans="1:26" hidden="1" x14ac:dyDescent="0.25">
      <c r="A2580" t="s">
        <v>5498</v>
      </c>
      <c r="B2580" t="s">
        <v>38</v>
      </c>
      <c r="C2580" s="4">
        <v>45400</v>
      </c>
      <c r="D2580" s="4">
        <v>46014</v>
      </c>
      <c r="F2580" s="4">
        <v>46753</v>
      </c>
      <c r="G2580" t="s">
        <v>65</v>
      </c>
      <c r="H2580" t="s">
        <v>1327</v>
      </c>
      <c r="K2580" t="s">
        <v>67</v>
      </c>
      <c r="L2580" t="s">
        <v>4890</v>
      </c>
      <c r="M2580" t="s">
        <v>68</v>
      </c>
      <c r="N2580" t="s">
        <v>4891</v>
      </c>
      <c r="O2580" t="s">
        <v>32</v>
      </c>
      <c r="P2580" t="s">
        <v>3925</v>
      </c>
      <c r="Q2580">
        <v>300</v>
      </c>
      <c r="R2580">
        <v>300</v>
      </c>
      <c r="S2580" t="s">
        <v>597</v>
      </c>
      <c r="T2580" t="s">
        <v>35</v>
      </c>
      <c r="W2580">
        <v>0</v>
      </c>
      <c r="X2580">
        <v>0</v>
      </c>
      <c r="Y2580">
        <v>0</v>
      </c>
      <c r="Z2580">
        <v>0</v>
      </c>
    </row>
    <row r="2581" spans="1:26" hidden="1" x14ac:dyDescent="0.25">
      <c r="A2581" t="s">
        <v>5499</v>
      </c>
      <c r="B2581" t="s">
        <v>38</v>
      </c>
      <c r="C2581" s="4">
        <v>45400</v>
      </c>
      <c r="D2581" s="4">
        <v>46014</v>
      </c>
      <c r="F2581" s="4">
        <v>46844</v>
      </c>
      <c r="G2581" t="s">
        <v>1311</v>
      </c>
      <c r="H2581" t="s">
        <v>4826</v>
      </c>
      <c r="K2581" t="s">
        <v>114</v>
      </c>
      <c r="L2581" t="s">
        <v>4890</v>
      </c>
      <c r="M2581" t="s">
        <v>68</v>
      </c>
      <c r="N2581" t="s">
        <v>4891</v>
      </c>
      <c r="O2581" t="s">
        <v>122</v>
      </c>
      <c r="P2581" t="s">
        <v>4546</v>
      </c>
      <c r="Q2581">
        <v>300</v>
      </c>
      <c r="R2581">
        <v>300</v>
      </c>
      <c r="S2581" t="s">
        <v>34</v>
      </c>
      <c r="T2581" t="s">
        <v>35</v>
      </c>
      <c r="W2581">
        <v>0</v>
      </c>
      <c r="X2581">
        <v>0</v>
      </c>
      <c r="Y2581">
        <v>0</v>
      </c>
      <c r="Z2581">
        <v>0</v>
      </c>
    </row>
    <row r="2582" spans="1:26" hidden="1" x14ac:dyDescent="0.25">
      <c r="A2582" t="s">
        <v>5500</v>
      </c>
      <c r="B2582" t="s">
        <v>38</v>
      </c>
      <c r="C2582" s="4">
        <v>45400</v>
      </c>
      <c r="D2582" s="4">
        <v>46014</v>
      </c>
      <c r="F2582" s="4">
        <v>47072</v>
      </c>
      <c r="G2582" t="s">
        <v>1311</v>
      </c>
      <c r="H2582" t="s">
        <v>4196</v>
      </c>
      <c r="K2582" t="s">
        <v>114</v>
      </c>
      <c r="L2582" t="s">
        <v>4890</v>
      </c>
      <c r="M2582" t="s">
        <v>68</v>
      </c>
      <c r="N2582" t="s">
        <v>4891</v>
      </c>
      <c r="O2582" t="s">
        <v>32</v>
      </c>
      <c r="P2582" t="s">
        <v>5501</v>
      </c>
      <c r="Q2582">
        <v>120</v>
      </c>
      <c r="R2582">
        <v>120</v>
      </c>
      <c r="S2582" t="s">
        <v>34</v>
      </c>
      <c r="T2582" t="s">
        <v>35</v>
      </c>
      <c r="W2582">
        <v>0</v>
      </c>
      <c r="X2582">
        <v>0</v>
      </c>
      <c r="Y2582">
        <v>0</v>
      </c>
      <c r="Z2582">
        <v>0</v>
      </c>
    </row>
    <row r="2583" spans="1:26" hidden="1" x14ac:dyDescent="0.25">
      <c r="A2583" t="s">
        <v>4838</v>
      </c>
      <c r="B2583" t="s">
        <v>38</v>
      </c>
      <c r="C2583" s="4">
        <v>45391</v>
      </c>
      <c r="D2583" s="4">
        <v>46014</v>
      </c>
      <c r="F2583" s="4">
        <v>46492</v>
      </c>
      <c r="G2583" t="s">
        <v>1136</v>
      </c>
      <c r="H2583" t="s">
        <v>1676</v>
      </c>
      <c r="K2583" t="s">
        <v>67</v>
      </c>
      <c r="L2583" t="s">
        <v>4890</v>
      </c>
      <c r="M2583" t="s">
        <v>68</v>
      </c>
      <c r="N2583" t="s">
        <v>4891</v>
      </c>
      <c r="O2583" t="s">
        <v>32</v>
      </c>
      <c r="P2583" t="s">
        <v>3080</v>
      </c>
      <c r="Q2583">
        <v>100</v>
      </c>
      <c r="R2583">
        <v>100</v>
      </c>
      <c r="S2583" t="s">
        <v>34</v>
      </c>
      <c r="T2583" t="s">
        <v>35</v>
      </c>
      <c r="W2583">
        <v>0</v>
      </c>
      <c r="X2583">
        <v>0</v>
      </c>
      <c r="Y2583">
        <v>0</v>
      </c>
      <c r="Z2583">
        <v>0</v>
      </c>
    </row>
    <row r="2584" spans="1:26" hidden="1" x14ac:dyDescent="0.25">
      <c r="A2584" t="s">
        <v>5502</v>
      </c>
      <c r="B2584" t="s">
        <v>38</v>
      </c>
      <c r="C2584" s="4">
        <v>45399</v>
      </c>
      <c r="D2584" s="4">
        <v>46014</v>
      </c>
      <c r="F2584" s="4">
        <v>47118</v>
      </c>
      <c r="G2584" t="s">
        <v>65</v>
      </c>
      <c r="H2584" t="s">
        <v>1849</v>
      </c>
      <c r="K2584" t="s">
        <v>67</v>
      </c>
      <c r="L2584" t="s">
        <v>4890</v>
      </c>
      <c r="M2584" t="s">
        <v>68</v>
      </c>
      <c r="N2584" t="s">
        <v>4891</v>
      </c>
      <c r="O2584" t="s">
        <v>32</v>
      </c>
      <c r="P2584" t="s">
        <v>5503</v>
      </c>
      <c r="Q2584">
        <v>135</v>
      </c>
      <c r="R2584">
        <v>135</v>
      </c>
      <c r="S2584" t="s">
        <v>34</v>
      </c>
      <c r="T2584" t="s">
        <v>35</v>
      </c>
      <c r="W2584">
        <v>0</v>
      </c>
      <c r="X2584">
        <v>0</v>
      </c>
      <c r="Y2584">
        <v>0</v>
      </c>
      <c r="Z2584">
        <v>0</v>
      </c>
    </row>
    <row r="2585" spans="1:26" hidden="1" x14ac:dyDescent="0.25">
      <c r="A2585" t="s">
        <v>5504</v>
      </c>
      <c r="B2585" t="s">
        <v>38</v>
      </c>
      <c r="C2585" s="4">
        <v>45400</v>
      </c>
      <c r="D2585" s="4">
        <v>45800</v>
      </c>
      <c r="F2585" s="4">
        <v>46904</v>
      </c>
      <c r="G2585" t="s">
        <v>1136</v>
      </c>
      <c r="H2585" t="s">
        <v>1327</v>
      </c>
      <c r="K2585" t="s">
        <v>67</v>
      </c>
      <c r="L2585" t="s">
        <v>4890</v>
      </c>
      <c r="M2585" t="s">
        <v>68</v>
      </c>
      <c r="N2585" t="s">
        <v>4891</v>
      </c>
      <c r="O2585" t="s">
        <v>32</v>
      </c>
      <c r="P2585" t="s">
        <v>4192</v>
      </c>
      <c r="Q2585">
        <v>250</v>
      </c>
      <c r="R2585">
        <v>250</v>
      </c>
      <c r="S2585" t="s">
        <v>159</v>
      </c>
      <c r="T2585" t="s">
        <v>159</v>
      </c>
      <c r="W2585">
        <v>0</v>
      </c>
      <c r="X2585">
        <v>0</v>
      </c>
      <c r="Y2585">
        <v>0</v>
      </c>
      <c r="Z2585">
        <v>0</v>
      </c>
    </row>
    <row r="2586" spans="1:26" hidden="1" x14ac:dyDescent="0.25">
      <c r="A2586" t="s">
        <v>5505</v>
      </c>
      <c r="B2586" t="s">
        <v>38</v>
      </c>
      <c r="C2586" s="4">
        <v>45400</v>
      </c>
      <c r="D2586" s="4">
        <v>45800</v>
      </c>
      <c r="F2586" s="4">
        <v>46904</v>
      </c>
      <c r="G2586" t="s">
        <v>616</v>
      </c>
      <c r="H2586" t="s">
        <v>3063</v>
      </c>
      <c r="K2586" t="s">
        <v>146</v>
      </c>
      <c r="L2586" t="s">
        <v>4890</v>
      </c>
      <c r="M2586" t="s">
        <v>68</v>
      </c>
      <c r="N2586" t="s">
        <v>4891</v>
      </c>
      <c r="O2586" t="s">
        <v>32</v>
      </c>
      <c r="P2586" t="s">
        <v>5506</v>
      </c>
      <c r="Q2586">
        <v>200</v>
      </c>
      <c r="R2586">
        <v>200</v>
      </c>
      <c r="S2586" t="s">
        <v>159</v>
      </c>
      <c r="T2586" t="s">
        <v>159</v>
      </c>
      <c r="W2586">
        <v>0</v>
      </c>
      <c r="X2586">
        <v>0</v>
      </c>
      <c r="Y2586">
        <v>0</v>
      </c>
      <c r="Z2586">
        <v>0</v>
      </c>
    </row>
    <row r="2587" spans="1:26" hidden="1" x14ac:dyDescent="0.25">
      <c r="A2587" t="s">
        <v>5507</v>
      </c>
      <c r="B2587" t="s">
        <v>38</v>
      </c>
      <c r="C2587" s="4">
        <v>45400</v>
      </c>
      <c r="D2587" s="4">
        <v>45582</v>
      </c>
      <c r="F2587" s="4">
        <v>46966</v>
      </c>
      <c r="G2587" t="s">
        <v>616</v>
      </c>
      <c r="H2587" t="s">
        <v>1656</v>
      </c>
      <c r="K2587" t="s">
        <v>146</v>
      </c>
      <c r="L2587" t="s">
        <v>4890</v>
      </c>
      <c r="M2587" t="s">
        <v>68</v>
      </c>
      <c r="N2587" t="s">
        <v>4891</v>
      </c>
      <c r="O2587" t="s">
        <v>32</v>
      </c>
      <c r="P2587" t="s">
        <v>5508</v>
      </c>
      <c r="Q2587">
        <v>150</v>
      </c>
      <c r="R2587">
        <v>150</v>
      </c>
      <c r="S2587" t="s">
        <v>597</v>
      </c>
      <c r="T2587" t="s">
        <v>598</v>
      </c>
      <c r="U2587" t="s">
        <v>38</v>
      </c>
      <c r="W2587">
        <v>0</v>
      </c>
      <c r="X2587">
        <v>0</v>
      </c>
      <c r="Y2587">
        <v>0</v>
      </c>
      <c r="Z2587">
        <v>0</v>
      </c>
    </row>
    <row r="2588" spans="1:26" hidden="1" x14ac:dyDescent="0.25">
      <c r="A2588" t="s">
        <v>5509</v>
      </c>
      <c r="B2588" t="s">
        <v>38</v>
      </c>
      <c r="C2588" s="4">
        <v>45400</v>
      </c>
      <c r="D2588" s="4">
        <v>46014</v>
      </c>
      <c r="F2588" s="4">
        <v>46966</v>
      </c>
      <c r="G2588" t="s">
        <v>65</v>
      </c>
      <c r="H2588" t="s">
        <v>1876</v>
      </c>
      <c r="K2588" t="s">
        <v>67</v>
      </c>
      <c r="L2588" t="s">
        <v>4890</v>
      </c>
      <c r="M2588" t="s">
        <v>68</v>
      </c>
      <c r="N2588" t="s">
        <v>4891</v>
      </c>
      <c r="O2588" t="s">
        <v>32</v>
      </c>
      <c r="P2588" t="s">
        <v>5510</v>
      </c>
      <c r="Q2588">
        <v>300</v>
      </c>
      <c r="R2588">
        <v>300</v>
      </c>
      <c r="S2588" t="s">
        <v>597</v>
      </c>
      <c r="T2588" t="s">
        <v>598</v>
      </c>
      <c r="W2588">
        <v>0</v>
      </c>
      <c r="X2588">
        <v>0</v>
      </c>
      <c r="Y2588">
        <v>0</v>
      </c>
      <c r="Z2588">
        <v>0</v>
      </c>
    </row>
    <row r="2589" spans="1:26" hidden="1" x14ac:dyDescent="0.25">
      <c r="A2589" t="s">
        <v>5511</v>
      </c>
      <c r="B2589" t="s">
        <v>38</v>
      </c>
      <c r="C2589" s="4">
        <v>45399</v>
      </c>
      <c r="D2589" s="4">
        <v>45744</v>
      </c>
      <c r="F2589" s="4">
        <v>46966</v>
      </c>
      <c r="G2589" t="s">
        <v>65</v>
      </c>
      <c r="H2589" t="s">
        <v>1849</v>
      </c>
      <c r="K2589" t="s">
        <v>67</v>
      </c>
      <c r="L2589" t="s">
        <v>4890</v>
      </c>
      <c r="M2589" t="s">
        <v>68</v>
      </c>
      <c r="N2589" t="s">
        <v>4891</v>
      </c>
      <c r="O2589" t="s">
        <v>32</v>
      </c>
      <c r="P2589" t="s">
        <v>3341</v>
      </c>
      <c r="Q2589">
        <v>215</v>
      </c>
      <c r="R2589">
        <v>215</v>
      </c>
      <c r="S2589" t="s">
        <v>597</v>
      </c>
      <c r="T2589" t="s">
        <v>159</v>
      </c>
      <c r="W2589">
        <v>0</v>
      </c>
      <c r="X2589">
        <v>0</v>
      </c>
      <c r="Y2589">
        <v>0</v>
      </c>
      <c r="Z2589">
        <v>0</v>
      </c>
    </row>
    <row r="2590" spans="1:26" hidden="1" x14ac:dyDescent="0.25">
      <c r="A2590" t="s">
        <v>5512</v>
      </c>
      <c r="B2590" t="s">
        <v>38</v>
      </c>
      <c r="C2590" s="4">
        <v>45399</v>
      </c>
      <c r="D2590" s="4">
        <v>45924</v>
      </c>
      <c r="F2590" s="4">
        <v>47026</v>
      </c>
      <c r="G2590" t="s">
        <v>149</v>
      </c>
      <c r="H2590" t="s">
        <v>1756</v>
      </c>
      <c r="K2590" t="s">
        <v>146</v>
      </c>
      <c r="L2590" t="s">
        <v>4890</v>
      </c>
      <c r="M2590" t="s">
        <v>68</v>
      </c>
      <c r="N2590" t="s">
        <v>4891</v>
      </c>
      <c r="O2590" t="s">
        <v>122</v>
      </c>
      <c r="P2590" t="s">
        <v>2249</v>
      </c>
      <c r="Q2590">
        <v>150</v>
      </c>
      <c r="R2590">
        <v>150</v>
      </c>
      <c r="S2590" t="s">
        <v>159</v>
      </c>
      <c r="T2590" t="s">
        <v>159</v>
      </c>
      <c r="W2590">
        <v>0</v>
      </c>
      <c r="X2590">
        <v>0</v>
      </c>
      <c r="Y2590">
        <v>0</v>
      </c>
      <c r="Z2590">
        <v>0</v>
      </c>
    </row>
    <row r="2591" spans="1:26" hidden="1" x14ac:dyDescent="0.25">
      <c r="A2591" t="s">
        <v>5513</v>
      </c>
      <c r="B2591" t="s">
        <v>2153</v>
      </c>
      <c r="C2591" s="4">
        <v>45400</v>
      </c>
      <c r="F2591" s="4">
        <v>46753</v>
      </c>
      <c r="G2591" t="s">
        <v>1749</v>
      </c>
      <c r="H2591" t="s">
        <v>2013</v>
      </c>
      <c r="K2591" t="s">
        <v>151</v>
      </c>
      <c r="L2591" t="s">
        <v>4890</v>
      </c>
      <c r="M2591" t="s">
        <v>68</v>
      </c>
      <c r="N2591" t="s">
        <v>4891</v>
      </c>
      <c r="O2591" t="s">
        <v>32</v>
      </c>
      <c r="P2591" t="s">
        <v>5514</v>
      </c>
      <c r="Q2591">
        <v>205.8</v>
      </c>
      <c r="R2591">
        <v>205.8</v>
      </c>
      <c r="S2591" t="s">
        <v>34</v>
      </c>
      <c r="T2591" t="s">
        <v>598</v>
      </c>
      <c r="W2591">
        <v>205.8</v>
      </c>
      <c r="X2591">
        <v>165</v>
      </c>
      <c r="Y2591">
        <v>0</v>
      </c>
      <c r="Z2591">
        <v>0</v>
      </c>
    </row>
    <row r="2592" spans="1:26" hidden="1" x14ac:dyDescent="0.25">
      <c r="A2592" t="s">
        <v>5515</v>
      </c>
      <c r="B2592" t="s">
        <v>38</v>
      </c>
      <c r="C2592" s="4">
        <v>45400</v>
      </c>
      <c r="D2592" s="4">
        <v>45926</v>
      </c>
      <c r="F2592" s="4">
        <v>46569</v>
      </c>
      <c r="G2592" t="s">
        <v>149</v>
      </c>
      <c r="H2592" t="s">
        <v>1279</v>
      </c>
      <c r="K2592" t="s">
        <v>151</v>
      </c>
      <c r="L2592" t="s">
        <v>4890</v>
      </c>
      <c r="M2592" t="s">
        <v>68</v>
      </c>
      <c r="N2592" t="s">
        <v>4891</v>
      </c>
      <c r="O2592" t="s">
        <v>1110</v>
      </c>
      <c r="P2592" t="s">
        <v>5516</v>
      </c>
      <c r="Q2592">
        <v>110</v>
      </c>
      <c r="R2592">
        <v>110</v>
      </c>
      <c r="S2592" t="s">
        <v>389</v>
      </c>
      <c r="T2592" t="s">
        <v>720</v>
      </c>
      <c r="W2592">
        <v>0</v>
      </c>
      <c r="X2592">
        <v>0</v>
      </c>
      <c r="Y2592">
        <v>0</v>
      </c>
      <c r="Z2592">
        <v>0</v>
      </c>
    </row>
    <row r="2593" spans="1:26" hidden="1" x14ac:dyDescent="0.25">
      <c r="A2593" t="s">
        <v>5517</v>
      </c>
      <c r="B2593" t="s">
        <v>38</v>
      </c>
      <c r="C2593" s="4">
        <v>45399</v>
      </c>
      <c r="D2593" s="4">
        <v>45930</v>
      </c>
      <c r="F2593" s="4">
        <v>47026</v>
      </c>
      <c r="G2593" t="s">
        <v>65</v>
      </c>
      <c r="H2593" t="s">
        <v>1470</v>
      </c>
      <c r="K2593" t="s">
        <v>67</v>
      </c>
      <c r="L2593" t="s">
        <v>4890</v>
      </c>
      <c r="M2593" t="s">
        <v>68</v>
      </c>
      <c r="N2593" t="s">
        <v>4891</v>
      </c>
      <c r="O2593" t="s">
        <v>32</v>
      </c>
      <c r="P2593" t="s">
        <v>5518</v>
      </c>
      <c r="Q2593">
        <v>100</v>
      </c>
      <c r="R2593">
        <v>100</v>
      </c>
      <c r="S2593" t="s">
        <v>34</v>
      </c>
      <c r="T2593" t="s">
        <v>35</v>
      </c>
      <c r="W2593">
        <v>0</v>
      </c>
      <c r="X2593">
        <v>0</v>
      </c>
      <c r="Y2593">
        <v>0</v>
      </c>
      <c r="Z2593">
        <v>0</v>
      </c>
    </row>
    <row r="2594" spans="1:26" hidden="1" x14ac:dyDescent="0.25">
      <c r="A2594" t="s">
        <v>5519</v>
      </c>
      <c r="B2594" t="s">
        <v>38</v>
      </c>
      <c r="C2594" s="4">
        <v>45399</v>
      </c>
      <c r="D2594" s="4">
        <v>45930</v>
      </c>
      <c r="F2594" s="4">
        <v>47026</v>
      </c>
      <c r="G2594" t="s">
        <v>1311</v>
      </c>
      <c r="H2594" t="s">
        <v>3025</v>
      </c>
      <c r="K2594" t="s">
        <v>114</v>
      </c>
      <c r="L2594" t="s">
        <v>4890</v>
      </c>
      <c r="M2594" t="s">
        <v>68</v>
      </c>
      <c r="N2594" t="s">
        <v>4891</v>
      </c>
      <c r="O2594" t="s">
        <v>32</v>
      </c>
      <c r="P2594" t="s">
        <v>5520</v>
      </c>
      <c r="Q2594">
        <v>160</v>
      </c>
      <c r="R2594">
        <v>160</v>
      </c>
      <c r="S2594" t="s">
        <v>34</v>
      </c>
      <c r="T2594" t="s">
        <v>35</v>
      </c>
      <c r="W2594">
        <v>0</v>
      </c>
      <c r="X2594">
        <v>0</v>
      </c>
      <c r="Y2594">
        <v>0</v>
      </c>
      <c r="Z2594">
        <v>0</v>
      </c>
    </row>
    <row r="2595" spans="1:26" hidden="1" x14ac:dyDescent="0.25">
      <c r="A2595" t="s">
        <v>5521</v>
      </c>
      <c r="B2595" t="s">
        <v>2153</v>
      </c>
      <c r="C2595" s="4">
        <v>45399</v>
      </c>
      <c r="F2595" s="4">
        <v>47118</v>
      </c>
      <c r="G2595" t="s">
        <v>1753</v>
      </c>
      <c r="H2595" t="s">
        <v>3947</v>
      </c>
      <c r="K2595" t="s">
        <v>114</v>
      </c>
      <c r="L2595" t="s">
        <v>4890</v>
      </c>
      <c r="M2595" t="s">
        <v>68</v>
      </c>
      <c r="N2595" t="s">
        <v>4891</v>
      </c>
      <c r="O2595" t="s">
        <v>32</v>
      </c>
      <c r="P2595" t="s">
        <v>3948</v>
      </c>
      <c r="Q2595">
        <v>75</v>
      </c>
      <c r="R2595">
        <v>75</v>
      </c>
      <c r="S2595" t="s">
        <v>34</v>
      </c>
      <c r="T2595" t="s">
        <v>35</v>
      </c>
      <c r="W2595">
        <v>75</v>
      </c>
      <c r="X2595">
        <v>75</v>
      </c>
      <c r="Y2595">
        <v>0</v>
      </c>
      <c r="Z2595">
        <v>0</v>
      </c>
    </row>
    <row r="2596" spans="1:26" hidden="1" x14ac:dyDescent="0.25">
      <c r="A2596" t="s">
        <v>5522</v>
      </c>
      <c r="B2596" t="s">
        <v>38</v>
      </c>
      <c r="C2596" s="4">
        <v>45399</v>
      </c>
      <c r="D2596" s="4">
        <v>46020</v>
      </c>
      <c r="F2596" s="4">
        <v>46996</v>
      </c>
      <c r="G2596" t="s">
        <v>144</v>
      </c>
      <c r="H2596" t="s">
        <v>3086</v>
      </c>
      <c r="K2596" t="s">
        <v>146</v>
      </c>
      <c r="L2596" t="s">
        <v>4890</v>
      </c>
      <c r="M2596" t="s">
        <v>68</v>
      </c>
      <c r="N2596" t="s">
        <v>4891</v>
      </c>
      <c r="O2596" t="s">
        <v>32</v>
      </c>
      <c r="P2596" t="s">
        <v>3087</v>
      </c>
      <c r="Q2596">
        <v>400</v>
      </c>
      <c r="R2596">
        <v>400</v>
      </c>
      <c r="S2596" t="s">
        <v>597</v>
      </c>
      <c r="T2596" t="s">
        <v>598</v>
      </c>
      <c r="W2596">
        <v>400</v>
      </c>
      <c r="X2596">
        <v>400</v>
      </c>
      <c r="Y2596">
        <v>0</v>
      </c>
      <c r="Z2596">
        <v>0</v>
      </c>
    </row>
    <row r="2597" spans="1:26" hidden="1" x14ac:dyDescent="0.25">
      <c r="A2597" t="s">
        <v>5523</v>
      </c>
      <c r="B2597" t="s">
        <v>2153</v>
      </c>
      <c r="C2597" s="4">
        <v>45400</v>
      </c>
      <c r="F2597" s="4">
        <v>46844</v>
      </c>
      <c r="G2597" t="s">
        <v>1753</v>
      </c>
      <c r="H2597" t="s">
        <v>3060</v>
      </c>
      <c r="K2597" t="s">
        <v>114</v>
      </c>
      <c r="L2597" t="s">
        <v>4890</v>
      </c>
      <c r="M2597" t="s">
        <v>68</v>
      </c>
      <c r="N2597" t="s">
        <v>4891</v>
      </c>
      <c r="O2597" t="s">
        <v>32</v>
      </c>
      <c r="P2597" t="s">
        <v>5141</v>
      </c>
      <c r="Q2597">
        <v>57</v>
      </c>
      <c r="R2597">
        <v>57</v>
      </c>
      <c r="S2597" t="s">
        <v>56</v>
      </c>
      <c r="T2597" t="s">
        <v>57</v>
      </c>
      <c r="W2597">
        <v>57</v>
      </c>
      <c r="X2597">
        <v>37</v>
      </c>
      <c r="Y2597">
        <v>0</v>
      </c>
      <c r="Z2597">
        <v>0</v>
      </c>
    </row>
    <row r="2598" spans="1:26" hidden="1" x14ac:dyDescent="0.25">
      <c r="A2598" t="s">
        <v>5524</v>
      </c>
      <c r="B2598" t="s">
        <v>38</v>
      </c>
      <c r="C2598" s="4">
        <v>45400</v>
      </c>
      <c r="D2598" s="4">
        <v>45931</v>
      </c>
      <c r="F2598" s="4">
        <v>46813</v>
      </c>
      <c r="G2598" t="s">
        <v>101</v>
      </c>
      <c r="H2598" t="s">
        <v>1542</v>
      </c>
      <c r="K2598" t="s">
        <v>98</v>
      </c>
      <c r="L2598" t="s">
        <v>4890</v>
      </c>
      <c r="M2598" t="s">
        <v>84</v>
      </c>
      <c r="N2598" t="s">
        <v>4891</v>
      </c>
      <c r="O2598" t="s">
        <v>32</v>
      </c>
      <c r="P2598" t="s">
        <v>5525</v>
      </c>
      <c r="Q2598">
        <v>250</v>
      </c>
      <c r="R2598">
        <v>250</v>
      </c>
      <c r="S2598" t="s">
        <v>597</v>
      </c>
      <c r="T2598" t="s">
        <v>598</v>
      </c>
      <c r="W2598">
        <v>0</v>
      </c>
      <c r="X2598">
        <v>0</v>
      </c>
      <c r="Y2598">
        <v>0</v>
      </c>
      <c r="Z2598">
        <v>0</v>
      </c>
    </row>
    <row r="2599" spans="1:26" hidden="1" x14ac:dyDescent="0.25">
      <c r="A2599" t="s">
        <v>5526</v>
      </c>
      <c r="B2599" t="s">
        <v>38</v>
      </c>
      <c r="C2599" s="4">
        <v>45399</v>
      </c>
      <c r="D2599" s="4">
        <v>45545</v>
      </c>
      <c r="F2599" s="4">
        <v>46386</v>
      </c>
      <c r="G2599" t="s">
        <v>144</v>
      </c>
      <c r="H2599" t="s">
        <v>1744</v>
      </c>
      <c r="K2599" t="s">
        <v>146</v>
      </c>
      <c r="L2599" t="s">
        <v>4890</v>
      </c>
      <c r="M2599" t="s">
        <v>68</v>
      </c>
      <c r="N2599" t="s">
        <v>4891</v>
      </c>
      <c r="O2599" t="s">
        <v>32</v>
      </c>
      <c r="P2599" t="s">
        <v>5527</v>
      </c>
      <c r="Q2599">
        <v>100</v>
      </c>
      <c r="R2599">
        <v>100</v>
      </c>
      <c r="S2599" t="s">
        <v>34</v>
      </c>
      <c r="T2599" t="s">
        <v>35</v>
      </c>
      <c r="W2599">
        <v>0</v>
      </c>
      <c r="X2599">
        <v>0</v>
      </c>
      <c r="Y2599">
        <v>0</v>
      </c>
      <c r="Z2599">
        <v>0</v>
      </c>
    </row>
    <row r="2600" spans="1:26" hidden="1" x14ac:dyDescent="0.25">
      <c r="A2600" t="s">
        <v>5528</v>
      </c>
      <c r="B2600" t="s">
        <v>38</v>
      </c>
      <c r="C2600" s="4">
        <v>45400</v>
      </c>
      <c r="D2600" s="4">
        <v>46014</v>
      </c>
      <c r="F2600" s="4">
        <v>46998</v>
      </c>
      <c r="G2600" t="s">
        <v>1311</v>
      </c>
      <c r="H2600" t="s">
        <v>3060</v>
      </c>
      <c r="K2600" t="s">
        <v>114</v>
      </c>
      <c r="L2600" t="s">
        <v>4890</v>
      </c>
      <c r="M2600" t="s">
        <v>68</v>
      </c>
      <c r="N2600" t="s">
        <v>4891</v>
      </c>
      <c r="O2600" t="s">
        <v>32</v>
      </c>
      <c r="P2600" t="s">
        <v>5141</v>
      </c>
      <c r="Q2600">
        <v>230</v>
      </c>
      <c r="R2600">
        <v>230</v>
      </c>
      <c r="S2600" t="s">
        <v>34</v>
      </c>
      <c r="T2600" t="s">
        <v>35</v>
      </c>
      <c r="W2600">
        <v>0</v>
      </c>
      <c r="X2600">
        <v>0</v>
      </c>
      <c r="Y2600">
        <v>0</v>
      </c>
      <c r="Z2600">
        <v>0</v>
      </c>
    </row>
    <row r="2601" spans="1:26" hidden="1" x14ac:dyDescent="0.25">
      <c r="A2601" t="s">
        <v>5529</v>
      </c>
      <c r="B2601" t="s">
        <v>38</v>
      </c>
      <c r="C2601" s="4">
        <v>45401</v>
      </c>
      <c r="D2601" s="4">
        <v>45764</v>
      </c>
      <c r="F2601" s="4">
        <v>47301</v>
      </c>
      <c r="G2601" t="s">
        <v>149</v>
      </c>
      <c r="H2601" t="s">
        <v>5530</v>
      </c>
      <c r="K2601" t="s">
        <v>151</v>
      </c>
      <c r="L2601" t="s">
        <v>5172</v>
      </c>
      <c r="M2601" t="s">
        <v>68</v>
      </c>
      <c r="N2601" t="s">
        <v>3122</v>
      </c>
      <c r="O2601" t="s">
        <v>32</v>
      </c>
      <c r="P2601" t="s">
        <v>5531</v>
      </c>
      <c r="Q2601">
        <v>460</v>
      </c>
      <c r="R2601">
        <v>460</v>
      </c>
      <c r="S2601" t="s">
        <v>34</v>
      </c>
      <c r="T2601" t="s">
        <v>35</v>
      </c>
      <c r="W2601">
        <v>0</v>
      </c>
      <c r="X2601">
        <v>0</v>
      </c>
      <c r="Y2601">
        <v>0</v>
      </c>
      <c r="Z2601">
        <v>0</v>
      </c>
    </row>
    <row r="2602" spans="1:26" hidden="1" x14ac:dyDescent="0.25">
      <c r="A2602" t="s">
        <v>5532</v>
      </c>
      <c r="B2602" t="s">
        <v>2153</v>
      </c>
      <c r="C2602" s="4">
        <v>45400</v>
      </c>
      <c r="F2602" s="4">
        <v>46844</v>
      </c>
      <c r="G2602" t="s">
        <v>1326</v>
      </c>
      <c r="H2602" t="s">
        <v>1876</v>
      </c>
      <c r="K2602" t="s">
        <v>67</v>
      </c>
      <c r="L2602" t="s">
        <v>4890</v>
      </c>
      <c r="M2602" t="s">
        <v>68</v>
      </c>
      <c r="N2602" t="s">
        <v>4891</v>
      </c>
      <c r="O2602" t="s">
        <v>32</v>
      </c>
      <c r="P2602" t="s">
        <v>2099</v>
      </c>
      <c r="Q2602">
        <v>348</v>
      </c>
      <c r="R2602">
        <v>348</v>
      </c>
      <c r="S2602" t="s">
        <v>56</v>
      </c>
      <c r="T2602" t="s">
        <v>57</v>
      </c>
      <c r="W2602">
        <v>348</v>
      </c>
      <c r="X2602">
        <v>226</v>
      </c>
      <c r="Y2602">
        <v>0</v>
      </c>
      <c r="Z2602">
        <v>0</v>
      </c>
    </row>
    <row r="2603" spans="1:26" hidden="1" x14ac:dyDescent="0.25">
      <c r="A2603" t="s">
        <v>5533</v>
      </c>
      <c r="B2603" t="s">
        <v>38</v>
      </c>
      <c r="C2603" s="4">
        <v>45399</v>
      </c>
      <c r="D2603" s="4">
        <v>45707</v>
      </c>
      <c r="F2603" s="4">
        <v>46844</v>
      </c>
      <c r="G2603" t="s">
        <v>117</v>
      </c>
      <c r="H2603" t="s">
        <v>1765</v>
      </c>
      <c r="K2603" t="s">
        <v>83</v>
      </c>
      <c r="L2603" t="s">
        <v>4890</v>
      </c>
      <c r="M2603" t="s">
        <v>84</v>
      </c>
      <c r="N2603" t="s">
        <v>4891</v>
      </c>
      <c r="O2603" t="s">
        <v>32</v>
      </c>
      <c r="P2603" t="s">
        <v>1345</v>
      </c>
      <c r="Q2603">
        <v>9</v>
      </c>
      <c r="R2603">
        <v>9</v>
      </c>
      <c r="S2603" t="s">
        <v>56</v>
      </c>
      <c r="T2603" t="s">
        <v>57</v>
      </c>
      <c r="W2603">
        <v>0</v>
      </c>
      <c r="X2603">
        <v>0</v>
      </c>
      <c r="Y2603">
        <v>0</v>
      </c>
      <c r="Z2603">
        <v>0</v>
      </c>
    </row>
    <row r="2604" spans="1:26" hidden="1" x14ac:dyDescent="0.25">
      <c r="A2604" t="s">
        <v>5534</v>
      </c>
      <c r="B2604" t="s">
        <v>38</v>
      </c>
      <c r="C2604" s="4">
        <v>45392</v>
      </c>
      <c r="D2604" s="4">
        <v>45929</v>
      </c>
      <c r="F2604" s="4">
        <v>46539</v>
      </c>
      <c r="G2604" t="s">
        <v>1136</v>
      </c>
      <c r="H2604" t="s">
        <v>3195</v>
      </c>
      <c r="K2604" t="s">
        <v>67</v>
      </c>
      <c r="L2604" t="s">
        <v>4890</v>
      </c>
      <c r="M2604" t="s">
        <v>68</v>
      </c>
      <c r="N2604" t="s">
        <v>4891</v>
      </c>
      <c r="O2604" t="s">
        <v>122</v>
      </c>
      <c r="P2604" t="s">
        <v>5535</v>
      </c>
      <c r="Q2604">
        <v>60</v>
      </c>
      <c r="R2604">
        <v>60</v>
      </c>
      <c r="S2604" t="s">
        <v>34</v>
      </c>
      <c r="T2604" t="s">
        <v>35</v>
      </c>
      <c r="W2604">
        <v>0</v>
      </c>
      <c r="X2604">
        <v>0</v>
      </c>
      <c r="Y2604">
        <v>0</v>
      </c>
      <c r="Z2604">
        <v>0</v>
      </c>
    </row>
    <row r="2605" spans="1:26" hidden="1" x14ac:dyDescent="0.25">
      <c r="A2605" t="s">
        <v>5536</v>
      </c>
      <c r="B2605" t="s">
        <v>38</v>
      </c>
      <c r="C2605" s="4">
        <v>45398</v>
      </c>
      <c r="D2605" s="4">
        <v>45929</v>
      </c>
      <c r="F2605" s="4">
        <v>46997</v>
      </c>
      <c r="G2605" t="s">
        <v>144</v>
      </c>
      <c r="H2605" t="s">
        <v>1418</v>
      </c>
      <c r="K2605" t="s">
        <v>146</v>
      </c>
      <c r="L2605" t="s">
        <v>4890</v>
      </c>
      <c r="M2605" t="s">
        <v>68</v>
      </c>
      <c r="N2605" t="s">
        <v>4891</v>
      </c>
      <c r="O2605" t="s">
        <v>32</v>
      </c>
      <c r="P2605" t="s">
        <v>5537</v>
      </c>
      <c r="Q2605">
        <v>50</v>
      </c>
      <c r="R2605">
        <v>50</v>
      </c>
      <c r="S2605" t="s">
        <v>159</v>
      </c>
      <c r="T2605" t="s">
        <v>159</v>
      </c>
      <c r="W2605">
        <v>0</v>
      </c>
      <c r="X2605">
        <v>0</v>
      </c>
      <c r="Y2605">
        <v>0</v>
      </c>
      <c r="Z2605">
        <v>0</v>
      </c>
    </row>
    <row r="2606" spans="1:26" hidden="1" x14ac:dyDescent="0.25">
      <c r="A2606" t="s">
        <v>5538</v>
      </c>
      <c r="B2606" t="s">
        <v>2153</v>
      </c>
      <c r="C2606" s="4">
        <v>45398</v>
      </c>
      <c r="F2606" s="4">
        <v>46997</v>
      </c>
      <c r="G2606" t="s">
        <v>1408</v>
      </c>
      <c r="H2606" t="s">
        <v>1418</v>
      </c>
      <c r="K2606" t="s">
        <v>146</v>
      </c>
      <c r="L2606" t="s">
        <v>4890</v>
      </c>
      <c r="M2606" t="s">
        <v>68</v>
      </c>
      <c r="N2606" t="s">
        <v>4891</v>
      </c>
      <c r="O2606" t="s">
        <v>32</v>
      </c>
      <c r="P2606" t="s">
        <v>5537</v>
      </c>
      <c r="Q2606">
        <v>200</v>
      </c>
      <c r="R2606">
        <v>200</v>
      </c>
      <c r="S2606" t="s">
        <v>34</v>
      </c>
      <c r="T2606" t="s">
        <v>35</v>
      </c>
      <c r="W2606">
        <v>200</v>
      </c>
      <c r="X2606">
        <v>0</v>
      </c>
      <c r="Y2606">
        <v>0</v>
      </c>
      <c r="Z2606">
        <v>0</v>
      </c>
    </row>
    <row r="2607" spans="1:26" hidden="1" x14ac:dyDescent="0.25">
      <c r="A2607" t="s">
        <v>5539</v>
      </c>
      <c r="B2607" t="s">
        <v>2153</v>
      </c>
      <c r="C2607" s="4">
        <v>45399</v>
      </c>
      <c r="F2607" s="4">
        <v>46844</v>
      </c>
      <c r="G2607" t="s">
        <v>117</v>
      </c>
      <c r="H2607" t="s">
        <v>1765</v>
      </c>
      <c r="K2607" t="s">
        <v>83</v>
      </c>
      <c r="L2607" t="s">
        <v>4890</v>
      </c>
      <c r="M2607" t="s">
        <v>84</v>
      </c>
      <c r="N2607" t="s">
        <v>4891</v>
      </c>
      <c r="O2607" t="s">
        <v>32</v>
      </c>
      <c r="P2607" t="s">
        <v>1345</v>
      </c>
      <c r="Q2607">
        <v>110</v>
      </c>
      <c r="R2607">
        <v>110</v>
      </c>
      <c r="S2607" t="s">
        <v>56</v>
      </c>
      <c r="T2607" t="s">
        <v>57</v>
      </c>
      <c r="W2607">
        <v>110</v>
      </c>
      <c r="X2607">
        <v>110</v>
      </c>
      <c r="Y2607">
        <v>0</v>
      </c>
      <c r="Z2607">
        <v>0</v>
      </c>
    </row>
    <row r="2608" spans="1:26" hidden="1" x14ac:dyDescent="0.25">
      <c r="A2608" t="s">
        <v>5540</v>
      </c>
      <c r="B2608" t="s">
        <v>38</v>
      </c>
      <c r="C2608" s="4">
        <v>45398</v>
      </c>
      <c r="D2608" s="4">
        <v>46014</v>
      </c>
      <c r="F2608" s="4">
        <v>47011</v>
      </c>
      <c r="G2608" t="s">
        <v>144</v>
      </c>
      <c r="H2608" t="s">
        <v>1418</v>
      </c>
      <c r="K2608" t="s">
        <v>146</v>
      </c>
      <c r="L2608" t="s">
        <v>4890</v>
      </c>
      <c r="M2608" t="s">
        <v>68</v>
      </c>
      <c r="N2608" t="s">
        <v>4891</v>
      </c>
      <c r="O2608" t="s">
        <v>32</v>
      </c>
      <c r="P2608" t="s">
        <v>5541</v>
      </c>
      <c r="Q2608">
        <v>175</v>
      </c>
      <c r="R2608">
        <v>175</v>
      </c>
      <c r="S2608" t="s">
        <v>34</v>
      </c>
      <c r="T2608" t="s">
        <v>35</v>
      </c>
      <c r="W2608">
        <v>0</v>
      </c>
      <c r="X2608">
        <v>0</v>
      </c>
      <c r="Y2608">
        <v>0</v>
      </c>
      <c r="Z2608">
        <v>0</v>
      </c>
    </row>
    <row r="2609" spans="1:26" hidden="1" x14ac:dyDescent="0.25">
      <c r="A2609" t="s">
        <v>5542</v>
      </c>
      <c r="B2609" t="s">
        <v>2153</v>
      </c>
      <c r="C2609" s="4">
        <v>45400</v>
      </c>
      <c r="F2609" s="4">
        <v>46631</v>
      </c>
      <c r="G2609" t="s">
        <v>691</v>
      </c>
      <c r="H2609" t="s">
        <v>1805</v>
      </c>
      <c r="K2609" t="s">
        <v>98</v>
      </c>
      <c r="L2609" t="s">
        <v>4890</v>
      </c>
      <c r="M2609" t="s">
        <v>84</v>
      </c>
      <c r="N2609" t="s">
        <v>4891</v>
      </c>
      <c r="O2609" t="s">
        <v>32</v>
      </c>
      <c r="P2609" t="s">
        <v>4598</v>
      </c>
      <c r="Q2609">
        <v>650</v>
      </c>
      <c r="R2609">
        <v>650</v>
      </c>
      <c r="S2609" t="s">
        <v>389</v>
      </c>
      <c r="T2609" t="s">
        <v>390</v>
      </c>
      <c r="W2609">
        <v>650</v>
      </c>
      <c r="X2609">
        <v>650</v>
      </c>
      <c r="Y2609">
        <v>0</v>
      </c>
      <c r="Z2609">
        <v>0</v>
      </c>
    </row>
    <row r="2610" spans="1:26" hidden="1" x14ac:dyDescent="0.25">
      <c r="A2610" t="s">
        <v>5543</v>
      </c>
      <c r="B2610" t="s">
        <v>38</v>
      </c>
      <c r="C2610" s="4">
        <v>45399</v>
      </c>
      <c r="D2610" s="4">
        <v>45924</v>
      </c>
      <c r="F2610" s="4">
        <v>46675</v>
      </c>
      <c r="G2610" t="s">
        <v>149</v>
      </c>
      <c r="H2610" t="s">
        <v>1962</v>
      </c>
      <c r="K2610" t="s">
        <v>151</v>
      </c>
      <c r="L2610" t="s">
        <v>4890</v>
      </c>
      <c r="M2610" t="s">
        <v>68</v>
      </c>
      <c r="N2610" t="s">
        <v>4891</v>
      </c>
      <c r="O2610" t="s">
        <v>32</v>
      </c>
      <c r="P2610" t="s">
        <v>5544</v>
      </c>
      <c r="Q2610">
        <v>430</v>
      </c>
      <c r="R2610">
        <v>465</v>
      </c>
      <c r="S2610" t="s">
        <v>389</v>
      </c>
      <c r="T2610" t="s">
        <v>584</v>
      </c>
      <c r="W2610">
        <v>0</v>
      </c>
      <c r="X2610">
        <v>0</v>
      </c>
      <c r="Y2610">
        <v>0</v>
      </c>
      <c r="Z2610">
        <v>0</v>
      </c>
    </row>
    <row r="2611" spans="1:26" hidden="1" x14ac:dyDescent="0.25">
      <c r="A2611" t="s">
        <v>5545</v>
      </c>
      <c r="B2611" t="s">
        <v>38</v>
      </c>
      <c r="C2611" s="4">
        <v>45400</v>
      </c>
      <c r="D2611" s="4">
        <v>46014</v>
      </c>
      <c r="F2611" s="4">
        <v>46753</v>
      </c>
      <c r="G2611" t="s">
        <v>65</v>
      </c>
      <c r="H2611" t="s">
        <v>1879</v>
      </c>
      <c r="K2611" t="s">
        <v>67</v>
      </c>
      <c r="L2611" t="s">
        <v>4890</v>
      </c>
      <c r="M2611" t="s">
        <v>68</v>
      </c>
      <c r="N2611" t="s">
        <v>4891</v>
      </c>
      <c r="O2611" t="s">
        <v>32</v>
      </c>
      <c r="P2611" t="s">
        <v>5546</v>
      </c>
      <c r="Q2611">
        <v>197.7</v>
      </c>
      <c r="R2611">
        <v>197.7</v>
      </c>
      <c r="S2611" t="s">
        <v>597</v>
      </c>
      <c r="T2611" t="s">
        <v>598</v>
      </c>
      <c r="W2611">
        <v>0</v>
      </c>
      <c r="X2611">
        <v>0</v>
      </c>
      <c r="Y2611">
        <v>0</v>
      </c>
      <c r="Z2611">
        <v>0</v>
      </c>
    </row>
    <row r="2612" spans="1:26" hidden="1" x14ac:dyDescent="0.25">
      <c r="A2612" t="s">
        <v>5547</v>
      </c>
      <c r="B2612" t="s">
        <v>38</v>
      </c>
      <c r="C2612" s="4">
        <v>45400</v>
      </c>
      <c r="D2612" s="4">
        <v>45926</v>
      </c>
      <c r="F2612" s="4">
        <v>46935</v>
      </c>
      <c r="G2612" t="s">
        <v>101</v>
      </c>
      <c r="H2612" t="s">
        <v>1800</v>
      </c>
      <c r="K2612" t="s">
        <v>98</v>
      </c>
      <c r="L2612" t="s">
        <v>4890</v>
      </c>
      <c r="M2612" t="s">
        <v>84</v>
      </c>
      <c r="N2612" t="s">
        <v>4891</v>
      </c>
      <c r="O2612" t="s">
        <v>32</v>
      </c>
      <c r="P2612" t="s">
        <v>5548</v>
      </c>
      <c r="Q2612">
        <v>47.4</v>
      </c>
      <c r="R2612">
        <v>47.4</v>
      </c>
      <c r="S2612" t="s">
        <v>34</v>
      </c>
      <c r="T2612" t="s">
        <v>35</v>
      </c>
      <c r="W2612">
        <v>0</v>
      </c>
      <c r="X2612">
        <v>0</v>
      </c>
      <c r="Y2612">
        <v>0</v>
      </c>
      <c r="Z2612">
        <v>0</v>
      </c>
    </row>
    <row r="2613" spans="1:26" hidden="1" x14ac:dyDescent="0.25">
      <c r="A2613" t="s">
        <v>5549</v>
      </c>
      <c r="B2613" t="s">
        <v>38</v>
      </c>
      <c r="C2613" s="4">
        <v>45400</v>
      </c>
      <c r="D2613" s="4">
        <v>45926</v>
      </c>
      <c r="F2613" s="4">
        <v>46935</v>
      </c>
      <c r="G2613" t="s">
        <v>101</v>
      </c>
      <c r="H2613" t="s">
        <v>1800</v>
      </c>
      <c r="K2613" t="s">
        <v>98</v>
      </c>
      <c r="L2613" t="s">
        <v>4890</v>
      </c>
      <c r="M2613" t="s">
        <v>84</v>
      </c>
      <c r="N2613" t="s">
        <v>4891</v>
      </c>
      <c r="O2613" t="s">
        <v>32</v>
      </c>
      <c r="P2613" t="s">
        <v>5548</v>
      </c>
      <c r="Q2613">
        <v>77.599999999999994</v>
      </c>
      <c r="R2613">
        <v>77.599999999999994</v>
      </c>
      <c r="S2613" t="s">
        <v>34</v>
      </c>
      <c r="T2613" t="s">
        <v>35</v>
      </c>
      <c r="W2613">
        <v>0</v>
      </c>
      <c r="X2613">
        <v>0</v>
      </c>
      <c r="Y2613">
        <v>0</v>
      </c>
      <c r="Z2613">
        <v>0</v>
      </c>
    </row>
    <row r="2614" spans="1:26" hidden="1" x14ac:dyDescent="0.25">
      <c r="A2614" t="s">
        <v>5550</v>
      </c>
      <c r="B2614" t="s">
        <v>38</v>
      </c>
      <c r="C2614" s="4">
        <v>45384</v>
      </c>
      <c r="D2614" s="4">
        <v>45930</v>
      </c>
      <c r="F2614" s="4">
        <v>46748</v>
      </c>
      <c r="G2614" t="s">
        <v>144</v>
      </c>
      <c r="H2614" t="s">
        <v>1656</v>
      </c>
      <c r="K2614" t="s">
        <v>146</v>
      </c>
      <c r="L2614" t="s">
        <v>4890</v>
      </c>
      <c r="M2614" t="s">
        <v>68</v>
      </c>
      <c r="N2614" t="s">
        <v>4891</v>
      </c>
      <c r="O2614" t="s">
        <v>122</v>
      </c>
      <c r="P2614" t="s">
        <v>5551</v>
      </c>
      <c r="Q2614">
        <v>93.1</v>
      </c>
      <c r="R2614">
        <v>93.1</v>
      </c>
      <c r="S2614" t="s">
        <v>34</v>
      </c>
      <c r="T2614" t="s">
        <v>598</v>
      </c>
      <c r="W2614">
        <v>0</v>
      </c>
      <c r="X2614">
        <v>0</v>
      </c>
      <c r="Y2614">
        <v>0</v>
      </c>
      <c r="Z2614">
        <v>0</v>
      </c>
    </row>
    <row r="2615" spans="1:26" hidden="1" x14ac:dyDescent="0.25">
      <c r="A2615" t="s">
        <v>5552</v>
      </c>
      <c r="B2615" t="s">
        <v>38</v>
      </c>
      <c r="C2615" s="4">
        <v>45400</v>
      </c>
      <c r="D2615" s="4">
        <v>45741</v>
      </c>
      <c r="F2615" s="4">
        <v>46934</v>
      </c>
      <c r="G2615" t="s">
        <v>149</v>
      </c>
      <c r="H2615" t="s">
        <v>2703</v>
      </c>
      <c r="K2615" t="s">
        <v>151</v>
      </c>
      <c r="L2615" t="s">
        <v>4890</v>
      </c>
      <c r="M2615" t="s">
        <v>68</v>
      </c>
      <c r="N2615" t="s">
        <v>4891</v>
      </c>
      <c r="O2615" t="s">
        <v>32</v>
      </c>
      <c r="P2615" t="s">
        <v>5553</v>
      </c>
      <c r="Q2615">
        <v>150</v>
      </c>
      <c r="R2615">
        <v>150</v>
      </c>
      <c r="S2615" t="s">
        <v>34</v>
      </c>
      <c r="T2615" t="s">
        <v>35</v>
      </c>
      <c r="W2615">
        <v>0</v>
      </c>
      <c r="X2615">
        <v>0</v>
      </c>
      <c r="Y2615">
        <v>0</v>
      </c>
      <c r="Z2615">
        <v>0</v>
      </c>
    </row>
    <row r="2616" spans="1:26" hidden="1" x14ac:dyDescent="0.25">
      <c r="A2616" t="s">
        <v>5554</v>
      </c>
      <c r="B2616" t="s">
        <v>2153</v>
      </c>
      <c r="C2616" s="4">
        <v>45400</v>
      </c>
      <c r="F2616" s="4">
        <v>46386</v>
      </c>
      <c r="G2616" t="s">
        <v>117</v>
      </c>
      <c r="H2616" t="s">
        <v>3459</v>
      </c>
      <c r="K2616" t="s">
        <v>83</v>
      </c>
      <c r="L2616" t="s">
        <v>4890</v>
      </c>
      <c r="M2616" t="s">
        <v>84</v>
      </c>
      <c r="N2616" t="s">
        <v>4891</v>
      </c>
      <c r="O2616" t="s">
        <v>32</v>
      </c>
      <c r="P2616" t="s">
        <v>4967</v>
      </c>
      <c r="Q2616">
        <v>140</v>
      </c>
      <c r="R2616">
        <v>140</v>
      </c>
      <c r="S2616" t="s">
        <v>34</v>
      </c>
      <c r="T2616" t="s">
        <v>35</v>
      </c>
      <c r="W2616">
        <v>140</v>
      </c>
      <c r="X2616">
        <v>140</v>
      </c>
      <c r="Y2616">
        <v>0</v>
      </c>
      <c r="Z2616">
        <v>0</v>
      </c>
    </row>
    <row r="2617" spans="1:26" hidden="1" x14ac:dyDescent="0.25">
      <c r="A2617" t="s">
        <v>5555</v>
      </c>
      <c r="B2617" t="s">
        <v>38</v>
      </c>
      <c r="C2617" s="4">
        <v>45399</v>
      </c>
      <c r="D2617" s="4">
        <v>45924</v>
      </c>
      <c r="F2617" s="4">
        <v>47026</v>
      </c>
      <c r="G2617" t="s">
        <v>616</v>
      </c>
      <c r="H2617" t="s">
        <v>1756</v>
      </c>
      <c r="K2617" t="s">
        <v>146</v>
      </c>
      <c r="L2617" t="s">
        <v>4890</v>
      </c>
      <c r="M2617" t="s">
        <v>68</v>
      </c>
      <c r="N2617" t="s">
        <v>4891</v>
      </c>
      <c r="O2617" t="s">
        <v>32</v>
      </c>
      <c r="P2617" t="s">
        <v>5556</v>
      </c>
      <c r="Q2617">
        <v>200</v>
      </c>
      <c r="R2617">
        <v>200</v>
      </c>
      <c r="S2617" t="s">
        <v>34</v>
      </c>
      <c r="T2617" t="s">
        <v>35</v>
      </c>
      <c r="W2617">
        <v>0</v>
      </c>
      <c r="X2617">
        <v>0</v>
      </c>
      <c r="Y2617">
        <v>0</v>
      </c>
      <c r="Z2617">
        <v>0</v>
      </c>
    </row>
    <row r="2618" spans="1:26" hidden="1" x14ac:dyDescent="0.25">
      <c r="A2618" t="s">
        <v>5557</v>
      </c>
      <c r="B2618" t="s">
        <v>38</v>
      </c>
      <c r="C2618" s="4">
        <v>45398</v>
      </c>
      <c r="D2618" s="4">
        <v>46014</v>
      </c>
      <c r="F2618" s="4">
        <v>47026</v>
      </c>
      <c r="G2618" t="s">
        <v>65</v>
      </c>
      <c r="H2618" t="s">
        <v>2033</v>
      </c>
      <c r="K2618" t="s">
        <v>67</v>
      </c>
      <c r="L2618" t="s">
        <v>4890</v>
      </c>
      <c r="M2618" t="s">
        <v>68</v>
      </c>
      <c r="N2618" t="s">
        <v>4891</v>
      </c>
      <c r="O2618" t="s">
        <v>32</v>
      </c>
      <c r="P2618" t="s">
        <v>5558</v>
      </c>
      <c r="Q2618">
        <v>180</v>
      </c>
      <c r="R2618">
        <v>180</v>
      </c>
      <c r="S2618" t="s">
        <v>34</v>
      </c>
      <c r="T2618" t="s">
        <v>35</v>
      </c>
      <c r="W2618">
        <v>0</v>
      </c>
      <c r="X2618">
        <v>0</v>
      </c>
      <c r="Y2618">
        <v>0</v>
      </c>
      <c r="Z2618">
        <v>0</v>
      </c>
    </row>
    <row r="2619" spans="1:26" hidden="1" x14ac:dyDescent="0.25">
      <c r="A2619" t="s">
        <v>5559</v>
      </c>
      <c r="B2619" t="s">
        <v>38</v>
      </c>
      <c r="C2619" s="4">
        <v>45398</v>
      </c>
      <c r="D2619" s="4">
        <v>46014</v>
      </c>
      <c r="F2619" s="4">
        <v>47026</v>
      </c>
      <c r="G2619" t="s">
        <v>65</v>
      </c>
      <c r="H2619" t="s">
        <v>2033</v>
      </c>
      <c r="K2619" t="s">
        <v>67</v>
      </c>
      <c r="L2619" t="s">
        <v>4890</v>
      </c>
      <c r="M2619" t="s">
        <v>68</v>
      </c>
      <c r="N2619" t="s">
        <v>4891</v>
      </c>
      <c r="O2619" t="s">
        <v>32</v>
      </c>
      <c r="P2619" t="s">
        <v>5558</v>
      </c>
      <c r="Q2619">
        <v>180</v>
      </c>
      <c r="R2619">
        <v>180</v>
      </c>
      <c r="S2619" t="s">
        <v>159</v>
      </c>
      <c r="T2619" t="s">
        <v>159</v>
      </c>
      <c r="W2619">
        <v>0</v>
      </c>
      <c r="X2619">
        <v>0</v>
      </c>
      <c r="Y2619">
        <v>0</v>
      </c>
      <c r="Z2619">
        <v>0</v>
      </c>
    </row>
    <row r="2620" spans="1:26" hidden="1" x14ac:dyDescent="0.25">
      <c r="A2620" t="s">
        <v>5560</v>
      </c>
      <c r="B2620" t="s">
        <v>38</v>
      </c>
      <c r="C2620" s="4">
        <v>45398</v>
      </c>
      <c r="D2620" s="4">
        <v>46014</v>
      </c>
      <c r="F2620" s="4">
        <v>47026</v>
      </c>
      <c r="G2620" t="s">
        <v>65</v>
      </c>
      <c r="H2620" t="s">
        <v>2482</v>
      </c>
      <c r="K2620" t="s">
        <v>67</v>
      </c>
      <c r="L2620" t="s">
        <v>4890</v>
      </c>
      <c r="M2620" t="s">
        <v>68</v>
      </c>
      <c r="N2620" t="s">
        <v>4891</v>
      </c>
      <c r="O2620" t="s">
        <v>32</v>
      </c>
      <c r="P2620" t="s">
        <v>5561</v>
      </c>
      <c r="Q2620">
        <v>125</v>
      </c>
      <c r="R2620">
        <v>125</v>
      </c>
      <c r="S2620" t="s">
        <v>34</v>
      </c>
      <c r="T2620" t="s">
        <v>35</v>
      </c>
      <c r="W2620">
        <v>0</v>
      </c>
      <c r="X2620">
        <v>0</v>
      </c>
      <c r="Y2620">
        <v>0</v>
      </c>
      <c r="Z2620">
        <v>0</v>
      </c>
    </row>
    <row r="2621" spans="1:26" hidden="1" x14ac:dyDescent="0.25">
      <c r="A2621" t="s">
        <v>5562</v>
      </c>
      <c r="B2621" t="s">
        <v>38</v>
      </c>
      <c r="C2621" s="4">
        <v>45398</v>
      </c>
      <c r="D2621" s="4">
        <v>46014</v>
      </c>
      <c r="F2621" s="4">
        <v>47026</v>
      </c>
      <c r="G2621" t="s">
        <v>65</v>
      </c>
      <c r="H2621" t="s">
        <v>2482</v>
      </c>
      <c r="K2621" t="s">
        <v>67</v>
      </c>
      <c r="L2621" t="s">
        <v>4890</v>
      </c>
      <c r="M2621" t="s">
        <v>68</v>
      </c>
      <c r="N2621" t="s">
        <v>4891</v>
      </c>
      <c r="O2621" t="s">
        <v>32</v>
      </c>
      <c r="P2621" t="s">
        <v>5561</v>
      </c>
      <c r="Q2621">
        <v>125</v>
      </c>
      <c r="R2621">
        <v>125</v>
      </c>
      <c r="S2621" t="s">
        <v>159</v>
      </c>
      <c r="T2621" t="s">
        <v>159</v>
      </c>
      <c r="W2621">
        <v>0</v>
      </c>
      <c r="X2621">
        <v>0</v>
      </c>
      <c r="Y2621">
        <v>0</v>
      </c>
      <c r="Z2621">
        <v>0</v>
      </c>
    </row>
    <row r="2622" spans="1:26" hidden="1" x14ac:dyDescent="0.25">
      <c r="A2622" t="s">
        <v>5563</v>
      </c>
      <c r="B2622" t="s">
        <v>38</v>
      </c>
      <c r="C2622" s="4">
        <v>45398</v>
      </c>
      <c r="D2622" s="4">
        <v>46014</v>
      </c>
      <c r="F2622" s="4">
        <v>47026</v>
      </c>
      <c r="G2622" t="s">
        <v>65</v>
      </c>
      <c r="H2622" t="s">
        <v>1542</v>
      </c>
      <c r="K2622" t="s">
        <v>67</v>
      </c>
      <c r="L2622" t="s">
        <v>4890</v>
      </c>
      <c r="M2622" t="s">
        <v>68</v>
      </c>
      <c r="N2622" t="s">
        <v>4891</v>
      </c>
      <c r="O2622" t="s">
        <v>32</v>
      </c>
      <c r="P2622" t="s">
        <v>5564</v>
      </c>
      <c r="Q2622">
        <v>150</v>
      </c>
      <c r="R2622">
        <v>150</v>
      </c>
      <c r="S2622" t="s">
        <v>34</v>
      </c>
      <c r="T2622" t="s">
        <v>35</v>
      </c>
      <c r="W2622">
        <v>0</v>
      </c>
      <c r="X2622">
        <v>0</v>
      </c>
      <c r="Y2622">
        <v>0</v>
      </c>
      <c r="Z2622">
        <v>0</v>
      </c>
    </row>
    <row r="2623" spans="1:26" hidden="1" x14ac:dyDescent="0.25">
      <c r="A2623" t="s">
        <v>5565</v>
      </c>
      <c r="B2623" t="s">
        <v>38</v>
      </c>
      <c r="C2623" s="4">
        <v>45398</v>
      </c>
      <c r="D2623" s="4">
        <v>46014</v>
      </c>
      <c r="F2623" s="4">
        <v>47026</v>
      </c>
      <c r="G2623" t="s">
        <v>65</v>
      </c>
      <c r="H2623" t="s">
        <v>1542</v>
      </c>
      <c r="K2623" t="s">
        <v>67</v>
      </c>
      <c r="L2623" t="s">
        <v>4890</v>
      </c>
      <c r="M2623" t="s">
        <v>68</v>
      </c>
      <c r="N2623" t="s">
        <v>4891</v>
      </c>
      <c r="O2623" t="s">
        <v>32</v>
      </c>
      <c r="P2623" t="s">
        <v>5564</v>
      </c>
      <c r="Q2623">
        <v>150</v>
      </c>
      <c r="R2623">
        <v>150</v>
      </c>
      <c r="S2623" t="s">
        <v>159</v>
      </c>
      <c r="T2623" t="s">
        <v>159</v>
      </c>
      <c r="W2623">
        <v>0</v>
      </c>
      <c r="X2623">
        <v>0</v>
      </c>
      <c r="Y2623">
        <v>0</v>
      </c>
      <c r="Z2623">
        <v>0</v>
      </c>
    </row>
    <row r="2624" spans="1:26" hidden="1" x14ac:dyDescent="0.25">
      <c r="A2624" t="s">
        <v>5566</v>
      </c>
      <c r="B2624" t="s">
        <v>2153</v>
      </c>
      <c r="C2624" s="4">
        <v>45398</v>
      </c>
      <c r="F2624" s="4">
        <v>47026</v>
      </c>
      <c r="G2624" t="s">
        <v>1326</v>
      </c>
      <c r="H2624" t="s">
        <v>1327</v>
      </c>
      <c r="K2624" t="s">
        <v>67</v>
      </c>
      <c r="L2624" t="s">
        <v>4890</v>
      </c>
      <c r="M2624" t="s">
        <v>68</v>
      </c>
      <c r="N2624" t="s">
        <v>4891</v>
      </c>
      <c r="O2624" t="s">
        <v>32</v>
      </c>
      <c r="P2624" t="s">
        <v>5567</v>
      </c>
      <c r="Q2624">
        <v>150</v>
      </c>
      <c r="R2624">
        <v>150</v>
      </c>
      <c r="S2624" t="s">
        <v>34</v>
      </c>
      <c r="T2624" t="s">
        <v>35</v>
      </c>
      <c r="W2624">
        <v>150</v>
      </c>
      <c r="X2624">
        <v>150</v>
      </c>
      <c r="Y2624">
        <v>0</v>
      </c>
      <c r="Z2624">
        <v>0</v>
      </c>
    </row>
    <row r="2625" spans="1:26" hidden="1" x14ac:dyDescent="0.25">
      <c r="A2625" t="s">
        <v>5568</v>
      </c>
      <c r="B2625" t="s">
        <v>38</v>
      </c>
      <c r="C2625" s="4">
        <v>45398</v>
      </c>
      <c r="D2625" s="4">
        <v>46014</v>
      </c>
      <c r="F2625" s="4">
        <v>47026</v>
      </c>
      <c r="G2625" t="s">
        <v>65</v>
      </c>
      <c r="H2625" t="s">
        <v>1327</v>
      </c>
      <c r="K2625" t="s">
        <v>67</v>
      </c>
      <c r="L2625" t="s">
        <v>4890</v>
      </c>
      <c r="M2625" t="s">
        <v>68</v>
      </c>
      <c r="N2625" t="s">
        <v>4891</v>
      </c>
      <c r="O2625" t="s">
        <v>32</v>
      </c>
      <c r="P2625" t="s">
        <v>5567</v>
      </c>
      <c r="Q2625">
        <v>150</v>
      </c>
      <c r="R2625">
        <v>150</v>
      </c>
      <c r="S2625" t="s">
        <v>159</v>
      </c>
      <c r="T2625" t="s">
        <v>159</v>
      </c>
      <c r="W2625">
        <v>0</v>
      </c>
      <c r="X2625">
        <v>0</v>
      </c>
      <c r="Y2625">
        <v>0</v>
      </c>
      <c r="Z2625">
        <v>0</v>
      </c>
    </row>
    <row r="2626" spans="1:26" hidden="1" x14ac:dyDescent="0.25">
      <c r="A2626" t="s">
        <v>5569</v>
      </c>
      <c r="B2626" t="s">
        <v>38</v>
      </c>
      <c r="C2626" s="4">
        <v>45398</v>
      </c>
      <c r="D2626" s="4">
        <v>45924</v>
      </c>
      <c r="F2626" s="4">
        <v>47026</v>
      </c>
      <c r="G2626" t="s">
        <v>65</v>
      </c>
      <c r="H2626" t="s">
        <v>3195</v>
      </c>
      <c r="K2626" t="s">
        <v>67</v>
      </c>
      <c r="L2626" t="s">
        <v>4890</v>
      </c>
      <c r="M2626" t="s">
        <v>68</v>
      </c>
      <c r="N2626" t="s">
        <v>4891</v>
      </c>
      <c r="O2626" t="s">
        <v>32</v>
      </c>
      <c r="P2626" t="s">
        <v>5570</v>
      </c>
      <c r="Q2626">
        <v>150</v>
      </c>
      <c r="R2626">
        <v>150</v>
      </c>
      <c r="S2626" t="s">
        <v>34</v>
      </c>
      <c r="T2626" t="s">
        <v>35</v>
      </c>
      <c r="W2626">
        <v>0</v>
      </c>
      <c r="X2626">
        <v>0</v>
      </c>
      <c r="Y2626">
        <v>0</v>
      </c>
      <c r="Z2626">
        <v>0</v>
      </c>
    </row>
    <row r="2627" spans="1:26" hidden="1" x14ac:dyDescent="0.25">
      <c r="A2627" t="s">
        <v>5571</v>
      </c>
      <c r="B2627" t="s">
        <v>38</v>
      </c>
      <c r="C2627" s="4">
        <v>45398</v>
      </c>
      <c r="D2627" s="4">
        <v>45924</v>
      </c>
      <c r="F2627" s="4">
        <v>47026</v>
      </c>
      <c r="G2627" t="s">
        <v>65</v>
      </c>
      <c r="H2627" t="s">
        <v>3195</v>
      </c>
      <c r="K2627" t="s">
        <v>67</v>
      </c>
      <c r="L2627" t="s">
        <v>4890</v>
      </c>
      <c r="M2627" t="s">
        <v>68</v>
      </c>
      <c r="N2627" t="s">
        <v>4891</v>
      </c>
      <c r="O2627" t="s">
        <v>32</v>
      </c>
      <c r="P2627" t="s">
        <v>5570</v>
      </c>
      <c r="Q2627">
        <v>150</v>
      </c>
      <c r="R2627">
        <v>150</v>
      </c>
      <c r="S2627" t="s">
        <v>159</v>
      </c>
      <c r="T2627" t="s">
        <v>159</v>
      </c>
      <c r="W2627">
        <v>0</v>
      </c>
      <c r="X2627">
        <v>0</v>
      </c>
      <c r="Y2627">
        <v>0</v>
      </c>
      <c r="Z2627">
        <v>0</v>
      </c>
    </row>
    <row r="2628" spans="1:26" hidden="1" x14ac:dyDescent="0.25">
      <c r="A2628" t="s">
        <v>5572</v>
      </c>
      <c r="B2628" t="s">
        <v>2153</v>
      </c>
      <c r="C2628" s="4">
        <v>45399</v>
      </c>
      <c r="F2628" s="4">
        <v>46997</v>
      </c>
      <c r="G2628" t="s">
        <v>1753</v>
      </c>
      <c r="H2628" t="s">
        <v>3060</v>
      </c>
      <c r="K2628" t="s">
        <v>114</v>
      </c>
      <c r="L2628" t="s">
        <v>4890</v>
      </c>
      <c r="M2628" t="s">
        <v>68</v>
      </c>
      <c r="N2628" t="s">
        <v>4891</v>
      </c>
      <c r="O2628" t="s">
        <v>32</v>
      </c>
      <c r="P2628" t="s">
        <v>5141</v>
      </c>
      <c r="Q2628">
        <v>350</v>
      </c>
      <c r="R2628">
        <v>350</v>
      </c>
      <c r="S2628" t="s">
        <v>56</v>
      </c>
      <c r="T2628" t="s">
        <v>57</v>
      </c>
      <c r="W2628">
        <v>350</v>
      </c>
      <c r="X2628">
        <v>250</v>
      </c>
      <c r="Y2628">
        <v>0</v>
      </c>
      <c r="Z2628">
        <v>0</v>
      </c>
    </row>
    <row r="2629" spans="1:26" hidden="1" x14ac:dyDescent="0.25">
      <c r="A2629" t="s">
        <v>5573</v>
      </c>
      <c r="B2629" t="s">
        <v>38</v>
      </c>
      <c r="C2629" s="4">
        <v>45400</v>
      </c>
      <c r="D2629" s="4">
        <v>45926</v>
      </c>
      <c r="F2629" s="4">
        <v>47026</v>
      </c>
      <c r="G2629" t="s">
        <v>65</v>
      </c>
      <c r="H2629" t="s">
        <v>1645</v>
      </c>
      <c r="K2629" t="s">
        <v>67</v>
      </c>
      <c r="L2629" t="s">
        <v>4890</v>
      </c>
      <c r="M2629" t="s">
        <v>68</v>
      </c>
      <c r="N2629" t="s">
        <v>4891</v>
      </c>
      <c r="O2629" t="s">
        <v>32</v>
      </c>
      <c r="P2629" t="s">
        <v>5574</v>
      </c>
      <c r="Q2629">
        <v>155</v>
      </c>
      <c r="R2629">
        <v>155</v>
      </c>
      <c r="S2629" t="s">
        <v>34</v>
      </c>
      <c r="T2629" t="s">
        <v>35</v>
      </c>
      <c r="W2629">
        <v>0</v>
      </c>
      <c r="X2629">
        <v>0</v>
      </c>
      <c r="Y2629">
        <v>0</v>
      </c>
      <c r="Z2629">
        <v>0</v>
      </c>
    </row>
    <row r="2630" spans="1:26" hidden="1" x14ac:dyDescent="0.25">
      <c r="A2630" t="s">
        <v>5575</v>
      </c>
      <c r="B2630" t="s">
        <v>38</v>
      </c>
      <c r="C2630" s="4">
        <v>45387</v>
      </c>
      <c r="D2630" s="4">
        <v>45926</v>
      </c>
      <c r="F2630" s="4">
        <v>46687</v>
      </c>
      <c r="G2630" t="s">
        <v>144</v>
      </c>
      <c r="H2630" t="s">
        <v>2210</v>
      </c>
      <c r="K2630" t="s">
        <v>146</v>
      </c>
      <c r="L2630" t="s">
        <v>4890</v>
      </c>
      <c r="M2630" t="s">
        <v>68</v>
      </c>
      <c r="N2630" t="s">
        <v>4891</v>
      </c>
      <c r="O2630" t="s">
        <v>32</v>
      </c>
      <c r="P2630" t="s">
        <v>5576</v>
      </c>
      <c r="Q2630">
        <v>82</v>
      </c>
      <c r="R2630">
        <v>82</v>
      </c>
      <c r="S2630" t="s">
        <v>597</v>
      </c>
      <c r="T2630" t="s">
        <v>598</v>
      </c>
      <c r="W2630">
        <v>0</v>
      </c>
      <c r="X2630">
        <v>0</v>
      </c>
      <c r="Y2630">
        <v>0</v>
      </c>
      <c r="Z2630">
        <v>0</v>
      </c>
    </row>
    <row r="2631" spans="1:26" hidden="1" x14ac:dyDescent="0.25">
      <c r="A2631" t="s">
        <v>5577</v>
      </c>
      <c r="B2631" t="s">
        <v>38</v>
      </c>
      <c r="C2631" s="4">
        <v>45400</v>
      </c>
      <c r="D2631" s="4">
        <v>45930</v>
      </c>
      <c r="F2631" s="4">
        <v>46752</v>
      </c>
      <c r="G2631" t="s">
        <v>65</v>
      </c>
      <c r="H2631" t="s">
        <v>3195</v>
      </c>
      <c r="K2631" t="s">
        <v>67</v>
      </c>
      <c r="L2631" t="s">
        <v>4890</v>
      </c>
      <c r="M2631" t="s">
        <v>68</v>
      </c>
      <c r="N2631" t="s">
        <v>4891</v>
      </c>
      <c r="O2631" t="s">
        <v>32</v>
      </c>
      <c r="P2631" t="s">
        <v>2999</v>
      </c>
      <c r="Q2631">
        <v>500</v>
      </c>
      <c r="R2631">
        <v>500</v>
      </c>
      <c r="S2631" t="s">
        <v>34</v>
      </c>
      <c r="T2631" t="s">
        <v>35</v>
      </c>
      <c r="W2631">
        <v>0</v>
      </c>
      <c r="X2631">
        <v>0</v>
      </c>
      <c r="Y2631">
        <v>0</v>
      </c>
      <c r="Z2631">
        <v>0</v>
      </c>
    </row>
    <row r="2632" spans="1:26" hidden="1" x14ac:dyDescent="0.25">
      <c r="A2632" t="s">
        <v>5578</v>
      </c>
      <c r="B2632" t="s">
        <v>38</v>
      </c>
      <c r="C2632" s="4">
        <v>45400</v>
      </c>
      <c r="D2632" s="4">
        <v>46014</v>
      </c>
      <c r="F2632" s="4">
        <v>46752</v>
      </c>
      <c r="G2632" t="s">
        <v>65</v>
      </c>
      <c r="H2632" t="s">
        <v>3195</v>
      </c>
      <c r="K2632" t="s">
        <v>67</v>
      </c>
      <c r="L2632" t="s">
        <v>4890</v>
      </c>
      <c r="M2632" t="s">
        <v>68</v>
      </c>
      <c r="N2632" t="s">
        <v>4891</v>
      </c>
      <c r="O2632" t="s">
        <v>32</v>
      </c>
      <c r="P2632" t="s">
        <v>3985</v>
      </c>
      <c r="Q2632">
        <v>200</v>
      </c>
      <c r="R2632">
        <v>200</v>
      </c>
      <c r="S2632" t="s">
        <v>34</v>
      </c>
      <c r="T2632" t="s">
        <v>35</v>
      </c>
      <c r="W2632">
        <v>0</v>
      </c>
      <c r="X2632">
        <v>0</v>
      </c>
      <c r="Y2632">
        <v>0</v>
      </c>
      <c r="Z2632">
        <v>0</v>
      </c>
    </row>
    <row r="2633" spans="1:26" hidden="1" x14ac:dyDescent="0.25">
      <c r="A2633" t="s">
        <v>5579</v>
      </c>
      <c r="B2633" t="s">
        <v>38</v>
      </c>
      <c r="C2633" s="4">
        <v>45400</v>
      </c>
      <c r="D2633" s="4">
        <v>45926</v>
      </c>
      <c r="F2633" s="4">
        <v>46752</v>
      </c>
      <c r="G2633" t="s">
        <v>1311</v>
      </c>
      <c r="H2633" t="s">
        <v>1279</v>
      </c>
      <c r="K2633" t="s">
        <v>114</v>
      </c>
      <c r="L2633" t="s">
        <v>4890</v>
      </c>
      <c r="M2633" t="s">
        <v>68</v>
      </c>
      <c r="N2633" t="s">
        <v>4891</v>
      </c>
      <c r="O2633" t="s">
        <v>32</v>
      </c>
      <c r="P2633" t="s">
        <v>5580</v>
      </c>
      <c r="Q2633">
        <v>200</v>
      </c>
      <c r="R2633">
        <v>200</v>
      </c>
      <c r="S2633" t="s">
        <v>34</v>
      </c>
      <c r="T2633" t="s">
        <v>35</v>
      </c>
      <c r="W2633">
        <v>0</v>
      </c>
      <c r="X2633">
        <v>0</v>
      </c>
      <c r="Y2633">
        <v>0</v>
      </c>
      <c r="Z2633">
        <v>0</v>
      </c>
    </row>
    <row r="2634" spans="1:26" hidden="1" x14ac:dyDescent="0.25">
      <c r="A2634" t="s">
        <v>5581</v>
      </c>
      <c r="B2634" t="s">
        <v>38</v>
      </c>
      <c r="C2634" s="4">
        <v>45400</v>
      </c>
      <c r="D2634" s="4">
        <v>45930</v>
      </c>
      <c r="F2634" s="4">
        <v>46736</v>
      </c>
      <c r="G2634" t="s">
        <v>1311</v>
      </c>
      <c r="H2634" t="s">
        <v>3054</v>
      </c>
      <c r="K2634" t="s">
        <v>114</v>
      </c>
      <c r="L2634" t="s">
        <v>4890</v>
      </c>
      <c r="M2634" t="s">
        <v>68</v>
      </c>
      <c r="N2634" t="s">
        <v>4891</v>
      </c>
      <c r="O2634" t="s">
        <v>32</v>
      </c>
      <c r="P2634" t="s">
        <v>3939</v>
      </c>
      <c r="Q2634">
        <v>210</v>
      </c>
      <c r="R2634">
        <v>210</v>
      </c>
      <c r="S2634" t="s">
        <v>597</v>
      </c>
      <c r="T2634" t="s">
        <v>598</v>
      </c>
      <c r="W2634">
        <v>0</v>
      </c>
      <c r="X2634">
        <v>0</v>
      </c>
      <c r="Y2634">
        <v>0</v>
      </c>
      <c r="Z2634">
        <v>0</v>
      </c>
    </row>
    <row r="2635" spans="1:26" hidden="1" x14ac:dyDescent="0.25">
      <c r="A2635" t="s">
        <v>5582</v>
      </c>
      <c r="B2635" t="s">
        <v>2153</v>
      </c>
      <c r="C2635" s="4">
        <v>45400</v>
      </c>
      <c r="F2635" s="4">
        <v>46919</v>
      </c>
      <c r="G2635" t="s">
        <v>1408</v>
      </c>
      <c r="H2635" t="s">
        <v>4476</v>
      </c>
      <c r="K2635" t="s">
        <v>146</v>
      </c>
      <c r="L2635" t="s">
        <v>4890</v>
      </c>
      <c r="M2635" t="s">
        <v>68</v>
      </c>
      <c r="N2635" t="s">
        <v>4891</v>
      </c>
      <c r="O2635" t="s">
        <v>32</v>
      </c>
      <c r="P2635" t="s">
        <v>3757</v>
      </c>
      <c r="Q2635">
        <v>77</v>
      </c>
      <c r="R2635">
        <v>77</v>
      </c>
      <c r="S2635" t="s">
        <v>597</v>
      </c>
      <c r="T2635" t="s">
        <v>598</v>
      </c>
      <c r="W2635">
        <v>77</v>
      </c>
      <c r="X2635">
        <v>77</v>
      </c>
      <c r="Y2635">
        <v>0</v>
      </c>
      <c r="Z2635">
        <v>0</v>
      </c>
    </row>
    <row r="2636" spans="1:26" hidden="1" x14ac:dyDescent="0.25">
      <c r="A2636" t="s">
        <v>5583</v>
      </c>
      <c r="B2636" t="s">
        <v>38</v>
      </c>
      <c r="C2636" s="4">
        <v>45400</v>
      </c>
      <c r="D2636" s="4">
        <v>45957</v>
      </c>
      <c r="F2636" s="4">
        <v>46736</v>
      </c>
      <c r="G2636" t="s">
        <v>144</v>
      </c>
      <c r="H2636" t="s">
        <v>1611</v>
      </c>
      <c r="K2636" t="s">
        <v>146</v>
      </c>
      <c r="L2636" t="s">
        <v>4890</v>
      </c>
      <c r="M2636" t="s">
        <v>68</v>
      </c>
      <c r="N2636" t="s">
        <v>4891</v>
      </c>
      <c r="O2636" t="s">
        <v>32</v>
      </c>
      <c r="P2636" t="s">
        <v>5584</v>
      </c>
      <c r="Q2636">
        <v>60</v>
      </c>
      <c r="R2636">
        <v>60</v>
      </c>
      <c r="S2636" t="s">
        <v>34</v>
      </c>
      <c r="T2636" t="s">
        <v>35</v>
      </c>
      <c r="W2636">
        <v>0</v>
      </c>
      <c r="X2636">
        <v>0</v>
      </c>
      <c r="Y2636">
        <v>0</v>
      </c>
      <c r="Z2636">
        <v>0</v>
      </c>
    </row>
    <row r="2637" spans="1:26" hidden="1" x14ac:dyDescent="0.25">
      <c r="A2637" t="s">
        <v>5585</v>
      </c>
      <c r="B2637" t="s">
        <v>38</v>
      </c>
      <c r="C2637" s="4">
        <v>45399</v>
      </c>
      <c r="D2637" s="4">
        <v>46014</v>
      </c>
      <c r="F2637" s="4">
        <v>46964</v>
      </c>
      <c r="G2637" t="s">
        <v>65</v>
      </c>
      <c r="H2637" t="s">
        <v>3370</v>
      </c>
      <c r="K2637" t="s">
        <v>67</v>
      </c>
      <c r="L2637" t="s">
        <v>4890</v>
      </c>
      <c r="M2637" t="s">
        <v>68</v>
      </c>
      <c r="N2637" t="s">
        <v>4891</v>
      </c>
      <c r="O2637" t="s">
        <v>32</v>
      </c>
      <c r="P2637" t="s">
        <v>5586</v>
      </c>
      <c r="Q2637">
        <v>85</v>
      </c>
      <c r="R2637">
        <v>85</v>
      </c>
      <c r="S2637" t="s">
        <v>597</v>
      </c>
      <c r="T2637" t="s">
        <v>35</v>
      </c>
      <c r="W2637">
        <v>0</v>
      </c>
      <c r="X2637">
        <v>0</v>
      </c>
      <c r="Y2637">
        <v>0</v>
      </c>
      <c r="Z2637">
        <v>0</v>
      </c>
    </row>
    <row r="2638" spans="1:26" hidden="1" x14ac:dyDescent="0.25">
      <c r="A2638" t="s">
        <v>5587</v>
      </c>
      <c r="B2638" t="s">
        <v>2153</v>
      </c>
      <c r="C2638" s="4">
        <v>45395</v>
      </c>
      <c r="F2638" s="4">
        <v>47011</v>
      </c>
      <c r="G2638" t="s">
        <v>907</v>
      </c>
      <c r="H2638" t="s">
        <v>1450</v>
      </c>
      <c r="K2638" t="s">
        <v>53</v>
      </c>
      <c r="L2638" t="s">
        <v>4890</v>
      </c>
      <c r="M2638" t="s">
        <v>54</v>
      </c>
      <c r="N2638" t="s">
        <v>4891</v>
      </c>
      <c r="O2638" t="s">
        <v>32</v>
      </c>
      <c r="P2638" t="s">
        <v>1451</v>
      </c>
      <c r="Q2638">
        <v>200</v>
      </c>
      <c r="R2638">
        <v>200</v>
      </c>
      <c r="S2638" t="s">
        <v>34</v>
      </c>
      <c r="T2638" t="s">
        <v>35</v>
      </c>
      <c r="W2638">
        <v>200</v>
      </c>
      <c r="X2638">
        <v>200</v>
      </c>
      <c r="Y2638">
        <v>0</v>
      </c>
      <c r="Z2638">
        <v>0</v>
      </c>
    </row>
    <row r="2639" spans="1:26" hidden="1" x14ac:dyDescent="0.25">
      <c r="A2639" t="s">
        <v>5588</v>
      </c>
      <c r="B2639" t="s">
        <v>38</v>
      </c>
      <c r="C2639" s="4">
        <v>45397</v>
      </c>
      <c r="D2639" s="4">
        <v>46014</v>
      </c>
      <c r="F2639" s="4">
        <v>46752</v>
      </c>
      <c r="G2639" t="s">
        <v>52</v>
      </c>
      <c r="H2639" t="s">
        <v>2521</v>
      </c>
      <c r="K2639" t="s">
        <v>53</v>
      </c>
      <c r="L2639" t="s">
        <v>4890</v>
      </c>
      <c r="M2639" t="s">
        <v>54</v>
      </c>
      <c r="N2639" t="s">
        <v>4891</v>
      </c>
      <c r="O2639" t="s">
        <v>32</v>
      </c>
      <c r="P2639" t="s">
        <v>5589</v>
      </c>
      <c r="Q2639">
        <v>200</v>
      </c>
      <c r="R2639">
        <v>200</v>
      </c>
      <c r="S2639" t="s">
        <v>159</v>
      </c>
      <c r="T2639" t="s">
        <v>159</v>
      </c>
      <c r="W2639">
        <v>0</v>
      </c>
      <c r="X2639">
        <v>0</v>
      </c>
      <c r="Y2639">
        <v>0</v>
      </c>
      <c r="Z2639">
        <v>0</v>
      </c>
    </row>
    <row r="2640" spans="1:26" hidden="1" x14ac:dyDescent="0.25">
      <c r="A2640" t="s">
        <v>5590</v>
      </c>
      <c r="B2640" t="s">
        <v>38</v>
      </c>
      <c r="C2640" s="4">
        <v>45397</v>
      </c>
      <c r="D2640" s="4">
        <v>45930</v>
      </c>
      <c r="F2640" s="4">
        <v>46752</v>
      </c>
      <c r="G2640" t="s">
        <v>52</v>
      </c>
      <c r="H2640" t="s">
        <v>1262</v>
      </c>
      <c r="K2640" t="s">
        <v>53</v>
      </c>
      <c r="L2640" t="s">
        <v>4890</v>
      </c>
      <c r="M2640" t="s">
        <v>54</v>
      </c>
      <c r="N2640" t="s">
        <v>4891</v>
      </c>
      <c r="O2640" t="s">
        <v>32</v>
      </c>
      <c r="P2640" t="s">
        <v>5591</v>
      </c>
      <c r="Q2640">
        <v>200</v>
      </c>
      <c r="R2640">
        <v>200</v>
      </c>
      <c r="S2640" t="s">
        <v>159</v>
      </c>
      <c r="T2640" t="s">
        <v>159</v>
      </c>
      <c r="W2640">
        <v>0</v>
      </c>
      <c r="X2640">
        <v>0</v>
      </c>
      <c r="Y2640">
        <v>0</v>
      </c>
      <c r="Z2640">
        <v>0</v>
      </c>
    </row>
    <row r="2641" spans="1:26" hidden="1" x14ac:dyDescent="0.25">
      <c r="A2641" t="s">
        <v>5592</v>
      </c>
      <c r="B2641" t="s">
        <v>2153</v>
      </c>
      <c r="C2641" s="4">
        <v>45400</v>
      </c>
      <c r="F2641" s="4">
        <v>46996</v>
      </c>
      <c r="G2641" t="s">
        <v>907</v>
      </c>
      <c r="H2641" t="s">
        <v>3441</v>
      </c>
      <c r="K2641" t="s">
        <v>53</v>
      </c>
      <c r="L2641" t="s">
        <v>4890</v>
      </c>
      <c r="M2641" t="s">
        <v>54</v>
      </c>
      <c r="N2641" t="s">
        <v>4891</v>
      </c>
      <c r="O2641" t="s">
        <v>32</v>
      </c>
      <c r="P2641" t="s">
        <v>5593</v>
      </c>
      <c r="Q2641">
        <v>150</v>
      </c>
      <c r="R2641">
        <v>150</v>
      </c>
      <c r="S2641" t="s">
        <v>159</v>
      </c>
      <c r="T2641" t="s">
        <v>159</v>
      </c>
      <c r="W2641">
        <v>150</v>
      </c>
      <c r="X2641">
        <v>150</v>
      </c>
      <c r="Y2641">
        <v>0</v>
      </c>
      <c r="Z2641">
        <v>0</v>
      </c>
    </row>
    <row r="2642" spans="1:26" hidden="1" x14ac:dyDescent="0.25">
      <c r="A2642" t="s">
        <v>5594</v>
      </c>
      <c r="B2642" t="s">
        <v>38</v>
      </c>
      <c r="C2642" s="4">
        <v>45400</v>
      </c>
      <c r="D2642" s="4">
        <v>46014</v>
      </c>
      <c r="F2642" s="4">
        <v>46568</v>
      </c>
      <c r="G2642" t="s">
        <v>52</v>
      </c>
      <c r="H2642" t="s">
        <v>1574</v>
      </c>
      <c r="K2642" t="s">
        <v>53</v>
      </c>
      <c r="L2642" t="s">
        <v>4890</v>
      </c>
      <c r="M2642" t="s">
        <v>54</v>
      </c>
      <c r="N2642" t="s">
        <v>4891</v>
      </c>
      <c r="O2642" t="s">
        <v>32</v>
      </c>
      <c r="P2642" t="s">
        <v>5265</v>
      </c>
      <c r="Q2642">
        <v>90</v>
      </c>
      <c r="R2642">
        <v>90</v>
      </c>
      <c r="S2642" t="s">
        <v>389</v>
      </c>
      <c r="T2642" t="s">
        <v>584</v>
      </c>
      <c r="W2642">
        <v>0</v>
      </c>
      <c r="X2642">
        <v>0</v>
      </c>
      <c r="Y2642">
        <v>0</v>
      </c>
      <c r="Z2642">
        <v>0</v>
      </c>
    </row>
    <row r="2643" spans="1:26" hidden="1" x14ac:dyDescent="0.25">
      <c r="A2643" t="s">
        <v>5595</v>
      </c>
      <c r="B2643" t="s">
        <v>38</v>
      </c>
      <c r="C2643" s="4">
        <v>45400</v>
      </c>
      <c r="D2643" s="4">
        <v>45930</v>
      </c>
      <c r="F2643" s="4">
        <v>47042</v>
      </c>
      <c r="G2643" t="s">
        <v>1278</v>
      </c>
      <c r="H2643" t="s">
        <v>2087</v>
      </c>
      <c r="K2643" t="s">
        <v>53</v>
      </c>
      <c r="L2643" t="s">
        <v>4890</v>
      </c>
      <c r="M2643" t="s">
        <v>30</v>
      </c>
      <c r="N2643" t="s">
        <v>4891</v>
      </c>
      <c r="O2643" t="s">
        <v>32</v>
      </c>
      <c r="P2643" t="s">
        <v>5596</v>
      </c>
      <c r="Q2643">
        <v>50</v>
      </c>
      <c r="R2643">
        <v>50</v>
      </c>
      <c r="S2643" t="s">
        <v>159</v>
      </c>
      <c r="T2643" t="s">
        <v>159</v>
      </c>
      <c r="W2643">
        <v>0</v>
      </c>
      <c r="X2643">
        <v>0</v>
      </c>
      <c r="Y2643">
        <v>0</v>
      </c>
      <c r="Z2643">
        <v>0</v>
      </c>
    </row>
    <row r="2644" spans="1:26" hidden="1" x14ac:dyDescent="0.25">
      <c r="A2644" t="s">
        <v>5597</v>
      </c>
      <c r="B2644" t="s">
        <v>2153</v>
      </c>
      <c r="C2644" s="4">
        <v>45399</v>
      </c>
      <c r="F2644" s="4">
        <v>46844</v>
      </c>
      <c r="G2644" t="s">
        <v>1278</v>
      </c>
      <c r="H2644" t="s">
        <v>1645</v>
      </c>
      <c r="K2644" t="s">
        <v>28</v>
      </c>
      <c r="L2644" t="s">
        <v>4890</v>
      </c>
      <c r="M2644" t="s">
        <v>30</v>
      </c>
      <c r="N2644" t="s">
        <v>4891</v>
      </c>
      <c r="O2644" t="s">
        <v>32</v>
      </c>
      <c r="P2644" t="s">
        <v>3090</v>
      </c>
      <c r="Q2644">
        <v>250</v>
      </c>
      <c r="R2644">
        <v>250</v>
      </c>
      <c r="S2644" t="s">
        <v>56</v>
      </c>
      <c r="T2644" t="s">
        <v>57</v>
      </c>
      <c r="W2644">
        <v>250</v>
      </c>
      <c r="X2644">
        <v>250</v>
      </c>
      <c r="Y2644">
        <v>0</v>
      </c>
      <c r="Z2644">
        <v>0</v>
      </c>
    </row>
    <row r="2645" spans="1:26" hidden="1" x14ac:dyDescent="0.25">
      <c r="A2645" t="s">
        <v>5598</v>
      </c>
      <c r="B2645" t="s">
        <v>38</v>
      </c>
      <c r="C2645" s="4">
        <v>45399</v>
      </c>
      <c r="D2645" s="4">
        <v>46014</v>
      </c>
      <c r="F2645" s="4">
        <v>46844</v>
      </c>
      <c r="G2645" t="s">
        <v>52</v>
      </c>
      <c r="H2645" t="s">
        <v>3796</v>
      </c>
      <c r="K2645" t="s">
        <v>53</v>
      </c>
      <c r="L2645" t="s">
        <v>4890</v>
      </c>
      <c r="M2645" t="s">
        <v>54</v>
      </c>
      <c r="N2645" t="s">
        <v>4891</v>
      </c>
      <c r="O2645" t="s">
        <v>32</v>
      </c>
      <c r="P2645" t="s">
        <v>5599</v>
      </c>
      <c r="Q2645">
        <v>300</v>
      </c>
      <c r="R2645">
        <v>300</v>
      </c>
      <c r="S2645" t="s">
        <v>56</v>
      </c>
      <c r="T2645" t="s">
        <v>57</v>
      </c>
      <c r="W2645">
        <v>0</v>
      </c>
      <c r="X2645">
        <v>0</v>
      </c>
      <c r="Y2645">
        <v>0</v>
      </c>
      <c r="Z2645">
        <v>0</v>
      </c>
    </row>
    <row r="2646" spans="1:26" hidden="1" x14ac:dyDescent="0.25">
      <c r="A2646" t="s">
        <v>5600</v>
      </c>
      <c r="B2646" t="s">
        <v>38</v>
      </c>
      <c r="C2646" s="4">
        <v>45400</v>
      </c>
      <c r="D2646" s="4">
        <v>45930</v>
      </c>
      <c r="F2646" s="4">
        <v>47042</v>
      </c>
      <c r="G2646" t="s">
        <v>1278</v>
      </c>
      <c r="H2646" t="s">
        <v>2087</v>
      </c>
      <c r="K2646" t="s">
        <v>53</v>
      </c>
      <c r="L2646" t="s">
        <v>4890</v>
      </c>
      <c r="M2646" t="s">
        <v>30</v>
      </c>
      <c r="N2646" t="s">
        <v>4891</v>
      </c>
      <c r="O2646" t="s">
        <v>32</v>
      </c>
      <c r="P2646" t="s">
        <v>5596</v>
      </c>
      <c r="Q2646">
        <v>100</v>
      </c>
      <c r="R2646">
        <v>100</v>
      </c>
      <c r="S2646" t="s">
        <v>34</v>
      </c>
      <c r="T2646" t="s">
        <v>35</v>
      </c>
      <c r="W2646">
        <v>0</v>
      </c>
      <c r="X2646">
        <v>0</v>
      </c>
      <c r="Y2646">
        <v>0</v>
      </c>
      <c r="Z2646">
        <v>0</v>
      </c>
    </row>
    <row r="2647" spans="1:26" hidden="1" x14ac:dyDescent="0.25">
      <c r="A2647" t="s">
        <v>5601</v>
      </c>
      <c r="B2647" t="s">
        <v>38</v>
      </c>
      <c r="C2647" s="4">
        <v>45400</v>
      </c>
      <c r="D2647" s="4">
        <v>45930</v>
      </c>
      <c r="F2647" s="4">
        <v>47042</v>
      </c>
      <c r="G2647" t="s">
        <v>1278</v>
      </c>
      <c r="H2647" t="s">
        <v>2087</v>
      </c>
      <c r="K2647" t="s">
        <v>53</v>
      </c>
      <c r="L2647" t="s">
        <v>4890</v>
      </c>
      <c r="M2647" t="s">
        <v>30</v>
      </c>
      <c r="N2647" t="s">
        <v>4891</v>
      </c>
      <c r="O2647" t="s">
        <v>32</v>
      </c>
      <c r="P2647" t="s">
        <v>2088</v>
      </c>
      <c r="Q2647">
        <v>60</v>
      </c>
      <c r="R2647">
        <v>60</v>
      </c>
      <c r="S2647" t="s">
        <v>34</v>
      </c>
      <c r="T2647" t="s">
        <v>35</v>
      </c>
      <c r="W2647">
        <v>0</v>
      </c>
      <c r="X2647">
        <v>0</v>
      </c>
      <c r="Y2647">
        <v>0</v>
      </c>
      <c r="Z2647">
        <v>0</v>
      </c>
    </row>
    <row r="2648" spans="1:26" hidden="1" x14ac:dyDescent="0.25">
      <c r="A2648" t="s">
        <v>5602</v>
      </c>
      <c r="B2648" t="s">
        <v>38</v>
      </c>
      <c r="C2648" s="4">
        <v>45400</v>
      </c>
      <c r="D2648" s="4">
        <v>45600</v>
      </c>
      <c r="F2648" s="4">
        <v>47042</v>
      </c>
      <c r="G2648" t="s">
        <v>52</v>
      </c>
      <c r="H2648" t="s">
        <v>1330</v>
      </c>
      <c r="K2648" t="s">
        <v>53</v>
      </c>
      <c r="L2648" t="s">
        <v>4890</v>
      </c>
      <c r="M2648" t="s">
        <v>54</v>
      </c>
      <c r="N2648" t="s">
        <v>4891</v>
      </c>
      <c r="O2648" t="s">
        <v>32</v>
      </c>
      <c r="P2648" t="s">
        <v>5603</v>
      </c>
      <c r="Q2648">
        <v>50</v>
      </c>
      <c r="R2648">
        <v>50</v>
      </c>
      <c r="S2648" t="s">
        <v>159</v>
      </c>
      <c r="T2648" t="s">
        <v>159</v>
      </c>
      <c r="W2648">
        <v>0</v>
      </c>
      <c r="X2648">
        <v>0</v>
      </c>
      <c r="Y2648">
        <v>0</v>
      </c>
      <c r="Z2648">
        <v>0</v>
      </c>
    </row>
    <row r="2649" spans="1:26" hidden="1" x14ac:dyDescent="0.25">
      <c r="A2649" t="s">
        <v>5604</v>
      </c>
      <c r="B2649" t="s">
        <v>2153</v>
      </c>
      <c r="C2649" s="4">
        <v>45400</v>
      </c>
      <c r="F2649" s="4">
        <v>47058</v>
      </c>
      <c r="G2649" t="s">
        <v>52</v>
      </c>
      <c r="H2649" t="s">
        <v>2288</v>
      </c>
      <c r="K2649" t="s">
        <v>53</v>
      </c>
      <c r="L2649" t="s">
        <v>4890</v>
      </c>
      <c r="M2649" t="s">
        <v>54</v>
      </c>
      <c r="N2649" t="s">
        <v>4891</v>
      </c>
      <c r="O2649" t="s">
        <v>32</v>
      </c>
      <c r="P2649" t="s">
        <v>1345</v>
      </c>
      <c r="Q2649">
        <v>150</v>
      </c>
      <c r="R2649">
        <v>150</v>
      </c>
      <c r="S2649" t="s">
        <v>34</v>
      </c>
      <c r="T2649" t="s">
        <v>35</v>
      </c>
      <c r="W2649">
        <v>150</v>
      </c>
      <c r="X2649">
        <v>150</v>
      </c>
      <c r="Y2649">
        <v>0</v>
      </c>
      <c r="Z2649">
        <v>0</v>
      </c>
    </row>
    <row r="2650" spans="1:26" hidden="1" x14ac:dyDescent="0.25">
      <c r="A2650" t="s">
        <v>5605</v>
      </c>
      <c r="B2650" t="s">
        <v>2153</v>
      </c>
      <c r="C2650" s="4">
        <v>45399</v>
      </c>
      <c r="F2650" s="4">
        <v>46997</v>
      </c>
      <c r="G2650" t="s">
        <v>907</v>
      </c>
      <c r="H2650" t="s">
        <v>1357</v>
      </c>
      <c r="K2650" t="s">
        <v>53</v>
      </c>
      <c r="L2650" t="s">
        <v>4890</v>
      </c>
      <c r="M2650" t="s">
        <v>54</v>
      </c>
      <c r="N2650" t="s">
        <v>4891</v>
      </c>
      <c r="O2650" t="s">
        <v>32</v>
      </c>
      <c r="P2650" t="s">
        <v>3711</v>
      </c>
      <c r="Q2650">
        <v>150</v>
      </c>
      <c r="R2650">
        <v>150</v>
      </c>
      <c r="S2650" t="s">
        <v>56</v>
      </c>
      <c r="T2650" t="s">
        <v>57</v>
      </c>
      <c r="W2650">
        <v>150</v>
      </c>
      <c r="X2650">
        <v>150</v>
      </c>
      <c r="Y2650">
        <v>0</v>
      </c>
      <c r="Z2650">
        <v>0</v>
      </c>
    </row>
    <row r="2651" spans="1:26" hidden="1" x14ac:dyDescent="0.25">
      <c r="A2651" t="s">
        <v>5606</v>
      </c>
      <c r="B2651" t="s">
        <v>2153</v>
      </c>
      <c r="C2651" s="4">
        <v>45399</v>
      </c>
      <c r="F2651" s="4">
        <v>47058</v>
      </c>
      <c r="G2651" t="s">
        <v>907</v>
      </c>
      <c r="H2651" t="s">
        <v>1333</v>
      </c>
      <c r="K2651" t="s">
        <v>53</v>
      </c>
      <c r="L2651" t="s">
        <v>4890</v>
      </c>
      <c r="M2651" t="s">
        <v>54</v>
      </c>
      <c r="N2651" t="s">
        <v>4891</v>
      </c>
      <c r="O2651" t="s">
        <v>32</v>
      </c>
      <c r="P2651" t="s">
        <v>5607</v>
      </c>
      <c r="Q2651">
        <v>220</v>
      </c>
      <c r="R2651">
        <v>220</v>
      </c>
      <c r="S2651" t="s">
        <v>159</v>
      </c>
      <c r="T2651" t="s">
        <v>159</v>
      </c>
      <c r="W2651">
        <v>220</v>
      </c>
      <c r="X2651">
        <v>220</v>
      </c>
      <c r="Y2651">
        <v>0</v>
      </c>
      <c r="Z2651">
        <v>0</v>
      </c>
    </row>
    <row r="2652" spans="1:26" hidden="1" x14ac:dyDescent="0.25">
      <c r="A2652" t="s">
        <v>5608</v>
      </c>
      <c r="B2652" t="s">
        <v>38</v>
      </c>
      <c r="C2652" s="4">
        <v>45397</v>
      </c>
      <c r="D2652" s="4">
        <v>45929</v>
      </c>
      <c r="F2652" s="4">
        <v>47072</v>
      </c>
      <c r="G2652" t="s">
        <v>52</v>
      </c>
      <c r="H2652" t="s">
        <v>2521</v>
      </c>
      <c r="K2652" t="s">
        <v>53</v>
      </c>
      <c r="L2652" t="s">
        <v>4890</v>
      </c>
      <c r="M2652" t="s">
        <v>54</v>
      </c>
      <c r="N2652" t="s">
        <v>4891</v>
      </c>
      <c r="O2652" t="s">
        <v>32</v>
      </c>
      <c r="P2652" t="s">
        <v>5589</v>
      </c>
      <c r="Q2652">
        <v>220</v>
      </c>
      <c r="R2652">
        <v>220</v>
      </c>
      <c r="S2652" t="s">
        <v>159</v>
      </c>
      <c r="T2652" t="s">
        <v>159</v>
      </c>
      <c r="W2652">
        <v>0</v>
      </c>
      <c r="X2652">
        <v>0</v>
      </c>
      <c r="Y2652">
        <v>0</v>
      </c>
      <c r="Z2652">
        <v>0</v>
      </c>
    </row>
    <row r="2653" spans="1:26" hidden="1" x14ac:dyDescent="0.25">
      <c r="A2653" t="s">
        <v>5609</v>
      </c>
      <c r="B2653" t="s">
        <v>38</v>
      </c>
      <c r="C2653" s="4">
        <v>45400</v>
      </c>
      <c r="D2653" s="4">
        <v>45701</v>
      </c>
      <c r="F2653" s="4">
        <v>46966</v>
      </c>
      <c r="G2653" t="s">
        <v>1278</v>
      </c>
      <c r="H2653" t="s">
        <v>5610</v>
      </c>
      <c r="K2653" t="s">
        <v>53</v>
      </c>
      <c r="L2653" t="s">
        <v>4890</v>
      </c>
      <c r="M2653" t="s">
        <v>30</v>
      </c>
      <c r="N2653" t="s">
        <v>4891</v>
      </c>
      <c r="O2653" t="s">
        <v>32</v>
      </c>
      <c r="P2653" t="s">
        <v>5611</v>
      </c>
      <c r="Q2653">
        <v>120</v>
      </c>
      <c r="R2653">
        <v>120</v>
      </c>
      <c r="S2653" t="s">
        <v>597</v>
      </c>
      <c r="T2653" t="s">
        <v>598</v>
      </c>
      <c r="W2653">
        <v>0</v>
      </c>
      <c r="X2653">
        <v>0</v>
      </c>
      <c r="Y2653">
        <v>0</v>
      </c>
      <c r="Z2653">
        <v>0</v>
      </c>
    </row>
    <row r="2654" spans="1:26" hidden="1" x14ac:dyDescent="0.25">
      <c r="A2654" t="s">
        <v>5612</v>
      </c>
      <c r="B2654" t="s">
        <v>38</v>
      </c>
      <c r="C2654" s="4">
        <v>45400</v>
      </c>
      <c r="D2654" s="4">
        <v>45744</v>
      </c>
      <c r="F2654" s="4">
        <v>46966</v>
      </c>
      <c r="G2654" t="s">
        <v>1278</v>
      </c>
      <c r="H2654" t="s">
        <v>2037</v>
      </c>
      <c r="K2654" t="s">
        <v>53</v>
      </c>
      <c r="L2654" t="s">
        <v>4890</v>
      </c>
      <c r="M2654" t="s">
        <v>30</v>
      </c>
      <c r="N2654" t="s">
        <v>4891</v>
      </c>
      <c r="O2654" t="s">
        <v>32</v>
      </c>
      <c r="P2654" t="s">
        <v>5613</v>
      </c>
      <c r="Q2654">
        <v>200</v>
      </c>
      <c r="R2654">
        <v>200</v>
      </c>
      <c r="S2654" t="s">
        <v>597</v>
      </c>
      <c r="T2654" t="s">
        <v>598</v>
      </c>
      <c r="W2654">
        <v>0</v>
      </c>
      <c r="X2654">
        <v>0</v>
      </c>
      <c r="Y2654">
        <v>0</v>
      </c>
      <c r="Z2654">
        <v>0</v>
      </c>
    </row>
    <row r="2655" spans="1:26" hidden="1" x14ac:dyDescent="0.25">
      <c r="A2655" t="s">
        <v>5614</v>
      </c>
      <c r="B2655" t="s">
        <v>2153</v>
      </c>
      <c r="C2655" s="4">
        <v>45397</v>
      </c>
      <c r="F2655" s="4">
        <v>47072</v>
      </c>
      <c r="G2655" t="s">
        <v>52</v>
      </c>
      <c r="H2655" t="s">
        <v>1393</v>
      </c>
      <c r="K2655" t="s">
        <v>53</v>
      </c>
      <c r="L2655" t="s">
        <v>4890</v>
      </c>
      <c r="M2655" t="s">
        <v>54</v>
      </c>
      <c r="N2655" t="s">
        <v>4891</v>
      </c>
      <c r="O2655" t="s">
        <v>32</v>
      </c>
      <c r="P2655" t="s">
        <v>5615</v>
      </c>
      <c r="Q2655">
        <v>150</v>
      </c>
      <c r="R2655">
        <v>150</v>
      </c>
      <c r="S2655" t="s">
        <v>159</v>
      </c>
      <c r="T2655" t="s">
        <v>159</v>
      </c>
      <c r="W2655">
        <v>150</v>
      </c>
      <c r="X2655">
        <v>150</v>
      </c>
      <c r="Y2655">
        <v>0</v>
      </c>
      <c r="Z2655">
        <v>0</v>
      </c>
    </row>
    <row r="2656" spans="1:26" hidden="1" x14ac:dyDescent="0.25">
      <c r="A2656" t="s">
        <v>5616</v>
      </c>
      <c r="B2656" t="s">
        <v>2153</v>
      </c>
      <c r="C2656" s="4">
        <v>45398</v>
      </c>
      <c r="F2656" s="4">
        <v>47026</v>
      </c>
      <c r="G2656" t="s">
        <v>52</v>
      </c>
      <c r="H2656" t="s">
        <v>1488</v>
      </c>
      <c r="K2656" t="s">
        <v>53</v>
      </c>
      <c r="L2656" t="s">
        <v>4890</v>
      </c>
      <c r="M2656" t="s">
        <v>54</v>
      </c>
      <c r="N2656" t="s">
        <v>4891</v>
      </c>
      <c r="O2656" t="s">
        <v>32</v>
      </c>
      <c r="P2656" t="s">
        <v>5617</v>
      </c>
      <c r="Q2656">
        <v>150</v>
      </c>
      <c r="R2656">
        <v>150</v>
      </c>
      <c r="S2656" t="s">
        <v>159</v>
      </c>
      <c r="T2656" t="s">
        <v>159</v>
      </c>
      <c r="W2656">
        <v>150</v>
      </c>
      <c r="X2656">
        <v>150</v>
      </c>
      <c r="Y2656">
        <v>0</v>
      </c>
      <c r="Z2656">
        <v>0</v>
      </c>
    </row>
    <row r="2657" spans="1:26" hidden="1" x14ac:dyDescent="0.25">
      <c r="A2657" t="s">
        <v>5618</v>
      </c>
      <c r="B2657" t="s">
        <v>38</v>
      </c>
      <c r="C2657" s="4">
        <v>45398</v>
      </c>
      <c r="D2657" s="4">
        <v>46014</v>
      </c>
      <c r="F2657" s="4">
        <v>47026</v>
      </c>
      <c r="G2657" t="s">
        <v>52</v>
      </c>
      <c r="H2657" t="s">
        <v>1488</v>
      </c>
      <c r="K2657" t="s">
        <v>53</v>
      </c>
      <c r="L2657" t="s">
        <v>4890</v>
      </c>
      <c r="M2657" t="s">
        <v>54</v>
      </c>
      <c r="N2657" t="s">
        <v>4891</v>
      </c>
      <c r="O2657" t="s">
        <v>32</v>
      </c>
      <c r="P2657" t="s">
        <v>5617</v>
      </c>
      <c r="Q2657">
        <v>150</v>
      </c>
      <c r="R2657">
        <v>150</v>
      </c>
      <c r="S2657" t="s">
        <v>34</v>
      </c>
      <c r="T2657" t="s">
        <v>35</v>
      </c>
      <c r="W2657">
        <v>0</v>
      </c>
      <c r="X2657">
        <v>0</v>
      </c>
      <c r="Y2657">
        <v>0</v>
      </c>
      <c r="Z2657">
        <v>0</v>
      </c>
    </row>
    <row r="2658" spans="1:26" hidden="1" x14ac:dyDescent="0.25">
      <c r="A2658" t="s">
        <v>5619</v>
      </c>
      <c r="B2658" t="s">
        <v>2153</v>
      </c>
      <c r="C2658" s="4">
        <v>45387</v>
      </c>
      <c r="F2658" s="4">
        <v>46905</v>
      </c>
      <c r="G2658" t="s">
        <v>907</v>
      </c>
      <c r="H2658" t="s">
        <v>1724</v>
      </c>
      <c r="K2658" t="s">
        <v>53</v>
      </c>
      <c r="L2658" t="s">
        <v>4890</v>
      </c>
      <c r="M2658" t="s">
        <v>54</v>
      </c>
      <c r="N2658" t="s">
        <v>4891</v>
      </c>
      <c r="O2658" t="s">
        <v>32</v>
      </c>
      <c r="P2658" t="s">
        <v>5620</v>
      </c>
      <c r="Q2658">
        <v>80</v>
      </c>
      <c r="R2658">
        <v>80</v>
      </c>
      <c r="S2658" t="s">
        <v>34</v>
      </c>
      <c r="T2658" t="s">
        <v>35</v>
      </c>
      <c r="W2658">
        <v>80</v>
      </c>
      <c r="X2658">
        <v>80</v>
      </c>
      <c r="Y2658">
        <v>0</v>
      </c>
      <c r="Z2658">
        <v>0</v>
      </c>
    </row>
    <row r="2659" spans="1:26" hidden="1" x14ac:dyDescent="0.25">
      <c r="A2659" t="s">
        <v>5621</v>
      </c>
      <c r="B2659" t="s">
        <v>2153</v>
      </c>
      <c r="C2659" s="4">
        <v>45387</v>
      </c>
      <c r="F2659" s="4">
        <v>46905</v>
      </c>
      <c r="G2659" t="s">
        <v>907</v>
      </c>
      <c r="H2659" t="s">
        <v>1724</v>
      </c>
      <c r="K2659" t="s">
        <v>53</v>
      </c>
      <c r="L2659" t="s">
        <v>4890</v>
      </c>
      <c r="M2659" t="s">
        <v>54</v>
      </c>
      <c r="N2659" t="s">
        <v>4891</v>
      </c>
      <c r="O2659" t="s">
        <v>32</v>
      </c>
      <c r="P2659" t="s">
        <v>5620</v>
      </c>
      <c r="Q2659">
        <v>150</v>
      </c>
      <c r="R2659">
        <v>150</v>
      </c>
      <c r="S2659" t="s">
        <v>159</v>
      </c>
      <c r="T2659" t="s">
        <v>159</v>
      </c>
      <c r="W2659">
        <v>150</v>
      </c>
      <c r="X2659">
        <v>150</v>
      </c>
      <c r="Y2659">
        <v>0</v>
      </c>
      <c r="Z2659">
        <v>0</v>
      </c>
    </row>
    <row r="2660" spans="1:26" hidden="1" x14ac:dyDescent="0.25">
      <c r="A2660" t="s">
        <v>5622</v>
      </c>
      <c r="B2660" t="s">
        <v>2153</v>
      </c>
      <c r="C2660" s="4">
        <v>45399</v>
      </c>
      <c r="F2660" s="4">
        <v>46844</v>
      </c>
      <c r="G2660" t="s">
        <v>1368</v>
      </c>
      <c r="H2660" t="s">
        <v>5623</v>
      </c>
      <c r="K2660" t="s">
        <v>209</v>
      </c>
      <c r="L2660" t="s">
        <v>4890</v>
      </c>
      <c r="M2660" t="s">
        <v>42</v>
      </c>
      <c r="N2660" t="s">
        <v>4891</v>
      </c>
      <c r="O2660" t="s">
        <v>122</v>
      </c>
      <c r="P2660" t="s">
        <v>5624</v>
      </c>
      <c r="Q2660">
        <v>200</v>
      </c>
      <c r="R2660">
        <v>200</v>
      </c>
      <c r="S2660" t="s">
        <v>56</v>
      </c>
      <c r="T2660" t="s">
        <v>57</v>
      </c>
      <c r="W2660">
        <v>200</v>
      </c>
      <c r="X2660">
        <v>0</v>
      </c>
      <c r="Y2660">
        <v>0</v>
      </c>
      <c r="Z2660">
        <v>0</v>
      </c>
    </row>
    <row r="2661" spans="1:26" hidden="1" x14ac:dyDescent="0.25">
      <c r="A2661" t="s">
        <v>5625</v>
      </c>
      <c r="B2661" t="s">
        <v>2338</v>
      </c>
      <c r="C2661" s="4">
        <v>45377</v>
      </c>
      <c r="F2661" s="4">
        <v>46934</v>
      </c>
      <c r="G2661" t="s">
        <v>907</v>
      </c>
      <c r="H2661" t="s">
        <v>2351</v>
      </c>
      <c r="K2661" t="s">
        <v>53</v>
      </c>
      <c r="L2661" t="s">
        <v>4890</v>
      </c>
      <c r="M2661" t="s">
        <v>54</v>
      </c>
      <c r="N2661" t="s">
        <v>4891</v>
      </c>
      <c r="O2661" t="s">
        <v>32</v>
      </c>
      <c r="P2661" t="s">
        <v>5593</v>
      </c>
      <c r="Q2661">
        <v>250</v>
      </c>
      <c r="R2661">
        <v>250</v>
      </c>
      <c r="S2661" t="s">
        <v>159</v>
      </c>
      <c r="T2661" t="s">
        <v>159</v>
      </c>
      <c r="W2661">
        <v>250</v>
      </c>
      <c r="X2661">
        <v>250</v>
      </c>
      <c r="Y2661">
        <v>0</v>
      </c>
      <c r="Z2661">
        <v>0</v>
      </c>
    </row>
    <row r="2662" spans="1:26" hidden="1" x14ac:dyDescent="0.25">
      <c r="A2662" t="s">
        <v>5626</v>
      </c>
      <c r="B2662" t="s">
        <v>38</v>
      </c>
      <c r="C2662" s="4">
        <v>45386</v>
      </c>
      <c r="D2662" s="4">
        <v>45936</v>
      </c>
      <c r="F2662" s="4">
        <v>46919</v>
      </c>
      <c r="G2662" t="s">
        <v>1311</v>
      </c>
      <c r="H2662" t="s">
        <v>1302</v>
      </c>
      <c r="K2662" t="s">
        <v>114</v>
      </c>
      <c r="L2662" t="s">
        <v>4890</v>
      </c>
      <c r="M2662" t="s">
        <v>68</v>
      </c>
      <c r="N2662" t="s">
        <v>4891</v>
      </c>
      <c r="O2662" t="s">
        <v>32</v>
      </c>
      <c r="P2662" t="s">
        <v>5627</v>
      </c>
      <c r="Q2662">
        <v>50</v>
      </c>
      <c r="R2662">
        <v>50</v>
      </c>
      <c r="S2662" t="s">
        <v>34</v>
      </c>
      <c r="T2662" t="s">
        <v>35</v>
      </c>
      <c r="W2662">
        <v>0</v>
      </c>
      <c r="X2662">
        <v>0</v>
      </c>
      <c r="Y2662">
        <v>0</v>
      </c>
      <c r="Z2662">
        <v>0</v>
      </c>
    </row>
    <row r="2663" spans="1:26" hidden="1" x14ac:dyDescent="0.25">
      <c r="A2663" t="s">
        <v>5628</v>
      </c>
      <c r="B2663" t="s">
        <v>38</v>
      </c>
      <c r="C2663" s="4">
        <v>45376</v>
      </c>
      <c r="D2663" s="4">
        <v>46014</v>
      </c>
      <c r="F2663" s="4">
        <v>46934</v>
      </c>
      <c r="G2663" t="s">
        <v>65</v>
      </c>
      <c r="H2663" t="s">
        <v>1550</v>
      </c>
      <c r="K2663" t="s">
        <v>67</v>
      </c>
      <c r="L2663" t="s">
        <v>4890</v>
      </c>
      <c r="M2663" t="s">
        <v>68</v>
      </c>
      <c r="N2663" t="s">
        <v>4891</v>
      </c>
      <c r="O2663" t="s">
        <v>32</v>
      </c>
      <c r="P2663" t="s">
        <v>5629</v>
      </c>
      <c r="Q2663">
        <v>150</v>
      </c>
      <c r="R2663">
        <v>150</v>
      </c>
      <c r="S2663" t="s">
        <v>597</v>
      </c>
      <c r="T2663" t="s">
        <v>598</v>
      </c>
      <c r="W2663">
        <v>0</v>
      </c>
      <c r="X2663">
        <v>0</v>
      </c>
      <c r="Y2663">
        <v>0</v>
      </c>
      <c r="Z2663">
        <v>0</v>
      </c>
    </row>
    <row r="2664" spans="1:26" hidden="1" x14ac:dyDescent="0.25">
      <c r="A2664" t="s">
        <v>5630</v>
      </c>
      <c r="B2664" t="s">
        <v>38</v>
      </c>
      <c r="C2664" s="4">
        <v>45398</v>
      </c>
      <c r="D2664" s="4">
        <v>46014</v>
      </c>
      <c r="F2664" s="4">
        <v>46748</v>
      </c>
      <c r="G2664" t="s">
        <v>616</v>
      </c>
      <c r="H2664" t="s">
        <v>3063</v>
      </c>
      <c r="K2664" t="s">
        <v>146</v>
      </c>
      <c r="L2664" t="s">
        <v>4890</v>
      </c>
      <c r="M2664" t="s">
        <v>68</v>
      </c>
      <c r="N2664" t="s">
        <v>4891</v>
      </c>
      <c r="O2664" t="s">
        <v>122</v>
      </c>
      <c r="P2664" t="s">
        <v>5631</v>
      </c>
      <c r="Q2664">
        <v>90.25</v>
      </c>
      <c r="R2664">
        <v>90.25</v>
      </c>
      <c r="S2664" t="s">
        <v>597</v>
      </c>
      <c r="T2664" t="s">
        <v>598</v>
      </c>
      <c r="W2664">
        <v>0</v>
      </c>
      <c r="X2664">
        <v>0</v>
      </c>
      <c r="Y2664">
        <v>0</v>
      </c>
      <c r="Z2664">
        <v>0</v>
      </c>
    </row>
    <row r="2665" spans="1:26" hidden="1" x14ac:dyDescent="0.25">
      <c r="A2665" t="s">
        <v>5632</v>
      </c>
      <c r="B2665" t="s">
        <v>2153</v>
      </c>
      <c r="C2665" s="4">
        <v>45400</v>
      </c>
      <c r="F2665" s="4">
        <v>46934</v>
      </c>
      <c r="G2665" t="s">
        <v>1368</v>
      </c>
      <c r="H2665" t="s">
        <v>3555</v>
      </c>
      <c r="K2665" t="s">
        <v>83</v>
      </c>
      <c r="L2665" t="s">
        <v>4890</v>
      </c>
      <c r="M2665" t="s">
        <v>42</v>
      </c>
      <c r="N2665" t="s">
        <v>4891</v>
      </c>
      <c r="O2665" t="s">
        <v>32</v>
      </c>
      <c r="P2665" t="s">
        <v>5633</v>
      </c>
      <c r="Q2665">
        <v>200</v>
      </c>
      <c r="R2665">
        <v>200</v>
      </c>
      <c r="S2665" t="s">
        <v>159</v>
      </c>
      <c r="T2665" t="s">
        <v>159</v>
      </c>
      <c r="W2665">
        <v>200</v>
      </c>
      <c r="X2665">
        <v>200</v>
      </c>
      <c r="Y2665">
        <v>0</v>
      </c>
      <c r="Z2665">
        <v>0</v>
      </c>
    </row>
    <row r="2666" spans="1:26" hidden="1" x14ac:dyDescent="0.25">
      <c r="A2666" t="s">
        <v>5634</v>
      </c>
      <c r="B2666" t="s">
        <v>38</v>
      </c>
      <c r="C2666" s="4">
        <v>45396</v>
      </c>
      <c r="D2666" s="4">
        <v>45902</v>
      </c>
      <c r="F2666" s="4">
        <v>46997</v>
      </c>
      <c r="G2666" t="s">
        <v>1251</v>
      </c>
      <c r="H2666" t="s">
        <v>1800</v>
      </c>
      <c r="K2666" t="s">
        <v>209</v>
      </c>
      <c r="L2666" t="s">
        <v>4890</v>
      </c>
      <c r="M2666" t="s">
        <v>42</v>
      </c>
      <c r="N2666" t="s">
        <v>4891</v>
      </c>
      <c r="O2666" t="s">
        <v>32</v>
      </c>
      <c r="P2666" t="s">
        <v>5635</v>
      </c>
      <c r="Q2666">
        <v>300</v>
      </c>
      <c r="R2666">
        <v>300</v>
      </c>
      <c r="S2666" t="s">
        <v>56</v>
      </c>
      <c r="T2666" t="s">
        <v>57</v>
      </c>
      <c r="W2666">
        <v>0</v>
      </c>
      <c r="X2666">
        <v>0</v>
      </c>
      <c r="Y2666">
        <v>0</v>
      </c>
      <c r="Z2666">
        <v>0</v>
      </c>
    </row>
    <row r="2667" spans="1:26" hidden="1" x14ac:dyDescent="0.25">
      <c r="A2667" t="s">
        <v>5636</v>
      </c>
      <c r="B2667" t="s">
        <v>38</v>
      </c>
      <c r="C2667" s="4">
        <v>45395</v>
      </c>
      <c r="D2667" s="4">
        <v>45926</v>
      </c>
      <c r="F2667" s="4">
        <v>47011</v>
      </c>
      <c r="G2667" t="s">
        <v>117</v>
      </c>
      <c r="H2667" t="s">
        <v>1421</v>
      </c>
      <c r="K2667" t="s">
        <v>83</v>
      </c>
      <c r="L2667" t="s">
        <v>4890</v>
      </c>
      <c r="M2667" t="s">
        <v>84</v>
      </c>
      <c r="N2667" t="s">
        <v>4891</v>
      </c>
      <c r="O2667" t="s">
        <v>32</v>
      </c>
      <c r="P2667" t="s">
        <v>5637</v>
      </c>
      <c r="Q2667">
        <v>200</v>
      </c>
      <c r="R2667">
        <v>200</v>
      </c>
      <c r="S2667" t="s">
        <v>159</v>
      </c>
      <c r="T2667" t="s">
        <v>159</v>
      </c>
      <c r="W2667">
        <v>0</v>
      </c>
      <c r="X2667">
        <v>0</v>
      </c>
      <c r="Y2667">
        <v>0</v>
      </c>
      <c r="Z2667">
        <v>0</v>
      </c>
    </row>
    <row r="2668" spans="1:26" hidden="1" x14ac:dyDescent="0.25">
      <c r="A2668" t="s">
        <v>5638</v>
      </c>
      <c r="B2668" t="s">
        <v>38</v>
      </c>
      <c r="C2668" s="4">
        <v>45395</v>
      </c>
      <c r="D2668" s="4">
        <v>45929</v>
      </c>
      <c r="F2668" s="4">
        <v>46997</v>
      </c>
      <c r="G2668" t="s">
        <v>144</v>
      </c>
      <c r="H2668" t="s">
        <v>1418</v>
      </c>
      <c r="K2668" t="s">
        <v>146</v>
      </c>
      <c r="L2668" t="s">
        <v>4890</v>
      </c>
      <c r="M2668" t="s">
        <v>68</v>
      </c>
      <c r="N2668" t="s">
        <v>4891</v>
      </c>
      <c r="O2668" t="s">
        <v>32</v>
      </c>
      <c r="P2668" t="s">
        <v>5541</v>
      </c>
      <c r="Q2668">
        <v>150</v>
      </c>
      <c r="R2668">
        <v>150</v>
      </c>
      <c r="S2668" t="s">
        <v>34</v>
      </c>
      <c r="T2668" t="s">
        <v>35</v>
      </c>
      <c r="W2668">
        <v>0</v>
      </c>
      <c r="X2668">
        <v>0</v>
      </c>
      <c r="Y2668">
        <v>0</v>
      </c>
      <c r="Z2668">
        <v>0</v>
      </c>
    </row>
    <row r="2669" spans="1:26" hidden="1" x14ac:dyDescent="0.25">
      <c r="A2669" t="s">
        <v>5639</v>
      </c>
      <c r="B2669" t="s">
        <v>38</v>
      </c>
      <c r="C2669" s="4">
        <v>45397</v>
      </c>
      <c r="D2669" s="4">
        <v>45930</v>
      </c>
      <c r="F2669" s="4">
        <v>47117</v>
      </c>
      <c r="G2669" t="s">
        <v>254</v>
      </c>
      <c r="H2669" t="s">
        <v>5008</v>
      </c>
      <c r="K2669" t="s">
        <v>98</v>
      </c>
      <c r="L2669" t="s">
        <v>4890</v>
      </c>
      <c r="M2669" t="s">
        <v>84</v>
      </c>
      <c r="N2669" t="s">
        <v>4891</v>
      </c>
      <c r="O2669" t="s">
        <v>32</v>
      </c>
      <c r="P2669" t="s">
        <v>1345</v>
      </c>
      <c r="Q2669">
        <v>80</v>
      </c>
      <c r="R2669">
        <v>80</v>
      </c>
      <c r="S2669" t="s">
        <v>597</v>
      </c>
      <c r="T2669" t="s">
        <v>598</v>
      </c>
      <c r="W2669">
        <v>0</v>
      </c>
      <c r="X2669">
        <v>0</v>
      </c>
      <c r="Y2669">
        <v>0</v>
      </c>
      <c r="Z2669">
        <v>0</v>
      </c>
    </row>
    <row r="2670" spans="1:26" hidden="1" x14ac:dyDescent="0.25">
      <c r="A2670" t="s">
        <v>5640</v>
      </c>
      <c r="B2670" t="s">
        <v>38</v>
      </c>
      <c r="C2670" s="4">
        <v>45397</v>
      </c>
      <c r="D2670" s="4">
        <v>45930</v>
      </c>
      <c r="F2670" s="4">
        <v>47117</v>
      </c>
      <c r="G2670" t="s">
        <v>1274</v>
      </c>
      <c r="H2670" t="s">
        <v>2578</v>
      </c>
      <c r="K2670" t="s">
        <v>41</v>
      </c>
      <c r="L2670" t="s">
        <v>4890</v>
      </c>
      <c r="M2670" t="s">
        <v>42</v>
      </c>
      <c r="N2670" t="s">
        <v>4891</v>
      </c>
      <c r="O2670" t="s">
        <v>32</v>
      </c>
      <c r="P2670" t="s">
        <v>5641</v>
      </c>
      <c r="Q2670">
        <v>100</v>
      </c>
      <c r="R2670">
        <v>100</v>
      </c>
      <c r="S2670" t="s">
        <v>159</v>
      </c>
      <c r="T2670" t="s">
        <v>159</v>
      </c>
      <c r="W2670">
        <v>0</v>
      </c>
      <c r="X2670">
        <v>0</v>
      </c>
      <c r="Y2670">
        <v>0</v>
      </c>
      <c r="Z2670">
        <v>0</v>
      </c>
    </row>
    <row r="2671" spans="1:26" hidden="1" x14ac:dyDescent="0.25">
      <c r="A2671" t="s">
        <v>5642</v>
      </c>
      <c r="B2671" t="s">
        <v>2153</v>
      </c>
      <c r="C2671" s="4">
        <v>45399</v>
      </c>
      <c r="F2671" s="4">
        <v>47026</v>
      </c>
      <c r="G2671" t="s">
        <v>1257</v>
      </c>
      <c r="H2671" t="s">
        <v>1607</v>
      </c>
      <c r="K2671" t="s">
        <v>98</v>
      </c>
      <c r="L2671" t="s">
        <v>4890</v>
      </c>
      <c r="M2671" t="s">
        <v>84</v>
      </c>
      <c r="N2671" t="s">
        <v>4891</v>
      </c>
      <c r="O2671" t="s">
        <v>32</v>
      </c>
      <c r="P2671" t="s">
        <v>5643</v>
      </c>
      <c r="Q2671">
        <v>263.7</v>
      </c>
      <c r="R2671">
        <v>263.7</v>
      </c>
      <c r="S2671" t="s">
        <v>389</v>
      </c>
      <c r="T2671" t="s">
        <v>584</v>
      </c>
      <c r="W2671">
        <v>263.7</v>
      </c>
      <c r="X2671">
        <v>263.7</v>
      </c>
      <c r="Y2671">
        <v>0</v>
      </c>
      <c r="Z2671">
        <v>0</v>
      </c>
    </row>
    <row r="2672" spans="1:26" hidden="1" x14ac:dyDescent="0.25">
      <c r="A2672" t="s">
        <v>5644</v>
      </c>
      <c r="B2672" t="s">
        <v>38</v>
      </c>
      <c r="C2672" s="4">
        <v>45400</v>
      </c>
      <c r="D2672" s="4">
        <v>45764</v>
      </c>
      <c r="F2672" s="4">
        <v>47118</v>
      </c>
      <c r="G2672" t="s">
        <v>177</v>
      </c>
      <c r="H2672" t="s">
        <v>4987</v>
      </c>
      <c r="K2672" t="s">
        <v>185</v>
      </c>
      <c r="L2672" t="s">
        <v>4890</v>
      </c>
      <c r="M2672" t="s">
        <v>42</v>
      </c>
      <c r="N2672" t="s">
        <v>4891</v>
      </c>
      <c r="O2672" t="s">
        <v>32</v>
      </c>
      <c r="P2672" t="s">
        <v>1345</v>
      </c>
      <c r="Q2672">
        <v>200</v>
      </c>
      <c r="R2672">
        <v>200</v>
      </c>
      <c r="S2672" t="s">
        <v>56</v>
      </c>
      <c r="T2672" t="s">
        <v>57</v>
      </c>
      <c r="W2672">
        <v>0</v>
      </c>
      <c r="X2672">
        <v>0</v>
      </c>
      <c r="Y2672">
        <v>0</v>
      </c>
      <c r="Z2672">
        <v>0</v>
      </c>
    </row>
    <row r="2673" spans="1:26" hidden="1" x14ac:dyDescent="0.25">
      <c r="A2673" t="s">
        <v>5645</v>
      </c>
      <c r="B2673" t="s">
        <v>38</v>
      </c>
      <c r="C2673" s="4">
        <v>45400</v>
      </c>
      <c r="D2673" s="4">
        <v>45929</v>
      </c>
      <c r="F2673" s="4">
        <v>46904</v>
      </c>
      <c r="G2673" t="s">
        <v>52</v>
      </c>
      <c r="H2673" t="s">
        <v>2333</v>
      </c>
      <c r="K2673" t="s">
        <v>53</v>
      </c>
      <c r="L2673" t="s">
        <v>4890</v>
      </c>
      <c r="M2673" t="s">
        <v>54</v>
      </c>
      <c r="N2673" t="s">
        <v>4891</v>
      </c>
      <c r="O2673" t="s">
        <v>32</v>
      </c>
      <c r="P2673" t="s">
        <v>2997</v>
      </c>
      <c r="Q2673">
        <v>100</v>
      </c>
      <c r="R2673">
        <v>100</v>
      </c>
      <c r="S2673" t="s">
        <v>34</v>
      </c>
      <c r="T2673" t="s">
        <v>35</v>
      </c>
      <c r="W2673">
        <v>0</v>
      </c>
      <c r="X2673">
        <v>0</v>
      </c>
      <c r="Y2673">
        <v>0</v>
      </c>
      <c r="Z2673">
        <v>0</v>
      </c>
    </row>
    <row r="2674" spans="1:26" hidden="1" x14ac:dyDescent="0.25">
      <c r="A2674" t="s">
        <v>5646</v>
      </c>
      <c r="B2674" t="s">
        <v>2153</v>
      </c>
      <c r="C2674" s="4">
        <v>45400</v>
      </c>
      <c r="F2674" s="4">
        <v>46784</v>
      </c>
      <c r="G2674" t="s">
        <v>1499</v>
      </c>
      <c r="H2674" t="s">
        <v>3668</v>
      </c>
      <c r="K2674" t="s">
        <v>41</v>
      </c>
      <c r="L2674" t="s">
        <v>4890</v>
      </c>
      <c r="M2674" t="s">
        <v>42</v>
      </c>
      <c r="N2674" t="s">
        <v>4891</v>
      </c>
      <c r="O2674" t="s">
        <v>122</v>
      </c>
      <c r="P2674" t="s">
        <v>5647</v>
      </c>
      <c r="Q2674">
        <v>135</v>
      </c>
      <c r="R2674">
        <v>135</v>
      </c>
      <c r="S2674" t="s">
        <v>34</v>
      </c>
      <c r="T2674" t="s">
        <v>35</v>
      </c>
      <c r="W2674">
        <v>135</v>
      </c>
      <c r="X2674">
        <v>0</v>
      </c>
      <c r="Y2674">
        <v>0</v>
      </c>
      <c r="Z2674">
        <v>0</v>
      </c>
    </row>
    <row r="2675" spans="1:26" hidden="1" x14ac:dyDescent="0.25">
      <c r="A2675" t="s">
        <v>5648</v>
      </c>
      <c r="B2675" t="s">
        <v>38</v>
      </c>
      <c r="C2675" s="4">
        <v>45400</v>
      </c>
      <c r="D2675" s="4">
        <v>45729</v>
      </c>
      <c r="F2675" s="4">
        <v>46934</v>
      </c>
      <c r="G2675" t="s">
        <v>117</v>
      </c>
      <c r="H2675" t="s">
        <v>3526</v>
      </c>
      <c r="K2675" t="s">
        <v>83</v>
      </c>
      <c r="L2675" t="s">
        <v>4890</v>
      </c>
      <c r="M2675" t="s">
        <v>84</v>
      </c>
      <c r="N2675" t="s">
        <v>4891</v>
      </c>
      <c r="O2675" t="s">
        <v>32</v>
      </c>
      <c r="P2675" t="s">
        <v>5649</v>
      </c>
      <c r="Q2675">
        <v>100</v>
      </c>
      <c r="R2675">
        <v>100</v>
      </c>
      <c r="S2675" t="s">
        <v>159</v>
      </c>
      <c r="T2675" t="s">
        <v>159</v>
      </c>
      <c r="W2675">
        <v>0</v>
      </c>
      <c r="X2675">
        <v>0</v>
      </c>
      <c r="Y2675">
        <v>0</v>
      </c>
      <c r="Z2675">
        <v>0</v>
      </c>
    </row>
    <row r="2676" spans="1:26" hidden="1" x14ac:dyDescent="0.25">
      <c r="A2676" t="s">
        <v>5650</v>
      </c>
      <c r="B2676" t="s">
        <v>38</v>
      </c>
      <c r="C2676" s="4">
        <v>45400</v>
      </c>
      <c r="D2676" s="4">
        <v>46014</v>
      </c>
      <c r="F2676" s="4">
        <v>46595</v>
      </c>
      <c r="G2676" t="s">
        <v>117</v>
      </c>
      <c r="H2676" t="s">
        <v>1821</v>
      </c>
      <c r="K2676" t="s">
        <v>83</v>
      </c>
      <c r="L2676" t="s">
        <v>4890</v>
      </c>
      <c r="M2676" t="s">
        <v>84</v>
      </c>
      <c r="N2676" t="s">
        <v>4891</v>
      </c>
      <c r="O2676" t="s">
        <v>32</v>
      </c>
      <c r="P2676" t="s">
        <v>5651</v>
      </c>
      <c r="Q2676">
        <v>120</v>
      </c>
      <c r="R2676">
        <v>120</v>
      </c>
      <c r="S2676" t="s">
        <v>34</v>
      </c>
      <c r="T2676" t="s">
        <v>35</v>
      </c>
      <c r="W2676">
        <v>0</v>
      </c>
      <c r="X2676">
        <v>0</v>
      </c>
      <c r="Y2676">
        <v>0</v>
      </c>
      <c r="Z2676">
        <v>0</v>
      </c>
    </row>
    <row r="2677" spans="1:26" hidden="1" x14ac:dyDescent="0.25">
      <c r="A2677" t="s">
        <v>5652</v>
      </c>
      <c r="B2677" t="s">
        <v>2153</v>
      </c>
      <c r="C2677" s="4">
        <v>45400</v>
      </c>
      <c r="F2677" s="4">
        <v>47056</v>
      </c>
      <c r="G2677" t="s">
        <v>1499</v>
      </c>
      <c r="H2677" t="s">
        <v>5175</v>
      </c>
      <c r="K2677" t="s">
        <v>41</v>
      </c>
      <c r="L2677" t="s">
        <v>4890</v>
      </c>
      <c r="M2677" t="s">
        <v>42</v>
      </c>
      <c r="N2677" t="s">
        <v>4891</v>
      </c>
      <c r="O2677" t="s">
        <v>32</v>
      </c>
      <c r="P2677" t="s">
        <v>5276</v>
      </c>
      <c r="Q2677">
        <v>300</v>
      </c>
      <c r="R2677">
        <v>300</v>
      </c>
      <c r="S2677" t="s">
        <v>56</v>
      </c>
      <c r="T2677" t="s">
        <v>57</v>
      </c>
      <c r="W2677">
        <v>300</v>
      </c>
      <c r="X2677">
        <v>0</v>
      </c>
      <c r="Y2677">
        <v>0</v>
      </c>
      <c r="Z2677">
        <v>0</v>
      </c>
    </row>
    <row r="2678" spans="1:26" hidden="1" x14ac:dyDescent="0.25">
      <c r="A2678" t="s">
        <v>5653</v>
      </c>
      <c r="B2678" t="s">
        <v>38</v>
      </c>
      <c r="C2678" s="4">
        <v>45400</v>
      </c>
      <c r="D2678" s="4">
        <v>46014</v>
      </c>
      <c r="F2678" s="4">
        <v>46844</v>
      </c>
      <c r="G2678" t="s">
        <v>254</v>
      </c>
      <c r="H2678" t="s">
        <v>1691</v>
      </c>
      <c r="K2678" t="s">
        <v>98</v>
      </c>
      <c r="L2678" t="s">
        <v>4890</v>
      </c>
      <c r="M2678" t="s">
        <v>84</v>
      </c>
      <c r="N2678" t="s">
        <v>4891</v>
      </c>
      <c r="O2678" t="s">
        <v>122</v>
      </c>
      <c r="P2678" t="s">
        <v>2570</v>
      </c>
      <c r="Q2678">
        <v>150</v>
      </c>
      <c r="R2678">
        <v>150</v>
      </c>
      <c r="S2678" t="s">
        <v>34</v>
      </c>
      <c r="T2678" t="s">
        <v>35</v>
      </c>
      <c r="W2678">
        <v>0</v>
      </c>
      <c r="X2678">
        <v>0</v>
      </c>
      <c r="Y2678">
        <v>0</v>
      </c>
      <c r="Z2678">
        <v>0</v>
      </c>
    </row>
    <row r="2679" spans="1:26" hidden="1" x14ac:dyDescent="0.25">
      <c r="A2679" t="s">
        <v>5654</v>
      </c>
      <c r="B2679" t="s">
        <v>2153</v>
      </c>
      <c r="C2679" s="4">
        <v>45399</v>
      </c>
      <c r="F2679" s="4">
        <v>46997</v>
      </c>
      <c r="G2679" t="s">
        <v>117</v>
      </c>
      <c r="H2679" t="s">
        <v>2366</v>
      </c>
      <c r="K2679" t="s">
        <v>83</v>
      </c>
      <c r="L2679" t="s">
        <v>4890</v>
      </c>
      <c r="M2679" t="s">
        <v>84</v>
      </c>
      <c r="N2679" t="s">
        <v>4891</v>
      </c>
      <c r="O2679" t="s">
        <v>32</v>
      </c>
      <c r="P2679" t="s">
        <v>5655</v>
      </c>
      <c r="Q2679">
        <v>100</v>
      </c>
      <c r="R2679">
        <v>100</v>
      </c>
      <c r="S2679" t="s">
        <v>34</v>
      </c>
      <c r="T2679" t="s">
        <v>35</v>
      </c>
      <c r="W2679">
        <v>100</v>
      </c>
      <c r="X2679">
        <v>100</v>
      </c>
      <c r="Y2679">
        <v>0</v>
      </c>
      <c r="Z2679">
        <v>0</v>
      </c>
    </row>
    <row r="2680" spans="1:26" hidden="1" x14ac:dyDescent="0.25">
      <c r="A2680" t="s">
        <v>5656</v>
      </c>
      <c r="B2680" t="s">
        <v>38</v>
      </c>
      <c r="C2680" s="4">
        <v>45400</v>
      </c>
      <c r="D2680" s="4">
        <v>45929</v>
      </c>
      <c r="F2680" s="4">
        <v>47391</v>
      </c>
      <c r="G2680" t="s">
        <v>177</v>
      </c>
      <c r="H2680" t="s">
        <v>1676</v>
      </c>
      <c r="K2680" t="s">
        <v>67</v>
      </c>
      <c r="L2680" t="s">
        <v>4890</v>
      </c>
      <c r="M2680" t="s">
        <v>68</v>
      </c>
      <c r="N2680" t="s">
        <v>4891</v>
      </c>
      <c r="O2680" t="s">
        <v>32</v>
      </c>
      <c r="P2680" t="s">
        <v>5657</v>
      </c>
      <c r="Q2680">
        <v>100</v>
      </c>
      <c r="R2680">
        <v>100</v>
      </c>
      <c r="S2680" t="s">
        <v>34</v>
      </c>
      <c r="T2680" t="s">
        <v>35</v>
      </c>
      <c r="W2680">
        <v>0</v>
      </c>
      <c r="X2680">
        <v>0</v>
      </c>
      <c r="Y2680">
        <v>0</v>
      </c>
      <c r="Z2680">
        <v>0</v>
      </c>
    </row>
    <row r="2681" spans="1:26" hidden="1" x14ac:dyDescent="0.25">
      <c r="A2681" t="s">
        <v>5658</v>
      </c>
      <c r="B2681" t="s">
        <v>38</v>
      </c>
      <c r="C2681" s="4">
        <v>45400</v>
      </c>
      <c r="D2681" s="4">
        <v>46014</v>
      </c>
      <c r="F2681" s="4">
        <v>46736</v>
      </c>
      <c r="G2681" t="s">
        <v>2735</v>
      </c>
      <c r="H2681" t="s">
        <v>1574</v>
      </c>
      <c r="K2681" t="s">
        <v>53</v>
      </c>
      <c r="L2681" t="s">
        <v>4890</v>
      </c>
      <c r="M2681" t="s">
        <v>54</v>
      </c>
      <c r="N2681" t="s">
        <v>4891</v>
      </c>
      <c r="O2681" t="s">
        <v>32</v>
      </c>
      <c r="P2681" t="s">
        <v>5659</v>
      </c>
      <c r="Q2681">
        <v>93</v>
      </c>
      <c r="R2681">
        <v>93</v>
      </c>
      <c r="S2681" t="s">
        <v>597</v>
      </c>
      <c r="T2681" t="s">
        <v>598</v>
      </c>
      <c r="W2681">
        <v>0</v>
      </c>
      <c r="X2681">
        <v>0</v>
      </c>
      <c r="Y2681">
        <v>0</v>
      </c>
      <c r="Z2681">
        <v>0</v>
      </c>
    </row>
    <row r="2682" spans="1:26" hidden="1" x14ac:dyDescent="0.25">
      <c r="A2682" t="s">
        <v>5660</v>
      </c>
      <c r="B2682" t="s">
        <v>38</v>
      </c>
      <c r="C2682" s="4">
        <v>45399</v>
      </c>
      <c r="D2682" s="4">
        <v>45916</v>
      </c>
      <c r="F2682" s="4">
        <v>46418</v>
      </c>
      <c r="G2682" t="s">
        <v>101</v>
      </c>
      <c r="H2682" t="s">
        <v>2499</v>
      </c>
      <c r="K2682" t="s">
        <v>98</v>
      </c>
      <c r="L2682" t="s">
        <v>4890</v>
      </c>
      <c r="M2682" t="s">
        <v>84</v>
      </c>
      <c r="N2682" t="s">
        <v>4891</v>
      </c>
      <c r="O2682" t="s">
        <v>32</v>
      </c>
      <c r="P2682" t="s">
        <v>1345</v>
      </c>
      <c r="Q2682">
        <v>148</v>
      </c>
      <c r="R2682">
        <v>148</v>
      </c>
      <c r="S2682" t="s">
        <v>34</v>
      </c>
      <c r="T2682" t="s">
        <v>35</v>
      </c>
      <c r="W2682">
        <v>0</v>
      </c>
      <c r="X2682">
        <v>0</v>
      </c>
      <c r="Y2682">
        <v>0</v>
      </c>
      <c r="Z2682">
        <v>0</v>
      </c>
    </row>
    <row r="2683" spans="1:26" hidden="1" x14ac:dyDescent="0.25">
      <c r="A2683" t="s">
        <v>5661</v>
      </c>
      <c r="B2683" t="s">
        <v>38</v>
      </c>
      <c r="C2683" s="4">
        <v>45400</v>
      </c>
      <c r="D2683" s="4">
        <v>46014</v>
      </c>
      <c r="F2683" s="4">
        <v>46640</v>
      </c>
      <c r="G2683" t="s">
        <v>101</v>
      </c>
      <c r="H2683" t="s">
        <v>1336</v>
      </c>
      <c r="K2683" t="s">
        <v>98</v>
      </c>
      <c r="L2683" t="s">
        <v>4890</v>
      </c>
      <c r="M2683" t="s">
        <v>84</v>
      </c>
      <c r="N2683" t="s">
        <v>4891</v>
      </c>
      <c r="O2683" t="s">
        <v>32</v>
      </c>
      <c r="P2683" t="s">
        <v>5348</v>
      </c>
      <c r="Q2683">
        <v>300</v>
      </c>
      <c r="R2683">
        <v>300</v>
      </c>
      <c r="S2683" t="s">
        <v>159</v>
      </c>
      <c r="T2683" t="s">
        <v>159</v>
      </c>
      <c r="W2683">
        <v>0</v>
      </c>
      <c r="X2683">
        <v>0</v>
      </c>
      <c r="Y2683">
        <v>0</v>
      </c>
      <c r="Z2683">
        <v>0</v>
      </c>
    </row>
    <row r="2684" spans="1:26" hidden="1" x14ac:dyDescent="0.25">
      <c r="A2684" t="s">
        <v>5662</v>
      </c>
      <c r="B2684" t="s">
        <v>2153</v>
      </c>
      <c r="C2684" s="4">
        <v>45400</v>
      </c>
      <c r="F2684" s="4">
        <v>46783</v>
      </c>
      <c r="G2684" t="s">
        <v>1690</v>
      </c>
      <c r="H2684" t="s">
        <v>1882</v>
      </c>
      <c r="K2684" t="s">
        <v>98</v>
      </c>
      <c r="L2684" t="s">
        <v>4890</v>
      </c>
      <c r="M2684" t="s">
        <v>84</v>
      </c>
      <c r="N2684" t="s">
        <v>4891</v>
      </c>
      <c r="O2684" t="s">
        <v>32</v>
      </c>
      <c r="P2684" t="s">
        <v>5663</v>
      </c>
      <c r="Q2684">
        <v>149</v>
      </c>
      <c r="R2684">
        <v>149</v>
      </c>
      <c r="S2684" t="s">
        <v>34</v>
      </c>
      <c r="T2684" t="s">
        <v>35</v>
      </c>
      <c r="W2684">
        <v>149</v>
      </c>
      <c r="X2684">
        <v>115</v>
      </c>
      <c r="Y2684">
        <v>0</v>
      </c>
      <c r="Z2684">
        <v>0</v>
      </c>
    </row>
    <row r="2685" spans="1:26" hidden="1" x14ac:dyDescent="0.25">
      <c r="A2685" t="s">
        <v>5664</v>
      </c>
      <c r="B2685" t="s">
        <v>38</v>
      </c>
      <c r="C2685" s="4">
        <v>45400</v>
      </c>
      <c r="D2685" s="4">
        <v>46014</v>
      </c>
      <c r="F2685" s="4">
        <v>47072</v>
      </c>
      <c r="G2685" t="s">
        <v>1311</v>
      </c>
      <c r="H2685" t="s">
        <v>2878</v>
      </c>
      <c r="K2685" t="s">
        <v>114</v>
      </c>
      <c r="L2685" t="s">
        <v>4890</v>
      </c>
      <c r="M2685" t="s">
        <v>68</v>
      </c>
      <c r="N2685" t="s">
        <v>4891</v>
      </c>
      <c r="O2685" t="s">
        <v>32</v>
      </c>
      <c r="P2685" t="s">
        <v>5665</v>
      </c>
      <c r="Q2685">
        <v>189</v>
      </c>
      <c r="R2685">
        <v>189</v>
      </c>
      <c r="S2685" t="s">
        <v>597</v>
      </c>
      <c r="T2685" t="s">
        <v>598</v>
      </c>
      <c r="W2685">
        <v>0</v>
      </c>
      <c r="X2685">
        <v>0</v>
      </c>
      <c r="Y2685">
        <v>0</v>
      </c>
      <c r="Z2685">
        <v>0</v>
      </c>
    </row>
    <row r="2686" spans="1:26" hidden="1" x14ac:dyDescent="0.25">
      <c r="A2686" t="s">
        <v>5666</v>
      </c>
      <c r="B2686" t="s">
        <v>2153</v>
      </c>
      <c r="C2686" s="4">
        <v>45400</v>
      </c>
      <c r="F2686" s="4">
        <v>46844</v>
      </c>
      <c r="G2686" t="s">
        <v>117</v>
      </c>
      <c r="H2686" t="s">
        <v>1765</v>
      </c>
      <c r="K2686" t="s">
        <v>83</v>
      </c>
      <c r="L2686" t="s">
        <v>4890</v>
      </c>
      <c r="M2686" t="s">
        <v>84</v>
      </c>
      <c r="N2686" t="s">
        <v>4891</v>
      </c>
      <c r="O2686" t="s">
        <v>122</v>
      </c>
      <c r="P2686" t="s">
        <v>3230</v>
      </c>
      <c r="Q2686">
        <v>300</v>
      </c>
      <c r="R2686">
        <v>300</v>
      </c>
      <c r="S2686" t="s">
        <v>56</v>
      </c>
      <c r="T2686" t="s">
        <v>57</v>
      </c>
      <c r="W2686">
        <v>300</v>
      </c>
      <c r="X2686">
        <v>0</v>
      </c>
      <c r="Y2686">
        <v>0</v>
      </c>
      <c r="Z2686">
        <v>0</v>
      </c>
    </row>
    <row r="2687" spans="1:26" hidden="1" x14ac:dyDescent="0.25">
      <c r="A2687" t="s">
        <v>5667</v>
      </c>
      <c r="B2687" t="s">
        <v>2153</v>
      </c>
      <c r="C2687" s="4">
        <v>45400</v>
      </c>
      <c r="F2687" s="4">
        <v>46844</v>
      </c>
      <c r="G2687" t="s">
        <v>52</v>
      </c>
      <c r="H2687" t="s">
        <v>1350</v>
      </c>
      <c r="K2687" t="s">
        <v>53</v>
      </c>
      <c r="L2687" t="s">
        <v>4890</v>
      </c>
      <c r="M2687" t="s">
        <v>54</v>
      </c>
      <c r="N2687" t="s">
        <v>4891</v>
      </c>
      <c r="O2687" t="s">
        <v>122</v>
      </c>
      <c r="P2687" t="s">
        <v>5668</v>
      </c>
      <c r="Q2687">
        <v>150</v>
      </c>
      <c r="R2687">
        <v>150</v>
      </c>
      <c r="S2687" t="s">
        <v>34</v>
      </c>
      <c r="T2687" t="s">
        <v>35</v>
      </c>
      <c r="W2687">
        <v>150</v>
      </c>
      <c r="X2687">
        <v>0</v>
      </c>
      <c r="Y2687">
        <v>0</v>
      </c>
      <c r="Z2687">
        <v>0</v>
      </c>
    </row>
    <row r="2688" spans="1:26" hidden="1" x14ac:dyDescent="0.25">
      <c r="A2688" t="s">
        <v>5669</v>
      </c>
      <c r="B2688" t="s">
        <v>38</v>
      </c>
      <c r="C2688" s="4">
        <v>45399</v>
      </c>
      <c r="D2688" s="4">
        <v>46014</v>
      </c>
      <c r="F2688" s="4">
        <v>46997</v>
      </c>
      <c r="G2688" t="s">
        <v>117</v>
      </c>
      <c r="H2688" t="s">
        <v>2878</v>
      </c>
      <c r="K2688" t="s">
        <v>83</v>
      </c>
      <c r="L2688" t="s">
        <v>4890</v>
      </c>
      <c r="M2688" t="s">
        <v>84</v>
      </c>
      <c r="N2688" t="s">
        <v>4891</v>
      </c>
      <c r="O2688" t="s">
        <v>32</v>
      </c>
      <c r="P2688" t="s">
        <v>5670</v>
      </c>
      <c r="Q2688">
        <v>100</v>
      </c>
      <c r="R2688">
        <v>100</v>
      </c>
      <c r="S2688" t="s">
        <v>34</v>
      </c>
      <c r="T2688" t="s">
        <v>35</v>
      </c>
      <c r="W2688">
        <v>0</v>
      </c>
      <c r="X2688">
        <v>0</v>
      </c>
      <c r="Y2688">
        <v>0</v>
      </c>
      <c r="Z2688">
        <v>0</v>
      </c>
    </row>
    <row r="2689" spans="1:26" hidden="1" x14ac:dyDescent="0.25">
      <c r="A2689" t="s">
        <v>5671</v>
      </c>
      <c r="B2689" t="s">
        <v>38</v>
      </c>
      <c r="C2689" s="4">
        <v>45399</v>
      </c>
      <c r="D2689" s="4">
        <v>45769</v>
      </c>
      <c r="F2689" s="4">
        <v>46997</v>
      </c>
      <c r="G2689" t="s">
        <v>117</v>
      </c>
      <c r="H2689" t="s">
        <v>1607</v>
      </c>
      <c r="K2689" t="s">
        <v>83</v>
      </c>
      <c r="L2689" t="s">
        <v>4890</v>
      </c>
      <c r="M2689" t="s">
        <v>84</v>
      </c>
      <c r="N2689" t="s">
        <v>4891</v>
      </c>
      <c r="O2689" t="s">
        <v>32</v>
      </c>
      <c r="P2689" t="s">
        <v>5672</v>
      </c>
      <c r="Q2689">
        <v>100</v>
      </c>
      <c r="R2689">
        <v>100</v>
      </c>
      <c r="S2689" t="s">
        <v>34</v>
      </c>
      <c r="T2689" t="s">
        <v>35</v>
      </c>
      <c r="W2689">
        <v>0</v>
      </c>
      <c r="X2689">
        <v>0</v>
      </c>
      <c r="Y2689">
        <v>0</v>
      </c>
      <c r="Z2689">
        <v>0</v>
      </c>
    </row>
    <row r="2690" spans="1:26" hidden="1" x14ac:dyDescent="0.25">
      <c r="A2690" t="s">
        <v>5673</v>
      </c>
      <c r="B2690" t="s">
        <v>2153</v>
      </c>
      <c r="C2690" s="4">
        <v>45399</v>
      </c>
      <c r="F2690" s="4">
        <v>46997</v>
      </c>
      <c r="G2690" t="s">
        <v>117</v>
      </c>
      <c r="H2690" t="s">
        <v>1663</v>
      </c>
      <c r="K2690" t="s">
        <v>83</v>
      </c>
      <c r="L2690" t="s">
        <v>4890</v>
      </c>
      <c r="M2690" t="s">
        <v>84</v>
      </c>
      <c r="N2690" t="s">
        <v>4891</v>
      </c>
      <c r="O2690" t="s">
        <v>32</v>
      </c>
      <c r="P2690" t="s">
        <v>5674</v>
      </c>
      <c r="Q2690">
        <v>100</v>
      </c>
      <c r="R2690">
        <v>100</v>
      </c>
      <c r="S2690" t="s">
        <v>34</v>
      </c>
      <c r="T2690" t="s">
        <v>35</v>
      </c>
      <c r="W2690">
        <v>100</v>
      </c>
      <c r="X2690">
        <v>100</v>
      </c>
      <c r="Y2690">
        <v>0</v>
      </c>
      <c r="Z2690">
        <v>0</v>
      </c>
    </row>
    <row r="2691" spans="1:26" hidden="1" x14ac:dyDescent="0.25">
      <c r="A2691" t="s">
        <v>5675</v>
      </c>
      <c r="B2691" t="s">
        <v>2153</v>
      </c>
      <c r="C2691" s="4">
        <v>45399</v>
      </c>
      <c r="F2691" s="4">
        <v>46997</v>
      </c>
      <c r="G2691" t="s">
        <v>117</v>
      </c>
      <c r="H2691" t="s">
        <v>3392</v>
      </c>
      <c r="K2691" t="s">
        <v>83</v>
      </c>
      <c r="L2691" t="s">
        <v>4890</v>
      </c>
      <c r="M2691" t="s">
        <v>84</v>
      </c>
      <c r="N2691" t="s">
        <v>4891</v>
      </c>
      <c r="O2691" t="s">
        <v>32</v>
      </c>
      <c r="P2691" t="s">
        <v>5676</v>
      </c>
      <c r="Q2691">
        <v>190</v>
      </c>
      <c r="R2691">
        <v>190</v>
      </c>
      <c r="S2691" t="s">
        <v>34</v>
      </c>
      <c r="T2691" t="s">
        <v>35</v>
      </c>
      <c r="W2691">
        <v>190</v>
      </c>
      <c r="X2691">
        <v>0</v>
      </c>
      <c r="Y2691">
        <v>0</v>
      </c>
      <c r="Z2691">
        <v>0</v>
      </c>
    </row>
    <row r="2692" spans="1:26" hidden="1" x14ac:dyDescent="0.25">
      <c r="A2692" t="s">
        <v>5677</v>
      </c>
      <c r="B2692" t="s">
        <v>2153</v>
      </c>
      <c r="C2692" s="4">
        <v>45398</v>
      </c>
      <c r="F2692" s="4">
        <v>46591</v>
      </c>
      <c r="G2692" t="s">
        <v>117</v>
      </c>
      <c r="H2692" t="s">
        <v>1637</v>
      </c>
      <c r="K2692" t="s">
        <v>83</v>
      </c>
      <c r="L2692" t="s">
        <v>4890</v>
      </c>
      <c r="M2692" t="s">
        <v>84</v>
      </c>
      <c r="N2692" t="s">
        <v>4891</v>
      </c>
      <c r="O2692" t="s">
        <v>32</v>
      </c>
      <c r="P2692" t="s">
        <v>5678</v>
      </c>
      <c r="Q2692">
        <v>113</v>
      </c>
      <c r="R2692">
        <v>113</v>
      </c>
      <c r="S2692" t="s">
        <v>34</v>
      </c>
      <c r="T2692" t="s">
        <v>35</v>
      </c>
      <c r="W2692">
        <v>113</v>
      </c>
      <c r="X2692">
        <v>0</v>
      </c>
      <c r="Y2692">
        <v>0</v>
      </c>
      <c r="Z2692">
        <v>0</v>
      </c>
    </row>
    <row r="2693" spans="1:26" hidden="1" x14ac:dyDescent="0.25">
      <c r="A2693" t="s">
        <v>5679</v>
      </c>
      <c r="B2693" t="s">
        <v>2153</v>
      </c>
      <c r="C2693" s="4">
        <v>45399</v>
      </c>
      <c r="F2693" s="4">
        <v>47026</v>
      </c>
      <c r="G2693" t="s">
        <v>1690</v>
      </c>
      <c r="H2693" t="s">
        <v>1640</v>
      </c>
      <c r="K2693" t="s">
        <v>98</v>
      </c>
      <c r="L2693" t="s">
        <v>4890</v>
      </c>
      <c r="M2693" t="s">
        <v>84</v>
      </c>
      <c r="N2693" t="s">
        <v>4891</v>
      </c>
      <c r="O2693" t="s">
        <v>32</v>
      </c>
      <c r="P2693" t="s">
        <v>5680</v>
      </c>
      <c r="Q2693">
        <v>100</v>
      </c>
      <c r="R2693">
        <v>100</v>
      </c>
      <c r="S2693" t="s">
        <v>159</v>
      </c>
      <c r="T2693" t="s">
        <v>159</v>
      </c>
      <c r="W2693">
        <v>100</v>
      </c>
      <c r="X2693">
        <v>100</v>
      </c>
      <c r="Y2693">
        <v>0</v>
      </c>
      <c r="Z2693">
        <v>0</v>
      </c>
    </row>
    <row r="2694" spans="1:26" hidden="1" x14ac:dyDescent="0.25">
      <c r="A2694" t="s">
        <v>5681</v>
      </c>
      <c r="B2694" t="s">
        <v>38</v>
      </c>
      <c r="C2694" s="4">
        <v>45398</v>
      </c>
      <c r="D2694" s="4">
        <v>46014</v>
      </c>
      <c r="F2694" s="4">
        <v>47026</v>
      </c>
      <c r="G2694" t="s">
        <v>101</v>
      </c>
      <c r="H2694" t="s">
        <v>2013</v>
      </c>
      <c r="K2694" t="s">
        <v>98</v>
      </c>
      <c r="L2694" t="s">
        <v>4890</v>
      </c>
      <c r="M2694" t="s">
        <v>84</v>
      </c>
      <c r="N2694" t="s">
        <v>4891</v>
      </c>
      <c r="O2694" t="s">
        <v>32</v>
      </c>
      <c r="P2694" t="s">
        <v>1345</v>
      </c>
      <c r="Q2694">
        <v>200</v>
      </c>
      <c r="R2694">
        <v>200</v>
      </c>
      <c r="S2694" t="s">
        <v>159</v>
      </c>
      <c r="T2694" t="s">
        <v>159</v>
      </c>
      <c r="W2694">
        <v>0</v>
      </c>
      <c r="X2694">
        <v>0</v>
      </c>
      <c r="Y2694">
        <v>0</v>
      </c>
      <c r="Z2694">
        <v>0</v>
      </c>
    </row>
    <row r="2695" spans="1:26" hidden="1" x14ac:dyDescent="0.25">
      <c r="A2695" t="s">
        <v>5682</v>
      </c>
      <c r="B2695" t="s">
        <v>38</v>
      </c>
      <c r="C2695" s="4">
        <v>45398</v>
      </c>
      <c r="D2695" s="4">
        <v>46014</v>
      </c>
      <c r="F2695" s="4">
        <v>47026</v>
      </c>
      <c r="G2695" t="s">
        <v>1251</v>
      </c>
      <c r="H2695" t="s">
        <v>2878</v>
      </c>
      <c r="K2695" t="s">
        <v>109</v>
      </c>
      <c r="L2695" t="s">
        <v>4890</v>
      </c>
      <c r="M2695" t="s">
        <v>84</v>
      </c>
      <c r="N2695" t="s">
        <v>4891</v>
      </c>
      <c r="O2695" t="s">
        <v>32</v>
      </c>
      <c r="P2695" t="s">
        <v>5274</v>
      </c>
      <c r="Q2695">
        <v>300</v>
      </c>
      <c r="R2695">
        <v>300</v>
      </c>
      <c r="S2695" t="s">
        <v>159</v>
      </c>
      <c r="T2695" t="s">
        <v>159</v>
      </c>
      <c r="W2695">
        <v>0</v>
      </c>
      <c r="X2695">
        <v>0</v>
      </c>
      <c r="Y2695">
        <v>0</v>
      </c>
      <c r="Z2695">
        <v>0</v>
      </c>
    </row>
    <row r="2696" spans="1:26" hidden="1" x14ac:dyDescent="0.25">
      <c r="A2696" t="s">
        <v>5683</v>
      </c>
      <c r="B2696" t="s">
        <v>2153</v>
      </c>
      <c r="C2696" s="4">
        <v>45400</v>
      </c>
      <c r="F2696" s="4">
        <v>46904</v>
      </c>
      <c r="G2696" t="s">
        <v>1690</v>
      </c>
      <c r="H2696" t="s">
        <v>1640</v>
      </c>
      <c r="K2696" t="s">
        <v>98</v>
      </c>
      <c r="L2696" t="s">
        <v>4890</v>
      </c>
      <c r="M2696" t="s">
        <v>84</v>
      </c>
      <c r="N2696" t="s">
        <v>4891</v>
      </c>
      <c r="O2696" t="s">
        <v>32</v>
      </c>
      <c r="P2696" t="s">
        <v>4761</v>
      </c>
      <c r="Q2696">
        <v>200</v>
      </c>
      <c r="R2696">
        <v>200</v>
      </c>
      <c r="S2696" t="s">
        <v>159</v>
      </c>
      <c r="T2696" t="s">
        <v>159</v>
      </c>
      <c r="W2696">
        <v>200</v>
      </c>
      <c r="X2696">
        <v>200</v>
      </c>
      <c r="Y2696">
        <v>0</v>
      </c>
      <c r="Z2696">
        <v>0</v>
      </c>
    </row>
    <row r="2697" spans="1:26" hidden="1" x14ac:dyDescent="0.25">
      <c r="A2697" t="s">
        <v>5684</v>
      </c>
      <c r="B2697" t="s">
        <v>38</v>
      </c>
      <c r="C2697" s="4">
        <v>45400</v>
      </c>
      <c r="D2697" s="4">
        <v>45929</v>
      </c>
      <c r="F2697" s="4">
        <v>46904</v>
      </c>
      <c r="G2697" t="s">
        <v>52</v>
      </c>
      <c r="H2697" t="s">
        <v>2333</v>
      </c>
      <c r="K2697" t="s">
        <v>53</v>
      </c>
      <c r="L2697" t="s">
        <v>4890</v>
      </c>
      <c r="M2697" t="s">
        <v>54</v>
      </c>
      <c r="N2697" t="s">
        <v>4891</v>
      </c>
      <c r="O2697" t="s">
        <v>32</v>
      </c>
      <c r="P2697" t="s">
        <v>2997</v>
      </c>
      <c r="Q2697">
        <v>100</v>
      </c>
      <c r="R2697">
        <v>100</v>
      </c>
      <c r="S2697" t="s">
        <v>159</v>
      </c>
      <c r="T2697" t="s">
        <v>159</v>
      </c>
      <c r="W2697">
        <v>0</v>
      </c>
      <c r="X2697">
        <v>0</v>
      </c>
      <c r="Y2697">
        <v>0</v>
      </c>
      <c r="Z2697">
        <v>0</v>
      </c>
    </row>
    <row r="2698" spans="1:26" hidden="1" x14ac:dyDescent="0.25">
      <c r="A2698" t="s">
        <v>5685</v>
      </c>
      <c r="B2698" t="s">
        <v>38</v>
      </c>
      <c r="C2698" s="4">
        <v>45399</v>
      </c>
      <c r="D2698" s="4">
        <v>45929</v>
      </c>
      <c r="F2698" s="4">
        <v>46296</v>
      </c>
      <c r="G2698" t="s">
        <v>254</v>
      </c>
      <c r="H2698" t="s">
        <v>1500</v>
      </c>
      <c r="K2698" t="s">
        <v>98</v>
      </c>
      <c r="L2698" t="s">
        <v>4890</v>
      </c>
      <c r="M2698" t="s">
        <v>84</v>
      </c>
      <c r="N2698" t="s">
        <v>4891</v>
      </c>
      <c r="O2698" t="s">
        <v>32</v>
      </c>
      <c r="P2698" t="s">
        <v>5686</v>
      </c>
      <c r="Q2698">
        <v>300</v>
      </c>
      <c r="R2698">
        <v>300</v>
      </c>
      <c r="S2698" t="s">
        <v>159</v>
      </c>
      <c r="T2698" t="s">
        <v>159</v>
      </c>
      <c r="W2698">
        <v>0</v>
      </c>
      <c r="X2698">
        <v>0</v>
      </c>
      <c r="Y2698">
        <v>0</v>
      </c>
      <c r="Z2698">
        <v>0</v>
      </c>
    </row>
    <row r="2699" spans="1:26" hidden="1" x14ac:dyDescent="0.25">
      <c r="A2699" t="s">
        <v>5687</v>
      </c>
      <c r="B2699" t="s">
        <v>38</v>
      </c>
      <c r="C2699" s="4">
        <v>45399</v>
      </c>
      <c r="D2699" s="4">
        <v>45929</v>
      </c>
      <c r="F2699" s="4">
        <v>46296</v>
      </c>
      <c r="G2699" t="s">
        <v>101</v>
      </c>
      <c r="H2699" t="s">
        <v>1336</v>
      </c>
      <c r="K2699" t="s">
        <v>98</v>
      </c>
      <c r="L2699" t="s">
        <v>4890</v>
      </c>
      <c r="M2699" t="s">
        <v>84</v>
      </c>
      <c r="N2699" t="s">
        <v>4891</v>
      </c>
      <c r="O2699" t="s">
        <v>32</v>
      </c>
      <c r="P2699" t="s">
        <v>3624</v>
      </c>
      <c r="Q2699">
        <v>300</v>
      </c>
      <c r="R2699">
        <v>300</v>
      </c>
      <c r="S2699" t="s">
        <v>159</v>
      </c>
      <c r="T2699" t="s">
        <v>159</v>
      </c>
      <c r="W2699">
        <v>0</v>
      </c>
      <c r="X2699">
        <v>0</v>
      </c>
      <c r="Y2699">
        <v>0</v>
      </c>
      <c r="Z2699">
        <v>0</v>
      </c>
    </row>
    <row r="2700" spans="1:26" hidden="1" x14ac:dyDescent="0.25">
      <c r="A2700" t="s">
        <v>5688</v>
      </c>
      <c r="B2700" t="s">
        <v>2153</v>
      </c>
      <c r="C2700" s="4">
        <v>45400</v>
      </c>
      <c r="F2700" s="4">
        <v>47026</v>
      </c>
      <c r="G2700" t="s">
        <v>117</v>
      </c>
      <c r="H2700" t="s">
        <v>1550</v>
      </c>
      <c r="K2700" t="s">
        <v>83</v>
      </c>
      <c r="L2700" t="s">
        <v>4890</v>
      </c>
      <c r="M2700" t="s">
        <v>84</v>
      </c>
      <c r="N2700" t="s">
        <v>4891</v>
      </c>
      <c r="O2700" t="s">
        <v>32</v>
      </c>
      <c r="P2700" t="s">
        <v>5689</v>
      </c>
      <c r="Q2700">
        <v>150</v>
      </c>
      <c r="R2700">
        <v>150</v>
      </c>
      <c r="S2700" t="s">
        <v>159</v>
      </c>
      <c r="T2700" t="s">
        <v>159</v>
      </c>
      <c r="W2700">
        <v>150</v>
      </c>
      <c r="X2700">
        <v>150</v>
      </c>
      <c r="Y2700">
        <v>0</v>
      </c>
      <c r="Z2700">
        <v>0</v>
      </c>
    </row>
    <row r="2701" spans="1:26" hidden="1" x14ac:dyDescent="0.25">
      <c r="A2701" t="s">
        <v>5690</v>
      </c>
      <c r="B2701" t="s">
        <v>2153</v>
      </c>
      <c r="C2701" s="4">
        <v>45397</v>
      </c>
      <c r="F2701" s="4">
        <v>46386</v>
      </c>
      <c r="G2701" t="s">
        <v>52</v>
      </c>
      <c r="H2701" t="s">
        <v>2308</v>
      </c>
      <c r="K2701" t="s">
        <v>53</v>
      </c>
      <c r="L2701" t="s">
        <v>4890</v>
      </c>
      <c r="M2701" t="s">
        <v>54</v>
      </c>
      <c r="N2701" t="s">
        <v>4891</v>
      </c>
      <c r="O2701" t="s">
        <v>32</v>
      </c>
      <c r="P2701" t="s">
        <v>5691</v>
      </c>
      <c r="Q2701">
        <v>225</v>
      </c>
      <c r="R2701">
        <v>225</v>
      </c>
      <c r="S2701" t="s">
        <v>159</v>
      </c>
      <c r="T2701" t="s">
        <v>159</v>
      </c>
      <c r="W2701">
        <v>225</v>
      </c>
      <c r="X2701">
        <v>225</v>
      </c>
      <c r="Y2701">
        <v>0</v>
      </c>
      <c r="Z2701">
        <v>0</v>
      </c>
    </row>
    <row r="2702" spans="1:26" hidden="1" x14ac:dyDescent="0.25">
      <c r="A2702" t="s">
        <v>5692</v>
      </c>
      <c r="B2702" t="s">
        <v>38</v>
      </c>
      <c r="C2702" s="4">
        <v>45399</v>
      </c>
      <c r="D2702" s="4">
        <v>46014</v>
      </c>
      <c r="F2702" s="4">
        <v>46874</v>
      </c>
      <c r="G2702" t="s">
        <v>138</v>
      </c>
      <c r="H2702" t="s">
        <v>4109</v>
      </c>
      <c r="K2702" t="s">
        <v>98</v>
      </c>
      <c r="L2702" t="s">
        <v>4890</v>
      </c>
      <c r="M2702" t="s">
        <v>84</v>
      </c>
      <c r="N2702" t="s">
        <v>4891</v>
      </c>
      <c r="O2702" t="s">
        <v>32</v>
      </c>
      <c r="P2702" t="s">
        <v>1345</v>
      </c>
      <c r="Q2702">
        <v>44</v>
      </c>
      <c r="R2702">
        <v>44</v>
      </c>
      <c r="S2702" t="s">
        <v>159</v>
      </c>
      <c r="T2702" t="s">
        <v>159</v>
      </c>
      <c r="W2702">
        <v>0</v>
      </c>
      <c r="X2702">
        <v>0</v>
      </c>
      <c r="Y2702">
        <v>0</v>
      </c>
      <c r="Z2702">
        <v>0</v>
      </c>
    </row>
    <row r="2703" spans="1:26" hidden="1" x14ac:dyDescent="0.25">
      <c r="A2703" t="s">
        <v>5693</v>
      </c>
      <c r="B2703" t="s">
        <v>38</v>
      </c>
      <c r="C2703" s="4">
        <v>45400</v>
      </c>
      <c r="D2703" s="4">
        <v>45930</v>
      </c>
      <c r="F2703" s="4">
        <v>47042</v>
      </c>
      <c r="G2703" t="s">
        <v>52</v>
      </c>
      <c r="H2703" t="s">
        <v>3175</v>
      </c>
      <c r="K2703" t="s">
        <v>53</v>
      </c>
      <c r="L2703" t="s">
        <v>4890</v>
      </c>
      <c r="M2703" t="s">
        <v>54</v>
      </c>
      <c r="N2703" t="s">
        <v>4891</v>
      </c>
      <c r="O2703" t="s">
        <v>32</v>
      </c>
      <c r="P2703" t="s">
        <v>5694</v>
      </c>
      <c r="Q2703">
        <v>100</v>
      </c>
      <c r="R2703">
        <v>100</v>
      </c>
      <c r="S2703" t="s">
        <v>159</v>
      </c>
      <c r="T2703" t="s">
        <v>159</v>
      </c>
      <c r="W2703">
        <v>0</v>
      </c>
      <c r="X2703">
        <v>0</v>
      </c>
      <c r="Y2703">
        <v>0</v>
      </c>
      <c r="Z2703">
        <v>0</v>
      </c>
    </row>
    <row r="2704" spans="1:26" hidden="1" x14ac:dyDescent="0.25">
      <c r="A2704" t="s">
        <v>5695</v>
      </c>
      <c r="B2704" t="s">
        <v>2153</v>
      </c>
      <c r="C2704" s="4">
        <v>45400</v>
      </c>
      <c r="F2704" s="4">
        <v>46844</v>
      </c>
      <c r="G2704" t="s">
        <v>1368</v>
      </c>
      <c r="H2704" t="s">
        <v>1800</v>
      </c>
      <c r="K2704" t="s">
        <v>83</v>
      </c>
      <c r="L2704" t="s">
        <v>4890</v>
      </c>
      <c r="M2704" t="s">
        <v>42</v>
      </c>
      <c r="N2704" t="s">
        <v>4891</v>
      </c>
      <c r="O2704" t="s">
        <v>32</v>
      </c>
      <c r="P2704" t="s">
        <v>5696</v>
      </c>
      <c r="Q2704">
        <v>300</v>
      </c>
      <c r="R2704">
        <v>300</v>
      </c>
      <c r="S2704" t="s">
        <v>56</v>
      </c>
      <c r="T2704" t="s">
        <v>57</v>
      </c>
      <c r="W2704">
        <v>300</v>
      </c>
      <c r="X2704">
        <v>300</v>
      </c>
      <c r="Y2704">
        <v>0</v>
      </c>
      <c r="Z2704">
        <v>0</v>
      </c>
    </row>
    <row r="2705" spans="1:26" hidden="1" x14ac:dyDescent="0.25">
      <c r="A2705" t="s">
        <v>5697</v>
      </c>
      <c r="B2705" t="s">
        <v>38</v>
      </c>
      <c r="C2705" s="4">
        <v>45400</v>
      </c>
      <c r="D2705" s="4">
        <v>46014</v>
      </c>
      <c r="F2705" s="4">
        <v>46844</v>
      </c>
      <c r="G2705" t="s">
        <v>117</v>
      </c>
      <c r="H2705" t="s">
        <v>1708</v>
      </c>
      <c r="K2705" t="s">
        <v>83</v>
      </c>
      <c r="L2705" t="s">
        <v>4890</v>
      </c>
      <c r="M2705" t="s">
        <v>84</v>
      </c>
      <c r="N2705" t="s">
        <v>4891</v>
      </c>
      <c r="O2705" t="s">
        <v>32</v>
      </c>
      <c r="P2705" t="s">
        <v>2861</v>
      </c>
      <c r="Q2705">
        <v>300</v>
      </c>
      <c r="R2705">
        <v>300</v>
      </c>
      <c r="S2705" t="s">
        <v>56</v>
      </c>
      <c r="T2705" t="s">
        <v>57</v>
      </c>
      <c r="W2705">
        <v>0</v>
      </c>
      <c r="X2705">
        <v>0</v>
      </c>
      <c r="Y2705">
        <v>0</v>
      </c>
      <c r="Z2705">
        <v>0</v>
      </c>
    </row>
    <row r="2706" spans="1:26" hidden="1" x14ac:dyDescent="0.25">
      <c r="A2706" t="s">
        <v>5698</v>
      </c>
      <c r="B2706" t="s">
        <v>2153</v>
      </c>
      <c r="C2706" s="4">
        <v>45400</v>
      </c>
      <c r="F2706" s="4">
        <v>46844</v>
      </c>
      <c r="G2706" t="s">
        <v>1368</v>
      </c>
      <c r="H2706" t="s">
        <v>2811</v>
      </c>
      <c r="K2706" t="s">
        <v>209</v>
      </c>
      <c r="L2706" t="s">
        <v>4890</v>
      </c>
      <c r="M2706" t="s">
        <v>42</v>
      </c>
      <c r="N2706" t="s">
        <v>4891</v>
      </c>
      <c r="O2706" t="s">
        <v>122</v>
      </c>
      <c r="P2706" t="s">
        <v>4530</v>
      </c>
      <c r="Q2706">
        <v>400</v>
      </c>
      <c r="R2706">
        <v>400</v>
      </c>
      <c r="S2706" t="s">
        <v>56</v>
      </c>
      <c r="T2706" t="s">
        <v>57</v>
      </c>
      <c r="W2706">
        <v>400</v>
      </c>
      <c r="X2706">
        <v>0</v>
      </c>
      <c r="Y2706">
        <v>0</v>
      </c>
      <c r="Z2706">
        <v>0</v>
      </c>
    </row>
    <row r="2707" spans="1:26" hidden="1" x14ac:dyDescent="0.25">
      <c r="A2707" t="s">
        <v>5699</v>
      </c>
      <c r="B2707" t="s">
        <v>2153</v>
      </c>
      <c r="C2707" s="4">
        <v>45378</v>
      </c>
      <c r="F2707" s="4">
        <v>46934</v>
      </c>
      <c r="G2707" t="s">
        <v>39</v>
      </c>
      <c r="H2707" t="s">
        <v>5700</v>
      </c>
      <c r="K2707" t="s">
        <v>209</v>
      </c>
      <c r="L2707" t="s">
        <v>4890</v>
      </c>
      <c r="M2707" t="s">
        <v>42</v>
      </c>
      <c r="N2707" t="s">
        <v>4891</v>
      </c>
      <c r="O2707" t="s">
        <v>32</v>
      </c>
      <c r="P2707" t="s">
        <v>5701</v>
      </c>
      <c r="Q2707">
        <v>180</v>
      </c>
      <c r="R2707">
        <v>180</v>
      </c>
      <c r="S2707" t="s">
        <v>56</v>
      </c>
      <c r="T2707" t="s">
        <v>57</v>
      </c>
      <c r="W2707">
        <v>180</v>
      </c>
      <c r="X2707">
        <v>180</v>
      </c>
      <c r="Y2707">
        <v>0</v>
      </c>
      <c r="Z2707">
        <v>0</v>
      </c>
    </row>
    <row r="2708" spans="1:26" hidden="1" x14ac:dyDescent="0.25">
      <c r="A2708" t="s">
        <v>5702</v>
      </c>
      <c r="B2708" t="s">
        <v>2153</v>
      </c>
      <c r="C2708" s="4">
        <v>45376</v>
      </c>
      <c r="F2708" s="4">
        <v>46919</v>
      </c>
      <c r="G2708" t="s">
        <v>1597</v>
      </c>
      <c r="H2708" t="s">
        <v>4903</v>
      </c>
      <c r="K2708" t="s">
        <v>41</v>
      </c>
      <c r="L2708" t="s">
        <v>4890</v>
      </c>
      <c r="M2708" t="s">
        <v>42</v>
      </c>
      <c r="N2708" t="s">
        <v>4891</v>
      </c>
      <c r="O2708" t="s">
        <v>32</v>
      </c>
      <c r="P2708" t="s">
        <v>5703</v>
      </c>
      <c r="Q2708">
        <v>200</v>
      </c>
      <c r="R2708">
        <v>200</v>
      </c>
      <c r="S2708" t="s">
        <v>159</v>
      </c>
      <c r="T2708" t="s">
        <v>159</v>
      </c>
      <c r="W2708">
        <v>200</v>
      </c>
      <c r="X2708">
        <v>200</v>
      </c>
      <c r="Y2708">
        <v>0</v>
      </c>
      <c r="Z2708">
        <v>0</v>
      </c>
    </row>
    <row r="2709" spans="1:26" hidden="1" x14ac:dyDescent="0.25">
      <c r="A2709" t="s">
        <v>5704</v>
      </c>
      <c r="B2709" t="s">
        <v>2153</v>
      </c>
      <c r="C2709" s="4">
        <v>45398</v>
      </c>
      <c r="F2709" s="4">
        <v>47026</v>
      </c>
      <c r="G2709" t="s">
        <v>173</v>
      </c>
      <c r="H2709" t="s">
        <v>2578</v>
      </c>
      <c r="K2709" t="s">
        <v>41</v>
      </c>
      <c r="L2709" t="s">
        <v>4890</v>
      </c>
      <c r="M2709" t="s">
        <v>42</v>
      </c>
      <c r="N2709" t="s">
        <v>4891</v>
      </c>
      <c r="O2709" t="s">
        <v>32</v>
      </c>
      <c r="P2709" t="s">
        <v>2579</v>
      </c>
      <c r="Q2709">
        <v>200</v>
      </c>
      <c r="R2709">
        <v>200</v>
      </c>
      <c r="S2709" t="s">
        <v>159</v>
      </c>
      <c r="T2709" t="s">
        <v>159</v>
      </c>
      <c r="W2709">
        <v>200</v>
      </c>
      <c r="X2709">
        <v>200</v>
      </c>
      <c r="Y2709">
        <v>0</v>
      </c>
      <c r="Z2709">
        <v>0</v>
      </c>
    </row>
    <row r="2710" spans="1:26" hidden="1" x14ac:dyDescent="0.25">
      <c r="A2710" t="s">
        <v>5705</v>
      </c>
      <c r="B2710" t="s">
        <v>38</v>
      </c>
      <c r="C2710" s="4">
        <v>45398</v>
      </c>
      <c r="D2710" s="4">
        <v>45924</v>
      </c>
      <c r="F2710" s="4">
        <v>47026</v>
      </c>
      <c r="G2710" t="s">
        <v>173</v>
      </c>
      <c r="H2710" t="s">
        <v>2578</v>
      </c>
      <c r="K2710" t="s">
        <v>41</v>
      </c>
      <c r="L2710" t="s">
        <v>4890</v>
      </c>
      <c r="M2710" t="s">
        <v>42</v>
      </c>
      <c r="N2710" t="s">
        <v>4891</v>
      </c>
      <c r="O2710" t="s">
        <v>32</v>
      </c>
      <c r="P2710" t="s">
        <v>2579</v>
      </c>
      <c r="Q2710">
        <v>200</v>
      </c>
      <c r="R2710">
        <v>200</v>
      </c>
      <c r="S2710" t="s">
        <v>56</v>
      </c>
      <c r="T2710" t="s">
        <v>57</v>
      </c>
      <c r="W2710">
        <v>0</v>
      </c>
      <c r="X2710">
        <v>0</v>
      </c>
      <c r="Y2710">
        <v>0</v>
      </c>
      <c r="Z2710">
        <v>0</v>
      </c>
    </row>
    <row r="2711" spans="1:26" hidden="1" x14ac:dyDescent="0.25">
      <c r="A2711" t="s">
        <v>5706</v>
      </c>
      <c r="B2711" t="s">
        <v>38</v>
      </c>
      <c r="C2711" s="4">
        <v>45400</v>
      </c>
      <c r="D2711" s="4">
        <v>46014</v>
      </c>
      <c r="F2711" s="4">
        <v>47634</v>
      </c>
      <c r="G2711" t="s">
        <v>65</v>
      </c>
      <c r="H2711" t="s">
        <v>1327</v>
      </c>
      <c r="K2711" t="s">
        <v>67</v>
      </c>
      <c r="L2711" t="s">
        <v>4890</v>
      </c>
      <c r="M2711" t="s">
        <v>68</v>
      </c>
      <c r="N2711" t="s">
        <v>4891</v>
      </c>
      <c r="O2711" t="s">
        <v>32</v>
      </c>
      <c r="P2711" t="s">
        <v>3925</v>
      </c>
      <c r="Q2711">
        <v>150</v>
      </c>
      <c r="R2711">
        <v>150</v>
      </c>
      <c r="S2711" t="s">
        <v>56</v>
      </c>
      <c r="T2711" t="s">
        <v>57</v>
      </c>
      <c r="W2711">
        <v>0</v>
      </c>
      <c r="X2711">
        <v>0</v>
      </c>
      <c r="Y2711">
        <v>0</v>
      </c>
      <c r="Z2711">
        <v>0</v>
      </c>
    </row>
    <row r="2712" spans="1:26" hidden="1" x14ac:dyDescent="0.25">
      <c r="A2712" t="s">
        <v>5707</v>
      </c>
      <c r="B2712" t="s">
        <v>38</v>
      </c>
      <c r="C2712" s="4">
        <v>45398</v>
      </c>
      <c r="D2712" s="4">
        <v>45839</v>
      </c>
      <c r="F2712" s="4">
        <v>46645</v>
      </c>
      <c r="G2712" t="s">
        <v>101</v>
      </c>
      <c r="H2712" t="s">
        <v>1427</v>
      </c>
      <c r="K2712" t="s">
        <v>98</v>
      </c>
      <c r="L2712" t="s">
        <v>4890</v>
      </c>
      <c r="M2712" t="s">
        <v>84</v>
      </c>
      <c r="N2712" t="s">
        <v>4891</v>
      </c>
      <c r="O2712" t="s">
        <v>32</v>
      </c>
      <c r="P2712" t="s">
        <v>1345</v>
      </c>
      <c r="Q2712">
        <v>40</v>
      </c>
      <c r="R2712">
        <v>40</v>
      </c>
      <c r="S2712" t="s">
        <v>34</v>
      </c>
      <c r="T2712" t="s">
        <v>35</v>
      </c>
      <c r="W2712">
        <v>0</v>
      </c>
      <c r="X2712">
        <v>0</v>
      </c>
      <c r="Y2712">
        <v>0</v>
      </c>
      <c r="Z2712">
        <v>0</v>
      </c>
    </row>
    <row r="2713" spans="1:26" hidden="1" x14ac:dyDescent="0.25">
      <c r="A2713" t="s">
        <v>5708</v>
      </c>
      <c r="B2713" t="s">
        <v>38</v>
      </c>
      <c r="C2713" s="4">
        <v>45399</v>
      </c>
      <c r="D2713" s="4">
        <v>45924</v>
      </c>
      <c r="F2713" s="4">
        <v>46507</v>
      </c>
      <c r="G2713" t="s">
        <v>149</v>
      </c>
      <c r="H2713" t="s">
        <v>1279</v>
      </c>
      <c r="K2713" t="s">
        <v>151</v>
      </c>
      <c r="L2713" t="s">
        <v>4890</v>
      </c>
      <c r="M2713" t="s">
        <v>68</v>
      </c>
      <c r="N2713" t="s">
        <v>4891</v>
      </c>
      <c r="O2713" t="s">
        <v>32</v>
      </c>
      <c r="P2713" t="s">
        <v>5709</v>
      </c>
      <c r="Q2713">
        <v>735</v>
      </c>
      <c r="R2713">
        <v>770</v>
      </c>
      <c r="S2713" t="s">
        <v>389</v>
      </c>
      <c r="T2713" t="s">
        <v>2141</v>
      </c>
      <c r="W2713">
        <v>0</v>
      </c>
      <c r="X2713">
        <v>0</v>
      </c>
      <c r="Y2713">
        <v>0</v>
      </c>
      <c r="Z2713">
        <v>0</v>
      </c>
    </row>
    <row r="2714" spans="1:26" hidden="1" x14ac:dyDescent="0.25">
      <c r="A2714" t="s">
        <v>5710</v>
      </c>
      <c r="B2714" t="s">
        <v>38</v>
      </c>
      <c r="C2714" s="4">
        <v>45399</v>
      </c>
      <c r="D2714" s="4">
        <v>46014</v>
      </c>
      <c r="F2714" s="4">
        <v>46965</v>
      </c>
      <c r="G2714" t="s">
        <v>1257</v>
      </c>
      <c r="H2714" t="s">
        <v>1258</v>
      </c>
      <c r="K2714" t="s">
        <v>98</v>
      </c>
      <c r="L2714" t="s">
        <v>4890</v>
      </c>
      <c r="M2714" t="s">
        <v>84</v>
      </c>
      <c r="N2714" t="s">
        <v>4891</v>
      </c>
      <c r="O2714" t="s">
        <v>32</v>
      </c>
      <c r="P2714" t="s">
        <v>5711</v>
      </c>
      <c r="Q2714">
        <v>47</v>
      </c>
      <c r="R2714">
        <v>47</v>
      </c>
      <c r="S2714" t="s">
        <v>159</v>
      </c>
      <c r="T2714" t="s">
        <v>159</v>
      </c>
      <c r="W2714">
        <v>0</v>
      </c>
      <c r="X2714">
        <v>0</v>
      </c>
      <c r="Y2714">
        <v>0</v>
      </c>
      <c r="Z2714">
        <v>0</v>
      </c>
    </row>
    <row r="2715" spans="1:26" hidden="1" x14ac:dyDescent="0.25">
      <c r="A2715" t="s">
        <v>5712</v>
      </c>
      <c r="B2715" t="s">
        <v>38</v>
      </c>
      <c r="C2715" s="4">
        <v>45400</v>
      </c>
      <c r="D2715" s="4">
        <v>46014</v>
      </c>
      <c r="F2715" s="4">
        <v>46965</v>
      </c>
      <c r="G2715" t="s">
        <v>117</v>
      </c>
      <c r="H2715" t="s">
        <v>5713</v>
      </c>
      <c r="K2715" t="s">
        <v>83</v>
      </c>
      <c r="L2715" t="s">
        <v>4890</v>
      </c>
      <c r="M2715" t="s">
        <v>84</v>
      </c>
      <c r="N2715" t="s">
        <v>4891</v>
      </c>
      <c r="O2715" t="s">
        <v>32</v>
      </c>
      <c r="P2715" t="s">
        <v>5714</v>
      </c>
      <c r="Q2715">
        <v>50</v>
      </c>
      <c r="R2715">
        <v>50</v>
      </c>
      <c r="S2715" t="s">
        <v>159</v>
      </c>
      <c r="T2715" t="s">
        <v>159</v>
      </c>
      <c r="W2715">
        <v>0</v>
      </c>
      <c r="X2715">
        <v>0</v>
      </c>
      <c r="Y2715">
        <v>0</v>
      </c>
      <c r="Z2715">
        <v>0</v>
      </c>
    </row>
    <row r="2716" spans="1:26" hidden="1" x14ac:dyDescent="0.25">
      <c r="A2716" t="s">
        <v>5715</v>
      </c>
      <c r="B2716" t="s">
        <v>38</v>
      </c>
      <c r="C2716" s="4">
        <v>45398</v>
      </c>
      <c r="D2716" s="4">
        <v>46014</v>
      </c>
      <c r="F2716" s="4">
        <v>47452</v>
      </c>
      <c r="G2716" t="s">
        <v>65</v>
      </c>
      <c r="H2716" t="s">
        <v>1530</v>
      </c>
      <c r="K2716" t="s">
        <v>67</v>
      </c>
      <c r="L2716" t="s">
        <v>4890</v>
      </c>
      <c r="M2716" t="s">
        <v>68</v>
      </c>
      <c r="N2716" t="s">
        <v>4891</v>
      </c>
      <c r="O2716" t="s">
        <v>32</v>
      </c>
      <c r="P2716" t="s">
        <v>3267</v>
      </c>
      <c r="Q2716">
        <v>400</v>
      </c>
      <c r="R2716">
        <v>400</v>
      </c>
      <c r="S2716" t="s">
        <v>34</v>
      </c>
      <c r="T2716" t="s">
        <v>35</v>
      </c>
      <c r="W2716">
        <v>0</v>
      </c>
      <c r="X2716">
        <v>0</v>
      </c>
      <c r="Y2716">
        <v>0</v>
      </c>
      <c r="Z2716">
        <v>0</v>
      </c>
    </row>
    <row r="2717" spans="1:26" hidden="1" x14ac:dyDescent="0.25">
      <c r="A2717" t="s">
        <v>5716</v>
      </c>
      <c r="B2717" t="s">
        <v>2153</v>
      </c>
      <c r="C2717" s="4">
        <v>45400</v>
      </c>
      <c r="F2717" s="4">
        <v>46844</v>
      </c>
      <c r="G2717" t="s">
        <v>132</v>
      </c>
      <c r="H2717" t="s">
        <v>3028</v>
      </c>
      <c r="K2717" t="s">
        <v>83</v>
      </c>
      <c r="L2717" t="s">
        <v>4890</v>
      </c>
      <c r="M2717" t="s">
        <v>84</v>
      </c>
      <c r="N2717" t="s">
        <v>4891</v>
      </c>
      <c r="O2717" t="s">
        <v>32</v>
      </c>
      <c r="P2717" t="s">
        <v>4495</v>
      </c>
      <c r="Q2717">
        <v>350</v>
      </c>
      <c r="R2717">
        <v>350</v>
      </c>
      <c r="S2717" t="s">
        <v>56</v>
      </c>
      <c r="T2717" t="s">
        <v>57</v>
      </c>
      <c r="W2717">
        <v>350</v>
      </c>
      <c r="X2717">
        <v>350</v>
      </c>
      <c r="Y2717">
        <v>0</v>
      </c>
      <c r="Z2717">
        <v>0</v>
      </c>
    </row>
    <row r="2718" spans="1:26" hidden="1" x14ac:dyDescent="0.25">
      <c r="A2718" t="s">
        <v>5717</v>
      </c>
      <c r="B2718" t="s">
        <v>2153</v>
      </c>
      <c r="C2718" s="4">
        <v>45400</v>
      </c>
      <c r="F2718" s="4">
        <v>46844</v>
      </c>
      <c r="G2718" t="s">
        <v>72</v>
      </c>
      <c r="H2718" t="s">
        <v>5718</v>
      </c>
      <c r="K2718" t="s">
        <v>209</v>
      </c>
      <c r="L2718" t="s">
        <v>4890</v>
      </c>
      <c r="M2718" t="s">
        <v>42</v>
      </c>
      <c r="N2718" t="s">
        <v>4891</v>
      </c>
      <c r="O2718" t="s">
        <v>122</v>
      </c>
      <c r="P2718" t="s">
        <v>5719</v>
      </c>
      <c r="Q2718">
        <v>200</v>
      </c>
      <c r="R2718">
        <v>200</v>
      </c>
      <c r="S2718" t="s">
        <v>56</v>
      </c>
      <c r="T2718" t="s">
        <v>57</v>
      </c>
      <c r="W2718">
        <v>200</v>
      </c>
      <c r="X2718">
        <v>0</v>
      </c>
      <c r="Y2718">
        <v>0</v>
      </c>
      <c r="Z2718">
        <v>0</v>
      </c>
    </row>
    <row r="2719" spans="1:26" hidden="1" x14ac:dyDescent="0.25">
      <c r="A2719" t="s">
        <v>5720</v>
      </c>
      <c r="B2719" t="s">
        <v>38</v>
      </c>
      <c r="C2719" s="4">
        <v>45399</v>
      </c>
      <c r="D2719" s="4">
        <v>45853</v>
      </c>
      <c r="F2719" s="4">
        <v>46844</v>
      </c>
      <c r="G2719" t="s">
        <v>112</v>
      </c>
      <c r="H2719" t="s">
        <v>2878</v>
      </c>
      <c r="K2719" t="s">
        <v>114</v>
      </c>
      <c r="L2719" t="s">
        <v>4890</v>
      </c>
      <c r="M2719" t="s">
        <v>68</v>
      </c>
      <c r="N2719" t="s">
        <v>4891</v>
      </c>
      <c r="O2719" t="s">
        <v>32</v>
      </c>
      <c r="P2719" t="s">
        <v>5721</v>
      </c>
      <c r="Q2719">
        <v>95</v>
      </c>
      <c r="R2719">
        <v>95</v>
      </c>
      <c r="S2719" t="s">
        <v>34</v>
      </c>
      <c r="T2719" t="s">
        <v>35</v>
      </c>
      <c r="W2719">
        <v>0</v>
      </c>
      <c r="X2719">
        <v>0</v>
      </c>
      <c r="Y2719">
        <v>0</v>
      </c>
      <c r="Z2719">
        <v>0</v>
      </c>
    </row>
    <row r="2720" spans="1:26" hidden="1" x14ac:dyDescent="0.25">
      <c r="A2720" t="s">
        <v>5722</v>
      </c>
      <c r="B2720" t="s">
        <v>38</v>
      </c>
      <c r="C2720" s="4">
        <v>45400</v>
      </c>
      <c r="D2720" s="4">
        <v>46014</v>
      </c>
      <c r="F2720" s="4">
        <v>46966</v>
      </c>
      <c r="G2720" t="s">
        <v>138</v>
      </c>
      <c r="H2720" t="s">
        <v>1437</v>
      </c>
      <c r="K2720" t="s">
        <v>98</v>
      </c>
      <c r="L2720" t="s">
        <v>4890</v>
      </c>
      <c r="M2720" t="s">
        <v>84</v>
      </c>
      <c r="N2720" t="s">
        <v>4891</v>
      </c>
      <c r="O2720" t="s">
        <v>32</v>
      </c>
      <c r="P2720" t="s">
        <v>1345</v>
      </c>
      <c r="Q2720">
        <v>150</v>
      </c>
      <c r="R2720">
        <v>150</v>
      </c>
      <c r="S2720" t="s">
        <v>597</v>
      </c>
      <c r="T2720" t="s">
        <v>598</v>
      </c>
      <c r="W2720">
        <v>0</v>
      </c>
      <c r="X2720">
        <v>0</v>
      </c>
      <c r="Y2720">
        <v>0</v>
      </c>
      <c r="Z2720">
        <v>0</v>
      </c>
    </row>
    <row r="2721" spans="1:26" hidden="1" x14ac:dyDescent="0.25">
      <c r="A2721" t="s">
        <v>5723</v>
      </c>
      <c r="B2721" t="s">
        <v>38</v>
      </c>
      <c r="C2721" s="4">
        <v>45400</v>
      </c>
      <c r="D2721" s="4">
        <v>45924</v>
      </c>
      <c r="F2721" s="4">
        <v>46937</v>
      </c>
      <c r="G2721" t="s">
        <v>1311</v>
      </c>
      <c r="H2721" t="s">
        <v>3909</v>
      </c>
      <c r="K2721" t="s">
        <v>114</v>
      </c>
      <c r="L2721" t="s">
        <v>4890</v>
      </c>
      <c r="M2721" t="s">
        <v>68</v>
      </c>
      <c r="N2721" t="s">
        <v>4891</v>
      </c>
      <c r="O2721" t="s">
        <v>32</v>
      </c>
      <c r="P2721" t="s">
        <v>4940</v>
      </c>
      <c r="Q2721">
        <v>199</v>
      </c>
      <c r="R2721">
        <v>199</v>
      </c>
      <c r="S2721" t="s">
        <v>34</v>
      </c>
      <c r="T2721" t="s">
        <v>35</v>
      </c>
      <c r="W2721">
        <v>0</v>
      </c>
      <c r="X2721">
        <v>0</v>
      </c>
      <c r="Y2721">
        <v>0</v>
      </c>
      <c r="Z2721">
        <v>0</v>
      </c>
    </row>
    <row r="2722" spans="1:26" hidden="1" x14ac:dyDescent="0.25">
      <c r="A2722" t="s">
        <v>5724</v>
      </c>
      <c r="B2722" t="s">
        <v>38</v>
      </c>
      <c r="C2722" s="4">
        <v>45400</v>
      </c>
      <c r="D2722" s="4">
        <v>45924</v>
      </c>
      <c r="F2722" s="4">
        <v>46937</v>
      </c>
      <c r="G2722" t="s">
        <v>1311</v>
      </c>
      <c r="H2722" t="s">
        <v>5725</v>
      </c>
      <c r="K2722" t="s">
        <v>114</v>
      </c>
      <c r="L2722" t="s">
        <v>4890</v>
      </c>
      <c r="M2722" t="s">
        <v>68</v>
      </c>
      <c r="N2722" t="s">
        <v>4891</v>
      </c>
      <c r="O2722" t="s">
        <v>32</v>
      </c>
      <c r="P2722" t="s">
        <v>5726</v>
      </c>
      <c r="Q2722">
        <v>199</v>
      </c>
      <c r="R2722">
        <v>199</v>
      </c>
      <c r="S2722" t="s">
        <v>34</v>
      </c>
      <c r="T2722" t="s">
        <v>35</v>
      </c>
      <c r="W2722">
        <v>0</v>
      </c>
      <c r="X2722">
        <v>0</v>
      </c>
      <c r="Y2722">
        <v>0</v>
      </c>
      <c r="Z2722">
        <v>0</v>
      </c>
    </row>
    <row r="2723" spans="1:26" hidden="1" x14ac:dyDescent="0.25">
      <c r="A2723" t="s">
        <v>5727</v>
      </c>
      <c r="B2723" t="s">
        <v>38</v>
      </c>
      <c r="C2723" s="4">
        <v>45371</v>
      </c>
      <c r="D2723" s="4">
        <v>46015</v>
      </c>
      <c r="F2723" s="4">
        <v>46997</v>
      </c>
      <c r="G2723" t="s">
        <v>117</v>
      </c>
      <c r="H2723" t="s">
        <v>1676</v>
      </c>
      <c r="K2723" t="s">
        <v>83</v>
      </c>
      <c r="L2723" t="s">
        <v>4890</v>
      </c>
      <c r="M2723" t="s">
        <v>84</v>
      </c>
      <c r="N2723" t="s">
        <v>4891</v>
      </c>
      <c r="O2723" t="s">
        <v>32</v>
      </c>
      <c r="P2723" t="s">
        <v>5728</v>
      </c>
      <c r="Q2723">
        <v>200</v>
      </c>
      <c r="R2723">
        <v>200</v>
      </c>
      <c r="S2723" t="s">
        <v>34</v>
      </c>
      <c r="T2723" t="s">
        <v>35</v>
      </c>
      <c r="W2723">
        <v>200</v>
      </c>
      <c r="X2723">
        <v>200</v>
      </c>
      <c r="Y2723">
        <v>0</v>
      </c>
      <c r="Z2723">
        <v>0</v>
      </c>
    </row>
    <row r="2724" spans="1:26" hidden="1" x14ac:dyDescent="0.25">
      <c r="A2724" t="s">
        <v>5729</v>
      </c>
      <c r="B2724" t="s">
        <v>2153</v>
      </c>
      <c r="C2724" s="4">
        <v>45371</v>
      </c>
      <c r="F2724" s="4">
        <v>46997</v>
      </c>
      <c r="G2724" t="s">
        <v>691</v>
      </c>
      <c r="H2724" t="s">
        <v>1771</v>
      </c>
      <c r="K2724" t="s">
        <v>98</v>
      </c>
      <c r="L2724" t="s">
        <v>4890</v>
      </c>
      <c r="M2724" t="s">
        <v>84</v>
      </c>
      <c r="N2724" t="s">
        <v>4891</v>
      </c>
      <c r="O2724" t="s">
        <v>32</v>
      </c>
      <c r="P2724" t="s">
        <v>3096</v>
      </c>
      <c r="Q2724">
        <v>200</v>
      </c>
      <c r="R2724">
        <v>200</v>
      </c>
      <c r="S2724" t="s">
        <v>34</v>
      </c>
      <c r="T2724" t="s">
        <v>35</v>
      </c>
      <c r="W2724">
        <v>200</v>
      </c>
      <c r="X2724">
        <v>200</v>
      </c>
      <c r="Y2724">
        <v>0</v>
      </c>
      <c r="Z2724">
        <v>0</v>
      </c>
    </row>
    <row r="2725" spans="1:26" hidden="1" x14ac:dyDescent="0.25">
      <c r="A2725" t="s">
        <v>5730</v>
      </c>
      <c r="B2725" t="s">
        <v>38</v>
      </c>
      <c r="C2725" s="4">
        <v>45369</v>
      </c>
      <c r="D2725" s="4">
        <v>46014</v>
      </c>
      <c r="F2725" s="4">
        <v>46997</v>
      </c>
      <c r="G2725" t="s">
        <v>1251</v>
      </c>
      <c r="H2725" t="s">
        <v>3057</v>
      </c>
      <c r="K2725" t="s">
        <v>109</v>
      </c>
      <c r="L2725" t="s">
        <v>4890</v>
      </c>
      <c r="M2725" t="s">
        <v>84</v>
      </c>
      <c r="N2725" t="s">
        <v>4891</v>
      </c>
      <c r="O2725" t="s">
        <v>32</v>
      </c>
      <c r="P2725" t="s">
        <v>5731</v>
      </c>
      <c r="Q2725">
        <v>200</v>
      </c>
      <c r="R2725">
        <v>200</v>
      </c>
      <c r="S2725" t="s">
        <v>34</v>
      </c>
      <c r="T2725" t="s">
        <v>35</v>
      </c>
      <c r="W2725">
        <v>0</v>
      </c>
      <c r="X2725">
        <v>0</v>
      </c>
      <c r="Y2725">
        <v>0</v>
      </c>
      <c r="Z2725">
        <v>0</v>
      </c>
    </row>
    <row r="2726" spans="1:26" hidden="1" x14ac:dyDescent="0.25">
      <c r="A2726" t="s">
        <v>5732</v>
      </c>
      <c r="B2726" t="s">
        <v>38</v>
      </c>
      <c r="C2726" s="4">
        <v>45371</v>
      </c>
      <c r="D2726" s="4">
        <v>46014</v>
      </c>
      <c r="F2726" s="4">
        <v>46997</v>
      </c>
      <c r="G2726" t="s">
        <v>117</v>
      </c>
      <c r="H2726" t="s">
        <v>1680</v>
      </c>
      <c r="K2726" t="s">
        <v>98</v>
      </c>
      <c r="L2726" t="s">
        <v>4890</v>
      </c>
      <c r="M2726" t="s">
        <v>84</v>
      </c>
      <c r="N2726" t="s">
        <v>4891</v>
      </c>
      <c r="O2726" t="s">
        <v>32</v>
      </c>
      <c r="P2726" t="s">
        <v>5733</v>
      </c>
      <c r="Q2726">
        <v>200</v>
      </c>
      <c r="R2726">
        <v>200</v>
      </c>
      <c r="S2726" t="s">
        <v>34</v>
      </c>
      <c r="T2726" t="s">
        <v>35</v>
      </c>
      <c r="W2726">
        <v>0</v>
      </c>
      <c r="X2726">
        <v>0</v>
      </c>
      <c r="Y2726">
        <v>0</v>
      </c>
      <c r="Z2726">
        <v>0</v>
      </c>
    </row>
    <row r="2727" spans="1:26" hidden="1" x14ac:dyDescent="0.25">
      <c r="A2727" t="s">
        <v>5734</v>
      </c>
      <c r="B2727" t="s">
        <v>2153</v>
      </c>
      <c r="C2727" s="4">
        <v>45378</v>
      </c>
      <c r="F2727" s="4">
        <v>46997</v>
      </c>
      <c r="G2727" t="s">
        <v>52</v>
      </c>
      <c r="H2727" t="s">
        <v>1445</v>
      </c>
      <c r="K2727" t="s">
        <v>53</v>
      </c>
      <c r="L2727" t="s">
        <v>4890</v>
      </c>
      <c r="M2727" t="s">
        <v>54</v>
      </c>
      <c r="N2727" t="s">
        <v>4891</v>
      </c>
      <c r="O2727" t="s">
        <v>32</v>
      </c>
      <c r="P2727" t="s">
        <v>1722</v>
      </c>
      <c r="Q2727">
        <v>150</v>
      </c>
      <c r="R2727">
        <v>150</v>
      </c>
      <c r="S2727" t="s">
        <v>34</v>
      </c>
      <c r="T2727" t="s">
        <v>35</v>
      </c>
      <c r="W2727">
        <v>150</v>
      </c>
      <c r="X2727">
        <v>150</v>
      </c>
      <c r="Y2727">
        <v>0</v>
      </c>
      <c r="Z2727">
        <v>0</v>
      </c>
    </row>
    <row r="2728" spans="1:26" hidden="1" x14ac:dyDescent="0.25">
      <c r="A2728" t="s">
        <v>5735</v>
      </c>
      <c r="B2728" t="s">
        <v>2153</v>
      </c>
      <c r="C2728" s="4">
        <v>45397</v>
      </c>
      <c r="F2728" s="4">
        <v>46997</v>
      </c>
      <c r="G2728" t="s">
        <v>52</v>
      </c>
      <c r="H2728" t="s">
        <v>5365</v>
      </c>
      <c r="K2728" t="s">
        <v>53</v>
      </c>
      <c r="L2728" t="s">
        <v>4890</v>
      </c>
      <c r="M2728" t="s">
        <v>54</v>
      </c>
      <c r="N2728" t="s">
        <v>4891</v>
      </c>
      <c r="O2728" t="s">
        <v>32</v>
      </c>
      <c r="P2728" t="s">
        <v>4992</v>
      </c>
      <c r="Q2728">
        <v>300</v>
      </c>
      <c r="R2728">
        <v>300</v>
      </c>
      <c r="S2728" t="s">
        <v>34</v>
      </c>
      <c r="T2728" t="s">
        <v>35</v>
      </c>
      <c r="W2728">
        <v>300</v>
      </c>
      <c r="X2728">
        <v>300</v>
      </c>
      <c r="Y2728">
        <v>0</v>
      </c>
      <c r="Z2728">
        <v>0</v>
      </c>
    </row>
    <row r="2729" spans="1:26" hidden="1" x14ac:dyDescent="0.25">
      <c r="A2729" t="s">
        <v>5736</v>
      </c>
      <c r="B2729" t="s">
        <v>2153</v>
      </c>
      <c r="C2729" s="4">
        <v>45398</v>
      </c>
      <c r="F2729" s="4">
        <v>46997</v>
      </c>
      <c r="H2729" t="s">
        <v>1873</v>
      </c>
      <c r="K2729" t="s">
        <v>98</v>
      </c>
      <c r="L2729" t="s">
        <v>4890</v>
      </c>
      <c r="M2729" t="s">
        <v>84</v>
      </c>
      <c r="N2729" t="s">
        <v>4891</v>
      </c>
      <c r="O2729" t="s">
        <v>32</v>
      </c>
      <c r="P2729" t="s">
        <v>5737</v>
      </c>
      <c r="Q2729">
        <v>132</v>
      </c>
      <c r="R2729">
        <v>132</v>
      </c>
      <c r="S2729" t="s">
        <v>34</v>
      </c>
      <c r="T2729" t="s">
        <v>35</v>
      </c>
      <c r="W2729">
        <v>132</v>
      </c>
      <c r="X2729">
        <v>132</v>
      </c>
      <c r="Y2729">
        <v>0</v>
      </c>
      <c r="Z2729">
        <v>0</v>
      </c>
    </row>
    <row r="2730" spans="1:26" hidden="1" x14ac:dyDescent="0.25">
      <c r="A2730" t="s">
        <v>5738</v>
      </c>
      <c r="B2730" t="s">
        <v>2153</v>
      </c>
      <c r="C2730" s="4">
        <v>45400</v>
      </c>
      <c r="F2730" s="4">
        <v>46997</v>
      </c>
      <c r="G2730" t="s">
        <v>1368</v>
      </c>
      <c r="H2730" t="s">
        <v>3601</v>
      </c>
      <c r="K2730" t="s">
        <v>209</v>
      </c>
      <c r="L2730" t="s">
        <v>4890</v>
      </c>
      <c r="M2730" t="s">
        <v>42</v>
      </c>
      <c r="N2730" t="s">
        <v>4891</v>
      </c>
      <c r="O2730" t="s">
        <v>32</v>
      </c>
      <c r="P2730" t="s">
        <v>5739</v>
      </c>
      <c r="Q2730">
        <v>200</v>
      </c>
      <c r="R2730">
        <v>200</v>
      </c>
      <c r="S2730" t="s">
        <v>34</v>
      </c>
      <c r="T2730" t="s">
        <v>35</v>
      </c>
      <c r="W2730">
        <v>200</v>
      </c>
      <c r="X2730">
        <v>200</v>
      </c>
      <c r="Y2730">
        <v>0</v>
      </c>
      <c r="Z2730">
        <v>0</v>
      </c>
    </row>
    <row r="2731" spans="1:26" hidden="1" x14ac:dyDescent="0.25">
      <c r="A2731" t="s">
        <v>5740</v>
      </c>
      <c r="B2731" t="s">
        <v>38</v>
      </c>
      <c r="C2731" s="4">
        <v>45369</v>
      </c>
      <c r="D2731" s="4">
        <v>46014</v>
      </c>
      <c r="F2731" s="4">
        <v>46402</v>
      </c>
      <c r="G2731" t="s">
        <v>681</v>
      </c>
      <c r="H2731" t="s">
        <v>1668</v>
      </c>
      <c r="K2731" t="s">
        <v>683</v>
      </c>
      <c r="L2731" t="s">
        <v>4890</v>
      </c>
      <c r="M2731" t="s">
        <v>84</v>
      </c>
      <c r="N2731" t="s">
        <v>4891</v>
      </c>
      <c r="O2731" t="s">
        <v>32</v>
      </c>
      <c r="P2731" t="s">
        <v>5741</v>
      </c>
      <c r="Q2731">
        <v>200</v>
      </c>
      <c r="R2731">
        <v>200</v>
      </c>
      <c r="S2731" t="s">
        <v>159</v>
      </c>
      <c r="T2731" t="s">
        <v>159</v>
      </c>
      <c r="W2731">
        <v>0</v>
      </c>
      <c r="X2731">
        <v>0</v>
      </c>
      <c r="Y2731">
        <v>0</v>
      </c>
      <c r="Z2731">
        <v>0</v>
      </c>
    </row>
    <row r="2732" spans="1:26" hidden="1" x14ac:dyDescent="0.25">
      <c r="A2732" t="s">
        <v>5742</v>
      </c>
      <c r="B2732" t="s">
        <v>2153</v>
      </c>
      <c r="C2732" s="4">
        <v>45398</v>
      </c>
      <c r="F2732" s="4">
        <v>46934</v>
      </c>
      <c r="G2732" t="s">
        <v>117</v>
      </c>
      <c r="H2732" t="s">
        <v>1648</v>
      </c>
      <c r="K2732" t="s">
        <v>83</v>
      </c>
      <c r="L2732" t="s">
        <v>4890</v>
      </c>
      <c r="M2732" t="s">
        <v>84</v>
      </c>
      <c r="N2732" t="s">
        <v>4891</v>
      </c>
      <c r="O2732" t="s">
        <v>32</v>
      </c>
      <c r="P2732" t="s">
        <v>1327</v>
      </c>
      <c r="Q2732">
        <v>225</v>
      </c>
      <c r="R2732">
        <v>225</v>
      </c>
      <c r="S2732" t="s">
        <v>159</v>
      </c>
      <c r="T2732" t="s">
        <v>159</v>
      </c>
      <c r="W2732">
        <v>225</v>
      </c>
      <c r="X2732">
        <v>225</v>
      </c>
      <c r="Y2732">
        <v>0</v>
      </c>
      <c r="Z2732">
        <v>0</v>
      </c>
    </row>
    <row r="2733" spans="1:26" hidden="1" x14ac:dyDescent="0.25">
      <c r="A2733" t="s">
        <v>5743</v>
      </c>
      <c r="B2733" t="s">
        <v>38</v>
      </c>
      <c r="C2733" s="4">
        <v>45400</v>
      </c>
      <c r="D2733" s="4">
        <v>45930</v>
      </c>
      <c r="F2733" s="4">
        <v>46784</v>
      </c>
      <c r="G2733" t="s">
        <v>365</v>
      </c>
      <c r="H2733" t="s">
        <v>1424</v>
      </c>
      <c r="K2733" t="s">
        <v>83</v>
      </c>
      <c r="L2733" t="s">
        <v>4890</v>
      </c>
      <c r="M2733" t="s">
        <v>84</v>
      </c>
      <c r="N2733" t="s">
        <v>4891</v>
      </c>
      <c r="O2733" t="s">
        <v>32</v>
      </c>
      <c r="P2733" t="s">
        <v>5744</v>
      </c>
      <c r="Q2733">
        <v>400</v>
      </c>
      <c r="R2733">
        <v>400</v>
      </c>
      <c r="S2733" t="s">
        <v>159</v>
      </c>
      <c r="T2733" t="s">
        <v>159</v>
      </c>
      <c r="W2733">
        <v>0</v>
      </c>
      <c r="X2733">
        <v>0</v>
      </c>
      <c r="Y2733">
        <v>0</v>
      </c>
      <c r="Z2733">
        <v>0</v>
      </c>
    </row>
    <row r="2734" spans="1:26" hidden="1" x14ac:dyDescent="0.25">
      <c r="A2734" t="s">
        <v>5745</v>
      </c>
      <c r="B2734" t="s">
        <v>2338</v>
      </c>
      <c r="C2734" s="4">
        <v>45400</v>
      </c>
      <c r="F2734" s="4">
        <v>46784</v>
      </c>
      <c r="G2734" t="s">
        <v>117</v>
      </c>
      <c r="H2734" t="s">
        <v>1424</v>
      </c>
      <c r="K2734" t="s">
        <v>83</v>
      </c>
      <c r="L2734" t="s">
        <v>4890</v>
      </c>
      <c r="M2734" t="s">
        <v>84</v>
      </c>
      <c r="N2734" t="s">
        <v>4891</v>
      </c>
      <c r="O2734" t="s">
        <v>32</v>
      </c>
      <c r="P2734" t="s">
        <v>5746</v>
      </c>
      <c r="Q2734">
        <v>200</v>
      </c>
      <c r="R2734">
        <v>200</v>
      </c>
      <c r="S2734" t="s">
        <v>159</v>
      </c>
      <c r="T2734" t="s">
        <v>159</v>
      </c>
      <c r="W2734">
        <v>200</v>
      </c>
      <c r="X2734">
        <v>200</v>
      </c>
      <c r="Y2734">
        <v>0</v>
      </c>
      <c r="Z2734">
        <v>0</v>
      </c>
    </row>
    <row r="2735" spans="1:26" hidden="1" x14ac:dyDescent="0.25">
      <c r="A2735" t="s">
        <v>5747</v>
      </c>
      <c r="B2735" t="s">
        <v>2153</v>
      </c>
      <c r="C2735" s="4">
        <v>45400</v>
      </c>
      <c r="F2735" s="4">
        <v>46966</v>
      </c>
      <c r="G2735" t="s">
        <v>117</v>
      </c>
      <c r="H2735" t="s">
        <v>5151</v>
      </c>
      <c r="K2735" t="s">
        <v>83</v>
      </c>
      <c r="L2735" t="s">
        <v>4890</v>
      </c>
      <c r="M2735" t="s">
        <v>84</v>
      </c>
      <c r="N2735" t="s">
        <v>4891</v>
      </c>
      <c r="O2735" t="s">
        <v>122</v>
      </c>
      <c r="P2735" t="s">
        <v>5748</v>
      </c>
      <c r="Q2735">
        <v>305</v>
      </c>
      <c r="R2735">
        <v>305</v>
      </c>
      <c r="S2735" t="s">
        <v>56</v>
      </c>
      <c r="T2735" t="s">
        <v>57</v>
      </c>
      <c r="W2735">
        <v>305</v>
      </c>
      <c r="X2735">
        <v>0</v>
      </c>
      <c r="Y2735">
        <v>0</v>
      </c>
      <c r="Z2735">
        <v>0</v>
      </c>
    </row>
    <row r="2736" spans="1:26" hidden="1" x14ac:dyDescent="0.25">
      <c r="A2736" t="s">
        <v>5749</v>
      </c>
      <c r="B2736" t="s">
        <v>2153</v>
      </c>
      <c r="C2736" s="4">
        <v>45399</v>
      </c>
      <c r="F2736" s="4">
        <v>46418</v>
      </c>
      <c r="G2736" t="s">
        <v>691</v>
      </c>
      <c r="H2736" t="s">
        <v>1387</v>
      </c>
      <c r="K2736" t="s">
        <v>98</v>
      </c>
      <c r="L2736" t="s">
        <v>4890</v>
      </c>
      <c r="M2736" t="s">
        <v>84</v>
      </c>
      <c r="N2736" t="s">
        <v>4891</v>
      </c>
      <c r="O2736" t="s">
        <v>32</v>
      </c>
      <c r="P2736" t="s">
        <v>5750</v>
      </c>
      <c r="Q2736">
        <v>160</v>
      </c>
      <c r="R2736">
        <v>160</v>
      </c>
      <c r="S2736" t="s">
        <v>34</v>
      </c>
      <c r="T2736" t="s">
        <v>35</v>
      </c>
      <c r="W2736">
        <v>160</v>
      </c>
      <c r="X2736">
        <v>160</v>
      </c>
      <c r="Y2736">
        <v>0</v>
      </c>
      <c r="Z2736">
        <v>0</v>
      </c>
    </row>
    <row r="2737" spans="1:26" hidden="1" x14ac:dyDescent="0.25">
      <c r="A2737" t="s">
        <v>5751</v>
      </c>
      <c r="B2737" t="s">
        <v>2153</v>
      </c>
      <c r="C2737" s="4">
        <v>45397</v>
      </c>
      <c r="F2737" s="4">
        <v>46386</v>
      </c>
      <c r="G2737" t="s">
        <v>117</v>
      </c>
      <c r="H2737" t="s">
        <v>2777</v>
      </c>
      <c r="K2737" t="s">
        <v>83</v>
      </c>
      <c r="L2737" t="s">
        <v>4890</v>
      </c>
      <c r="M2737" t="s">
        <v>84</v>
      </c>
      <c r="N2737" t="s">
        <v>4891</v>
      </c>
      <c r="O2737" t="s">
        <v>32</v>
      </c>
      <c r="P2737" t="s">
        <v>5752</v>
      </c>
      <c r="Q2737">
        <v>175</v>
      </c>
      <c r="R2737">
        <v>175</v>
      </c>
      <c r="S2737" t="s">
        <v>597</v>
      </c>
      <c r="T2737" t="s">
        <v>598</v>
      </c>
      <c r="W2737">
        <v>175</v>
      </c>
      <c r="X2737">
        <v>175</v>
      </c>
      <c r="Y2737">
        <v>0</v>
      </c>
      <c r="Z2737">
        <v>0</v>
      </c>
    </row>
    <row r="2738" spans="1:26" hidden="1" x14ac:dyDescent="0.25">
      <c r="A2738" t="s">
        <v>5753</v>
      </c>
      <c r="B2738" t="s">
        <v>2232</v>
      </c>
      <c r="C2738" s="4">
        <v>45437</v>
      </c>
      <c r="F2738" s="4">
        <v>46860</v>
      </c>
      <c r="G2738" t="s">
        <v>691</v>
      </c>
      <c r="H2738" t="s">
        <v>2375</v>
      </c>
      <c r="K2738" t="s">
        <v>98</v>
      </c>
      <c r="L2738" t="s">
        <v>4890</v>
      </c>
      <c r="M2738" t="s">
        <v>84</v>
      </c>
      <c r="N2738" t="s">
        <v>4891</v>
      </c>
      <c r="O2738" t="s">
        <v>32</v>
      </c>
      <c r="P2738" t="s">
        <v>5754</v>
      </c>
      <c r="Q2738">
        <v>150</v>
      </c>
      <c r="R2738">
        <v>150</v>
      </c>
      <c r="S2738" t="s">
        <v>597</v>
      </c>
      <c r="T2738" t="s">
        <v>598</v>
      </c>
      <c r="W2738">
        <v>150</v>
      </c>
      <c r="X2738">
        <v>150</v>
      </c>
      <c r="Y2738">
        <v>0</v>
      </c>
      <c r="Z2738">
        <v>0</v>
      </c>
    </row>
    <row r="2739" spans="1:26" hidden="1" x14ac:dyDescent="0.25">
      <c r="A2739" t="s">
        <v>5755</v>
      </c>
      <c r="B2739" t="s">
        <v>38</v>
      </c>
      <c r="C2739" s="4">
        <v>45387</v>
      </c>
      <c r="D2739" s="4">
        <v>45924</v>
      </c>
      <c r="F2739" s="4">
        <v>46905</v>
      </c>
      <c r="G2739" t="s">
        <v>907</v>
      </c>
      <c r="H2739" t="s">
        <v>5132</v>
      </c>
      <c r="K2739" t="s">
        <v>53</v>
      </c>
      <c r="L2739" t="s">
        <v>4890</v>
      </c>
      <c r="M2739" t="s">
        <v>54</v>
      </c>
      <c r="N2739" t="s">
        <v>4891</v>
      </c>
      <c r="O2739" t="s">
        <v>32</v>
      </c>
      <c r="P2739" t="s">
        <v>5756</v>
      </c>
      <c r="Q2739">
        <v>150</v>
      </c>
      <c r="R2739">
        <v>150</v>
      </c>
      <c r="S2739" t="s">
        <v>159</v>
      </c>
      <c r="T2739" t="s">
        <v>159</v>
      </c>
      <c r="W2739">
        <v>0</v>
      </c>
      <c r="X2739">
        <v>0</v>
      </c>
      <c r="Y2739">
        <v>0</v>
      </c>
      <c r="Z2739">
        <v>0</v>
      </c>
    </row>
    <row r="2740" spans="1:26" hidden="1" x14ac:dyDescent="0.25">
      <c r="A2740" t="s">
        <v>5757</v>
      </c>
      <c r="B2740" t="s">
        <v>2153</v>
      </c>
      <c r="C2740" s="4">
        <v>45387</v>
      </c>
      <c r="F2740" s="4">
        <v>46905</v>
      </c>
      <c r="G2740" t="s">
        <v>52</v>
      </c>
      <c r="H2740" t="s">
        <v>1393</v>
      </c>
      <c r="K2740" t="s">
        <v>53</v>
      </c>
      <c r="L2740" t="s">
        <v>4890</v>
      </c>
      <c r="M2740" t="s">
        <v>54</v>
      </c>
      <c r="N2740" t="s">
        <v>4891</v>
      </c>
      <c r="O2740" t="s">
        <v>32</v>
      </c>
      <c r="P2740" t="s">
        <v>5758</v>
      </c>
      <c r="Q2740">
        <v>100</v>
      </c>
      <c r="R2740">
        <v>100</v>
      </c>
      <c r="S2740" t="s">
        <v>159</v>
      </c>
      <c r="T2740" t="s">
        <v>159</v>
      </c>
      <c r="W2740">
        <v>100</v>
      </c>
      <c r="X2740">
        <v>100</v>
      </c>
      <c r="Y2740">
        <v>0</v>
      </c>
      <c r="Z2740">
        <v>0</v>
      </c>
    </row>
    <row r="2741" spans="1:26" hidden="1" x14ac:dyDescent="0.25">
      <c r="A2741" t="s">
        <v>5759</v>
      </c>
      <c r="B2741" t="s">
        <v>2153</v>
      </c>
      <c r="C2741" s="4">
        <v>45399</v>
      </c>
      <c r="F2741" s="4">
        <v>46724</v>
      </c>
      <c r="G2741" t="s">
        <v>1251</v>
      </c>
      <c r="H2741" t="s">
        <v>5760</v>
      </c>
      <c r="K2741" t="s">
        <v>109</v>
      </c>
      <c r="L2741" t="s">
        <v>4890</v>
      </c>
      <c r="M2741" t="s">
        <v>84</v>
      </c>
      <c r="N2741" t="s">
        <v>4891</v>
      </c>
      <c r="O2741" t="s">
        <v>32</v>
      </c>
      <c r="P2741" t="s">
        <v>5761</v>
      </c>
      <c r="Q2741">
        <v>100</v>
      </c>
      <c r="R2741">
        <v>100</v>
      </c>
      <c r="S2741" t="s">
        <v>159</v>
      </c>
      <c r="T2741" t="s">
        <v>159</v>
      </c>
      <c r="W2741">
        <v>100</v>
      </c>
      <c r="X2741">
        <v>100</v>
      </c>
      <c r="Y2741">
        <v>0</v>
      </c>
      <c r="Z2741">
        <v>0</v>
      </c>
    </row>
    <row r="2742" spans="1:26" hidden="1" x14ac:dyDescent="0.25">
      <c r="A2742" t="s">
        <v>5762</v>
      </c>
      <c r="B2742" t="s">
        <v>38</v>
      </c>
      <c r="C2742" s="4">
        <v>45400</v>
      </c>
      <c r="D2742" s="4">
        <v>45954</v>
      </c>
      <c r="F2742" s="4">
        <v>46905</v>
      </c>
      <c r="G2742" t="s">
        <v>1381</v>
      </c>
      <c r="H2742" t="s">
        <v>1372</v>
      </c>
      <c r="K2742" t="s">
        <v>209</v>
      </c>
      <c r="L2742" t="s">
        <v>4890</v>
      </c>
      <c r="M2742" t="s">
        <v>42</v>
      </c>
      <c r="N2742" t="s">
        <v>4891</v>
      </c>
      <c r="O2742" t="s">
        <v>32</v>
      </c>
      <c r="P2742" t="s">
        <v>5763</v>
      </c>
      <c r="Q2742">
        <v>100</v>
      </c>
      <c r="R2742">
        <v>100</v>
      </c>
      <c r="S2742" t="s">
        <v>159</v>
      </c>
      <c r="T2742" t="s">
        <v>159</v>
      </c>
      <c r="W2742">
        <v>0</v>
      </c>
      <c r="X2742">
        <v>0</v>
      </c>
      <c r="Y2742">
        <v>0</v>
      </c>
      <c r="Z2742">
        <v>0</v>
      </c>
    </row>
    <row r="2743" spans="1:26" hidden="1" x14ac:dyDescent="0.25">
      <c r="A2743" t="s">
        <v>5764</v>
      </c>
      <c r="B2743" t="s">
        <v>38</v>
      </c>
      <c r="C2743" s="4">
        <v>45400</v>
      </c>
      <c r="D2743" s="4">
        <v>45769</v>
      </c>
      <c r="F2743" s="4">
        <v>46365</v>
      </c>
      <c r="G2743" t="s">
        <v>144</v>
      </c>
      <c r="H2743" t="s">
        <v>1611</v>
      </c>
      <c r="K2743" t="s">
        <v>146</v>
      </c>
      <c r="L2743" t="s">
        <v>4890</v>
      </c>
      <c r="M2743" t="s">
        <v>68</v>
      </c>
      <c r="N2743" t="s">
        <v>4891</v>
      </c>
      <c r="O2743" t="s">
        <v>32</v>
      </c>
      <c r="P2743" t="s">
        <v>5765</v>
      </c>
      <c r="Q2743">
        <v>65</v>
      </c>
      <c r="R2743">
        <v>65</v>
      </c>
      <c r="S2743" t="s">
        <v>34</v>
      </c>
      <c r="T2743" t="s">
        <v>35</v>
      </c>
      <c r="W2743">
        <v>0</v>
      </c>
      <c r="X2743">
        <v>0</v>
      </c>
      <c r="Y2743">
        <v>0</v>
      </c>
      <c r="Z2743">
        <v>0</v>
      </c>
    </row>
    <row r="2744" spans="1:26" hidden="1" x14ac:dyDescent="0.25">
      <c r="A2744" t="s">
        <v>5766</v>
      </c>
      <c r="B2744" t="s">
        <v>38</v>
      </c>
      <c r="C2744" s="4">
        <v>45397</v>
      </c>
      <c r="D2744" s="4">
        <v>46014</v>
      </c>
      <c r="F2744" s="4">
        <v>46905</v>
      </c>
      <c r="G2744" t="s">
        <v>117</v>
      </c>
      <c r="H2744" t="s">
        <v>1996</v>
      </c>
      <c r="K2744" t="s">
        <v>83</v>
      </c>
      <c r="L2744" t="s">
        <v>4890</v>
      </c>
      <c r="M2744" t="s">
        <v>84</v>
      </c>
      <c r="N2744" t="s">
        <v>4891</v>
      </c>
      <c r="O2744" t="s">
        <v>32</v>
      </c>
      <c r="P2744" t="s">
        <v>5767</v>
      </c>
      <c r="Q2744">
        <v>200</v>
      </c>
      <c r="R2744">
        <v>200</v>
      </c>
      <c r="S2744" t="s">
        <v>34</v>
      </c>
      <c r="T2744" t="s">
        <v>35</v>
      </c>
      <c r="W2744">
        <v>0</v>
      </c>
      <c r="X2744">
        <v>0</v>
      </c>
      <c r="Y2744">
        <v>0</v>
      </c>
      <c r="Z2744">
        <v>0</v>
      </c>
    </row>
    <row r="2745" spans="1:26" hidden="1" x14ac:dyDescent="0.25">
      <c r="A2745" t="s">
        <v>5768</v>
      </c>
      <c r="B2745" t="s">
        <v>38</v>
      </c>
      <c r="C2745" s="4">
        <v>45398</v>
      </c>
      <c r="D2745" s="4">
        <v>45839</v>
      </c>
      <c r="F2745" s="4">
        <v>46645</v>
      </c>
      <c r="G2745" t="s">
        <v>101</v>
      </c>
      <c r="H2745" t="s">
        <v>1427</v>
      </c>
      <c r="K2745" t="s">
        <v>98</v>
      </c>
      <c r="L2745" t="s">
        <v>4890</v>
      </c>
      <c r="M2745" t="s">
        <v>84</v>
      </c>
      <c r="N2745" t="s">
        <v>4891</v>
      </c>
      <c r="O2745" t="s">
        <v>32</v>
      </c>
      <c r="P2745" t="s">
        <v>1345</v>
      </c>
      <c r="Q2745">
        <v>40</v>
      </c>
      <c r="R2745">
        <v>40</v>
      </c>
      <c r="S2745" t="s">
        <v>34</v>
      </c>
      <c r="T2745" t="s">
        <v>35</v>
      </c>
      <c r="W2745">
        <v>0</v>
      </c>
      <c r="X2745">
        <v>0</v>
      </c>
      <c r="Y2745">
        <v>0</v>
      </c>
      <c r="Z2745">
        <v>0</v>
      </c>
    </row>
    <row r="2746" spans="1:26" hidden="1" x14ac:dyDescent="0.25">
      <c r="A2746" t="s">
        <v>5769</v>
      </c>
      <c r="B2746" t="s">
        <v>38</v>
      </c>
      <c r="C2746" s="4">
        <v>45400</v>
      </c>
      <c r="D2746" s="4">
        <v>45926</v>
      </c>
      <c r="F2746" s="4">
        <v>47026</v>
      </c>
      <c r="G2746" t="s">
        <v>65</v>
      </c>
      <c r="H2746" t="s">
        <v>3370</v>
      </c>
      <c r="K2746" t="s">
        <v>67</v>
      </c>
      <c r="L2746" t="s">
        <v>4890</v>
      </c>
      <c r="M2746" t="s">
        <v>68</v>
      </c>
      <c r="N2746" t="s">
        <v>4891</v>
      </c>
      <c r="O2746" t="s">
        <v>32</v>
      </c>
      <c r="P2746" t="s">
        <v>5770</v>
      </c>
      <c r="Q2746">
        <v>155</v>
      </c>
      <c r="R2746">
        <v>155</v>
      </c>
      <c r="S2746" t="s">
        <v>34</v>
      </c>
      <c r="T2746" t="s">
        <v>35</v>
      </c>
      <c r="W2746">
        <v>0</v>
      </c>
      <c r="X2746">
        <v>0</v>
      </c>
      <c r="Y2746">
        <v>0</v>
      </c>
      <c r="Z2746">
        <v>0</v>
      </c>
    </row>
    <row r="2747" spans="1:26" hidden="1" x14ac:dyDescent="0.25">
      <c r="A2747" t="s">
        <v>5771</v>
      </c>
      <c r="B2747" t="s">
        <v>2153</v>
      </c>
      <c r="C2747" s="4">
        <v>45449</v>
      </c>
      <c r="F2747" s="4">
        <v>47102</v>
      </c>
      <c r="G2747" t="s">
        <v>1499</v>
      </c>
      <c r="H2747" t="s">
        <v>5772</v>
      </c>
      <c r="K2747" t="s">
        <v>41</v>
      </c>
      <c r="L2747" t="s">
        <v>4890</v>
      </c>
      <c r="M2747" t="s">
        <v>42</v>
      </c>
      <c r="N2747" t="s">
        <v>4891</v>
      </c>
      <c r="O2747" t="s">
        <v>32</v>
      </c>
      <c r="P2747" t="s">
        <v>5773</v>
      </c>
      <c r="Q2747">
        <v>160</v>
      </c>
      <c r="R2747">
        <v>160</v>
      </c>
      <c r="S2747" t="s">
        <v>597</v>
      </c>
      <c r="T2747" t="s">
        <v>598</v>
      </c>
      <c r="W2747">
        <v>160</v>
      </c>
      <c r="X2747">
        <v>160</v>
      </c>
      <c r="Y2747">
        <v>0</v>
      </c>
      <c r="Z2747">
        <v>0</v>
      </c>
    </row>
    <row r="2748" spans="1:26" hidden="1" x14ac:dyDescent="0.25">
      <c r="A2748" t="s">
        <v>5774</v>
      </c>
      <c r="B2748" t="s">
        <v>2153</v>
      </c>
      <c r="C2748" s="4">
        <v>45394</v>
      </c>
      <c r="F2748" s="4">
        <v>46508</v>
      </c>
      <c r="G2748" t="s">
        <v>907</v>
      </c>
      <c r="H2748" t="s">
        <v>3441</v>
      </c>
      <c r="K2748" t="s">
        <v>53</v>
      </c>
      <c r="L2748" t="s">
        <v>4890</v>
      </c>
      <c r="M2748" t="s">
        <v>54</v>
      </c>
      <c r="N2748" t="s">
        <v>4891</v>
      </c>
      <c r="O2748" t="s">
        <v>32</v>
      </c>
      <c r="P2748" t="s">
        <v>5775</v>
      </c>
      <c r="Q2748">
        <v>175.5</v>
      </c>
      <c r="R2748">
        <v>175.5</v>
      </c>
      <c r="S2748" t="s">
        <v>56</v>
      </c>
      <c r="T2748" t="s">
        <v>57</v>
      </c>
      <c r="W2748">
        <v>175.5</v>
      </c>
      <c r="X2748">
        <v>175.5</v>
      </c>
      <c r="Y2748">
        <v>0</v>
      </c>
      <c r="Z2748">
        <v>0</v>
      </c>
    </row>
    <row r="2749" spans="1:26" hidden="1" x14ac:dyDescent="0.25">
      <c r="A2749" t="s">
        <v>5776</v>
      </c>
      <c r="B2749" t="s">
        <v>38</v>
      </c>
      <c r="C2749" s="4">
        <v>45400</v>
      </c>
      <c r="D2749" s="4">
        <v>46014</v>
      </c>
      <c r="F2749" s="4">
        <v>34995</v>
      </c>
      <c r="G2749" t="s">
        <v>52</v>
      </c>
      <c r="H2749" t="s">
        <v>3260</v>
      </c>
      <c r="K2749" t="s">
        <v>53</v>
      </c>
      <c r="L2749" t="s">
        <v>4890</v>
      </c>
      <c r="M2749" t="s">
        <v>54</v>
      </c>
      <c r="N2749" t="s">
        <v>4891</v>
      </c>
      <c r="O2749" t="s">
        <v>32</v>
      </c>
      <c r="P2749" t="s">
        <v>5777</v>
      </c>
      <c r="Q2749">
        <v>15</v>
      </c>
      <c r="R2749">
        <v>15</v>
      </c>
      <c r="S2749" t="s">
        <v>389</v>
      </c>
      <c r="T2749" t="s">
        <v>390</v>
      </c>
      <c r="U2749" t="s">
        <v>38</v>
      </c>
      <c r="V2749" s="4">
        <v>34995</v>
      </c>
      <c r="W2749">
        <v>0</v>
      </c>
      <c r="X2749">
        <v>0</v>
      </c>
      <c r="Y2749">
        <v>0</v>
      </c>
      <c r="Z2749">
        <v>0</v>
      </c>
    </row>
    <row r="2750" spans="1:26" hidden="1" x14ac:dyDescent="0.25">
      <c r="A2750" t="s">
        <v>5778</v>
      </c>
      <c r="B2750" t="s">
        <v>2153</v>
      </c>
      <c r="C2750" s="4">
        <v>45397</v>
      </c>
      <c r="F2750" s="4">
        <v>46935</v>
      </c>
      <c r="G2750" t="s">
        <v>691</v>
      </c>
      <c r="H2750" t="s">
        <v>5779</v>
      </c>
      <c r="K2750" t="s">
        <v>98</v>
      </c>
      <c r="L2750" t="s">
        <v>4890</v>
      </c>
      <c r="M2750" t="s">
        <v>84</v>
      </c>
      <c r="N2750" t="s">
        <v>4891</v>
      </c>
      <c r="O2750" t="s">
        <v>32</v>
      </c>
      <c r="P2750" t="s">
        <v>5780</v>
      </c>
      <c r="Q2750">
        <v>150</v>
      </c>
      <c r="R2750">
        <v>150</v>
      </c>
      <c r="S2750" t="s">
        <v>597</v>
      </c>
      <c r="T2750" t="s">
        <v>598</v>
      </c>
      <c r="W2750">
        <v>150</v>
      </c>
      <c r="X2750">
        <v>150</v>
      </c>
      <c r="Y2750">
        <v>0</v>
      </c>
      <c r="Z2750">
        <v>0</v>
      </c>
    </row>
    <row r="2751" spans="1:26" hidden="1" x14ac:dyDescent="0.25">
      <c r="A2751" t="s">
        <v>5781</v>
      </c>
      <c r="B2751" t="s">
        <v>38</v>
      </c>
      <c r="C2751" s="4">
        <v>45400</v>
      </c>
      <c r="D2751" s="4">
        <v>46014</v>
      </c>
      <c r="F2751" s="4">
        <v>46813</v>
      </c>
      <c r="G2751" t="s">
        <v>616</v>
      </c>
      <c r="H2751" t="s">
        <v>1505</v>
      </c>
      <c r="K2751" t="s">
        <v>146</v>
      </c>
      <c r="L2751" t="s">
        <v>4890</v>
      </c>
      <c r="M2751" t="s">
        <v>68</v>
      </c>
      <c r="N2751" t="s">
        <v>4891</v>
      </c>
      <c r="O2751" t="s">
        <v>32</v>
      </c>
      <c r="P2751" t="s">
        <v>5782</v>
      </c>
      <c r="Q2751">
        <v>250</v>
      </c>
      <c r="R2751">
        <v>250</v>
      </c>
      <c r="S2751" t="s">
        <v>597</v>
      </c>
      <c r="T2751" t="s">
        <v>598</v>
      </c>
      <c r="W2751">
        <v>0</v>
      </c>
      <c r="X2751">
        <v>0</v>
      </c>
      <c r="Y2751">
        <v>0</v>
      </c>
      <c r="Z2751">
        <v>0</v>
      </c>
    </row>
    <row r="2752" spans="1:26" hidden="1" x14ac:dyDescent="0.25">
      <c r="A2752" t="s">
        <v>5783</v>
      </c>
      <c r="B2752" t="s">
        <v>38</v>
      </c>
      <c r="C2752" s="4">
        <v>45399</v>
      </c>
      <c r="D2752" s="4">
        <v>46014</v>
      </c>
      <c r="F2752" s="4">
        <v>46813</v>
      </c>
      <c r="G2752" t="s">
        <v>65</v>
      </c>
      <c r="H2752" t="s">
        <v>1876</v>
      </c>
      <c r="K2752" t="s">
        <v>67</v>
      </c>
      <c r="L2752" t="s">
        <v>4890</v>
      </c>
      <c r="M2752" t="s">
        <v>68</v>
      </c>
      <c r="N2752" t="s">
        <v>4891</v>
      </c>
      <c r="O2752" t="s">
        <v>32</v>
      </c>
      <c r="P2752" t="s">
        <v>5784</v>
      </c>
      <c r="Q2752">
        <v>300</v>
      </c>
      <c r="R2752">
        <v>300</v>
      </c>
      <c r="S2752" t="s">
        <v>597</v>
      </c>
      <c r="T2752" t="s">
        <v>598</v>
      </c>
      <c r="W2752">
        <v>0</v>
      </c>
      <c r="X2752">
        <v>0</v>
      </c>
      <c r="Y2752">
        <v>0</v>
      </c>
      <c r="Z2752">
        <v>0</v>
      </c>
    </row>
    <row r="2753" spans="1:26" hidden="1" x14ac:dyDescent="0.25">
      <c r="A2753" t="s">
        <v>5785</v>
      </c>
      <c r="B2753" t="s">
        <v>38</v>
      </c>
      <c r="C2753" s="4">
        <v>45400</v>
      </c>
      <c r="D2753" s="4">
        <v>46014</v>
      </c>
      <c r="F2753" s="4">
        <v>46813</v>
      </c>
      <c r="G2753" t="s">
        <v>1311</v>
      </c>
      <c r="H2753" t="s">
        <v>1302</v>
      </c>
      <c r="K2753" t="s">
        <v>114</v>
      </c>
      <c r="L2753" t="s">
        <v>4890</v>
      </c>
      <c r="M2753" t="s">
        <v>68</v>
      </c>
      <c r="N2753" t="s">
        <v>4891</v>
      </c>
      <c r="O2753" t="s">
        <v>32</v>
      </c>
      <c r="P2753" t="s">
        <v>5786</v>
      </c>
      <c r="Q2753">
        <v>200</v>
      </c>
      <c r="R2753">
        <v>200</v>
      </c>
      <c r="S2753" t="s">
        <v>597</v>
      </c>
      <c r="T2753" t="s">
        <v>598</v>
      </c>
      <c r="W2753">
        <v>0</v>
      </c>
      <c r="X2753">
        <v>0</v>
      </c>
      <c r="Y2753">
        <v>0</v>
      </c>
      <c r="Z2753">
        <v>0</v>
      </c>
    </row>
    <row r="2754" spans="1:26" hidden="1" x14ac:dyDescent="0.25">
      <c r="A2754" t="s">
        <v>5787</v>
      </c>
      <c r="B2754" t="s">
        <v>2153</v>
      </c>
      <c r="C2754" s="4">
        <v>45393</v>
      </c>
      <c r="F2754" s="4">
        <v>46934</v>
      </c>
      <c r="G2754" t="s">
        <v>39</v>
      </c>
      <c r="H2754" t="s">
        <v>4479</v>
      </c>
      <c r="K2754" t="s">
        <v>41</v>
      </c>
      <c r="L2754" t="s">
        <v>4890</v>
      </c>
      <c r="M2754" t="s">
        <v>42</v>
      </c>
      <c r="N2754" t="s">
        <v>4891</v>
      </c>
      <c r="O2754" t="s">
        <v>32</v>
      </c>
      <c r="P2754" t="s">
        <v>5788</v>
      </c>
      <c r="Q2754">
        <v>200</v>
      </c>
      <c r="R2754">
        <v>200</v>
      </c>
      <c r="S2754" t="s">
        <v>56</v>
      </c>
      <c r="T2754" t="s">
        <v>57</v>
      </c>
      <c r="W2754">
        <v>200</v>
      </c>
      <c r="X2754">
        <v>200</v>
      </c>
      <c r="Y2754">
        <v>0</v>
      </c>
      <c r="Z2754">
        <v>0</v>
      </c>
    </row>
    <row r="2755" spans="1:26" hidden="1" x14ac:dyDescent="0.25">
      <c r="A2755" t="s">
        <v>5789</v>
      </c>
      <c r="B2755" t="s">
        <v>2153</v>
      </c>
      <c r="C2755" s="4">
        <v>45400</v>
      </c>
      <c r="F2755" s="4">
        <v>47056</v>
      </c>
      <c r="G2755" t="s">
        <v>1368</v>
      </c>
      <c r="H2755" t="s">
        <v>3782</v>
      </c>
      <c r="K2755" t="s">
        <v>83</v>
      </c>
      <c r="L2755" t="s">
        <v>4890</v>
      </c>
      <c r="M2755" t="s">
        <v>42</v>
      </c>
      <c r="N2755" t="s">
        <v>4891</v>
      </c>
      <c r="O2755" t="s">
        <v>32</v>
      </c>
      <c r="P2755" t="s">
        <v>5790</v>
      </c>
      <c r="Q2755">
        <v>250</v>
      </c>
      <c r="R2755">
        <v>250</v>
      </c>
      <c r="S2755" t="s">
        <v>56</v>
      </c>
      <c r="T2755" t="s">
        <v>57</v>
      </c>
      <c r="W2755">
        <v>250</v>
      </c>
      <c r="X2755">
        <v>250</v>
      </c>
      <c r="Y2755">
        <v>0</v>
      </c>
      <c r="Z2755">
        <v>0</v>
      </c>
    </row>
    <row r="2756" spans="1:26" hidden="1" x14ac:dyDescent="0.25">
      <c r="A2756" t="s">
        <v>5791</v>
      </c>
      <c r="B2756" t="s">
        <v>38</v>
      </c>
      <c r="C2756" s="4">
        <v>45400</v>
      </c>
      <c r="D2756" s="4">
        <v>46014</v>
      </c>
      <c r="F2756" s="4">
        <v>47057</v>
      </c>
      <c r="G2756" t="s">
        <v>117</v>
      </c>
      <c r="H2756" t="s">
        <v>1648</v>
      </c>
      <c r="K2756" t="s">
        <v>83</v>
      </c>
      <c r="L2756" t="s">
        <v>4890</v>
      </c>
      <c r="M2756" t="s">
        <v>84</v>
      </c>
      <c r="N2756" t="s">
        <v>4891</v>
      </c>
      <c r="O2756" t="s">
        <v>32</v>
      </c>
      <c r="P2756" t="s">
        <v>5792</v>
      </c>
      <c r="Q2756">
        <v>236</v>
      </c>
      <c r="R2756">
        <v>236</v>
      </c>
      <c r="S2756" t="s">
        <v>56</v>
      </c>
      <c r="T2756" t="s">
        <v>57</v>
      </c>
      <c r="W2756">
        <v>0</v>
      </c>
      <c r="X2756">
        <v>0</v>
      </c>
      <c r="Y2756">
        <v>0</v>
      </c>
      <c r="Z2756">
        <v>0</v>
      </c>
    </row>
    <row r="2757" spans="1:26" hidden="1" x14ac:dyDescent="0.25">
      <c r="A2757" t="s">
        <v>5793</v>
      </c>
      <c r="B2757" t="s">
        <v>38</v>
      </c>
      <c r="C2757" s="4">
        <v>45400</v>
      </c>
      <c r="D2757" s="4">
        <v>46014</v>
      </c>
      <c r="F2757" s="4">
        <v>47027</v>
      </c>
      <c r="G2757" t="s">
        <v>1597</v>
      </c>
      <c r="H2757" t="s">
        <v>5794</v>
      </c>
      <c r="K2757" t="s">
        <v>41</v>
      </c>
      <c r="L2757" t="s">
        <v>4890</v>
      </c>
      <c r="M2757" t="s">
        <v>42</v>
      </c>
      <c r="N2757" t="s">
        <v>4891</v>
      </c>
      <c r="O2757" t="s">
        <v>32</v>
      </c>
      <c r="P2757" t="s">
        <v>5795</v>
      </c>
      <c r="Q2757">
        <v>220</v>
      </c>
      <c r="R2757">
        <v>220</v>
      </c>
      <c r="S2757" t="s">
        <v>34</v>
      </c>
      <c r="T2757" t="s">
        <v>35</v>
      </c>
      <c r="W2757">
        <v>0</v>
      </c>
      <c r="X2757">
        <v>0</v>
      </c>
      <c r="Y2757">
        <v>0</v>
      </c>
      <c r="Z2757">
        <v>0</v>
      </c>
    </row>
    <row r="2758" spans="1:26" hidden="1" x14ac:dyDescent="0.25">
      <c r="A2758" t="s">
        <v>5796</v>
      </c>
      <c r="B2758" t="s">
        <v>2153</v>
      </c>
      <c r="C2758" s="4">
        <v>45400</v>
      </c>
      <c r="F2758" s="4">
        <v>47011</v>
      </c>
      <c r="G2758" t="s">
        <v>132</v>
      </c>
      <c r="H2758" t="s">
        <v>2751</v>
      </c>
      <c r="K2758" t="s">
        <v>83</v>
      </c>
      <c r="L2758" t="s">
        <v>4890</v>
      </c>
      <c r="M2758" t="s">
        <v>84</v>
      </c>
      <c r="N2758" t="s">
        <v>4891</v>
      </c>
      <c r="O2758" t="s">
        <v>32</v>
      </c>
      <c r="P2758" t="s">
        <v>1345</v>
      </c>
      <c r="Q2758">
        <v>195.55</v>
      </c>
      <c r="R2758">
        <v>195.55</v>
      </c>
      <c r="S2758" t="s">
        <v>56</v>
      </c>
      <c r="T2758" t="s">
        <v>57</v>
      </c>
      <c r="W2758">
        <v>195.55</v>
      </c>
      <c r="X2758">
        <v>195.55</v>
      </c>
      <c r="Y2758">
        <v>0</v>
      </c>
      <c r="Z2758">
        <v>0</v>
      </c>
    </row>
    <row r="2759" spans="1:26" hidden="1" x14ac:dyDescent="0.25">
      <c r="A2759" t="s">
        <v>5797</v>
      </c>
      <c r="B2759" t="s">
        <v>2153</v>
      </c>
      <c r="C2759" s="4">
        <v>45400</v>
      </c>
      <c r="F2759" s="4">
        <v>47011</v>
      </c>
      <c r="G2759" t="s">
        <v>132</v>
      </c>
      <c r="H2759" t="s">
        <v>2751</v>
      </c>
      <c r="K2759" t="s">
        <v>83</v>
      </c>
      <c r="L2759" t="s">
        <v>4890</v>
      </c>
      <c r="M2759" t="s">
        <v>84</v>
      </c>
      <c r="N2759" t="s">
        <v>4891</v>
      </c>
      <c r="O2759" t="s">
        <v>32</v>
      </c>
      <c r="P2759" t="s">
        <v>1345</v>
      </c>
      <c r="Q2759">
        <v>146.66</v>
      </c>
      <c r="R2759">
        <v>146.66</v>
      </c>
      <c r="S2759" t="s">
        <v>56</v>
      </c>
      <c r="T2759" t="s">
        <v>57</v>
      </c>
      <c r="W2759">
        <v>146.66</v>
      </c>
      <c r="X2759">
        <v>146.66</v>
      </c>
      <c r="Y2759">
        <v>0</v>
      </c>
      <c r="Z2759">
        <v>0</v>
      </c>
    </row>
    <row r="2760" spans="1:26" hidden="1" x14ac:dyDescent="0.25">
      <c r="A2760" t="s">
        <v>5798</v>
      </c>
      <c r="B2760" t="s">
        <v>2153</v>
      </c>
      <c r="C2760" s="4">
        <v>45400</v>
      </c>
      <c r="F2760" s="4">
        <v>47011</v>
      </c>
      <c r="G2760" t="s">
        <v>132</v>
      </c>
      <c r="H2760" t="s">
        <v>2751</v>
      </c>
      <c r="K2760" t="s">
        <v>83</v>
      </c>
      <c r="L2760" t="s">
        <v>4890</v>
      </c>
      <c r="M2760" t="s">
        <v>84</v>
      </c>
      <c r="N2760" t="s">
        <v>4891</v>
      </c>
      <c r="O2760" t="s">
        <v>32</v>
      </c>
      <c r="P2760" t="s">
        <v>1345</v>
      </c>
      <c r="Q2760">
        <v>146.66</v>
      </c>
      <c r="R2760">
        <v>146.66</v>
      </c>
      <c r="S2760" t="s">
        <v>56</v>
      </c>
      <c r="T2760" t="s">
        <v>57</v>
      </c>
      <c r="W2760">
        <v>146.66</v>
      </c>
      <c r="X2760">
        <v>146.66</v>
      </c>
      <c r="Y2760">
        <v>0</v>
      </c>
      <c r="Z2760">
        <v>0</v>
      </c>
    </row>
    <row r="2761" spans="1:26" hidden="1" x14ac:dyDescent="0.25">
      <c r="A2761" t="s">
        <v>5799</v>
      </c>
      <c r="B2761" t="s">
        <v>2153</v>
      </c>
      <c r="C2761" s="4">
        <v>45399</v>
      </c>
      <c r="F2761" s="4">
        <v>43486</v>
      </c>
      <c r="G2761" t="s">
        <v>1278</v>
      </c>
      <c r="H2761" t="s">
        <v>1938</v>
      </c>
      <c r="K2761" t="s">
        <v>53</v>
      </c>
      <c r="L2761" t="s">
        <v>4890</v>
      </c>
      <c r="M2761" t="s">
        <v>30</v>
      </c>
      <c r="N2761" t="s">
        <v>4891</v>
      </c>
      <c r="O2761" t="s">
        <v>32</v>
      </c>
      <c r="P2761" t="s">
        <v>1357</v>
      </c>
      <c r="Q2761">
        <v>4.2</v>
      </c>
      <c r="R2761">
        <v>4.2</v>
      </c>
      <c r="S2761" t="s">
        <v>389</v>
      </c>
      <c r="T2761" t="s">
        <v>2129</v>
      </c>
      <c r="W2761">
        <v>4.2</v>
      </c>
      <c r="X2761">
        <v>4.2</v>
      </c>
      <c r="Y2761">
        <v>0</v>
      </c>
      <c r="Z2761">
        <v>0</v>
      </c>
    </row>
    <row r="2762" spans="1:26" hidden="1" x14ac:dyDescent="0.25">
      <c r="A2762" t="s">
        <v>5800</v>
      </c>
      <c r="B2762" t="s">
        <v>38</v>
      </c>
      <c r="C2762" s="4">
        <v>45400</v>
      </c>
      <c r="D2762" s="4">
        <v>45729</v>
      </c>
      <c r="F2762" s="4">
        <v>46934</v>
      </c>
      <c r="G2762" t="s">
        <v>72</v>
      </c>
      <c r="H2762" t="s">
        <v>4326</v>
      </c>
      <c r="K2762" t="s">
        <v>209</v>
      </c>
      <c r="L2762" t="s">
        <v>4890</v>
      </c>
      <c r="M2762" t="s">
        <v>42</v>
      </c>
      <c r="N2762" t="s">
        <v>4891</v>
      </c>
      <c r="O2762" t="s">
        <v>32</v>
      </c>
      <c r="P2762" t="s">
        <v>5801</v>
      </c>
      <c r="Q2762">
        <v>100</v>
      </c>
      <c r="R2762">
        <v>100</v>
      </c>
      <c r="S2762" t="s">
        <v>159</v>
      </c>
      <c r="T2762" t="s">
        <v>159</v>
      </c>
      <c r="W2762">
        <v>0</v>
      </c>
      <c r="X2762">
        <v>0</v>
      </c>
      <c r="Y2762">
        <v>0</v>
      </c>
      <c r="Z2762">
        <v>0</v>
      </c>
    </row>
    <row r="2763" spans="1:26" hidden="1" x14ac:dyDescent="0.25">
      <c r="A2763" t="s">
        <v>5802</v>
      </c>
      <c r="B2763" t="s">
        <v>2153</v>
      </c>
      <c r="C2763" s="4">
        <v>45400</v>
      </c>
      <c r="F2763" s="4">
        <v>47011</v>
      </c>
      <c r="G2763" t="s">
        <v>132</v>
      </c>
      <c r="H2763" t="s">
        <v>1768</v>
      </c>
      <c r="K2763" t="s">
        <v>109</v>
      </c>
      <c r="L2763" t="s">
        <v>4890</v>
      </c>
      <c r="M2763" t="s">
        <v>84</v>
      </c>
      <c r="N2763" t="s">
        <v>4891</v>
      </c>
      <c r="O2763" t="s">
        <v>32</v>
      </c>
      <c r="P2763" t="s">
        <v>1345</v>
      </c>
      <c r="Q2763">
        <v>300</v>
      </c>
      <c r="R2763">
        <v>300</v>
      </c>
      <c r="S2763" t="s">
        <v>34</v>
      </c>
      <c r="T2763" t="s">
        <v>35</v>
      </c>
      <c r="W2763">
        <v>300</v>
      </c>
      <c r="X2763">
        <v>300</v>
      </c>
      <c r="Y2763">
        <v>0</v>
      </c>
      <c r="Z2763">
        <v>0</v>
      </c>
    </row>
    <row r="2764" spans="1:26" hidden="1" x14ac:dyDescent="0.25">
      <c r="A2764" t="s">
        <v>5803</v>
      </c>
      <c r="B2764" t="s">
        <v>38</v>
      </c>
      <c r="C2764" s="4">
        <v>45383</v>
      </c>
      <c r="D2764" s="4">
        <v>46014</v>
      </c>
      <c r="F2764" s="4">
        <v>46507</v>
      </c>
      <c r="G2764" t="s">
        <v>117</v>
      </c>
      <c r="H2764" t="s">
        <v>2366</v>
      </c>
      <c r="K2764" t="s">
        <v>83</v>
      </c>
      <c r="L2764" t="s">
        <v>4890</v>
      </c>
      <c r="M2764" t="s">
        <v>84</v>
      </c>
      <c r="N2764" t="s">
        <v>4891</v>
      </c>
      <c r="O2764" t="s">
        <v>32</v>
      </c>
      <c r="P2764" t="s">
        <v>5804</v>
      </c>
      <c r="Q2764">
        <v>15</v>
      </c>
      <c r="R2764">
        <v>15</v>
      </c>
      <c r="S2764" t="s">
        <v>34</v>
      </c>
      <c r="T2764" t="s">
        <v>35</v>
      </c>
      <c r="W2764">
        <v>0</v>
      </c>
      <c r="X2764">
        <v>0</v>
      </c>
      <c r="Y2764">
        <v>0</v>
      </c>
      <c r="Z2764">
        <v>0</v>
      </c>
    </row>
    <row r="2765" spans="1:26" hidden="1" x14ac:dyDescent="0.25">
      <c r="A2765" t="s">
        <v>5805</v>
      </c>
      <c r="B2765" t="s">
        <v>38</v>
      </c>
      <c r="C2765" s="4">
        <v>45400</v>
      </c>
      <c r="D2765" s="4">
        <v>46014</v>
      </c>
      <c r="F2765" s="4">
        <v>47026</v>
      </c>
      <c r="G2765" t="s">
        <v>1311</v>
      </c>
      <c r="H2765" t="s">
        <v>2457</v>
      </c>
      <c r="K2765" t="s">
        <v>146</v>
      </c>
      <c r="L2765" t="s">
        <v>4890</v>
      </c>
      <c r="M2765" t="s">
        <v>68</v>
      </c>
      <c r="N2765" t="s">
        <v>4891</v>
      </c>
      <c r="O2765" t="s">
        <v>32</v>
      </c>
      <c r="P2765" t="s">
        <v>4974</v>
      </c>
      <c r="Q2765">
        <v>405</v>
      </c>
      <c r="R2765">
        <v>405</v>
      </c>
      <c r="S2765" t="s">
        <v>34</v>
      </c>
      <c r="T2765" t="s">
        <v>35</v>
      </c>
      <c r="W2765">
        <v>0</v>
      </c>
      <c r="X2765">
        <v>0</v>
      </c>
      <c r="Y2765">
        <v>0</v>
      </c>
      <c r="Z2765">
        <v>0</v>
      </c>
    </row>
    <row r="2766" spans="1:26" hidden="1" x14ac:dyDescent="0.25">
      <c r="A2766" t="s">
        <v>5806</v>
      </c>
      <c r="B2766" t="s">
        <v>2153</v>
      </c>
      <c r="C2766" s="4">
        <v>45387</v>
      </c>
      <c r="F2766" s="4">
        <v>46692</v>
      </c>
      <c r="G2766" t="s">
        <v>52</v>
      </c>
      <c r="H2766" t="s">
        <v>3920</v>
      </c>
      <c r="K2766" t="s">
        <v>53</v>
      </c>
      <c r="L2766" t="s">
        <v>4890</v>
      </c>
      <c r="M2766" t="s">
        <v>54</v>
      </c>
      <c r="N2766" t="s">
        <v>4891</v>
      </c>
      <c r="O2766" t="s">
        <v>32</v>
      </c>
      <c r="P2766" t="s">
        <v>4976</v>
      </c>
      <c r="Q2766">
        <v>145.80000000000001</v>
      </c>
      <c r="R2766">
        <v>145.80000000000001</v>
      </c>
      <c r="S2766" t="s">
        <v>34</v>
      </c>
      <c r="T2766" t="s">
        <v>35</v>
      </c>
      <c r="W2766">
        <v>145.80000000000001</v>
      </c>
      <c r="X2766">
        <v>145.80000000000001</v>
      </c>
      <c r="Y2766">
        <v>0</v>
      </c>
      <c r="Z2766">
        <v>0</v>
      </c>
    </row>
    <row r="2767" spans="1:26" hidden="1" x14ac:dyDescent="0.25">
      <c r="A2767" t="s">
        <v>5807</v>
      </c>
      <c r="B2767" t="s">
        <v>2153</v>
      </c>
      <c r="C2767" s="4">
        <v>45400</v>
      </c>
      <c r="F2767" s="4">
        <v>46966</v>
      </c>
      <c r="G2767" t="s">
        <v>173</v>
      </c>
      <c r="H2767" t="s">
        <v>1542</v>
      </c>
      <c r="K2767" t="s">
        <v>41</v>
      </c>
      <c r="L2767" t="s">
        <v>4890</v>
      </c>
      <c r="M2767" t="s">
        <v>42</v>
      </c>
      <c r="N2767" t="s">
        <v>4891</v>
      </c>
      <c r="O2767" t="s">
        <v>32</v>
      </c>
      <c r="P2767" t="s">
        <v>5808</v>
      </c>
      <c r="Q2767">
        <v>430</v>
      </c>
      <c r="R2767">
        <v>430</v>
      </c>
      <c r="S2767" t="s">
        <v>34</v>
      </c>
      <c r="T2767" t="s">
        <v>35</v>
      </c>
      <c r="W2767">
        <v>430</v>
      </c>
      <c r="X2767">
        <v>430</v>
      </c>
      <c r="Y2767">
        <v>0</v>
      </c>
      <c r="Z2767">
        <v>0</v>
      </c>
    </row>
    <row r="2768" spans="1:26" hidden="1" x14ac:dyDescent="0.25">
      <c r="A2768" t="s">
        <v>5809</v>
      </c>
      <c r="B2768" t="s">
        <v>2153</v>
      </c>
      <c r="C2768" s="4">
        <v>45400</v>
      </c>
      <c r="F2768" s="4">
        <v>46174</v>
      </c>
      <c r="G2768" t="s">
        <v>907</v>
      </c>
      <c r="H2768" t="s">
        <v>2052</v>
      </c>
      <c r="K2768" t="s">
        <v>53</v>
      </c>
      <c r="L2768" t="s">
        <v>4890</v>
      </c>
      <c r="M2768" t="s">
        <v>54</v>
      </c>
      <c r="N2768" t="s">
        <v>4891</v>
      </c>
      <c r="O2768" t="s">
        <v>32</v>
      </c>
      <c r="P2768" t="s">
        <v>5810</v>
      </c>
      <c r="Q2768">
        <v>7.5</v>
      </c>
      <c r="R2768">
        <v>7.5</v>
      </c>
      <c r="S2768" t="s">
        <v>719</v>
      </c>
      <c r="T2768" t="s">
        <v>2141</v>
      </c>
      <c r="W2768">
        <v>7.5</v>
      </c>
      <c r="X2768">
        <v>7.5</v>
      </c>
      <c r="Y2768">
        <v>0</v>
      </c>
      <c r="Z2768">
        <v>0</v>
      </c>
    </row>
    <row r="2769" spans="1:26" hidden="1" x14ac:dyDescent="0.25">
      <c r="A2769" t="s">
        <v>5811</v>
      </c>
      <c r="B2769" t="s">
        <v>2153</v>
      </c>
      <c r="C2769" s="4">
        <v>45400</v>
      </c>
      <c r="F2769" s="4">
        <v>46813</v>
      </c>
      <c r="G2769" t="s">
        <v>1753</v>
      </c>
      <c r="H2769" t="s">
        <v>1648</v>
      </c>
      <c r="K2769" t="s">
        <v>114</v>
      </c>
      <c r="L2769" t="s">
        <v>4890</v>
      </c>
      <c r="M2769" t="s">
        <v>68</v>
      </c>
      <c r="N2769" t="s">
        <v>4891</v>
      </c>
      <c r="O2769" t="s">
        <v>32</v>
      </c>
      <c r="P2769" t="s">
        <v>5812</v>
      </c>
      <c r="Q2769">
        <v>170</v>
      </c>
      <c r="R2769">
        <v>170</v>
      </c>
      <c r="S2769" t="s">
        <v>597</v>
      </c>
      <c r="T2769" t="s">
        <v>598</v>
      </c>
      <c r="W2769">
        <v>170</v>
      </c>
      <c r="X2769">
        <v>170</v>
      </c>
      <c r="Y2769">
        <v>0</v>
      </c>
      <c r="Z2769">
        <v>0</v>
      </c>
    </row>
    <row r="2770" spans="1:26" hidden="1" x14ac:dyDescent="0.25">
      <c r="A2770" t="s">
        <v>5813</v>
      </c>
      <c r="B2770" t="s">
        <v>38</v>
      </c>
      <c r="C2770" s="4">
        <v>45400</v>
      </c>
      <c r="D2770" s="4">
        <v>45926</v>
      </c>
      <c r="F2770" s="4">
        <v>45400</v>
      </c>
      <c r="G2770" t="s">
        <v>144</v>
      </c>
      <c r="H2770" t="s">
        <v>1409</v>
      </c>
      <c r="K2770" t="s">
        <v>146</v>
      </c>
      <c r="L2770" t="s">
        <v>4890</v>
      </c>
      <c r="M2770" t="s">
        <v>68</v>
      </c>
      <c r="N2770" t="s">
        <v>4891</v>
      </c>
      <c r="O2770" t="s">
        <v>122</v>
      </c>
      <c r="P2770" t="s">
        <v>5814</v>
      </c>
      <c r="Q2770">
        <v>8</v>
      </c>
      <c r="R2770">
        <v>8</v>
      </c>
      <c r="S2770" t="s">
        <v>597</v>
      </c>
      <c r="T2770" t="s">
        <v>2635</v>
      </c>
      <c r="W2770">
        <v>0</v>
      </c>
      <c r="X2770">
        <v>0</v>
      </c>
      <c r="Y2770">
        <v>0</v>
      </c>
      <c r="Z2770">
        <v>0</v>
      </c>
    </row>
    <row r="2771" spans="1:26" hidden="1" x14ac:dyDescent="0.25">
      <c r="A2771" t="s">
        <v>5815</v>
      </c>
      <c r="B2771" t="s">
        <v>38</v>
      </c>
      <c r="C2771" s="4">
        <v>45400</v>
      </c>
      <c r="D2771" s="4">
        <v>45756</v>
      </c>
      <c r="F2771" s="4">
        <v>46325</v>
      </c>
      <c r="G2771" t="s">
        <v>1381</v>
      </c>
      <c r="H2771" t="s">
        <v>2191</v>
      </c>
      <c r="K2771" t="s">
        <v>209</v>
      </c>
      <c r="L2771" t="s">
        <v>4890</v>
      </c>
      <c r="M2771" t="s">
        <v>42</v>
      </c>
      <c r="N2771" t="s">
        <v>4891</v>
      </c>
      <c r="O2771" t="s">
        <v>32</v>
      </c>
      <c r="P2771" t="s">
        <v>5816</v>
      </c>
      <c r="Q2771">
        <v>235</v>
      </c>
      <c r="R2771">
        <v>235</v>
      </c>
      <c r="S2771" t="s">
        <v>56</v>
      </c>
      <c r="T2771" t="s">
        <v>57</v>
      </c>
      <c r="W2771">
        <v>0</v>
      </c>
      <c r="X2771">
        <v>0</v>
      </c>
      <c r="Y2771">
        <v>0</v>
      </c>
      <c r="Z2771">
        <v>0</v>
      </c>
    </row>
    <row r="2772" spans="1:26" hidden="1" x14ac:dyDescent="0.25">
      <c r="A2772" t="s">
        <v>5817</v>
      </c>
      <c r="B2772" t="s">
        <v>38</v>
      </c>
      <c r="C2772" s="4">
        <v>45400</v>
      </c>
      <c r="D2772" s="4">
        <v>45923</v>
      </c>
      <c r="F2772" s="4">
        <v>47026</v>
      </c>
      <c r="G2772" t="s">
        <v>138</v>
      </c>
      <c r="H2772" t="s">
        <v>4532</v>
      </c>
      <c r="K2772" t="s">
        <v>98</v>
      </c>
      <c r="L2772" t="s">
        <v>4890</v>
      </c>
      <c r="M2772" t="s">
        <v>84</v>
      </c>
      <c r="N2772" t="s">
        <v>4891</v>
      </c>
      <c r="O2772" t="s">
        <v>32</v>
      </c>
      <c r="P2772" t="s">
        <v>5818</v>
      </c>
      <c r="Q2772">
        <v>38</v>
      </c>
      <c r="R2772">
        <v>38</v>
      </c>
      <c r="S2772" t="s">
        <v>34</v>
      </c>
      <c r="T2772" t="s">
        <v>35</v>
      </c>
      <c r="W2772">
        <v>0</v>
      </c>
      <c r="X2772">
        <v>0</v>
      </c>
      <c r="Y2772">
        <v>0</v>
      </c>
      <c r="Z2772">
        <v>0</v>
      </c>
    </row>
    <row r="2773" spans="1:26" hidden="1" x14ac:dyDescent="0.25">
      <c r="A2773" t="s">
        <v>5819</v>
      </c>
      <c r="B2773" t="s">
        <v>38</v>
      </c>
      <c r="C2773" s="4">
        <v>45392</v>
      </c>
      <c r="D2773" s="4">
        <v>45931</v>
      </c>
      <c r="F2773" s="4">
        <v>46966</v>
      </c>
      <c r="G2773" t="s">
        <v>149</v>
      </c>
      <c r="H2773" t="s">
        <v>1750</v>
      </c>
      <c r="K2773" t="s">
        <v>151</v>
      </c>
      <c r="L2773" t="s">
        <v>4890</v>
      </c>
      <c r="M2773" t="s">
        <v>68</v>
      </c>
      <c r="N2773" t="s">
        <v>4891</v>
      </c>
      <c r="O2773" t="s">
        <v>32</v>
      </c>
      <c r="P2773" t="s">
        <v>5820</v>
      </c>
      <c r="Q2773">
        <v>250</v>
      </c>
      <c r="R2773">
        <v>250</v>
      </c>
      <c r="S2773" t="s">
        <v>34</v>
      </c>
      <c r="T2773" t="s">
        <v>35</v>
      </c>
      <c r="W2773">
        <v>0</v>
      </c>
      <c r="X2773">
        <v>0</v>
      </c>
      <c r="Y2773">
        <v>0</v>
      </c>
      <c r="Z2773">
        <v>0</v>
      </c>
    </row>
    <row r="2774" spans="1:26" hidden="1" x14ac:dyDescent="0.25">
      <c r="A2774" t="s">
        <v>5821</v>
      </c>
      <c r="B2774" t="s">
        <v>38</v>
      </c>
      <c r="C2774" s="4">
        <v>45399</v>
      </c>
      <c r="D2774" s="4">
        <v>46014</v>
      </c>
      <c r="F2774" s="4">
        <v>46966</v>
      </c>
      <c r="G2774" t="s">
        <v>2735</v>
      </c>
      <c r="H2774" t="s">
        <v>2351</v>
      </c>
      <c r="K2774" t="s">
        <v>53</v>
      </c>
      <c r="L2774" t="s">
        <v>4890</v>
      </c>
      <c r="M2774" t="s">
        <v>54</v>
      </c>
      <c r="N2774" t="s">
        <v>4891</v>
      </c>
      <c r="O2774" t="s">
        <v>32</v>
      </c>
      <c r="P2774" t="s">
        <v>5822</v>
      </c>
      <c r="Q2774">
        <v>250</v>
      </c>
      <c r="R2774">
        <v>250</v>
      </c>
      <c r="S2774" t="s">
        <v>597</v>
      </c>
      <c r="T2774" t="s">
        <v>598</v>
      </c>
      <c r="W2774">
        <v>0</v>
      </c>
      <c r="X2774">
        <v>0</v>
      </c>
      <c r="Y2774">
        <v>0</v>
      </c>
      <c r="Z2774">
        <v>0</v>
      </c>
    </row>
    <row r="2775" spans="1:26" hidden="1" x14ac:dyDescent="0.25">
      <c r="A2775" t="s">
        <v>5823</v>
      </c>
      <c r="B2775" t="s">
        <v>38</v>
      </c>
      <c r="C2775" s="4">
        <v>45383</v>
      </c>
      <c r="D2775" s="4">
        <v>46014</v>
      </c>
      <c r="F2775" s="4">
        <v>46507</v>
      </c>
      <c r="G2775" t="s">
        <v>117</v>
      </c>
      <c r="H2775" t="s">
        <v>3240</v>
      </c>
      <c r="K2775" t="s">
        <v>83</v>
      </c>
      <c r="L2775" t="s">
        <v>4890</v>
      </c>
      <c r="M2775" t="s">
        <v>84</v>
      </c>
      <c r="N2775" t="s">
        <v>4891</v>
      </c>
      <c r="O2775" t="s">
        <v>32</v>
      </c>
      <c r="P2775" t="s">
        <v>5824</v>
      </c>
      <c r="Q2775">
        <v>45.8</v>
      </c>
      <c r="R2775">
        <v>45.8</v>
      </c>
      <c r="S2775" t="s">
        <v>34</v>
      </c>
      <c r="T2775" t="s">
        <v>35</v>
      </c>
      <c r="W2775">
        <v>0</v>
      </c>
      <c r="X2775">
        <v>0</v>
      </c>
      <c r="Y2775">
        <v>0</v>
      </c>
      <c r="Z2775">
        <v>0</v>
      </c>
    </row>
    <row r="2776" spans="1:26" hidden="1" x14ac:dyDescent="0.25">
      <c r="A2776" t="s">
        <v>5825</v>
      </c>
      <c r="B2776" t="s">
        <v>38</v>
      </c>
      <c r="C2776" s="4">
        <v>45399</v>
      </c>
      <c r="D2776" s="4">
        <v>45924</v>
      </c>
      <c r="F2776" s="4">
        <v>47026</v>
      </c>
      <c r="G2776" t="s">
        <v>616</v>
      </c>
      <c r="H2776" t="s">
        <v>1756</v>
      </c>
      <c r="K2776" t="s">
        <v>146</v>
      </c>
      <c r="L2776" t="s">
        <v>4890</v>
      </c>
      <c r="M2776" t="s">
        <v>68</v>
      </c>
      <c r="N2776" t="s">
        <v>4891</v>
      </c>
      <c r="O2776" t="s">
        <v>32</v>
      </c>
      <c r="P2776" t="s">
        <v>5556</v>
      </c>
      <c r="Q2776">
        <v>200</v>
      </c>
      <c r="R2776">
        <v>200</v>
      </c>
      <c r="S2776" t="s">
        <v>159</v>
      </c>
      <c r="T2776" t="s">
        <v>159</v>
      </c>
      <c r="W2776">
        <v>0</v>
      </c>
      <c r="X2776">
        <v>0</v>
      </c>
      <c r="Y2776">
        <v>0</v>
      </c>
      <c r="Z2776">
        <v>0</v>
      </c>
    </row>
    <row r="2777" spans="1:26" hidden="1" x14ac:dyDescent="0.25">
      <c r="A2777" t="s">
        <v>5826</v>
      </c>
      <c r="B2777" t="s">
        <v>38</v>
      </c>
      <c r="C2777" s="4">
        <v>45399</v>
      </c>
      <c r="D2777" s="4">
        <v>46014</v>
      </c>
      <c r="F2777" s="4">
        <v>46965</v>
      </c>
      <c r="G2777" t="s">
        <v>1311</v>
      </c>
      <c r="H2777" t="s">
        <v>3896</v>
      </c>
      <c r="K2777" t="s">
        <v>114</v>
      </c>
      <c r="L2777" t="s">
        <v>4890</v>
      </c>
      <c r="M2777" t="s">
        <v>68</v>
      </c>
      <c r="N2777" t="s">
        <v>4891</v>
      </c>
      <c r="O2777" t="s">
        <v>32</v>
      </c>
      <c r="P2777" t="s">
        <v>5827</v>
      </c>
      <c r="Q2777">
        <v>100</v>
      </c>
      <c r="R2777">
        <v>100</v>
      </c>
      <c r="S2777" t="s">
        <v>34</v>
      </c>
      <c r="T2777" t="s">
        <v>35</v>
      </c>
      <c r="W2777">
        <v>0</v>
      </c>
      <c r="X2777">
        <v>0</v>
      </c>
      <c r="Y2777">
        <v>0</v>
      </c>
      <c r="Z2777">
        <v>0</v>
      </c>
    </row>
    <row r="2778" spans="1:26" hidden="1" x14ac:dyDescent="0.25">
      <c r="A2778" t="s">
        <v>5828</v>
      </c>
      <c r="B2778" t="s">
        <v>38</v>
      </c>
      <c r="C2778" s="4">
        <v>45399</v>
      </c>
      <c r="D2778" s="4">
        <v>46014</v>
      </c>
      <c r="F2778" s="4">
        <v>46965</v>
      </c>
      <c r="G2778" t="s">
        <v>65</v>
      </c>
      <c r="H2778" t="s">
        <v>3698</v>
      </c>
      <c r="K2778" t="s">
        <v>67</v>
      </c>
      <c r="L2778" t="s">
        <v>4890</v>
      </c>
      <c r="M2778" t="s">
        <v>68</v>
      </c>
      <c r="N2778" t="s">
        <v>4891</v>
      </c>
      <c r="O2778" t="s">
        <v>32</v>
      </c>
      <c r="P2778" t="s">
        <v>5829</v>
      </c>
      <c r="Q2778">
        <v>265</v>
      </c>
      <c r="R2778">
        <v>265</v>
      </c>
      <c r="S2778" t="s">
        <v>34</v>
      </c>
      <c r="T2778" t="s">
        <v>35</v>
      </c>
      <c r="W2778">
        <v>0</v>
      </c>
      <c r="X2778">
        <v>0</v>
      </c>
      <c r="Y2778">
        <v>0</v>
      </c>
      <c r="Z2778">
        <v>0</v>
      </c>
    </row>
    <row r="2779" spans="1:26" hidden="1" x14ac:dyDescent="0.25">
      <c r="A2779" t="s">
        <v>5830</v>
      </c>
      <c r="B2779" t="s">
        <v>38</v>
      </c>
      <c r="C2779" s="4">
        <v>45399</v>
      </c>
      <c r="D2779" s="4">
        <v>46014</v>
      </c>
      <c r="F2779" s="4">
        <v>46965</v>
      </c>
      <c r="G2779" t="s">
        <v>1311</v>
      </c>
      <c r="H2779" t="s">
        <v>3060</v>
      </c>
      <c r="K2779" t="s">
        <v>114</v>
      </c>
      <c r="L2779" t="s">
        <v>4890</v>
      </c>
      <c r="M2779" t="s">
        <v>68</v>
      </c>
      <c r="N2779" t="s">
        <v>4891</v>
      </c>
      <c r="O2779" t="s">
        <v>32</v>
      </c>
      <c r="P2779" t="s">
        <v>5141</v>
      </c>
      <c r="Q2779">
        <v>303</v>
      </c>
      <c r="R2779">
        <v>303</v>
      </c>
      <c r="S2779" t="s">
        <v>34</v>
      </c>
      <c r="T2779" t="s">
        <v>35</v>
      </c>
      <c r="W2779">
        <v>0</v>
      </c>
      <c r="X2779">
        <v>0</v>
      </c>
      <c r="Y2779">
        <v>0</v>
      </c>
      <c r="Z2779">
        <v>0</v>
      </c>
    </row>
    <row r="2780" spans="1:26" hidden="1" x14ac:dyDescent="0.25">
      <c r="A2780" t="s">
        <v>5831</v>
      </c>
      <c r="B2780" t="s">
        <v>38</v>
      </c>
      <c r="C2780" s="4">
        <v>45397</v>
      </c>
      <c r="D2780" s="4">
        <v>45930</v>
      </c>
      <c r="F2780" s="4">
        <v>47088</v>
      </c>
      <c r="G2780" t="s">
        <v>65</v>
      </c>
      <c r="H2780" t="s">
        <v>4510</v>
      </c>
      <c r="K2780" t="s">
        <v>67</v>
      </c>
      <c r="L2780" t="s">
        <v>4890</v>
      </c>
      <c r="M2780" t="s">
        <v>68</v>
      </c>
      <c r="N2780" t="s">
        <v>4891</v>
      </c>
      <c r="O2780" t="s">
        <v>32</v>
      </c>
      <c r="P2780" t="s">
        <v>4957</v>
      </c>
      <c r="Q2780">
        <v>160</v>
      </c>
      <c r="R2780">
        <v>160</v>
      </c>
      <c r="S2780" t="s">
        <v>597</v>
      </c>
      <c r="T2780" t="s">
        <v>598</v>
      </c>
      <c r="W2780">
        <v>0</v>
      </c>
      <c r="X2780">
        <v>0</v>
      </c>
      <c r="Y2780">
        <v>0</v>
      </c>
      <c r="Z2780">
        <v>0</v>
      </c>
    </row>
    <row r="2781" spans="1:26" hidden="1" x14ac:dyDescent="0.25">
      <c r="A2781" t="s">
        <v>5832</v>
      </c>
      <c r="B2781" t="s">
        <v>2153</v>
      </c>
      <c r="C2781" s="4">
        <v>45400</v>
      </c>
      <c r="F2781" s="4">
        <v>47026</v>
      </c>
      <c r="G2781" t="s">
        <v>52</v>
      </c>
      <c r="H2781" t="s">
        <v>1330</v>
      </c>
      <c r="K2781" t="s">
        <v>53</v>
      </c>
      <c r="L2781" t="s">
        <v>4890</v>
      </c>
      <c r="M2781" t="s">
        <v>54</v>
      </c>
      <c r="N2781" t="s">
        <v>4891</v>
      </c>
      <c r="O2781" t="s">
        <v>32</v>
      </c>
      <c r="P2781" t="s">
        <v>5833</v>
      </c>
      <c r="Q2781">
        <v>150</v>
      </c>
      <c r="R2781">
        <v>150</v>
      </c>
      <c r="S2781" t="s">
        <v>159</v>
      </c>
      <c r="T2781" t="s">
        <v>159</v>
      </c>
      <c r="W2781">
        <v>150</v>
      </c>
      <c r="X2781">
        <v>150</v>
      </c>
      <c r="Y2781">
        <v>0</v>
      </c>
      <c r="Z2781">
        <v>0</v>
      </c>
    </row>
    <row r="2782" spans="1:26" hidden="1" x14ac:dyDescent="0.25">
      <c r="A2782" t="s">
        <v>5834</v>
      </c>
      <c r="B2782" t="s">
        <v>2153</v>
      </c>
      <c r="C2782" s="4">
        <v>45394</v>
      </c>
      <c r="F2782" s="4">
        <v>46844</v>
      </c>
      <c r="G2782" t="s">
        <v>52</v>
      </c>
      <c r="H2782" t="s">
        <v>2333</v>
      </c>
      <c r="K2782" t="s">
        <v>53</v>
      </c>
      <c r="L2782" t="s">
        <v>4890</v>
      </c>
      <c r="M2782" t="s">
        <v>54</v>
      </c>
      <c r="N2782" t="s">
        <v>4891</v>
      </c>
      <c r="O2782" t="s">
        <v>32</v>
      </c>
      <c r="P2782" t="s">
        <v>5835</v>
      </c>
      <c r="Q2782">
        <v>91.8</v>
      </c>
      <c r="R2782">
        <v>91.8</v>
      </c>
      <c r="S2782" t="s">
        <v>34</v>
      </c>
      <c r="T2782" t="s">
        <v>35</v>
      </c>
      <c r="W2782">
        <v>91.8</v>
      </c>
      <c r="X2782">
        <v>91.8</v>
      </c>
      <c r="Y2782">
        <v>0</v>
      </c>
      <c r="Z2782">
        <v>0</v>
      </c>
    </row>
    <row r="2783" spans="1:26" hidden="1" x14ac:dyDescent="0.25">
      <c r="A2783" t="s">
        <v>5836</v>
      </c>
      <c r="B2783" t="s">
        <v>38</v>
      </c>
      <c r="C2783" s="4">
        <v>45397</v>
      </c>
      <c r="D2783" s="4">
        <v>45930</v>
      </c>
      <c r="F2783" s="4">
        <v>46980</v>
      </c>
      <c r="G2783" t="s">
        <v>3031</v>
      </c>
      <c r="H2783" t="s">
        <v>5772</v>
      </c>
      <c r="K2783" t="s">
        <v>41</v>
      </c>
      <c r="L2783" t="s">
        <v>4890</v>
      </c>
      <c r="M2783" t="s">
        <v>42</v>
      </c>
      <c r="N2783" t="s">
        <v>4891</v>
      </c>
      <c r="O2783" t="s">
        <v>32</v>
      </c>
      <c r="P2783" t="s">
        <v>5837</v>
      </c>
      <c r="Q2783">
        <v>100</v>
      </c>
      <c r="R2783">
        <v>100</v>
      </c>
      <c r="S2783" t="s">
        <v>159</v>
      </c>
      <c r="T2783" t="s">
        <v>159</v>
      </c>
      <c r="W2783">
        <v>0</v>
      </c>
      <c r="X2783">
        <v>0</v>
      </c>
      <c r="Y2783">
        <v>0</v>
      </c>
      <c r="Z2783">
        <v>0</v>
      </c>
    </row>
    <row r="2784" spans="1:26" hidden="1" x14ac:dyDescent="0.25">
      <c r="A2784" t="s">
        <v>5838</v>
      </c>
      <c r="B2784" t="s">
        <v>38</v>
      </c>
      <c r="C2784" s="4">
        <v>45399</v>
      </c>
      <c r="D2784" s="4">
        <v>45882</v>
      </c>
      <c r="F2784" s="4">
        <v>46310</v>
      </c>
      <c r="G2784" t="s">
        <v>1679</v>
      </c>
      <c r="H2784" t="s">
        <v>1578</v>
      </c>
      <c r="K2784" t="s">
        <v>683</v>
      </c>
      <c r="L2784" t="s">
        <v>4890</v>
      </c>
      <c r="M2784" t="s">
        <v>84</v>
      </c>
      <c r="N2784" t="s">
        <v>4891</v>
      </c>
      <c r="O2784" t="s">
        <v>32</v>
      </c>
      <c r="P2784" t="s">
        <v>4137</v>
      </c>
      <c r="Q2784">
        <v>100</v>
      </c>
      <c r="R2784">
        <v>100</v>
      </c>
      <c r="S2784" t="s">
        <v>56</v>
      </c>
      <c r="T2784" t="s">
        <v>57</v>
      </c>
      <c r="W2784">
        <v>0</v>
      </c>
      <c r="X2784">
        <v>0</v>
      </c>
      <c r="Y2784">
        <v>0</v>
      </c>
      <c r="Z2784">
        <v>0</v>
      </c>
    </row>
    <row r="2785" spans="1:26" hidden="1" x14ac:dyDescent="0.25">
      <c r="A2785" t="s">
        <v>5839</v>
      </c>
      <c r="B2785" t="s">
        <v>2153</v>
      </c>
      <c r="C2785" s="4">
        <v>45400</v>
      </c>
      <c r="F2785" s="4">
        <v>46934</v>
      </c>
      <c r="G2785" t="s">
        <v>72</v>
      </c>
      <c r="H2785" t="s">
        <v>3543</v>
      </c>
      <c r="K2785" t="s">
        <v>209</v>
      </c>
      <c r="L2785" t="s">
        <v>4890</v>
      </c>
      <c r="M2785" t="s">
        <v>42</v>
      </c>
      <c r="N2785" t="s">
        <v>4891</v>
      </c>
      <c r="O2785" t="s">
        <v>32</v>
      </c>
      <c r="P2785" t="s">
        <v>5840</v>
      </c>
      <c r="Q2785">
        <v>205</v>
      </c>
      <c r="R2785">
        <v>205</v>
      </c>
      <c r="S2785" t="s">
        <v>159</v>
      </c>
      <c r="T2785" t="s">
        <v>159</v>
      </c>
      <c r="W2785">
        <v>200</v>
      </c>
      <c r="X2785">
        <v>200</v>
      </c>
      <c r="Y2785">
        <v>0</v>
      </c>
      <c r="Z2785">
        <v>0</v>
      </c>
    </row>
    <row r="2786" spans="1:26" hidden="1" x14ac:dyDescent="0.25">
      <c r="A2786" t="s">
        <v>5841</v>
      </c>
      <c r="B2786" t="s">
        <v>2153</v>
      </c>
      <c r="C2786" s="4">
        <v>45400</v>
      </c>
      <c r="F2786" s="4">
        <v>46595</v>
      </c>
      <c r="G2786" t="s">
        <v>1408</v>
      </c>
      <c r="H2786" t="s">
        <v>1744</v>
      </c>
      <c r="K2786" t="s">
        <v>146</v>
      </c>
      <c r="L2786" t="s">
        <v>4890</v>
      </c>
      <c r="M2786" t="s">
        <v>68</v>
      </c>
      <c r="N2786" t="s">
        <v>4891</v>
      </c>
      <c r="O2786" t="s">
        <v>32</v>
      </c>
      <c r="P2786" t="s">
        <v>5842</v>
      </c>
      <c r="Q2786">
        <v>150</v>
      </c>
      <c r="R2786">
        <v>150</v>
      </c>
      <c r="S2786" t="s">
        <v>34</v>
      </c>
      <c r="T2786" t="s">
        <v>35</v>
      </c>
      <c r="W2786">
        <v>150</v>
      </c>
      <c r="X2786">
        <v>150</v>
      </c>
      <c r="Y2786">
        <v>0</v>
      </c>
      <c r="Z2786">
        <v>0</v>
      </c>
    </row>
    <row r="2787" spans="1:26" hidden="1" x14ac:dyDescent="0.25">
      <c r="A2787" t="s">
        <v>5843</v>
      </c>
      <c r="B2787" t="s">
        <v>2153</v>
      </c>
      <c r="C2787" s="4">
        <v>45400</v>
      </c>
      <c r="F2787" s="4">
        <v>46594</v>
      </c>
      <c r="G2787" t="s">
        <v>52</v>
      </c>
      <c r="H2787" t="s">
        <v>2351</v>
      </c>
      <c r="K2787" t="s">
        <v>53</v>
      </c>
      <c r="L2787" t="s">
        <v>4890</v>
      </c>
      <c r="M2787" t="s">
        <v>54</v>
      </c>
      <c r="N2787" t="s">
        <v>4891</v>
      </c>
      <c r="O2787" t="s">
        <v>32</v>
      </c>
      <c r="P2787" t="s">
        <v>5844</v>
      </c>
      <c r="Q2787">
        <v>180</v>
      </c>
      <c r="R2787">
        <v>180</v>
      </c>
      <c r="S2787" t="s">
        <v>159</v>
      </c>
      <c r="T2787" t="s">
        <v>159</v>
      </c>
      <c r="W2787">
        <v>180</v>
      </c>
      <c r="X2787">
        <v>180</v>
      </c>
      <c r="Y2787">
        <v>0</v>
      </c>
      <c r="Z2787">
        <v>0</v>
      </c>
    </row>
    <row r="2788" spans="1:26" hidden="1" x14ac:dyDescent="0.25">
      <c r="A2788" t="s">
        <v>5845</v>
      </c>
      <c r="B2788" t="s">
        <v>38</v>
      </c>
      <c r="C2788" s="4">
        <v>45400</v>
      </c>
      <c r="D2788" s="4">
        <v>46014</v>
      </c>
      <c r="F2788" s="4">
        <v>46753</v>
      </c>
      <c r="G2788" t="s">
        <v>65</v>
      </c>
      <c r="H2788" t="s">
        <v>1879</v>
      </c>
      <c r="K2788" t="s">
        <v>67</v>
      </c>
      <c r="L2788" t="s">
        <v>4890</v>
      </c>
      <c r="M2788" t="s">
        <v>68</v>
      </c>
      <c r="N2788" t="s">
        <v>4891</v>
      </c>
      <c r="O2788" t="s">
        <v>32</v>
      </c>
      <c r="P2788" t="s">
        <v>5489</v>
      </c>
      <c r="Q2788">
        <v>200</v>
      </c>
      <c r="R2788">
        <v>200</v>
      </c>
      <c r="S2788" t="s">
        <v>597</v>
      </c>
      <c r="T2788" t="s">
        <v>35</v>
      </c>
      <c r="W2788">
        <v>0</v>
      </c>
      <c r="X2788">
        <v>0</v>
      </c>
      <c r="Y2788">
        <v>0</v>
      </c>
      <c r="Z2788">
        <v>0</v>
      </c>
    </row>
    <row r="2789" spans="1:26" hidden="1" x14ac:dyDescent="0.25">
      <c r="A2789" t="s">
        <v>5846</v>
      </c>
      <c r="B2789" t="s">
        <v>2338</v>
      </c>
      <c r="C2789" s="4">
        <v>45400</v>
      </c>
      <c r="F2789" s="4">
        <v>46934</v>
      </c>
      <c r="G2789" t="s">
        <v>1278</v>
      </c>
      <c r="H2789" t="s">
        <v>5847</v>
      </c>
      <c r="K2789" t="s">
        <v>28</v>
      </c>
      <c r="L2789" t="s">
        <v>4890</v>
      </c>
      <c r="M2789" t="s">
        <v>30</v>
      </c>
      <c r="N2789" t="s">
        <v>4891</v>
      </c>
      <c r="O2789" t="s">
        <v>32</v>
      </c>
      <c r="P2789" t="s">
        <v>5848</v>
      </c>
      <c r="Q2789">
        <v>200</v>
      </c>
      <c r="R2789">
        <v>200</v>
      </c>
      <c r="S2789" t="s">
        <v>159</v>
      </c>
      <c r="T2789" t="s">
        <v>159</v>
      </c>
      <c r="W2789">
        <v>200</v>
      </c>
      <c r="X2789">
        <v>200</v>
      </c>
      <c r="Y2789">
        <v>0</v>
      </c>
      <c r="Z2789">
        <v>0</v>
      </c>
    </row>
    <row r="2790" spans="1:26" hidden="1" x14ac:dyDescent="0.25">
      <c r="A2790" t="s">
        <v>5849</v>
      </c>
      <c r="B2790" t="s">
        <v>2338</v>
      </c>
      <c r="C2790" s="4">
        <v>45400</v>
      </c>
      <c r="F2790" s="4">
        <v>46934</v>
      </c>
      <c r="G2790" t="s">
        <v>1278</v>
      </c>
      <c r="H2790" t="s">
        <v>2007</v>
      </c>
      <c r="K2790" t="s">
        <v>53</v>
      </c>
      <c r="L2790" t="s">
        <v>4890</v>
      </c>
      <c r="M2790" t="s">
        <v>30</v>
      </c>
      <c r="N2790" t="s">
        <v>4891</v>
      </c>
      <c r="O2790" t="s">
        <v>32</v>
      </c>
      <c r="P2790" t="s">
        <v>5850</v>
      </c>
      <c r="Q2790">
        <v>200</v>
      </c>
      <c r="R2790">
        <v>200</v>
      </c>
      <c r="S2790" t="s">
        <v>159</v>
      </c>
      <c r="T2790" t="s">
        <v>159</v>
      </c>
      <c r="W2790">
        <v>200</v>
      </c>
      <c r="X2790">
        <v>200</v>
      </c>
      <c r="Y2790">
        <v>0</v>
      </c>
      <c r="Z2790">
        <v>0</v>
      </c>
    </row>
    <row r="2791" spans="1:26" hidden="1" x14ac:dyDescent="0.25">
      <c r="A2791" t="s">
        <v>5851</v>
      </c>
      <c r="B2791" t="s">
        <v>38</v>
      </c>
      <c r="C2791" s="4">
        <v>45400</v>
      </c>
      <c r="D2791" s="4">
        <v>45729</v>
      </c>
      <c r="F2791" s="4">
        <v>46934</v>
      </c>
      <c r="G2791" t="s">
        <v>907</v>
      </c>
      <c r="H2791" t="s">
        <v>1724</v>
      </c>
      <c r="K2791" t="s">
        <v>53</v>
      </c>
      <c r="L2791" t="s">
        <v>4890</v>
      </c>
      <c r="M2791" t="s">
        <v>54</v>
      </c>
      <c r="N2791" t="s">
        <v>4891</v>
      </c>
      <c r="O2791" t="s">
        <v>32</v>
      </c>
      <c r="P2791" t="s">
        <v>5852</v>
      </c>
      <c r="Q2791">
        <v>200</v>
      </c>
      <c r="R2791">
        <v>200</v>
      </c>
      <c r="S2791" t="s">
        <v>159</v>
      </c>
      <c r="T2791" t="s">
        <v>159</v>
      </c>
      <c r="W2791">
        <v>0</v>
      </c>
      <c r="X2791">
        <v>0</v>
      </c>
      <c r="Y2791">
        <v>0</v>
      </c>
      <c r="Z2791">
        <v>0</v>
      </c>
    </row>
    <row r="2792" spans="1:26" hidden="1" x14ac:dyDescent="0.25">
      <c r="A2792" t="s">
        <v>5853</v>
      </c>
      <c r="B2792" t="s">
        <v>2153</v>
      </c>
      <c r="C2792" s="4">
        <v>45398</v>
      </c>
      <c r="F2792" s="4">
        <v>46934</v>
      </c>
      <c r="G2792" t="s">
        <v>1499</v>
      </c>
      <c r="H2792" t="s">
        <v>2447</v>
      </c>
      <c r="K2792" t="s">
        <v>185</v>
      </c>
      <c r="L2792" t="s">
        <v>4890</v>
      </c>
      <c r="M2792" t="s">
        <v>42</v>
      </c>
      <c r="N2792" t="s">
        <v>4891</v>
      </c>
      <c r="O2792" t="s">
        <v>32</v>
      </c>
      <c r="P2792" t="s">
        <v>5854</v>
      </c>
      <c r="Q2792">
        <v>247</v>
      </c>
      <c r="R2792">
        <v>247</v>
      </c>
      <c r="S2792" t="s">
        <v>34</v>
      </c>
      <c r="T2792" t="s">
        <v>35</v>
      </c>
      <c r="W2792">
        <v>247</v>
      </c>
      <c r="X2792">
        <v>247</v>
      </c>
      <c r="Y2792">
        <v>0</v>
      </c>
      <c r="Z2792">
        <v>0</v>
      </c>
    </row>
    <row r="2793" spans="1:26" hidden="1" x14ac:dyDescent="0.25">
      <c r="A2793" t="s">
        <v>5855</v>
      </c>
      <c r="B2793" t="s">
        <v>38</v>
      </c>
      <c r="C2793" s="4">
        <v>45399</v>
      </c>
      <c r="D2793" s="4">
        <v>46014</v>
      </c>
      <c r="F2793" s="4">
        <v>46753</v>
      </c>
      <c r="G2793" t="s">
        <v>65</v>
      </c>
      <c r="H2793" t="s">
        <v>1505</v>
      </c>
      <c r="K2793" t="s">
        <v>67</v>
      </c>
      <c r="L2793" t="s">
        <v>4890</v>
      </c>
      <c r="M2793" t="s">
        <v>68</v>
      </c>
      <c r="N2793" t="s">
        <v>4891</v>
      </c>
      <c r="O2793" t="s">
        <v>32</v>
      </c>
      <c r="P2793" t="s">
        <v>5856</v>
      </c>
      <c r="Q2793">
        <v>100</v>
      </c>
      <c r="R2793">
        <v>100</v>
      </c>
      <c r="S2793" t="s">
        <v>34</v>
      </c>
      <c r="T2793" t="s">
        <v>35</v>
      </c>
      <c r="W2793">
        <v>0</v>
      </c>
      <c r="X2793">
        <v>0</v>
      </c>
      <c r="Y2793">
        <v>0</v>
      </c>
      <c r="Z2793">
        <v>0</v>
      </c>
    </row>
    <row r="2794" spans="1:26" hidden="1" x14ac:dyDescent="0.25">
      <c r="A2794" t="s">
        <v>5857</v>
      </c>
      <c r="B2794" t="s">
        <v>38</v>
      </c>
      <c r="C2794" s="4">
        <v>45399</v>
      </c>
      <c r="D2794" s="4">
        <v>45701</v>
      </c>
      <c r="F2794" s="4">
        <v>46964</v>
      </c>
      <c r="G2794" t="s">
        <v>101</v>
      </c>
      <c r="H2794" t="s">
        <v>1668</v>
      </c>
      <c r="K2794" t="s">
        <v>98</v>
      </c>
      <c r="L2794" t="s">
        <v>4890</v>
      </c>
      <c r="M2794" t="s">
        <v>84</v>
      </c>
      <c r="N2794" t="s">
        <v>4891</v>
      </c>
      <c r="O2794" t="s">
        <v>32</v>
      </c>
      <c r="P2794" t="s">
        <v>5858</v>
      </c>
      <c r="Q2794">
        <v>77</v>
      </c>
      <c r="R2794">
        <v>77</v>
      </c>
      <c r="S2794" t="s">
        <v>597</v>
      </c>
      <c r="T2794" t="s">
        <v>598</v>
      </c>
      <c r="W2794">
        <v>0</v>
      </c>
      <c r="X2794">
        <v>0</v>
      </c>
      <c r="Y2794">
        <v>0</v>
      </c>
      <c r="Z2794">
        <v>0</v>
      </c>
    </row>
    <row r="2795" spans="1:26" hidden="1" x14ac:dyDescent="0.25">
      <c r="A2795" t="s">
        <v>5859</v>
      </c>
      <c r="B2795" t="s">
        <v>38</v>
      </c>
      <c r="C2795" s="4">
        <v>45399</v>
      </c>
      <c r="D2795" s="4">
        <v>46014</v>
      </c>
      <c r="F2795" s="4">
        <v>46753</v>
      </c>
      <c r="G2795" t="s">
        <v>65</v>
      </c>
      <c r="H2795" t="s">
        <v>1849</v>
      </c>
      <c r="K2795" t="s">
        <v>67</v>
      </c>
      <c r="L2795" t="s">
        <v>4890</v>
      </c>
      <c r="M2795" t="s">
        <v>68</v>
      </c>
      <c r="N2795" t="s">
        <v>4891</v>
      </c>
      <c r="O2795" t="s">
        <v>32</v>
      </c>
      <c r="P2795" t="s">
        <v>5860</v>
      </c>
      <c r="Q2795">
        <v>120</v>
      </c>
      <c r="R2795">
        <v>120</v>
      </c>
      <c r="S2795" t="s">
        <v>34</v>
      </c>
      <c r="T2795" t="s">
        <v>35</v>
      </c>
      <c r="W2795">
        <v>0</v>
      </c>
      <c r="X2795">
        <v>0</v>
      </c>
      <c r="Y2795">
        <v>0</v>
      </c>
      <c r="Z2795">
        <v>0</v>
      </c>
    </row>
    <row r="2796" spans="1:26" hidden="1" x14ac:dyDescent="0.25">
      <c r="A2796" t="s">
        <v>5861</v>
      </c>
      <c r="B2796" t="s">
        <v>38</v>
      </c>
      <c r="C2796" s="4">
        <v>45399</v>
      </c>
      <c r="D2796" s="4">
        <v>45916</v>
      </c>
      <c r="F2796" s="4">
        <v>46880</v>
      </c>
      <c r="G2796" t="s">
        <v>1274</v>
      </c>
      <c r="H2796" t="s">
        <v>5271</v>
      </c>
      <c r="K2796" t="s">
        <v>41</v>
      </c>
      <c r="L2796" t="s">
        <v>4890</v>
      </c>
      <c r="M2796" t="s">
        <v>42</v>
      </c>
      <c r="N2796" t="s">
        <v>4891</v>
      </c>
      <c r="O2796" t="s">
        <v>32</v>
      </c>
      <c r="P2796" t="s">
        <v>5862</v>
      </c>
      <c r="Q2796">
        <v>50</v>
      </c>
      <c r="R2796">
        <v>50</v>
      </c>
      <c r="S2796" t="s">
        <v>159</v>
      </c>
      <c r="T2796" t="s">
        <v>159</v>
      </c>
      <c r="W2796">
        <v>0</v>
      </c>
      <c r="X2796">
        <v>0</v>
      </c>
      <c r="Y2796">
        <v>0</v>
      </c>
      <c r="Z2796">
        <v>0</v>
      </c>
    </row>
    <row r="2797" spans="1:26" hidden="1" x14ac:dyDescent="0.25">
      <c r="A2797" t="s">
        <v>5863</v>
      </c>
      <c r="B2797" t="s">
        <v>2153</v>
      </c>
      <c r="C2797" s="4">
        <v>45400</v>
      </c>
      <c r="F2797" s="4">
        <v>46844</v>
      </c>
      <c r="G2797" t="s">
        <v>52</v>
      </c>
      <c r="H2797" t="s">
        <v>2521</v>
      </c>
      <c r="K2797" t="s">
        <v>53</v>
      </c>
      <c r="L2797" t="s">
        <v>4890</v>
      </c>
      <c r="M2797" t="s">
        <v>54</v>
      </c>
      <c r="N2797" t="s">
        <v>4891</v>
      </c>
      <c r="O2797" t="s">
        <v>122</v>
      </c>
      <c r="P2797" t="s">
        <v>5864</v>
      </c>
      <c r="Q2797">
        <v>125</v>
      </c>
      <c r="R2797">
        <v>125</v>
      </c>
      <c r="S2797" t="s">
        <v>34</v>
      </c>
      <c r="T2797" t="s">
        <v>35</v>
      </c>
      <c r="W2797">
        <v>125</v>
      </c>
      <c r="X2797">
        <v>0</v>
      </c>
      <c r="Y2797">
        <v>0</v>
      </c>
      <c r="Z2797">
        <v>0</v>
      </c>
    </row>
    <row r="2798" spans="1:26" hidden="1" x14ac:dyDescent="0.25">
      <c r="A2798" t="s">
        <v>5865</v>
      </c>
      <c r="B2798" t="s">
        <v>38</v>
      </c>
      <c r="C2798" s="4">
        <v>45400</v>
      </c>
      <c r="D2798" s="4">
        <v>46014</v>
      </c>
      <c r="F2798" s="4">
        <v>46844</v>
      </c>
      <c r="G2798" t="s">
        <v>616</v>
      </c>
      <c r="H2798" t="s">
        <v>2467</v>
      </c>
      <c r="K2798" t="s">
        <v>146</v>
      </c>
      <c r="L2798" t="s">
        <v>4890</v>
      </c>
      <c r="M2798" t="s">
        <v>68</v>
      </c>
      <c r="N2798" t="s">
        <v>4891</v>
      </c>
      <c r="O2798" t="s">
        <v>122</v>
      </c>
      <c r="P2798" t="s">
        <v>5866</v>
      </c>
      <c r="Q2798">
        <v>100</v>
      </c>
      <c r="R2798">
        <v>100</v>
      </c>
      <c r="S2798" t="s">
        <v>34</v>
      </c>
      <c r="T2798" t="s">
        <v>35</v>
      </c>
      <c r="W2798">
        <v>0</v>
      </c>
      <c r="X2798">
        <v>0</v>
      </c>
      <c r="Y2798">
        <v>0</v>
      </c>
      <c r="Z2798">
        <v>0</v>
      </c>
    </row>
    <row r="2799" spans="1:26" hidden="1" x14ac:dyDescent="0.25">
      <c r="A2799" t="s">
        <v>5867</v>
      </c>
      <c r="B2799" t="s">
        <v>38</v>
      </c>
      <c r="C2799" s="4">
        <v>45400</v>
      </c>
      <c r="D2799" s="4">
        <v>45925</v>
      </c>
      <c r="F2799" s="4">
        <v>46753</v>
      </c>
      <c r="G2799" t="s">
        <v>681</v>
      </c>
      <c r="H2799" t="s">
        <v>2499</v>
      </c>
      <c r="K2799" t="s">
        <v>683</v>
      </c>
      <c r="L2799" t="s">
        <v>4890</v>
      </c>
      <c r="M2799" t="s">
        <v>84</v>
      </c>
      <c r="N2799" t="s">
        <v>4891</v>
      </c>
      <c r="O2799" t="s">
        <v>32</v>
      </c>
      <c r="P2799" t="s">
        <v>5868</v>
      </c>
      <c r="Q2799">
        <v>50</v>
      </c>
      <c r="R2799">
        <v>50</v>
      </c>
      <c r="S2799" t="s">
        <v>597</v>
      </c>
      <c r="T2799" t="s">
        <v>598</v>
      </c>
      <c r="W2799">
        <v>0</v>
      </c>
      <c r="X2799">
        <v>0</v>
      </c>
      <c r="Y2799">
        <v>0</v>
      </c>
      <c r="Z2799">
        <v>0</v>
      </c>
    </row>
    <row r="2800" spans="1:26" hidden="1" x14ac:dyDescent="0.25">
      <c r="A2800" t="s">
        <v>5869</v>
      </c>
      <c r="B2800" t="s">
        <v>38</v>
      </c>
      <c r="C2800" s="4">
        <v>45400</v>
      </c>
      <c r="D2800" s="4">
        <v>45925</v>
      </c>
      <c r="F2800" s="4">
        <v>46753</v>
      </c>
      <c r="G2800" t="s">
        <v>132</v>
      </c>
      <c r="H2800" t="s">
        <v>1387</v>
      </c>
      <c r="K2800" t="s">
        <v>109</v>
      </c>
      <c r="L2800" t="s">
        <v>4890</v>
      </c>
      <c r="M2800" t="s">
        <v>84</v>
      </c>
      <c r="N2800" t="s">
        <v>4891</v>
      </c>
      <c r="O2800" t="s">
        <v>32</v>
      </c>
      <c r="P2800" t="s">
        <v>5870</v>
      </c>
      <c r="Q2800">
        <v>91</v>
      </c>
      <c r="R2800">
        <v>91</v>
      </c>
      <c r="S2800" t="s">
        <v>597</v>
      </c>
      <c r="T2800" t="s">
        <v>598</v>
      </c>
      <c r="W2800">
        <v>0</v>
      </c>
      <c r="X2800">
        <v>0</v>
      </c>
      <c r="Y2800">
        <v>0</v>
      </c>
      <c r="Z2800">
        <v>0</v>
      </c>
    </row>
    <row r="2801" spans="1:26" hidden="1" x14ac:dyDescent="0.25">
      <c r="A2801" t="s">
        <v>5871</v>
      </c>
      <c r="B2801" t="s">
        <v>38</v>
      </c>
      <c r="C2801" s="4">
        <v>45399</v>
      </c>
      <c r="D2801" s="4">
        <v>45924</v>
      </c>
      <c r="F2801" s="4">
        <v>47087</v>
      </c>
      <c r="G2801" t="s">
        <v>144</v>
      </c>
      <c r="H2801" t="s">
        <v>1405</v>
      </c>
      <c r="K2801" t="s">
        <v>146</v>
      </c>
      <c r="L2801" t="s">
        <v>4890</v>
      </c>
      <c r="M2801" t="s">
        <v>68</v>
      </c>
      <c r="N2801" t="s">
        <v>4891</v>
      </c>
      <c r="O2801" t="s">
        <v>32</v>
      </c>
      <c r="P2801" t="s">
        <v>5872</v>
      </c>
      <c r="Q2801">
        <v>735</v>
      </c>
      <c r="R2801">
        <v>770</v>
      </c>
      <c r="S2801" t="s">
        <v>389</v>
      </c>
      <c r="T2801" t="s">
        <v>2141</v>
      </c>
      <c r="W2801">
        <v>0</v>
      </c>
      <c r="X2801">
        <v>0</v>
      </c>
      <c r="Y2801">
        <v>0</v>
      </c>
      <c r="Z2801">
        <v>0</v>
      </c>
    </row>
    <row r="2802" spans="1:26" hidden="1" x14ac:dyDescent="0.25">
      <c r="A2802" t="s">
        <v>5873</v>
      </c>
      <c r="B2802" t="s">
        <v>2153</v>
      </c>
      <c r="C2802" s="4">
        <v>45400</v>
      </c>
      <c r="F2802" s="4">
        <v>46843</v>
      </c>
      <c r="G2802" t="s">
        <v>691</v>
      </c>
      <c r="H2802" t="s">
        <v>1762</v>
      </c>
      <c r="K2802" t="s">
        <v>83</v>
      </c>
      <c r="L2802" t="s">
        <v>4890</v>
      </c>
      <c r="M2802" t="s">
        <v>84</v>
      </c>
      <c r="N2802" t="s">
        <v>4891</v>
      </c>
      <c r="O2802" t="s">
        <v>32</v>
      </c>
      <c r="P2802" t="s">
        <v>3009</v>
      </c>
      <c r="Q2802">
        <v>141.22999999999999</v>
      </c>
      <c r="R2802">
        <v>141.22999999999999</v>
      </c>
      <c r="S2802" t="s">
        <v>34</v>
      </c>
      <c r="T2802" t="s">
        <v>35</v>
      </c>
      <c r="W2802">
        <v>141.22999999999999</v>
      </c>
      <c r="X2802">
        <v>109.8</v>
      </c>
      <c r="Y2802">
        <v>0</v>
      </c>
      <c r="Z2802">
        <v>0</v>
      </c>
    </row>
    <row r="2803" spans="1:26" hidden="1" x14ac:dyDescent="0.25">
      <c r="A2803" t="s">
        <v>5874</v>
      </c>
      <c r="B2803" t="s">
        <v>2153</v>
      </c>
      <c r="C2803" s="4">
        <v>45378</v>
      </c>
      <c r="F2803" s="4">
        <v>46934</v>
      </c>
      <c r="G2803" t="s">
        <v>72</v>
      </c>
      <c r="H2803" t="s">
        <v>1926</v>
      </c>
      <c r="K2803" t="s">
        <v>209</v>
      </c>
      <c r="L2803" t="s">
        <v>4890</v>
      </c>
      <c r="M2803" t="s">
        <v>42</v>
      </c>
      <c r="N2803" t="s">
        <v>4891</v>
      </c>
      <c r="O2803" t="s">
        <v>32</v>
      </c>
      <c r="P2803" t="s">
        <v>5875</v>
      </c>
      <c r="Q2803">
        <v>320</v>
      </c>
      <c r="R2803">
        <v>320</v>
      </c>
      <c r="S2803" t="s">
        <v>56</v>
      </c>
      <c r="T2803" t="s">
        <v>57</v>
      </c>
      <c r="W2803">
        <v>320</v>
      </c>
      <c r="X2803">
        <v>320</v>
      </c>
      <c r="Y2803">
        <v>0</v>
      </c>
      <c r="Z2803">
        <v>0</v>
      </c>
    </row>
    <row r="2804" spans="1:26" hidden="1" x14ac:dyDescent="0.25">
      <c r="A2804" t="s">
        <v>5876</v>
      </c>
      <c r="B2804" t="s">
        <v>2338</v>
      </c>
      <c r="C2804" s="4">
        <v>45400</v>
      </c>
      <c r="F2804" s="4">
        <v>47574</v>
      </c>
      <c r="G2804" t="s">
        <v>907</v>
      </c>
      <c r="H2804" t="s">
        <v>1396</v>
      </c>
      <c r="K2804" t="s">
        <v>53</v>
      </c>
      <c r="L2804" t="s">
        <v>5172</v>
      </c>
      <c r="M2804" t="s">
        <v>54</v>
      </c>
      <c r="N2804" t="s">
        <v>3122</v>
      </c>
      <c r="O2804" t="s">
        <v>32</v>
      </c>
      <c r="P2804" t="s">
        <v>2757</v>
      </c>
      <c r="Q2804">
        <v>1452</v>
      </c>
      <c r="R2804">
        <v>1452</v>
      </c>
      <c r="S2804" t="s">
        <v>389</v>
      </c>
      <c r="T2804" t="s">
        <v>390</v>
      </c>
      <c r="W2804">
        <v>1452</v>
      </c>
      <c r="X2804">
        <v>1452</v>
      </c>
      <c r="Y2804">
        <v>0</v>
      </c>
      <c r="Z2804">
        <v>0</v>
      </c>
    </row>
    <row r="2805" spans="1:26" hidden="1" x14ac:dyDescent="0.25">
      <c r="A2805" t="s">
        <v>5877</v>
      </c>
      <c r="B2805" t="s">
        <v>2153</v>
      </c>
      <c r="C2805" s="4">
        <v>45399</v>
      </c>
      <c r="F2805" s="4">
        <v>43486</v>
      </c>
      <c r="G2805" t="s">
        <v>1278</v>
      </c>
      <c r="H2805" t="s">
        <v>5610</v>
      </c>
      <c r="K2805" t="s">
        <v>53</v>
      </c>
      <c r="L2805" t="s">
        <v>4890</v>
      </c>
      <c r="M2805" t="s">
        <v>30</v>
      </c>
      <c r="N2805" t="s">
        <v>4891</v>
      </c>
      <c r="O2805" t="s">
        <v>32</v>
      </c>
      <c r="P2805" t="s">
        <v>5878</v>
      </c>
      <c r="Q2805">
        <v>1.8</v>
      </c>
      <c r="R2805">
        <v>1.8</v>
      </c>
      <c r="S2805" t="s">
        <v>389</v>
      </c>
      <c r="T2805" t="s">
        <v>2129</v>
      </c>
      <c r="W2805">
        <v>1.8</v>
      </c>
      <c r="X2805">
        <v>1.8</v>
      </c>
      <c r="Y2805">
        <v>0</v>
      </c>
      <c r="Z2805">
        <v>0</v>
      </c>
    </row>
    <row r="2806" spans="1:26" hidden="1" x14ac:dyDescent="0.25">
      <c r="A2806" t="s">
        <v>5879</v>
      </c>
      <c r="B2806" t="s">
        <v>2153</v>
      </c>
      <c r="C2806" s="4">
        <v>45400</v>
      </c>
      <c r="F2806" s="4">
        <v>46843</v>
      </c>
      <c r="G2806" t="s">
        <v>1368</v>
      </c>
      <c r="H2806" t="s">
        <v>3782</v>
      </c>
      <c r="K2806" t="s">
        <v>83</v>
      </c>
      <c r="L2806" t="s">
        <v>4890</v>
      </c>
      <c r="M2806" t="s">
        <v>42</v>
      </c>
      <c r="N2806" t="s">
        <v>4891</v>
      </c>
      <c r="O2806" t="s">
        <v>32</v>
      </c>
      <c r="P2806" t="s">
        <v>5790</v>
      </c>
      <c r="Q2806">
        <v>195.64</v>
      </c>
      <c r="R2806">
        <v>195.64</v>
      </c>
      <c r="S2806" t="s">
        <v>34</v>
      </c>
      <c r="T2806" t="s">
        <v>35</v>
      </c>
      <c r="W2806">
        <v>195.64</v>
      </c>
      <c r="X2806">
        <v>195.64</v>
      </c>
      <c r="Y2806">
        <v>0</v>
      </c>
      <c r="Z2806">
        <v>0</v>
      </c>
    </row>
    <row r="2807" spans="1:26" hidden="1" x14ac:dyDescent="0.25">
      <c r="A2807" t="s">
        <v>5880</v>
      </c>
      <c r="B2807" t="s">
        <v>38</v>
      </c>
      <c r="C2807" s="4">
        <v>45399</v>
      </c>
      <c r="D2807" s="4">
        <v>45930</v>
      </c>
      <c r="F2807" s="4">
        <v>47000</v>
      </c>
      <c r="G2807" t="s">
        <v>65</v>
      </c>
      <c r="H2807" t="s">
        <v>3380</v>
      </c>
      <c r="K2807" t="s">
        <v>67</v>
      </c>
      <c r="L2807" t="s">
        <v>4890</v>
      </c>
      <c r="M2807" t="s">
        <v>68</v>
      </c>
      <c r="N2807" t="s">
        <v>4891</v>
      </c>
      <c r="O2807" t="s">
        <v>32</v>
      </c>
      <c r="P2807" t="s">
        <v>3959</v>
      </c>
      <c r="Q2807">
        <v>300</v>
      </c>
      <c r="R2807">
        <v>300</v>
      </c>
      <c r="S2807" t="s">
        <v>34</v>
      </c>
      <c r="T2807" t="s">
        <v>35</v>
      </c>
      <c r="W2807">
        <v>0</v>
      </c>
      <c r="X2807">
        <v>0</v>
      </c>
      <c r="Y2807">
        <v>0</v>
      </c>
      <c r="Z2807">
        <v>0</v>
      </c>
    </row>
    <row r="2808" spans="1:26" hidden="1" x14ac:dyDescent="0.25">
      <c r="A2808" t="s">
        <v>5881</v>
      </c>
      <c r="B2808" t="s">
        <v>2153</v>
      </c>
      <c r="C2808" s="4">
        <v>45400</v>
      </c>
      <c r="F2808" s="4">
        <v>46844</v>
      </c>
      <c r="G2808" t="s">
        <v>907</v>
      </c>
      <c r="H2808" t="s">
        <v>1421</v>
      </c>
      <c r="K2808" t="s">
        <v>53</v>
      </c>
      <c r="L2808" t="s">
        <v>4890</v>
      </c>
      <c r="M2808" t="s">
        <v>54</v>
      </c>
      <c r="N2808" t="s">
        <v>4891</v>
      </c>
      <c r="O2808" t="s">
        <v>32</v>
      </c>
      <c r="P2808" t="s">
        <v>5882</v>
      </c>
      <c r="Q2808">
        <v>200</v>
      </c>
      <c r="R2808">
        <v>200</v>
      </c>
      <c r="S2808" t="s">
        <v>34</v>
      </c>
      <c r="T2808" t="s">
        <v>35</v>
      </c>
      <c r="W2808">
        <v>200</v>
      </c>
      <c r="X2808">
        <v>200</v>
      </c>
      <c r="Y2808">
        <v>0</v>
      </c>
      <c r="Z2808">
        <v>0</v>
      </c>
    </row>
    <row r="2809" spans="1:26" hidden="1" x14ac:dyDescent="0.25">
      <c r="A2809" t="s">
        <v>5883</v>
      </c>
      <c r="B2809" t="s">
        <v>38</v>
      </c>
      <c r="C2809" s="4">
        <v>45400</v>
      </c>
      <c r="D2809" s="4">
        <v>45929</v>
      </c>
      <c r="F2809" s="4">
        <v>46934</v>
      </c>
      <c r="G2809" t="s">
        <v>101</v>
      </c>
      <c r="H2809" t="s">
        <v>1427</v>
      </c>
      <c r="K2809" t="s">
        <v>98</v>
      </c>
      <c r="L2809" t="s">
        <v>4890</v>
      </c>
      <c r="M2809" t="s">
        <v>84</v>
      </c>
      <c r="N2809" t="s">
        <v>4891</v>
      </c>
      <c r="O2809" t="s">
        <v>32</v>
      </c>
      <c r="P2809" t="s">
        <v>3952</v>
      </c>
      <c r="Q2809">
        <v>100</v>
      </c>
      <c r="R2809">
        <v>100</v>
      </c>
      <c r="S2809" t="s">
        <v>159</v>
      </c>
      <c r="T2809" t="s">
        <v>159</v>
      </c>
      <c r="W2809">
        <v>0</v>
      </c>
      <c r="X2809">
        <v>0</v>
      </c>
      <c r="Y2809">
        <v>0</v>
      </c>
      <c r="Z2809">
        <v>0</v>
      </c>
    </row>
    <row r="2810" spans="1:26" hidden="1" x14ac:dyDescent="0.25">
      <c r="A2810" t="s">
        <v>5884</v>
      </c>
      <c r="B2810" t="s">
        <v>2153</v>
      </c>
      <c r="C2810" s="4">
        <v>45378</v>
      </c>
      <c r="F2810" s="4">
        <v>46631</v>
      </c>
      <c r="G2810" t="s">
        <v>117</v>
      </c>
      <c r="H2810" t="s">
        <v>1637</v>
      </c>
      <c r="K2810" t="s">
        <v>83</v>
      </c>
      <c r="L2810" t="s">
        <v>4890</v>
      </c>
      <c r="M2810" t="s">
        <v>84</v>
      </c>
      <c r="N2810" t="s">
        <v>4891</v>
      </c>
      <c r="O2810" t="s">
        <v>32</v>
      </c>
      <c r="P2810" t="s">
        <v>5885</v>
      </c>
      <c r="Q2810">
        <v>250</v>
      </c>
      <c r="R2810">
        <v>250</v>
      </c>
      <c r="S2810" t="s">
        <v>34</v>
      </c>
      <c r="T2810" t="s">
        <v>35</v>
      </c>
      <c r="W2810">
        <v>250</v>
      </c>
      <c r="X2810">
        <v>250</v>
      </c>
      <c r="Y2810">
        <v>0</v>
      </c>
      <c r="Z2810">
        <v>0</v>
      </c>
    </row>
    <row r="2811" spans="1:26" hidden="1" x14ac:dyDescent="0.25">
      <c r="A2811" t="s">
        <v>5886</v>
      </c>
      <c r="B2811" t="s">
        <v>38</v>
      </c>
      <c r="C2811" s="4">
        <v>45398</v>
      </c>
      <c r="D2811" s="4">
        <v>46014</v>
      </c>
      <c r="F2811" s="4">
        <v>46905</v>
      </c>
      <c r="G2811" t="s">
        <v>1311</v>
      </c>
      <c r="H2811" t="s">
        <v>3060</v>
      </c>
      <c r="K2811" t="s">
        <v>114</v>
      </c>
      <c r="L2811" t="s">
        <v>4890</v>
      </c>
      <c r="M2811" t="s">
        <v>68</v>
      </c>
      <c r="N2811" t="s">
        <v>4891</v>
      </c>
      <c r="O2811" t="s">
        <v>32</v>
      </c>
      <c r="P2811" t="s">
        <v>5887</v>
      </c>
      <c r="Q2811">
        <v>100</v>
      </c>
      <c r="R2811">
        <v>100</v>
      </c>
      <c r="S2811" t="s">
        <v>34</v>
      </c>
      <c r="T2811" t="s">
        <v>35</v>
      </c>
      <c r="W2811">
        <v>0</v>
      </c>
      <c r="X2811">
        <v>0</v>
      </c>
      <c r="Y2811">
        <v>0</v>
      </c>
      <c r="Z2811">
        <v>0</v>
      </c>
    </row>
    <row r="2812" spans="1:26" hidden="1" x14ac:dyDescent="0.25">
      <c r="A2812" t="s">
        <v>5888</v>
      </c>
      <c r="B2812" t="s">
        <v>38</v>
      </c>
      <c r="C2812" s="4">
        <v>45391</v>
      </c>
      <c r="D2812" s="4">
        <v>46014</v>
      </c>
      <c r="F2812" s="4">
        <v>46966</v>
      </c>
      <c r="G2812" t="s">
        <v>39</v>
      </c>
      <c r="H2812" t="s">
        <v>1271</v>
      </c>
      <c r="K2812" t="s">
        <v>41</v>
      </c>
      <c r="L2812" t="s">
        <v>4890</v>
      </c>
      <c r="M2812" t="s">
        <v>42</v>
      </c>
      <c r="N2812" t="s">
        <v>4891</v>
      </c>
      <c r="O2812" t="s">
        <v>32</v>
      </c>
      <c r="P2812" t="s">
        <v>5203</v>
      </c>
      <c r="Q2812">
        <v>100</v>
      </c>
      <c r="R2812">
        <v>100</v>
      </c>
      <c r="S2812" t="s">
        <v>159</v>
      </c>
      <c r="T2812" t="s">
        <v>159</v>
      </c>
      <c r="W2812">
        <v>0</v>
      </c>
      <c r="X2812">
        <v>0</v>
      </c>
      <c r="Y2812">
        <v>0</v>
      </c>
      <c r="Z2812">
        <v>0</v>
      </c>
    </row>
    <row r="2813" spans="1:26" hidden="1" x14ac:dyDescent="0.25">
      <c r="A2813" t="s">
        <v>5889</v>
      </c>
      <c r="B2813" t="s">
        <v>38</v>
      </c>
      <c r="C2813" s="4">
        <v>45398</v>
      </c>
      <c r="D2813" s="4">
        <v>45930</v>
      </c>
      <c r="F2813" s="4">
        <v>46874</v>
      </c>
      <c r="G2813" t="s">
        <v>1381</v>
      </c>
      <c r="H2813" t="s">
        <v>1618</v>
      </c>
      <c r="K2813" t="s">
        <v>209</v>
      </c>
      <c r="L2813" t="s">
        <v>4890</v>
      </c>
      <c r="M2813" t="s">
        <v>42</v>
      </c>
      <c r="N2813" t="s">
        <v>4891</v>
      </c>
      <c r="O2813" t="s">
        <v>32</v>
      </c>
      <c r="P2813" t="s">
        <v>5890</v>
      </c>
      <c r="Q2813">
        <v>300</v>
      </c>
      <c r="R2813">
        <v>300</v>
      </c>
      <c r="S2813" t="s">
        <v>56</v>
      </c>
      <c r="T2813" t="s">
        <v>57</v>
      </c>
      <c r="W2813">
        <v>0</v>
      </c>
      <c r="X2813">
        <v>0</v>
      </c>
      <c r="Y2813">
        <v>0</v>
      </c>
      <c r="Z2813">
        <v>0</v>
      </c>
    </row>
    <row r="2814" spans="1:26" hidden="1" x14ac:dyDescent="0.25">
      <c r="A2814" t="s">
        <v>5891</v>
      </c>
      <c r="B2814" t="s">
        <v>38</v>
      </c>
      <c r="C2814" s="4">
        <v>45399</v>
      </c>
      <c r="D2814" s="4">
        <v>46176</v>
      </c>
      <c r="F2814" s="4">
        <v>46997</v>
      </c>
      <c r="G2814" t="s">
        <v>117</v>
      </c>
      <c r="H2814" t="s">
        <v>3260</v>
      </c>
      <c r="K2814" t="s">
        <v>83</v>
      </c>
      <c r="L2814" t="s">
        <v>4890</v>
      </c>
      <c r="M2814" t="s">
        <v>84</v>
      </c>
      <c r="N2814" t="s">
        <v>4891</v>
      </c>
      <c r="O2814" t="s">
        <v>32</v>
      </c>
      <c r="P2814" t="s">
        <v>1926</v>
      </c>
      <c r="Q2814">
        <v>199.99</v>
      </c>
      <c r="R2814">
        <v>199.99</v>
      </c>
      <c r="S2814" t="s">
        <v>56</v>
      </c>
      <c r="T2814" t="s">
        <v>57</v>
      </c>
      <c r="W2814">
        <v>0</v>
      </c>
      <c r="X2814">
        <v>0</v>
      </c>
      <c r="Y2814">
        <v>0</v>
      </c>
      <c r="Z2814">
        <v>0</v>
      </c>
    </row>
    <row r="2815" spans="1:26" hidden="1" x14ac:dyDescent="0.25">
      <c r="A2815" t="s">
        <v>5892</v>
      </c>
      <c r="B2815" t="s">
        <v>38</v>
      </c>
      <c r="C2815" s="4">
        <v>45399</v>
      </c>
      <c r="D2815" s="4">
        <v>45929</v>
      </c>
      <c r="F2815" s="4">
        <v>46296</v>
      </c>
      <c r="G2815" t="s">
        <v>101</v>
      </c>
      <c r="H2815" t="s">
        <v>1387</v>
      </c>
      <c r="K2815" t="s">
        <v>98</v>
      </c>
      <c r="L2815" t="s">
        <v>4890</v>
      </c>
      <c r="M2815" t="s">
        <v>84</v>
      </c>
      <c r="N2815" t="s">
        <v>4891</v>
      </c>
      <c r="O2815" t="s">
        <v>32</v>
      </c>
      <c r="P2815" t="s">
        <v>3952</v>
      </c>
      <c r="Q2815">
        <v>300</v>
      </c>
      <c r="R2815">
        <v>300</v>
      </c>
      <c r="S2815" t="s">
        <v>159</v>
      </c>
      <c r="T2815" t="s">
        <v>159</v>
      </c>
      <c r="W2815">
        <v>0</v>
      </c>
      <c r="X2815">
        <v>0</v>
      </c>
      <c r="Y2815">
        <v>0</v>
      </c>
      <c r="Z2815">
        <v>0</v>
      </c>
    </row>
    <row r="2816" spans="1:26" hidden="1" x14ac:dyDescent="0.25">
      <c r="A2816" t="s">
        <v>5893</v>
      </c>
      <c r="B2816" t="s">
        <v>2153</v>
      </c>
      <c r="C2816" s="4">
        <v>45400</v>
      </c>
      <c r="F2816" s="4">
        <v>47026</v>
      </c>
      <c r="G2816" t="s">
        <v>117</v>
      </c>
      <c r="H2816" t="s">
        <v>1542</v>
      </c>
      <c r="K2816" t="s">
        <v>83</v>
      </c>
      <c r="L2816" t="s">
        <v>4890</v>
      </c>
      <c r="M2816" t="s">
        <v>84</v>
      </c>
      <c r="N2816" t="s">
        <v>4891</v>
      </c>
      <c r="O2816" t="s">
        <v>32</v>
      </c>
      <c r="P2816" t="s">
        <v>5184</v>
      </c>
      <c r="Q2816">
        <v>200</v>
      </c>
      <c r="R2816">
        <v>200</v>
      </c>
      <c r="S2816" t="s">
        <v>34</v>
      </c>
      <c r="T2816" t="s">
        <v>35</v>
      </c>
      <c r="W2816">
        <v>200</v>
      </c>
      <c r="X2816">
        <v>200</v>
      </c>
      <c r="Y2816">
        <v>0</v>
      </c>
      <c r="Z2816">
        <v>0</v>
      </c>
    </row>
    <row r="2817" spans="1:26" hidden="1" x14ac:dyDescent="0.25">
      <c r="A2817" t="s">
        <v>5894</v>
      </c>
      <c r="B2817" t="s">
        <v>38</v>
      </c>
      <c r="C2817" s="4">
        <v>45400</v>
      </c>
      <c r="D2817" s="4">
        <v>46014</v>
      </c>
      <c r="F2817" s="4">
        <v>46753</v>
      </c>
      <c r="G2817" t="s">
        <v>65</v>
      </c>
      <c r="H2817" t="s">
        <v>3380</v>
      </c>
      <c r="K2817" t="s">
        <v>67</v>
      </c>
      <c r="L2817" t="s">
        <v>4890</v>
      </c>
      <c r="M2817" t="s">
        <v>68</v>
      </c>
      <c r="N2817" t="s">
        <v>4891</v>
      </c>
      <c r="O2817" t="s">
        <v>32</v>
      </c>
      <c r="P2817" t="s">
        <v>5895</v>
      </c>
      <c r="Q2817">
        <v>158.59</v>
      </c>
      <c r="R2817">
        <v>158.59</v>
      </c>
      <c r="S2817" t="s">
        <v>34</v>
      </c>
      <c r="T2817" t="s">
        <v>598</v>
      </c>
      <c r="W2817">
        <v>0</v>
      </c>
      <c r="X2817">
        <v>0</v>
      </c>
      <c r="Y2817">
        <v>0</v>
      </c>
      <c r="Z2817">
        <v>0</v>
      </c>
    </row>
    <row r="2818" spans="1:26" hidden="1" x14ac:dyDescent="0.25">
      <c r="A2818" t="s">
        <v>5896</v>
      </c>
      <c r="B2818" t="s">
        <v>38</v>
      </c>
      <c r="C2818" s="4">
        <v>45400</v>
      </c>
      <c r="D2818" s="4">
        <v>45929</v>
      </c>
      <c r="F2818" s="4">
        <v>46934</v>
      </c>
      <c r="G2818" t="s">
        <v>101</v>
      </c>
      <c r="H2818" t="s">
        <v>1427</v>
      </c>
      <c r="K2818" t="s">
        <v>98</v>
      </c>
      <c r="L2818" t="s">
        <v>4890</v>
      </c>
      <c r="M2818" t="s">
        <v>84</v>
      </c>
      <c r="N2818" t="s">
        <v>4891</v>
      </c>
      <c r="O2818" t="s">
        <v>32</v>
      </c>
      <c r="P2818" t="s">
        <v>3952</v>
      </c>
      <c r="Q2818">
        <v>100</v>
      </c>
      <c r="R2818">
        <v>100</v>
      </c>
      <c r="S2818" t="s">
        <v>159</v>
      </c>
      <c r="T2818" t="s">
        <v>159</v>
      </c>
      <c r="W2818">
        <v>0</v>
      </c>
      <c r="X2818">
        <v>0</v>
      </c>
      <c r="Y2818">
        <v>0</v>
      </c>
      <c r="Z2818">
        <v>0</v>
      </c>
    </row>
    <row r="2819" spans="1:26" hidden="1" x14ac:dyDescent="0.25">
      <c r="A2819" t="s">
        <v>5897</v>
      </c>
      <c r="B2819" t="s">
        <v>38</v>
      </c>
      <c r="C2819" s="4">
        <v>45398</v>
      </c>
      <c r="D2819" s="4">
        <v>46014</v>
      </c>
      <c r="F2819" s="4">
        <v>47056</v>
      </c>
      <c r="G2819" t="s">
        <v>65</v>
      </c>
      <c r="H2819" t="s">
        <v>1879</v>
      </c>
      <c r="K2819" t="s">
        <v>67</v>
      </c>
      <c r="L2819" t="s">
        <v>4890</v>
      </c>
      <c r="M2819" t="s">
        <v>68</v>
      </c>
      <c r="N2819" t="s">
        <v>4891</v>
      </c>
      <c r="O2819" t="s">
        <v>1110</v>
      </c>
      <c r="P2819" t="s">
        <v>2150</v>
      </c>
      <c r="Q2819">
        <v>135</v>
      </c>
      <c r="R2819">
        <v>135</v>
      </c>
      <c r="S2819" t="s">
        <v>56</v>
      </c>
      <c r="T2819" t="s">
        <v>57</v>
      </c>
      <c r="W2819">
        <v>0</v>
      </c>
      <c r="X2819">
        <v>0</v>
      </c>
      <c r="Y2819">
        <v>0</v>
      </c>
      <c r="Z2819">
        <v>0</v>
      </c>
    </row>
    <row r="2820" spans="1:26" hidden="1" x14ac:dyDescent="0.25">
      <c r="A2820" t="s">
        <v>5898</v>
      </c>
      <c r="B2820" t="s">
        <v>2153</v>
      </c>
      <c r="C2820" s="4">
        <v>45472</v>
      </c>
      <c r="F2820" s="4">
        <v>46317</v>
      </c>
      <c r="G2820" t="s">
        <v>1408</v>
      </c>
      <c r="H2820" t="s">
        <v>2437</v>
      </c>
      <c r="K2820" t="s">
        <v>146</v>
      </c>
      <c r="L2820" t="s">
        <v>4890</v>
      </c>
      <c r="M2820" t="s">
        <v>68</v>
      </c>
      <c r="N2820" t="s">
        <v>4891</v>
      </c>
      <c r="O2820" t="s">
        <v>32</v>
      </c>
      <c r="P2820" t="s">
        <v>5899</v>
      </c>
      <c r="Q2820">
        <v>153.1</v>
      </c>
      <c r="R2820">
        <v>59.5</v>
      </c>
      <c r="S2820" t="s">
        <v>5900</v>
      </c>
      <c r="T2820" t="s">
        <v>5900</v>
      </c>
      <c r="W2820">
        <v>59.5</v>
      </c>
      <c r="X2820">
        <v>153.1</v>
      </c>
      <c r="Y2820">
        <v>0</v>
      </c>
      <c r="Z2820">
        <v>0</v>
      </c>
    </row>
    <row r="2821" spans="1:26" hidden="1" x14ac:dyDescent="0.25">
      <c r="A2821" t="s">
        <v>5901</v>
      </c>
      <c r="B2821" t="s">
        <v>38</v>
      </c>
      <c r="C2821" s="4">
        <v>45399</v>
      </c>
      <c r="D2821" s="4">
        <v>46014</v>
      </c>
      <c r="F2821" s="4">
        <v>46905</v>
      </c>
      <c r="G2821" t="s">
        <v>52</v>
      </c>
      <c r="H2821" t="s">
        <v>2351</v>
      </c>
      <c r="K2821" t="s">
        <v>53</v>
      </c>
      <c r="L2821" t="s">
        <v>4890</v>
      </c>
      <c r="M2821" t="s">
        <v>54</v>
      </c>
      <c r="N2821" t="s">
        <v>4891</v>
      </c>
      <c r="O2821" t="s">
        <v>32</v>
      </c>
      <c r="P2821" t="s">
        <v>5902</v>
      </c>
      <c r="Q2821">
        <v>100</v>
      </c>
      <c r="R2821">
        <v>100</v>
      </c>
      <c r="S2821" t="s">
        <v>159</v>
      </c>
      <c r="T2821" t="s">
        <v>159</v>
      </c>
      <c r="W2821">
        <v>0</v>
      </c>
      <c r="X2821">
        <v>0</v>
      </c>
      <c r="Y2821">
        <v>0</v>
      </c>
      <c r="Z2821">
        <v>0</v>
      </c>
    </row>
    <row r="2822" spans="1:26" hidden="1" x14ac:dyDescent="0.25">
      <c r="A2822" t="s">
        <v>5903</v>
      </c>
      <c r="B2822" t="s">
        <v>38</v>
      </c>
      <c r="C2822" s="4">
        <v>45393</v>
      </c>
      <c r="D2822" s="4">
        <v>45930</v>
      </c>
      <c r="F2822" s="4">
        <v>46982</v>
      </c>
      <c r="G2822" t="s">
        <v>52</v>
      </c>
      <c r="H2822" t="s">
        <v>4025</v>
      </c>
      <c r="K2822" t="s">
        <v>53</v>
      </c>
      <c r="L2822" t="s">
        <v>4890</v>
      </c>
      <c r="M2822" t="s">
        <v>54</v>
      </c>
      <c r="N2822" t="s">
        <v>4891</v>
      </c>
      <c r="O2822" t="s">
        <v>32</v>
      </c>
      <c r="P2822" t="s">
        <v>1345</v>
      </c>
      <c r="Q2822">
        <v>175</v>
      </c>
      <c r="R2822">
        <v>175</v>
      </c>
      <c r="S2822" t="s">
        <v>159</v>
      </c>
      <c r="T2822" t="s">
        <v>159</v>
      </c>
      <c r="W2822">
        <v>0</v>
      </c>
      <c r="X2822">
        <v>0</v>
      </c>
      <c r="Y2822">
        <v>0</v>
      </c>
      <c r="Z2822">
        <v>0</v>
      </c>
    </row>
    <row r="2823" spans="1:26" hidden="1" x14ac:dyDescent="0.25">
      <c r="A2823" t="s">
        <v>5904</v>
      </c>
      <c r="B2823" t="s">
        <v>2153</v>
      </c>
      <c r="C2823" s="4">
        <v>45450</v>
      </c>
      <c r="F2823" s="4">
        <v>46813</v>
      </c>
      <c r="G2823" t="s">
        <v>117</v>
      </c>
      <c r="H2823" t="s">
        <v>1821</v>
      </c>
      <c r="K2823" t="s">
        <v>83</v>
      </c>
      <c r="L2823" t="s">
        <v>4890</v>
      </c>
      <c r="M2823" t="s">
        <v>84</v>
      </c>
      <c r="N2823" t="s">
        <v>4891</v>
      </c>
      <c r="O2823" t="s">
        <v>122</v>
      </c>
      <c r="P2823" t="s">
        <v>3228</v>
      </c>
      <c r="Q2823">
        <v>40</v>
      </c>
      <c r="R2823">
        <v>40</v>
      </c>
      <c r="S2823" t="s">
        <v>34</v>
      </c>
      <c r="T2823" t="s">
        <v>35</v>
      </c>
      <c r="W2823">
        <v>40</v>
      </c>
      <c r="X2823">
        <v>0</v>
      </c>
      <c r="Y2823">
        <v>0</v>
      </c>
      <c r="Z2823">
        <v>0</v>
      </c>
    </row>
    <row r="2824" spans="1:26" hidden="1" x14ac:dyDescent="0.25">
      <c r="A2824" t="s">
        <v>5905</v>
      </c>
      <c r="B2824" t="s">
        <v>38</v>
      </c>
      <c r="C2824" s="4">
        <v>45400</v>
      </c>
      <c r="D2824" s="4">
        <v>45884</v>
      </c>
      <c r="F2824" s="4">
        <v>46508</v>
      </c>
      <c r="G2824" t="s">
        <v>1311</v>
      </c>
      <c r="H2824" t="s">
        <v>1648</v>
      </c>
      <c r="K2824" t="s">
        <v>114</v>
      </c>
      <c r="L2824" t="s">
        <v>4890</v>
      </c>
      <c r="M2824" t="s">
        <v>68</v>
      </c>
      <c r="N2824" t="s">
        <v>4891</v>
      </c>
      <c r="O2824" t="s">
        <v>32</v>
      </c>
      <c r="P2824" t="s">
        <v>5906</v>
      </c>
      <c r="Q2824">
        <v>36.1</v>
      </c>
      <c r="R2824">
        <v>36.1</v>
      </c>
      <c r="S2824" t="s">
        <v>34</v>
      </c>
      <c r="T2824" t="s">
        <v>35</v>
      </c>
      <c r="W2824">
        <v>0</v>
      </c>
      <c r="X2824">
        <v>0</v>
      </c>
      <c r="Y2824">
        <v>0</v>
      </c>
      <c r="Z2824">
        <v>0</v>
      </c>
    </row>
    <row r="2825" spans="1:26" hidden="1" x14ac:dyDescent="0.25">
      <c r="A2825" t="s">
        <v>5907</v>
      </c>
      <c r="B2825" t="s">
        <v>2153</v>
      </c>
      <c r="C2825" s="4">
        <v>45398</v>
      </c>
      <c r="F2825" s="4">
        <v>46905</v>
      </c>
      <c r="G2825" t="s">
        <v>117</v>
      </c>
      <c r="H2825" t="s">
        <v>1668</v>
      </c>
      <c r="K2825" t="s">
        <v>83</v>
      </c>
      <c r="L2825" t="s">
        <v>4890</v>
      </c>
      <c r="M2825" t="s">
        <v>84</v>
      </c>
      <c r="N2825" t="s">
        <v>4891</v>
      </c>
      <c r="O2825" t="s">
        <v>32</v>
      </c>
      <c r="P2825" t="s">
        <v>5908</v>
      </c>
      <c r="Q2825">
        <v>127</v>
      </c>
      <c r="R2825">
        <v>127</v>
      </c>
      <c r="S2825" t="s">
        <v>56</v>
      </c>
      <c r="T2825" t="s">
        <v>57</v>
      </c>
      <c r="W2825">
        <v>127</v>
      </c>
      <c r="X2825">
        <v>127</v>
      </c>
      <c r="Y2825">
        <v>0</v>
      </c>
      <c r="Z2825">
        <v>0</v>
      </c>
    </row>
    <row r="2826" spans="1:26" hidden="1" x14ac:dyDescent="0.25">
      <c r="A2826" t="s">
        <v>5909</v>
      </c>
      <c r="B2826" t="s">
        <v>38</v>
      </c>
      <c r="C2826" s="4">
        <v>45400</v>
      </c>
      <c r="D2826" s="4">
        <v>46014</v>
      </c>
      <c r="F2826" s="4">
        <v>46966</v>
      </c>
      <c r="G2826" t="s">
        <v>149</v>
      </c>
      <c r="H2826" t="s">
        <v>1750</v>
      </c>
      <c r="K2826" t="s">
        <v>151</v>
      </c>
      <c r="L2826" t="s">
        <v>4890</v>
      </c>
      <c r="M2826" t="s">
        <v>68</v>
      </c>
      <c r="N2826" t="s">
        <v>4891</v>
      </c>
      <c r="O2826" t="s">
        <v>32</v>
      </c>
      <c r="P2826" t="s">
        <v>5910</v>
      </c>
      <c r="Q2826">
        <v>175</v>
      </c>
      <c r="R2826">
        <v>175</v>
      </c>
      <c r="S2826" t="s">
        <v>597</v>
      </c>
      <c r="T2826" t="s">
        <v>598</v>
      </c>
      <c r="W2826">
        <v>0</v>
      </c>
      <c r="X2826">
        <v>0</v>
      </c>
      <c r="Y2826">
        <v>0</v>
      </c>
      <c r="Z2826">
        <v>0</v>
      </c>
    </row>
    <row r="2827" spans="1:26" hidden="1" x14ac:dyDescent="0.25">
      <c r="A2827" t="s">
        <v>5911</v>
      </c>
      <c r="B2827" t="s">
        <v>38</v>
      </c>
      <c r="C2827" s="4">
        <v>45400</v>
      </c>
      <c r="D2827" s="4">
        <v>46014</v>
      </c>
      <c r="F2827" s="4">
        <v>46753</v>
      </c>
      <c r="G2827" t="s">
        <v>144</v>
      </c>
      <c r="H2827" t="s">
        <v>2846</v>
      </c>
      <c r="K2827" t="s">
        <v>146</v>
      </c>
      <c r="L2827" t="s">
        <v>4890</v>
      </c>
      <c r="M2827" t="s">
        <v>68</v>
      </c>
      <c r="N2827" t="s">
        <v>4891</v>
      </c>
      <c r="O2827" t="s">
        <v>32</v>
      </c>
      <c r="P2827" t="s">
        <v>5912</v>
      </c>
      <c r="Q2827">
        <v>139.58000000000001</v>
      </c>
      <c r="R2827">
        <v>139.58000000000001</v>
      </c>
      <c r="S2827" t="s">
        <v>34</v>
      </c>
      <c r="T2827" t="s">
        <v>35</v>
      </c>
      <c r="W2827">
        <v>0</v>
      </c>
      <c r="X2827">
        <v>0</v>
      </c>
      <c r="Y2827">
        <v>0</v>
      </c>
      <c r="Z2827">
        <v>0</v>
      </c>
    </row>
    <row r="2828" spans="1:26" hidden="1" x14ac:dyDescent="0.25">
      <c r="A2828" t="s">
        <v>5913</v>
      </c>
      <c r="B2828" t="s">
        <v>38</v>
      </c>
      <c r="C2828" s="4">
        <v>45394</v>
      </c>
      <c r="D2828" s="4">
        <v>45926</v>
      </c>
      <c r="F2828" s="4">
        <v>47026</v>
      </c>
      <c r="G2828" t="s">
        <v>39</v>
      </c>
      <c r="H2828" t="s">
        <v>5404</v>
      </c>
      <c r="K2828" t="s">
        <v>41</v>
      </c>
      <c r="L2828" t="s">
        <v>4890</v>
      </c>
      <c r="M2828" t="s">
        <v>42</v>
      </c>
      <c r="N2828" t="s">
        <v>4891</v>
      </c>
      <c r="O2828" t="s">
        <v>122</v>
      </c>
      <c r="P2828" t="s">
        <v>5405</v>
      </c>
      <c r="Q2828">
        <v>300</v>
      </c>
      <c r="R2828">
        <v>300</v>
      </c>
      <c r="S2828" t="s">
        <v>34</v>
      </c>
      <c r="T2828" t="s">
        <v>35</v>
      </c>
      <c r="W2828">
        <v>0</v>
      </c>
      <c r="X2828">
        <v>0</v>
      </c>
      <c r="Y2828">
        <v>0</v>
      </c>
      <c r="Z2828">
        <v>0</v>
      </c>
    </row>
    <row r="2829" spans="1:26" hidden="1" x14ac:dyDescent="0.25">
      <c r="A2829" t="s">
        <v>5914</v>
      </c>
      <c r="B2829" t="s">
        <v>38</v>
      </c>
      <c r="C2829" s="4">
        <v>45400</v>
      </c>
      <c r="D2829" s="4">
        <v>45471</v>
      </c>
      <c r="F2829" s="4">
        <v>47026</v>
      </c>
      <c r="G2829" t="s">
        <v>177</v>
      </c>
      <c r="H2829" t="s">
        <v>4152</v>
      </c>
      <c r="K2829" t="s">
        <v>62</v>
      </c>
      <c r="L2829" t="s">
        <v>4890</v>
      </c>
      <c r="M2829" t="s">
        <v>42</v>
      </c>
      <c r="N2829" t="s">
        <v>4891</v>
      </c>
      <c r="O2829" t="s">
        <v>32</v>
      </c>
      <c r="P2829" t="s">
        <v>5915</v>
      </c>
      <c r="Q2829">
        <v>250</v>
      </c>
      <c r="R2829">
        <v>250</v>
      </c>
      <c r="S2829" t="s">
        <v>159</v>
      </c>
      <c r="T2829" t="s">
        <v>159</v>
      </c>
      <c r="W2829">
        <v>0</v>
      </c>
      <c r="X2829">
        <v>0</v>
      </c>
      <c r="Y2829">
        <v>0</v>
      </c>
      <c r="Z2829">
        <v>0</v>
      </c>
    </row>
    <row r="2830" spans="1:26" hidden="1" x14ac:dyDescent="0.25">
      <c r="A2830" t="s">
        <v>5916</v>
      </c>
      <c r="B2830" t="s">
        <v>38</v>
      </c>
      <c r="C2830" s="4">
        <v>45399</v>
      </c>
      <c r="D2830" s="4">
        <v>45924</v>
      </c>
      <c r="F2830" s="4">
        <v>46753</v>
      </c>
      <c r="G2830" t="s">
        <v>1311</v>
      </c>
      <c r="H2830" t="s">
        <v>1673</v>
      </c>
      <c r="K2830" t="s">
        <v>114</v>
      </c>
      <c r="L2830" t="s">
        <v>4890</v>
      </c>
      <c r="M2830" t="s">
        <v>68</v>
      </c>
      <c r="N2830" t="s">
        <v>4891</v>
      </c>
      <c r="O2830" t="s">
        <v>32</v>
      </c>
      <c r="P2830" t="s">
        <v>5917</v>
      </c>
      <c r="Q2830">
        <v>730</v>
      </c>
      <c r="R2830">
        <v>770</v>
      </c>
      <c r="S2830" t="s">
        <v>389</v>
      </c>
      <c r="T2830" t="s">
        <v>2141</v>
      </c>
      <c r="W2830">
        <v>0</v>
      </c>
      <c r="X2830">
        <v>0</v>
      </c>
      <c r="Y2830">
        <v>0</v>
      </c>
      <c r="Z2830">
        <v>0</v>
      </c>
    </row>
    <row r="2831" spans="1:26" hidden="1" x14ac:dyDescent="0.25">
      <c r="A2831" t="s">
        <v>5918</v>
      </c>
      <c r="B2831" t="s">
        <v>38</v>
      </c>
      <c r="C2831" s="4">
        <v>45957</v>
      </c>
      <c r="D2831" s="4">
        <v>46014</v>
      </c>
      <c r="F2831" s="4">
        <v>46327</v>
      </c>
      <c r="G2831" t="s">
        <v>1311</v>
      </c>
      <c r="H2831" t="s">
        <v>3909</v>
      </c>
      <c r="K2831" t="s">
        <v>114</v>
      </c>
      <c r="L2831" t="s">
        <v>4890</v>
      </c>
      <c r="M2831" t="s">
        <v>68</v>
      </c>
      <c r="N2831" t="s">
        <v>4891</v>
      </c>
      <c r="O2831" t="s">
        <v>32</v>
      </c>
      <c r="P2831" t="s">
        <v>5919</v>
      </c>
      <c r="Q2831">
        <v>198</v>
      </c>
      <c r="R2831">
        <v>198</v>
      </c>
      <c r="S2831" t="s">
        <v>34</v>
      </c>
      <c r="T2831" t="s">
        <v>35</v>
      </c>
      <c r="W2831">
        <v>0</v>
      </c>
      <c r="X2831">
        <v>0</v>
      </c>
      <c r="Y2831">
        <v>0</v>
      </c>
      <c r="Z2831">
        <v>0</v>
      </c>
    </row>
    <row r="2832" spans="1:26" hidden="1" x14ac:dyDescent="0.25">
      <c r="A2832" t="s">
        <v>5920</v>
      </c>
      <c r="B2832" t="s">
        <v>2153</v>
      </c>
      <c r="C2832" s="4">
        <v>45400</v>
      </c>
      <c r="F2832" s="4">
        <v>47058</v>
      </c>
      <c r="G2832" t="s">
        <v>1278</v>
      </c>
      <c r="H2832" t="s">
        <v>5921</v>
      </c>
      <c r="K2832" t="s">
        <v>53</v>
      </c>
      <c r="L2832" t="s">
        <v>5172</v>
      </c>
      <c r="M2832" t="s">
        <v>30</v>
      </c>
      <c r="N2832" t="s">
        <v>3122</v>
      </c>
      <c r="O2832" t="s">
        <v>32</v>
      </c>
      <c r="P2832" t="s">
        <v>5922</v>
      </c>
      <c r="Q2832">
        <v>160</v>
      </c>
      <c r="R2832">
        <v>160</v>
      </c>
      <c r="S2832" t="s">
        <v>34</v>
      </c>
      <c r="T2832" t="s">
        <v>35</v>
      </c>
      <c r="W2832">
        <v>160</v>
      </c>
      <c r="X2832">
        <v>160</v>
      </c>
      <c r="Y2832">
        <v>0</v>
      </c>
      <c r="Z2832">
        <v>0</v>
      </c>
    </row>
    <row r="2833" spans="1:26" hidden="1" x14ac:dyDescent="0.25">
      <c r="A2833" t="s">
        <v>5923</v>
      </c>
      <c r="B2833" t="s">
        <v>2153</v>
      </c>
      <c r="C2833" s="4">
        <v>45400</v>
      </c>
      <c r="F2833" s="4">
        <v>47058</v>
      </c>
      <c r="G2833" t="s">
        <v>907</v>
      </c>
      <c r="H2833" t="s">
        <v>1728</v>
      </c>
      <c r="K2833" t="s">
        <v>53</v>
      </c>
      <c r="L2833" t="s">
        <v>5172</v>
      </c>
      <c r="M2833" t="s">
        <v>54</v>
      </c>
      <c r="N2833" t="s">
        <v>3122</v>
      </c>
      <c r="O2833" t="s">
        <v>32</v>
      </c>
      <c r="P2833" t="s">
        <v>1345</v>
      </c>
      <c r="Q2833">
        <v>100</v>
      </c>
      <c r="R2833">
        <v>100</v>
      </c>
      <c r="S2833" t="s">
        <v>34</v>
      </c>
      <c r="T2833" t="s">
        <v>35</v>
      </c>
      <c r="W2833">
        <v>100</v>
      </c>
      <c r="X2833">
        <v>100</v>
      </c>
      <c r="Y2833">
        <v>0</v>
      </c>
      <c r="Z2833">
        <v>0</v>
      </c>
    </row>
    <row r="2834" spans="1:26" hidden="1" x14ac:dyDescent="0.25">
      <c r="A2834" t="s">
        <v>5924</v>
      </c>
      <c r="B2834" t="s">
        <v>2153</v>
      </c>
      <c r="C2834" s="4">
        <v>45399</v>
      </c>
      <c r="F2834" s="4">
        <v>47088</v>
      </c>
      <c r="G2834" t="s">
        <v>1326</v>
      </c>
      <c r="H2834" t="s">
        <v>3701</v>
      </c>
      <c r="K2834" t="s">
        <v>67</v>
      </c>
      <c r="L2834" t="s">
        <v>4890</v>
      </c>
      <c r="M2834" t="s">
        <v>68</v>
      </c>
      <c r="N2834" t="s">
        <v>4891</v>
      </c>
      <c r="O2834" t="s">
        <v>32</v>
      </c>
      <c r="P2834" t="s">
        <v>5925</v>
      </c>
      <c r="Q2834">
        <v>770</v>
      </c>
      <c r="R2834">
        <v>770</v>
      </c>
      <c r="S2834" t="s">
        <v>389</v>
      </c>
      <c r="T2834" t="s">
        <v>2141</v>
      </c>
      <c r="W2834">
        <v>770</v>
      </c>
      <c r="X2834">
        <v>0</v>
      </c>
      <c r="Y2834">
        <v>0</v>
      </c>
      <c r="Z2834">
        <v>0</v>
      </c>
    </row>
    <row r="2835" spans="1:26" hidden="1" x14ac:dyDescent="0.25">
      <c r="A2835" t="s">
        <v>5926</v>
      </c>
      <c r="B2835" t="s">
        <v>2153</v>
      </c>
      <c r="C2835" s="4">
        <v>45398</v>
      </c>
      <c r="F2835" s="4">
        <v>46905</v>
      </c>
      <c r="G2835" t="s">
        <v>117</v>
      </c>
      <c r="K2835" t="s">
        <v>83</v>
      </c>
      <c r="L2835" t="s">
        <v>4890</v>
      </c>
      <c r="M2835" t="s">
        <v>84</v>
      </c>
      <c r="N2835" t="s">
        <v>4891</v>
      </c>
      <c r="O2835" t="s">
        <v>32</v>
      </c>
      <c r="P2835" t="s">
        <v>1345</v>
      </c>
      <c r="Q2835">
        <v>225</v>
      </c>
      <c r="R2835">
        <v>225</v>
      </c>
      <c r="S2835" t="s">
        <v>56</v>
      </c>
      <c r="T2835" t="s">
        <v>57</v>
      </c>
      <c r="W2835">
        <v>225</v>
      </c>
      <c r="X2835">
        <v>225</v>
      </c>
      <c r="Y2835">
        <v>0</v>
      </c>
      <c r="Z2835">
        <v>0</v>
      </c>
    </row>
    <row r="2836" spans="1:26" hidden="1" x14ac:dyDescent="0.25">
      <c r="A2836" t="s">
        <v>5927</v>
      </c>
      <c r="B2836" t="s">
        <v>38</v>
      </c>
      <c r="C2836" s="4">
        <v>45573</v>
      </c>
      <c r="D2836" s="4">
        <v>46013</v>
      </c>
      <c r="F2836" s="4">
        <v>47270</v>
      </c>
      <c r="G2836" t="s">
        <v>1257</v>
      </c>
      <c r="H2836" t="s">
        <v>1648</v>
      </c>
      <c r="K2836" t="s">
        <v>98</v>
      </c>
      <c r="L2836" t="s">
        <v>5172</v>
      </c>
      <c r="M2836" t="s">
        <v>84</v>
      </c>
      <c r="N2836" t="s">
        <v>3122</v>
      </c>
      <c r="O2836" t="s">
        <v>32</v>
      </c>
      <c r="P2836" t="s">
        <v>5928</v>
      </c>
      <c r="Q2836">
        <v>215</v>
      </c>
      <c r="R2836">
        <v>240</v>
      </c>
      <c r="S2836" t="s">
        <v>597</v>
      </c>
      <c r="T2836" t="s">
        <v>584</v>
      </c>
      <c r="W2836">
        <v>0</v>
      </c>
      <c r="X2836">
        <v>0</v>
      </c>
      <c r="Y2836">
        <v>0</v>
      </c>
      <c r="Z2836">
        <v>0</v>
      </c>
    </row>
    <row r="2837" spans="1:26" hidden="1" x14ac:dyDescent="0.25">
      <c r="A2837" t="s">
        <v>5929</v>
      </c>
      <c r="B2837" t="s">
        <v>38</v>
      </c>
      <c r="C2837" s="4">
        <v>45503</v>
      </c>
      <c r="D2837" s="4">
        <v>46013</v>
      </c>
      <c r="F2837" s="4">
        <v>46848</v>
      </c>
      <c r="G2837" t="s">
        <v>907</v>
      </c>
      <c r="H2837" t="s">
        <v>3232</v>
      </c>
      <c r="K2837" t="s">
        <v>53</v>
      </c>
      <c r="L2837" t="s">
        <v>5172</v>
      </c>
      <c r="M2837" t="s">
        <v>54</v>
      </c>
      <c r="N2837" t="s">
        <v>3122</v>
      </c>
      <c r="O2837" t="s">
        <v>32</v>
      </c>
      <c r="P2837" t="s">
        <v>5930</v>
      </c>
      <c r="Q2837">
        <v>200</v>
      </c>
      <c r="R2837">
        <v>200</v>
      </c>
      <c r="S2837" t="s">
        <v>159</v>
      </c>
      <c r="T2837" t="s">
        <v>159</v>
      </c>
      <c r="W2837">
        <v>0</v>
      </c>
      <c r="X2837">
        <v>0</v>
      </c>
      <c r="Y2837">
        <v>0</v>
      </c>
      <c r="Z2837">
        <v>0</v>
      </c>
    </row>
    <row r="2838" spans="1:26" hidden="1" x14ac:dyDescent="0.25">
      <c r="A2838" t="s">
        <v>5931</v>
      </c>
      <c r="B2838" t="s">
        <v>2153</v>
      </c>
      <c r="C2838" s="4">
        <v>45566</v>
      </c>
      <c r="F2838" s="4">
        <v>46997</v>
      </c>
      <c r="G2838" t="s">
        <v>1499</v>
      </c>
      <c r="H2838" t="s">
        <v>1402</v>
      </c>
      <c r="K2838" t="s">
        <v>185</v>
      </c>
      <c r="L2838" t="s">
        <v>5172</v>
      </c>
      <c r="M2838" t="s">
        <v>42</v>
      </c>
      <c r="N2838" t="s">
        <v>3122</v>
      </c>
      <c r="O2838" t="s">
        <v>32</v>
      </c>
      <c r="P2838" t="s">
        <v>5932</v>
      </c>
      <c r="Q2838">
        <v>200</v>
      </c>
      <c r="R2838">
        <v>200</v>
      </c>
      <c r="S2838" t="s">
        <v>56</v>
      </c>
      <c r="T2838" t="s">
        <v>57</v>
      </c>
      <c r="W2838">
        <v>200</v>
      </c>
      <c r="X2838">
        <v>200</v>
      </c>
      <c r="Y2838">
        <v>0</v>
      </c>
      <c r="Z2838">
        <v>0</v>
      </c>
    </row>
    <row r="2839" spans="1:26" hidden="1" x14ac:dyDescent="0.25">
      <c r="A2839" t="s">
        <v>5933</v>
      </c>
      <c r="B2839" t="s">
        <v>38</v>
      </c>
      <c r="C2839" s="4">
        <v>45554</v>
      </c>
      <c r="D2839" s="4">
        <v>46126</v>
      </c>
      <c r="F2839" s="4">
        <v>46296</v>
      </c>
      <c r="G2839" t="s">
        <v>101</v>
      </c>
      <c r="H2839" t="s">
        <v>2375</v>
      </c>
      <c r="K2839" t="s">
        <v>98</v>
      </c>
      <c r="L2839" t="s">
        <v>5172</v>
      </c>
      <c r="M2839" t="s">
        <v>84</v>
      </c>
      <c r="N2839" t="s">
        <v>3122</v>
      </c>
      <c r="O2839" t="s">
        <v>32</v>
      </c>
      <c r="P2839" t="s">
        <v>5934</v>
      </c>
      <c r="Q2839">
        <v>300</v>
      </c>
      <c r="R2839">
        <v>300</v>
      </c>
      <c r="S2839" t="s">
        <v>159</v>
      </c>
      <c r="T2839" t="s">
        <v>159</v>
      </c>
      <c r="W2839">
        <v>0</v>
      </c>
      <c r="X2839">
        <v>0</v>
      </c>
      <c r="Y2839">
        <v>0</v>
      </c>
      <c r="Z2839">
        <v>0</v>
      </c>
    </row>
    <row r="2840" spans="1:26" hidden="1" x14ac:dyDescent="0.25">
      <c r="A2840" t="s">
        <v>5935</v>
      </c>
      <c r="B2840" t="s">
        <v>2153</v>
      </c>
      <c r="C2840" s="4">
        <v>45491</v>
      </c>
      <c r="F2840" s="4">
        <v>47058</v>
      </c>
      <c r="G2840" t="s">
        <v>907</v>
      </c>
      <c r="H2840" t="s">
        <v>2351</v>
      </c>
      <c r="K2840" t="s">
        <v>53</v>
      </c>
      <c r="L2840" t="s">
        <v>5172</v>
      </c>
      <c r="M2840" t="s">
        <v>54</v>
      </c>
      <c r="N2840" t="s">
        <v>3122</v>
      </c>
      <c r="O2840" t="s">
        <v>32</v>
      </c>
      <c r="P2840" t="s">
        <v>1345</v>
      </c>
      <c r="Q2840">
        <v>130</v>
      </c>
      <c r="R2840">
        <v>130</v>
      </c>
      <c r="S2840" t="s">
        <v>34</v>
      </c>
      <c r="T2840" t="s">
        <v>35</v>
      </c>
      <c r="W2840">
        <v>100</v>
      </c>
      <c r="X2840">
        <v>100</v>
      </c>
      <c r="Y2840">
        <v>0</v>
      </c>
      <c r="Z2840">
        <v>0</v>
      </c>
    </row>
    <row r="2841" spans="1:26" hidden="1" x14ac:dyDescent="0.25">
      <c r="A2841" t="s">
        <v>5936</v>
      </c>
      <c r="B2841" t="s">
        <v>2153</v>
      </c>
      <c r="C2841" s="4">
        <v>45589</v>
      </c>
      <c r="F2841" s="4">
        <v>47032</v>
      </c>
      <c r="G2841" t="s">
        <v>52</v>
      </c>
      <c r="H2841" t="s">
        <v>3615</v>
      </c>
      <c r="K2841" t="s">
        <v>53</v>
      </c>
      <c r="L2841" t="s">
        <v>5172</v>
      </c>
      <c r="M2841" t="s">
        <v>54</v>
      </c>
      <c r="N2841" t="s">
        <v>3122</v>
      </c>
      <c r="O2841" t="s">
        <v>32</v>
      </c>
      <c r="P2841" t="s">
        <v>5937</v>
      </c>
      <c r="Q2841">
        <v>250</v>
      </c>
      <c r="R2841">
        <v>250</v>
      </c>
      <c r="S2841" t="s">
        <v>159</v>
      </c>
      <c r="T2841" t="s">
        <v>159</v>
      </c>
      <c r="W2841">
        <v>250</v>
      </c>
      <c r="X2841">
        <v>250</v>
      </c>
      <c r="Y2841">
        <v>0</v>
      </c>
      <c r="Z2841">
        <v>0</v>
      </c>
    </row>
    <row r="2842" spans="1:26" hidden="1" x14ac:dyDescent="0.25">
      <c r="A2842" t="s">
        <v>5938</v>
      </c>
      <c r="B2842" t="s">
        <v>2153</v>
      </c>
      <c r="C2842" s="4">
        <v>45628</v>
      </c>
      <c r="F2842" s="4">
        <v>47270</v>
      </c>
      <c r="G2842" t="s">
        <v>52</v>
      </c>
      <c r="H2842" t="s">
        <v>2165</v>
      </c>
      <c r="K2842" t="s">
        <v>53</v>
      </c>
      <c r="L2842" t="s">
        <v>5172</v>
      </c>
      <c r="M2842" t="s">
        <v>54</v>
      </c>
      <c r="N2842" t="s">
        <v>3122</v>
      </c>
      <c r="O2842" t="s">
        <v>32</v>
      </c>
      <c r="P2842" t="s">
        <v>2677</v>
      </c>
      <c r="Q2842">
        <v>200</v>
      </c>
      <c r="R2842">
        <v>200</v>
      </c>
      <c r="S2842" t="s">
        <v>34</v>
      </c>
      <c r="T2842" t="s">
        <v>35</v>
      </c>
      <c r="W2842">
        <v>200</v>
      </c>
      <c r="X2842">
        <v>200</v>
      </c>
      <c r="Y2842">
        <v>0</v>
      </c>
      <c r="Z2842">
        <v>0</v>
      </c>
    </row>
    <row r="2843" spans="1:26" hidden="1" x14ac:dyDescent="0.25">
      <c r="A2843" t="s">
        <v>5939</v>
      </c>
      <c r="B2843" t="s">
        <v>2153</v>
      </c>
      <c r="C2843" s="4">
        <v>45400</v>
      </c>
      <c r="F2843" s="4">
        <v>47058</v>
      </c>
      <c r="G2843" t="s">
        <v>52</v>
      </c>
      <c r="H2843" t="s">
        <v>1588</v>
      </c>
      <c r="K2843" t="s">
        <v>53</v>
      </c>
      <c r="L2843" t="s">
        <v>5172</v>
      </c>
      <c r="M2843" t="s">
        <v>54</v>
      </c>
      <c r="N2843" t="s">
        <v>3122</v>
      </c>
      <c r="O2843" t="s">
        <v>32</v>
      </c>
      <c r="P2843" t="s">
        <v>5940</v>
      </c>
      <c r="Q2843">
        <v>225</v>
      </c>
      <c r="R2843">
        <v>225</v>
      </c>
      <c r="S2843" t="s">
        <v>34</v>
      </c>
      <c r="T2843" t="s">
        <v>35</v>
      </c>
      <c r="W2843">
        <v>135</v>
      </c>
      <c r="X2843">
        <v>135</v>
      </c>
      <c r="Y2843">
        <v>0</v>
      </c>
      <c r="Z2843">
        <v>0</v>
      </c>
    </row>
    <row r="2844" spans="1:26" hidden="1" x14ac:dyDescent="0.25">
      <c r="A2844" t="s">
        <v>5941</v>
      </c>
      <c r="B2844" t="s">
        <v>38</v>
      </c>
      <c r="C2844" s="4">
        <v>45443</v>
      </c>
      <c r="D2844" s="4">
        <v>46026</v>
      </c>
      <c r="F2844" s="4">
        <v>46937</v>
      </c>
      <c r="G2844" t="s">
        <v>144</v>
      </c>
      <c r="H2844" t="s">
        <v>1285</v>
      </c>
      <c r="K2844" t="s">
        <v>146</v>
      </c>
      <c r="L2844" t="s">
        <v>5172</v>
      </c>
      <c r="M2844" t="s">
        <v>68</v>
      </c>
      <c r="N2844" t="s">
        <v>3122</v>
      </c>
      <c r="O2844" t="s">
        <v>32</v>
      </c>
      <c r="P2844" t="s">
        <v>5942</v>
      </c>
      <c r="Q2844">
        <v>50</v>
      </c>
      <c r="R2844">
        <v>50</v>
      </c>
      <c r="S2844" t="s">
        <v>597</v>
      </c>
      <c r="T2844" t="s">
        <v>598</v>
      </c>
      <c r="W2844">
        <v>0</v>
      </c>
      <c r="X2844">
        <v>0</v>
      </c>
      <c r="Y2844">
        <v>0</v>
      </c>
      <c r="Z2844">
        <v>0</v>
      </c>
    </row>
    <row r="2845" spans="1:26" hidden="1" x14ac:dyDescent="0.25">
      <c r="A2845" t="s">
        <v>5943</v>
      </c>
      <c r="B2845" t="s">
        <v>2153</v>
      </c>
      <c r="C2845" s="4">
        <v>45657</v>
      </c>
      <c r="F2845" s="4">
        <v>47664</v>
      </c>
      <c r="G2845" t="s">
        <v>1108</v>
      </c>
      <c r="H2845" t="s">
        <v>1685</v>
      </c>
      <c r="K2845" t="s">
        <v>146</v>
      </c>
      <c r="L2845" t="s">
        <v>5172</v>
      </c>
      <c r="M2845" t="s">
        <v>68</v>
      </c>
      <c r="N2845" t="s">
        <v>3122</v>
      </c>
      <c r="O2845" t="s">
        <v>32</v>
      </c>
      <c r="P2845" t="s">
        <v>5944</v>
      </c>
      <c r="Q2845">
        <v>300</v>
      </c>
      <c r="R2845">
        <v>300</v>
      </c>
      <c r="S2845" t="s">
        <v>159</v>
      </c>
      <c r="T2845" t="s">
        <v>159</v>
      </c>
      <c r="W2845">
        <v>300</v>
      </c>
      <c r="X2845">
        <v>300</v>
      </c>
      <c r="Y2845">
        <v>0</v>
      </c>
      <c r="Z2845">
        <v>0</v>
      </c>
    </row>
    <row r="2846" spans="1:26" hidden="1" x14ac:dyDescent="0.25">
      <c r="A2846" t="s">
        <v>5945</v>
      </c>
      <c r="B2846" t="s">
        <v>38</v>
      </c>
      <c r="C2846" s="4">
        <v>45596</v>
      </c>
      <c r="D2846" s="4">
        <v>45911</v>
      </c>
      <c r="F2846" s="4">
        <v>46783</v>
      </c>
      <c r="G2846" t="s">
        <v>1311</v>
      </c>
      <c r="H2846" t="s">
        <v>2457</v>
      </c>
      <c r="K2846" t="s">
        <v>146</v>
      </c>
      <c r="L2846" t="s">
        <v>5172</v>
      </c>
      <c r="M2846" t="s">
        <v>68</v>
      </c>
      <c r="N2846" t="s">
        <v>3122</v>
      </c>
      <c r="O2846" t="s">
        <v>122</v>
      </c>
      <c r="P2846" t="s">
        <v>5946</v>
      </c>
      <c r="Q2846">
        <v>735</v>
      </c>
      <c r="R2846">
        <v>770</v>
      </c>
      <c r="S2846" t="s">
        <v>389</v>
      </c>
      <c r="T2846" t="s">
        <v>390</v>
      </c>
      <c r="W2846">
        <v>0</v>
      </c>
      <c r="X2846">
        <v>0</v>
      </c>
      <c r="Y2846">
        <v>0</v>
      </c>
      <c r="Z2846">
        <v>0</v>
      </c>
    </row>
    <row r="2847" spans="1:26" hidden="1" x14ac:dyDescent="0.25">
      <c r="A2847" t="s">
        <v>5947</v>
      </c>
      <c r="B2847" t="s">
        <v>38</v>
      </c>
      <c r="C2847" s="4">
        <v>45596</v>
      </c>
      <c r="D2847" s="4">
        <v>45911</v>
      </c>
      <c r="F2847" s="4">
        <v>46783</v>
      </c>
      <c r="G2847" t="s">
        <v>1311</v>
      </c>
      <c r="H2847" t="s">
        <v>2457</v>
      </c>
      <c r="K2847" t="s">
        <v>146</v>
      </c>
      <c r="L2847" t="s">
        <v>5172</v>
      </c>
      <c r="M2847" t="s">
        <v>68</v>
      </c>
      <c r="N2847" t="s">
        <v>3122</v>
      </c>
      <c r="O2847" t="s">
        <v>122</v>
      </c>
      <c r="P2847" t="s">
        <v>5946</v>
      </c>
      <c r="Q2847">
        <v>735</v>
      </c>
      <c r="R2847">
        <v>770</v>
      </c>
      <c r="S2847" t="s">
        <v>389</v>
      </c>
      <c r="T2847" t="s">
        <v>390</v>
      </c>
      <c r="W2847">
        <v>0</v>
      </c>
      <c r="X2847">
        <v>0</v>
      </c>
      <c r="Y2847">
        <v>0</v>
      </c>
      <c r="Z2847">
        <v>0</v>
      </c>
    </row>
    <row r="2848" spans="1:26" hidden="1" x14ac:dyDescent="0.25">
      <c r="A2848" t="s">
        <v>5948</v>
      </c>
      <c r="B2848" t="s">
        <v>2153</v>
      </c>
      <c r="C2848" s="4">
        <v>45617</v>
      </c>
      <c r="F2848" s="4">
        <v>46692</v>
      </c>
      <c r="G2848" t="s">
        <v>52</v>
      </c>
      <c r="H2848" t="s">
        <v>2351</v>
      </c>
      <c r="K2848" t="s">
        <v>53</v>
      </c>
      <c r="L2848" t="s">
        <v>5172</v>
      </c>
      <c r="M2848" t="s">
        <v>54</v>
      </c>
      <c r="N2848" t="s">
        <v>3122</v>
      </c>
      <c r="O2848" t="s">
        <v>32</v>
      </c>
      <c r="P2848" t="s">
        <v>5949</v>
      </c>
      <c r="Q2848">
        <v>300</v>
      </c>
      <c r="R2848">
        <v>300</v>
      </c>
      <c r="S2848" t="s">
        <v>34</v>
      </c>
      <c r="T2848" t="s">
        <v>35</v>
      </c>
      <c r="W2848">
        <v>300</v>
      </c>
      <c r="X2848">
        <v>300</v>
      </c>
      <c r="Y2848">
        <v>0</v>
      </c>
      <c r="Z2848">
        <v>0</v>
      </c>
    </row>
    <row r="2849" spans="1:26" hidden="1" x14ac:dyDescent="0.25">
      <c r="A2849" t="s">
        <v>5950</v>
      </c>
      <c r="B2849" t="s">
        <v>2153</v>
      </c>
      <c r="C2849" s="4">
        <v>45622</v>
      </c>
      <c r="F2849" s="4">
        <v>47209</v>
      </c>
      <c r="G2849" t="s">
        <v>52</v>
      </c>
      <c r="H2849" t="s">
        <v>1591</v>
      </c>
      <c r="K2849" t="s">
        <v>53</v>
      </c>
      <c r="L2849" t="s">
        <v>5172</v>
      </c>
      <c r="M2849" t="s">
        <v>54</v>
      </c>
      <c r="N2849" t="s">
        <v>3122</v>
      </c>
      <c r="O2849" t="s">
        <v>32</v>
      </c>
      <c r="P2849" t="s">
        <v>5951</v>
      </c>
      <c r="Q2849">
        <v>150</v>
      </c>
      <c r="R2849">
        <v>150</v>
      </c>
      <c r="S2849" t="s">
        <v>34</v>
      </c>
      <c r="T2849" t="s">
        <v>35</v>
      </c>
      <c r="W2849">
        <v>150</v>
      </c>
      <c r="X2849">
        <v>150</v>
      </c>
      <c r="Y2849">
        <v>0</v>
      </c>
      <c r="Z2849">
        <v>0</v>
      </c>
    </row>
    <row r="2850" spans="1:26" hidden="1" x14ac:dyDescent="0.25">
      <c r="A2850" t="s">
        <v>5952</v>
      </c>
      <c r="B2850" t="s">
        <v>38</v>
      </c>
      <c r="C2850" s="4">
        <v>45623</v>
      </c>
      <c r="D2850" s="4">
        <v>46128</v>
      </c>
      <c r="F2850" s="4">
        <v>47158</v>
      </c>
      <c r="G2850" t="s">
        <v>907</v>
      </c>
      <c r="H2850" t="s">
        <v>1421</v>
      </c>
      <c r="K2850" t="s">
        <v>53</v>
      </c>
      <c r="L2850" t="s">
        <v>5172</v>
      </c>
      <c r="M2850" t="s">
        <v>54</v>
      </c>
      <c r="N2850" t="s">
        <v>3122</v>
      </c>
      <c r="O2850" t="s">
        <v>32</v>
      </c>
      <c r="P2850" t="s">
        <v>5953</v>
      </c>
      <c r="Q2850">
        <v>250</v>
      </c>
      <c r="R2850">
        <v>250</v>
      </c>
      <c r="S2850" t="s">
        <v>159</v>
      </c>
      <c r="T2850" t="s">
        <v>159</v>
      </c>
      <c r="W2850">
        <v>0</v>
      </c>
      <c r="X2850">
        <v>0</v>
      </c>
      <c r="Y2850">
        <v>0</v>
      </c>
      <c r="Z2850">
        <v>0</v>
      </c>
    </row>
    <row r="2851" spans="1:26" hidden="1" x14ac:dyDescent="0.25">
      <c r="A2851" t="s">
        <v>5954</v>
      </c>
      <c r="B2851" t="s">
        <v>38</v>
      </c>
      <c r="C2851" s="4">
        <v>45667</v>
      </c>
      <c r="D2851" s="4">
        <v>46126</v>
      </c>
      <c r="F2851" s="4">
        <v>47696</v>
      </c>
      <c r="G2851" t="s">
        <v>254</v>
      </c>
      <c r="H2851" t="s">
        <v>1691</v>
      </c>
      <c r="K2851" t="s">
        <v>98</v>
      </c>
      <c r="L2851" t="s">
        <v>5172</v>
      </c>
      <c r="M2851" t="s">
        <v>84</v>
      </c>
      <c r="N2851" t="s">
        <v>3122</v>
      </c>
      <c r="O2851" t="s">
        <v>32</v>
      </c>
      <c r="P2851" t="s">
        <v>1345</v>
      </c>
      <c r="Q2851">
        <v>220</v>
      </c>
      <c r="R2851">
        <v>220</v>
      </c>
      <c r="S2851" t="s">
        <v>56</v>
      </c>
      <c r="T2851" t="s">
        <v>57</v>
      </c>
      <c r="W2851">
        <v>0</v>
      </c>
      <c r="X2851">
        <v>0</v>
      </c>
      <c r="Y2851">
        <v>0</v>
      </c>
      <c r="Z2851">
        <v>0</v>
      </c>
    </row>
    <row r="2852" spans="1:26" hidden="1" x14ac:dyDescent="0.25">
      <c r="A2852" t="s">
        <v>5955</v>
      </c>
      <c r="B2852" t="s">
        <v>38</v>
      </c>
      <c r="C2852" s="4">
        <v>45660</v>
      </c>
      <c r="D2852" s="4">
        <v>46126</v>
      </c>
      <c r="F2852" s="4">
        <v>47270</v>
      </c>
      <c r="G2852" t="s">
        <v>117</v>
      </c>
      <c r="H2852" t="s">
        <v>1279</v>
      </c>
      <c r="K2852" t="s">
        <v>83</v>
      </c>
      <c r="L2852" t="s">
        <v>5172</v>
      </c>
      <c r="M2852" t="s">
        <v>84</v>
      </c>
      <c r="N2852" t="s">
        <v>3122</v>
      </c>
      <c r="O2852" t="s">
        <v>32</v>
      </c>
      <c r="P2852" t="s">
        <v>5956</v>
      </c>
      <c r="Q2852">
        <v>200</v>
      </c>
      <c r="R2852">
        <v>200</v>
      </c>
      <c r="S2852" t="s">
        <v>34</v>
      </c>
      <c r="T2852" t="s">
        <v>35</v>
      </c>
      <c r="W2852">
        <v>0</v>
      </c>
      <c r="X2852">
        <v>0</v>
      </c>
      <c r="Y2852">
        <v>0</v>
      </c>
      <c r="Z2852">
        <v>0</v>
      </c>
    </row>
    <row r="2853" spans="1:26" hidden="1" x14ac:dyDescent="0.25">
      <c r="A2853" t="s">
        <v>5957</v>
      </c>
      <c r="B2853" t="s">
        <v>2153</v>
      </c>
      <c r="C2853" s="4">
        <v>45657</v>
      </c>
      <c r="F2853" s="4">
        <v>47664</v>
      </c>
      <c r="G2853" t="s">
        <v>1294</v>
      </c>
      <c r="H2853" t="s">
        <v>3651</v>
      </c>
      <c r="K2853" t="s">
        <v>41</v>
      </c>
      <c r="L2853" t="s">
        <v>5172</v>
      </c>
      <c r="M2853" t="s">
        <v>42</v>
      </c>
      <c r="N2853" t="s">
        <v>3122</v>
      </c>
      <c r="O2853" t="s">
        <v>32</v>
      </c>
      <c r="P2853" t="s">
        <v>5958</v>
      </c>
      <c r="Q2853">
        <v>250</v>
      </c>
      <c r="R2853">
        <v>250</v>
      </c>
      <c r="S2853" t="s">
        <v>159</v>
      </c>
      <c r="T2853" t="s">
        <v>159</v>
      </c>
      <c r="W2853">
        <v>250</v>
      </c>
      <c r="X2853">
        <v>250</v>
      </c>
      <c r="Y2853">
        <v>0</v>
      </c>
      <c r="Z2853">
        <v>0</v>
      </c>
    </row>
    <row r="2854" spans="1:26" hidden="1" x14ac:dyDescent="0.25">
      <c r="A2854" t="s">
        <v>5959</v>
      </c>
      <c r="B2854" t="s">
        <v>2338</v>
      </c>
      <c r="C2854" s="4">
        <v>45657</v>
      </c>
      <c r="F2854" s="4">
        <v>47664</v>
      </c>
      <c r="G2854" t="s">
        <v>72</v>
      </c>
      <c r="H2854" t="s">
        <v>1926</v>
      </c>
      <c r="K2854" t="s">
        <v>209</v>
      </c>
      <c r="L2854" t="s">
        <v>5172</v>
      </c>
      <c r="M2854" t="s">
        <v>42</v>
      </c>
      <c r="N2854" t="s">
        <v>3122</v>
      </c>
      <c r="O2854" t="s">
        <v>32</v>
      </c>
      <c r="P2854" t="s">
        <v>5875</v>
      </c>
      <c r="Q2854">
        <v>200</v>
      </c>
      <c r="R2854">
        <v>200</v>
      </c>
      <c r="S2854" t="s">
        <v>56</v>
      </c>
      <c r="T2854" t="s">
        <v>57</v>
      </c>
      <c r="W2854">
        <v>200</v>
      </c>
      <c r="X2854">
        <v>200</v>
      </c>
      <c r="Y2854">
        <v>0</v>
      </c>
      <c r="Z2854">
        <v>0</v>
      </c>
    </row>
    <row r="2855" spans="1:26" hidden="1" x14ac:dyDescent="0.25">
      <c r="A2855" t="s">
        <v>5960</v>
      </c>
      <c r="B2855" t="s">
        <v>38</v>
      </c>
      <c r="C2855" s="4">
        <v>45657</v>
      </c>
      <c r="D2855" s="4">
        <v>46127</v>
      </c>
      <c r="F2855" s="4">
        <v>47664</v>
      </c>
      <c r="G2855" t="s">
        <v>39</v>
      </c>
      <c r="H2855" t="s">
        <v>4441</v>
      </c>
      <c r="K2855" t="s">
        <v>41</v>
      </c>
      <c r="L2855" t="s">
        <v>5172</v>
      </c>
      <c r="M2855" t="s">
        <v>42</v>
      </c>
      <c r="N2855" t="s">
        <v>3122</v>
      </c>
      <c r="O2855" t="s">
        <v>32</v>
      </c>
      <c r="P2855" t="s">
        <v>5961</v>
      </c>
      <c r="Q2855">
        <v>150</v>
      </c>
      <c r="R2855">
        <v>150</v>
      </c>
      <c r="S2855" t="s">
        <v>34</v>
      </c>
      <c r="T2855" t="s">
        <v>35</v>
      </c>
      <c r="W2855">
        <v>0</v>
      </c>
      <c r="X2855">
        <v>0</v>
      </c>
      <c r="Y2855">
        <v>0</v>
      </c>
      <c r="Z2855">
        <v>0</v>
      </c>
    </row>
    <row r="2856" spans="1:26" hidden="1" x14ac:dyDescent="0.25">
      <c r="A2856" t="s">
        <v>5962</v>
      </c>
      <c r="B2856" t="s">
        <v>38</v>
      </c>
      <c r="C2856" s="4">
        <v>45657</v>
      </c>
      <c r="D2856" s="4">
        <v>46010</v>
      </c>
      <c r="F2856" s="4">
        <v>47664</v>
      </c>
      <c r="G2856" t="s">
        <v>117</v>
      </c>
      <c r="H2856" t="s">
        <v>1827</v>
      </c>
      <c r="K2856" t="s">
        <v>83</v>
      </c>
      <c r="L2856" t="s">
        <v>5172</v>
      </c>
      <c r="M2856" t="s">
        <v>84</v>
      </c>
      <c r="N2856" t="s">
        <v>3122</v>
      </c>
      <c r="O2856" t="s">
        <v>32</v>
      </c>
      <c r="P2856" t="s">
        <v>5963</v>
      </c>
      <c r="Q2856">
        <v>200</v>
      </c>
      <c r="R2856">
        <v>200</v>
      </c>
      <c r="S2856" t="s">
        <v>159</v>
      </c>
      <c r="T2856" t="s">
        <v>159</v>
      </c>
      <c r="W2856">
        <v>0</v>
      </c>
      <c r="X2856">
        <v>0</v>
      </c>
      <c r="Y2856">
        <v>0</v>
      </c>
      <c r="Z2856">
        <v>0</v>
      </c>
    </row>
    <row r="2857" spans="1:26" hidden="1" x14ac:dyDescent="0.25">
      <c r="A2857" t="s">
        <v>5964</v>
      </c>
      <c r="B2857" t="s">
        <v>38</v>
      </c>
      <c r="C2857" s="4">
        <v>45657</v>
      </c>
      <c r="D2857" s="4">
        <v>46127</v>
      </c>
      <c r="F2857" s="4">
        <v>47664</v>
      </c>
      <c r="G2857" t="s">
        <v>907</v>
      </c>
      <c r="H2857" t="s">
        <v>3441</v>
      </c>
      <c r="K2857" t="s">
        <v>53</v>
      </c>
      <c r="L2857" t="s">
        <v>5172</v>
      </c>
      <c r="M2857" t="s">
        <v>54</v>
      </c>
      <c r="N2857" t="s">
        <v>3122</v>
      </c>
      <c r="O2857" t="s">
        <v>32</v>
      </c>
      <c r="P2857" t="s">
        <v>5965</v>
      </c>
      <c r="Q2857">
        <v>200</v>
      </c>
      <c r="R2857">
        <v>200</v>
      </c>
      <c r="S2857" t="s">
        <v>34</v>
      </c>
      <c r="T2857" t="s">
        <v>35</v>
      </c>
      <c r="W2857">
        <v>0</v>
      </c>
      <c r="X2857">
        <v>0</v>
      </c>
      <c r="Y2857">
        <v>0</v>
      </c>
      <c r="Z2857">
        <v>0</v>
      </c>
    </row>
    <row r="2858" spans="1:26" hidden="1" x14ac:dyDescent="0.25">
      <c r="A2858" t="s">
        <v>5966</v>
      </c>
      <c r="B2858" t="s">
        <v>2153</v>
      </c>
      <c r="C2858" s="4">
        <v>45652</v>
      </c>
      <c r="F2858" s="4">
        <v>47270</v>
      </c>
      <c r="G2858" t="s">
        <v>117</v>
      </c>
      <c r="H2858" t="s">
        <v>2751</v>
      </c>
      <c r="K2858" t="s">
        <v>83</v>
      </c>
      <c r="L2858" t="s">
        <v>5172</v>
      </c>
      <c r="M2858" t="s">
        <v>84</v>
      </c>
      <c r="N2858" t="s">
        <v>3122</v>
      </c>
      <c r="O2858" t="s">
        <v>32</v>
      </c>
      <c r="P2858" t="s">
        <v>1345</v>
      </c>
      <c r="Q2858">
        <v>300</v>
      </c>
      <c r="R2858">
        <v>300</v>
      </c>
      <c r="S2858" t="s">
        <v>56</v>
      </c>
      <c r="T2858" t="s">
        <v>57</v>
      </c>
      <c r="W2858">
        <v>300</v>
      </c>
      <c r="X2858">
        <v>300</v>
      </c>
      <c r="Y2858">
        <v>0</v>
      </c>
      <c r="Z2858">
        <v>0</v>
      </c>
    </row>
    <row r="2859" spans="1:26" hidden="1" x14ac:dyDescent="0.25">
      <c r="A2859" t="s">
        <v>5967</v>
      </c>
      <c r="B2859" t="s">
        <v>38</v>
      </c>
      <c r="C2859" s="4">
        <v>45652</v>
      </c>
      <c r="D2859" s="4">
        <v>45756</v>
      </c>
      <c r="F2859" s="4">
        <v>46755</v>
      </c>
      <c r="G2859" t="s">
        <v>117</v>
      </c>
      <c r="H2859" t="s">
        <v>3260</v>
      </c>
      <c r="K2859" t="s">
        <v>83</v>
      </c>
      <c r="L2859" t="s">
        <v>5172</v>
      </c>
      <c r="M2859" t="s">
        <v>84</v>
      </c>
      <c r="N2859" t="s">
        <v>3122</v>
      </c>
      <c r="O2859" t="s">
        <v>32</v>
      </c>
      <c r="P2859" t="s">
        <v>3657</v>
      </c>
      <c r="Q2859">
        <v>44.33</v>
      </c>
      <c r="R2859">
        <v>44.33</v>
      </c>
      <c r="S2859" t="s">
        <v>56</v>
      </c>
      <c r="T2859" t="s">
        <v>57</v>
      </c>
      <c r="W2859">
        <v>0</v>
      </c>
      <c r="X2859">
        <v>0</v>
      </c>
      <c r="Y2859">
        <v>0</v>
      </c>
      <c r="Z2859">
        <v>0</v>
      </c>
    </row>
    <row r="2860" spans="1:26" hidden="1" x14ac:dyDescent="0.25">
      <c r="A2860" t="s">
        <v>5968</v>
      </c>
      <c r="B2860" t="s">
        <v>38</v>
      </c>
      <c r="C2860" s="4">
        <v>45652</v>
      </c>
      <c r="D2860" s="4">
        <v>46022</v>
      </c>
      <c r="F2860" s="4">
        <v>46813</v>
      </c>
      <c r="G2860" t="s">
        <v>1311</v>
      </c>
      <c r="H2860" t="s">
        <v>1648</v>
      </c>
      <c r="K2860" t="s">
        <v>114</v>
      </c>
      <c r="L2860" t="s">
        <v>5172</v>
      </c>
      <c r="M2860" t="s">
        <v>68</v>
      </c>
      <c r="N2860" t="s">
        <v>3122</v>
      </c>
      <c r="O2860" t="s">
        <v>122</v>
      </c>
      <c r="P2860" t="s">
        <v>5969</v>
      </c>
      <c r="Q2860">
        <v>197.5</v>
      </c>
      <c r="R2860">
        <v>197.5</v>
      </c>
      <c r="S2860" t="s">
        <v>34</v>
      </c>
      <c r="T2860" t="s">
        <v>35</v>
      </c>
      <c r="W2860">
        <v>0</v>
      </c>
      <c r="X2860">
        <v>0</v>
      </c>
      <c r="Y2860">
        <v>0</v>
      </c>
      <c r="Z2860">
        <v>0</v>
      </c>
    </row>
    <row r="2861" spans="1:26" hidden="1" x14ac:dyDescent="0.25">
      <c r="A2861" t="s">
        <v>5970</v>
      </c>
      <c r="B2861" t="s">
        <v>2153</v>
      </c>
      <c r="C2861" s="4">
        <v>45652</v>
      </c>
      <c r="F2861" s="4">
        <v>47574</v>
      </c>
      <c r="G2861" t="s">
        <v>117</v>
      </c>
      <c r="H2861" t="s">
        <v>2180</v>
      </c>
      <c r="K2861" t="s">
        <v>83</v>
      </c>
      <c r="L2861" t="s">
        <v>5172</v>
      </c>
      <c r="M2861" t="s">
        <v>84</v>
      </c>
      <c r="N2861" t="s">
        <v>3122</v>
      </c>
      <c r="O2861" t="s">
        <v>32</v>
      </c>
      <c r="P2861" t="s">
        <v>4583</v>
      </c>
      <c r="Q2861">
        <v>235</v>
      </c>
      <c r="R2861">
        <v>235</v>
      </c>
      <c r="S2861" t="s">
        <v>56</v>
      </c>
      <c r="T2861" t="s">
        <v>57</v>
      </c>
      <c r="W2861">
        <v>235</v>
      </c>
      <c r="X2861">
        <v>153</v>
      </c>
      <c r="Y2861">
        <v>0</v>
      </c>
      <c r="Z2861">
        <v>0</v>
      </c>
    </row>
    <row r="2862" spans="1:26" hidden="1" x14ac:dyDescent="0.25">
      <c r="A2862" t="s">
        <v>5971</v>
      </c>
      <c r="B2862" t="s">
        <v>38</v>
      </c>
      <c r="C2862" s="4">
        <v>45652</v>
      </c>
      <c r="D2862" s="4">
        <v>46128</v>
      </c>
      <c r="F2862" s="4">
        <v>47574</v>
      </c>
      <c r="G2862" t="s">
        <v>52</v>
      </c>
      <c r="H2862" t="s">
        <v>5972</v>
      </c>
      <c r="K2862" t="s">
        <v>53</v>
      </c>
      <c r="L2862" t="s">
        <v>5172</v>
      </c>
      <c r="M2862" t="s">
        <v>54</v>
      </c>
      <c r="N2862" t="s">
        <v>3122</v>
      </c>
      <c r="O2862" t="s">
        <v>32</v>
      </c>
      <c r="P2862" t="s">
        <v>5973</v>
      </c>
      <c r="Q2862">
        <v>105</v>
      </c>
      <c r="R2862">
        <v>105</v>
      </c>
      <c r="S2862" t="s">
        <v>34</v>
      </c>
      <c r="T2862" t="s">
        <v>35</v>
      </c>
      <c r="W2862">
        <v>0</v>
      </c>
      <c r="X2862">
        <v>0</v>
      </c>
      <c r="Y2862">
        <v>0</v>
      </c>
      <c r="Z2862">
        <v>0</v>
      </c>
    </row>
    <row r="2863" spans="1:26" hidden="1" x14ac:dyDescent="0.25">
      <c r="A2863" t="s">
        <v>5974</v>
      </c>
      <c r="B2863" t="s">
        <v>38</v>
      </c>
      <c r="C2863" s="4">
        <v>45644</v>
      </c>
      <c r="D2863" s="4">
        <v>46225</v>
      </c>
      <c r="F2863" s="4">
        <v>47270</v>
      </c>
      <c r="G2863" t="s">
        <v>907</v>
      </c>
      <c r="H2863" t="s">
        <v>1396</v>
      </c>
      <c r="K2863" t="s">
        <v>53</v>
      </c>
      <c r="L2863" t="s">
        <v>5172</v>
      </c>
      <c r="M2863" t="s">
        <v>54</v>
      </c>
      <c r="N2863" t="s">
        <v>3122</v>
      </c>
      <c r="O2863" t="s">
        <v>32</v>
      </c>
      <c r="P2863" t="s">
        <v>5975</v>
      </c>
      <c r="Q2863">
        <v>110</v>
      </c>
      <c r="R2863">
        <v>110</v>
      </c>
      <c r="S2863" t="s">
        <v>34</v>
      </c>
      <c r="T2863" t="s">
        <v>35</v>
      </c>
      <c r="W2863">
        <v>0</v>
      </c>
      <c r="X2863">
        <v>0</v>
      </c>
      <c r="Y2863">
        <v>0</v>
      </c>
      <c r="Z2863">
        <v>0</v>
      </c>
    </row>
    <row r="2864" spans="1:26" hidden="1" x14ac:dyDescent="0.25">
      <c r="A2864" t="s">
        <v>5976</v>
      </c>
      <c r="B2864" t="s">
        <v>2338</v>
      </c>
      <c r="C2864" s="4">
        <v>45643</v>
      </c>
      <c r="F2864" s="4">
        <v>47027</v>
      </c>
      <c r="G2864" t="s">
        <v>52</v>
      </c>
      <c r="H2864" t="s">
        <v>1433</v>
      </c>
      <c r="K2864" t="s">
        <v>53</v>
      </c>
      <c r="L2864" t="s">
        <v>5172</v>
      </c>
      <c r="M2864" t="s">
        <v>54</v>
      </c>
      <c r="N2864" t="s">
        <v>3122</v>
      </c>
      <c r="O2864" t="s">
        <v>32</v>
      </c>
      <c r="P2864" t="s">
        <v>1345</v>
      </c>
      <c r="Q2864">
        <v>200</v>
      </c>
      <c r="R2864">
        <v>200</v>
      </c>
      <c r="S2864" t="s">
        <v>34</v>
      </c>
      <c r="T2864" t="s">
        <v>35</v>
      </c>
      <c r="W2864">
        <v>200</v>
      </c>
      <c r="X2864">
        <v>200</v>
      </c>
      <c r="Y2864">
        <v>0</v>
      </c>
      <c r="Z2864">
        <v>0</v>
      </c>
    </row>
    <row r="2865" spans="1:26" hidden="1" x14ac:dyDescent="0.25">
      <c r="A2865" t="s">
        <v>5977</v>
      </c>
      <c r="B2865" t="s">
        <v>2153</v>
      </c>
      <c r="C2865" s="4">
        <v>45684</v>
      </c>
      <c r="F2865" s="4">
        <v>47575</v>
      </c>
      <c r="G2865" t="s">
        <v>132</v>
      </c>
      <c r="H2865" t="s">
        <v>3028</v>
      </c>
      <c r="K2865" t="s">
        <v>83</v>
      </c>
      <c r="L2865" t="s">
        <v>5172</v>
      </c>
      <c r="M2865" t="s">
        <v>84</v>
      </c>
      <c r="N2865" t="s">
        <v>3122</v>
      </c>
      <c r="O2865" t="s">
        <v>32</v>
      </c>
      <c r="P2865" t="s">
        <v>4495</v>
      </c>
      <c r="Q2865">
        <v>500</v>
      </c>
      <c r="R2865">
        <v>500</v>
      </c>
      <c r="S2865" t="s">
        <v>56</v>
      </c>
      <c r="T2865" t="s">
        <v>57</v>
      </c>
      <c r="W2865">
        <v>300</v>
      </c>
      <c r="X2865">
        <v>300</v>
      </c>
      <c r="Y2865">
        <v>0</v>
      </c>
      <c r="Z2865">
        <v>0</v>
      </c>
    </row>
    <row r="2866" spans="1:26" hidden="1" x14ac:dyDescent="0.25">
      <c r="A2866" t="s">
        <v>5978</v>
      </c>
      <c r="B2866" t="s">
        <v>38</v>
      </c>
      <c r="C2866" s="4">
        <v>45639</v>
      </c>
      <c r="D2866" s="4">
        <v>46127</v>
      </c>
      <c r="F2866" s="4">
        <v>46962</v>
      </c>
      <c r="G2866" t="s">
        <v>52</v>
      </c>
      <c r="H2866" t="s">
        <v>1433</v>
      </c>
      <c r="K2866" t="s">
        <v>53</v>
      </c>
      <c r="L2866" t="s">
        <v>5172</v>
      </c>
      <c r="M2866" t="s">
        <v>54</v>
      </c>
      <c r="N2866" t="s">
        <v>3122</v>
      </c>
      <c r="O2866" t="s">
        <v>32</v>
      </c>
      <c r="P2866" t="s">
        <v>5979</v>
      </c>
      <c r="Q2866">
        <v>100</v>
      </c>
      <c r="R2866">
        <v>100</v>
      </c>
      <c r="S2866" t="s">
        <v>159</v>
      </c>
      <c r="T2866" t="s">
        <v>159</v>
      </c>
      <c r="W2866">
        <v>0</v>
      </c>
      <c r="X2866">
        <v>0</v>
      </c>
      <c r="Y2866">
        <v>0</v>
      </c>
      <c r="Z2866">
        <v>0</v>
      </c>
    </row>
    <row r="2867" spans="1:26" hidden="1" x14ac:dyDescent="0.25">
      <c r="A2867" t="s">
        <v>5980</v>
      </c>
      <c r="B2867" t="s">
        <v>38</v>
      </c>
      <c r="C2867" s="4">
        <v>45637</v>
      </c>
      <c r="D2867" s="4">
        <v>45889</v>
      </c>
      <c r="F2867" s="4">
        <v>46997</v>
      </c>
      <c r="G2867" t="s">
        <v>177</v>
      </c>
      <c r="H2867" t="s">
        <v>2477</v>
      </c>
      <c r="K2867" t="s">
        <v>62</v>
      </c>
      <c r="L2867" t="s">
        <v>5172</v>
      </c>
      <c r="M2867" t="s">
        <v>42</v>
      </c>
      <c r="N2867" t="s">
        <v>3122</v>
      </c>
      <c r="O2867" t="s">
        <v>32</v>
      </c>
      <c r="P2867" t="s">
        <v>5981</v>
      </c>
      <c r="Q2867">
        <v>250</v>
      </c>
      <c r="R2867">
        <v>250</v>
      </c>
      <c r="S2867" t="s">
        <v>34</v>
      </c>
      <c r="T2867" t="s">
        <v>35</v>
      </c>
      <c r="W2867">
        <v>0</v>
      </c>
      <c r="X2867">
        <v>0</v>
      </c>
      <c r="Y2867">
        <v>0</v>
      </c>
      <c r="Z2867">
        <v>0</v>
      </c>
    </row>
    <row r="2868" spans="1:26" hidden="1" x14ac:dyDescent="0.25">
      <c r="A2868" t="s">
        <v>5982</v>
      </c>
      <c r="B2868" t="s">
        <v>38</v>
      </c>
      <c r="C2868" s="4">
        <v>45637</v>
      </c>
      <c r="D2868" s="4">
        <v>45845</v>
      </c>
      <c r="F2868" s="4">
        <v>46997</v>
      </c>
      <c r="G2868" t="s">
        <v>1597</v>
      </c>
      <c r="H2868" t="s">
        <v>4903</v>
      </c>
      <c r="K2868" t="s">
        <v>41</v>
      </c>
      <c r="L2868" t="s">
        <v>5172</v>
      </c>
      <c r="M2868" t="s">
        <v>42</v>
      </c>
      <c r="N2868" t="s">
        <v>3122</v>
      </c>
      <c r="O2868" t="s">
        <v>32</v>
      </c>
      <c r="P2868" t="s">
        <v>5983</v>
      </c>
      <c r="Q2868">
        <v>200</v>
      </c>
      <c r="R2868">
        <v>200</v>
      </c>
      <c r="S2868" t="s">
        <v>34</v>
      </c>
      <c r="T2868" t="s">
        <v>35</v>
      </c>
      <c r="W2868">
        <v>0</v>
      </c>
      <c r="X2868">
        <v>0</v>
      </c>
      <c r="Y2868">
        <v>0</v>
      </c>
      <c r="Z2868">
        <v>0</v>
      </c>
    </row>
    <row r="2869" spans="1:26" hidden="1" x14ac:dyDescent="0.25">
      <c r="A2869" t="s">
        <v>5984</v>
      </c>
      <c r="B2869" t="s">
        <v>2338</v>
      </c>
      <c r="C2869" s="4">
        <v>45635</v>
      </c>
      <c r="F2869" s="4">
        <v>47058</v>
      </c>
      <c r="G2869" t="s">
        <v>52</v>
      </c>
      <c r="H2869" t="s">
        <v>3796</v>
      </c>
      <c r="K2869" t="s">
        <v>53</v>
      </c>
      <c r="L2869" t="s">
        <v>5172</v>
      </c>
      <c r="M2869" t="s">
        <v>54</v>
      </c>
      <c r="N2869" t="s">
        <v>3122</v>
      </c>
      <c r="O2869" t="s">
        <v>32</v>
      </c>
      <c r="P2869" t="s">
        <v>5985</v>
      </c>
      <c r="Q2869">
        <v>230</v>
      </c>
      <c r="R2869">
        <v>230</v>
      </c>
      <c r="S2869" t="s">
        <v>56</v>
      </c>
      <c r="T2869" t="s">
        <v>57</v>
      </c>
      <c r="W2869">
        <v>230</v>
      </c>
      <c r="X2869">
        <v>230</v>
      </c>
      <c r="Y2869">
        <v>0</v>
      </c>
      <c r="Z2869">
        <v>0</v>
      </c>
    </row>
    <row r="2870" spans="1:26" hidden="1" x14ac:dyDescent="0.25">
      <c r="A2870" t="s">
        <v>5986</v>
      </c>
      <c r="B2870" t="s">
        <v>2338</v>
      </c>
      <c r="C2870" s="4">
        <v>45634</v>
      </c>
      <c r="F2870" s="4">
        <v>47058</v>
      </c>
      <c r="G2870" t="s">
        <v>52</v>
      </c>
      <c r="H2870" t="s">
        <v>3796</v>
      </c>
      <c r="K2870" t="s">
        <v>53</v>
      </c>
      <c r="L2870" t="s">
        <v>5172</v>
      </c>
      <c r="M2870" t="s">
        <v>54</v>
      </c>
      <c r="N2870" t="s">
        <v>3122</v>
      </c>
      <c r="O2870" t="s">
        <v>32</v>
      </c>
      <c r="P2870" t="s">
        <v>2352</v>
      </c>
      <c r="Q2870">
        <v>250</v>
      </c>
      <c r="R2870">
        <v>250</v>
      </c>
      <c r="S2870" t="s">
        <v>56</v>
      </c>
      <c r="T2870" t="s">
        <v>57</v>
      </c>
      <c r="W2870">
        <v>250</v>
      </c>
      <c r="X2870">
        <v>250</v>
      </c>
      <c r="Y2870">
        <v>0</v>
      </c>
      <c r="Z2870">
        <v>0</v>
      </c>
    </row>
    <row r="2871" spans="1:26" hidden="1" x14ac:dyDescent="0.25">
      <c r="A2871" t="s">
        <v>5987</v>
      </c>
      <c r="B2871" t="s">
        <v>2338</v>
      </c>
      <c r="C2871" s="4">
        <v>45632</v>
      </c>
      <c r="F2871" s="4">
        <v>47058</v>
      </c>
      <c r="G2871" t="s">
        <v>907</v>
      </c>
      <c r="H2871" t="s">
        <v>1728</v>
      </c>
      <c r="K2871" t="s">
        <v>53</v>
      </c>
      <c r="L2871" t="s">
        <v>5172</v>
      </c>
      <c r="M2871" t="s">
        <v>54</v>
      </c>
      <c r="N2871" t="s">
        <v>3122</v>
      </c>
      <c r="O2871" t="s">
        <v>32</v>
      </c>
      <c r="P2871" t="s">
        <v>5988</v>
      </c>
      <c r="Q2871">
        <v>300</v>
      </c>
      <c r="R2871">
        <v>300</v>
      </c>
      <c r="S2871" t="s">
        <v>56</v>
      </c>
      <c r="T2871" t="s">
        <v>57</v>
      </c>
      <c r="W2871">
        <v>250</v>
      </c>
      <c r="X2871">
        <v>250</v>
      </c>
      <c r="Y2871">
        <v>0</v>
      </c>
      <c r="Z2871">
        <v>0</v>
      </c>
    </row>
    <row r="2872" spans="1:26" hidden="1" x14ac:dyDescent="0.25">
      <c r="A2872" t="s">
        <v>5989</v>
      </c>
      <c r="B2872" t="s">
        <v>38</v>
      </c>
      <c r="C2872" s="4">
        <v>45628</v>
      </c>
      <c r="D2872" s="4">
        <v>46020</v>
      </c>
      <c r="F2872" s="4">
        <v>47270</v>
      </c>
      <c r="G2872" t="s">
        <v>132</v>
      </c>
      <c r="H2872" t="s">
        <v>2751</v>
      </c>
      <c r="K2872" t="s">
        <v>83</v>
      </c>
      <c r="L2872" t="s">
        <v>5172</v>
      </c>
      <c r="M2872" t="s">
        <v>84</v>
      </c>
      <c r="N2872" t="s">
        <v>3122</v>
      </c>
      <c r="O2872" t="s">
        <v>32</v>
      </c>
      <c r="P2872" t="s">
        <v>5990</v>
      </c>
      <c r="Q2872">
        <v>200</v>
      </c>
      <c r="R2872">
        <v>200</v>
      </c>
      <c r="S2872" t="s">
        <v>34</v>
      </c>
      <c r="T2872" t="s">
        <v>35</v>
      </c>
      <c r="W2872">
        <v>0</v>
      </c>
      <c r="X2872">
        <v>0</v>
      </c>
      <c r="Y2872">
        <v>0</v>
      </c>
      <c r="Z2872">
        <v>0</v>
      </c>
    </row>
    <row r="2873" spans="1:26" hidden="1" x14ac:dyDescent="0.25">
      <c r="A2873" t="s">
        <v>5991</v>
      </c>
      <c r="B2873" t="s">
        <v>38</v>
      </c>
      <c r="C2873" s="4">
        <v>45628</v>
      </c>
      <c r="D2873" s="4">
        <v>45911</v>
      </c>
      <c r="F2873" s="4">
        <v>47270</v>
      </c>
      <c r="G2873" t="s">
        <v>65</v>
      </c>
      <c r="H2873" t="s">
        <v>5992</v>
      </c>
      <c r="K2873" t="s">
        <v>67</v>
      </c>
      <c r="L2873" t="s">
        <v>5172</v>
      </c>
      <c r="M2873" t="s">
        <v>68</v>
      </c>
      <c r="N2873" t="s">
        <v>3122</v>
      </c>
      <c r="O2873" t="s">
        <v>32</v>
      </c>
      <c r="P2873" t="s">
        <v>5993</v>
      </c>
      <c r="Q2873">
        <v>100</v>
      </c>
      <c r="R2873">
        <v>100</v>
      </c>
      <c r="S2873" t="s">
        <v>34</v>
      </c>
      <c r="T2873" t="s">
        <v>35</v>
      </c>
      <c r="W2873">
        <v>0</v>
      </c>
      <c r="X2873">
        <v>0</v>
      </c>
      <c r="Y2873">
        <v>0</v>
      </c>
      <c r="Z2873">
        <v>0</v>
      </c>
    </row>
    <row r="2874" spans="1:26" hidden="1" x14ac:dyDescent="0.25">
      <c r="A2874" t="s">
        <v>5994</v>
      </c>
      <c r="B2874" t="s">
        <v>38</v>
      </c>
      <c r="C2874" s="4">
        <v>45628</v>
      </c>
      <c r="D2874" s="4">
        <v>45911</v>
      </c>
      <c r="F2874" s="4">
        <v>47270</v>
      </c>
      <c r="G2874" t="s">
        <v>1251</v>
      </c>
      <c r="H2874" t="s">
        <v>1663</v>
      </c>
      <c r="K2874" t="s">
        <v>109</v>
      </c>
      <c r="L2874" t="s">
        <v>5172</v>
      </c>
      <c r="M2874" t="s">
        <v>84</v>
      </c>
      <c r="N2874" t="s">
        <v>3122</v>
      </c>
      <c r="O2874" t="s">
        <v>32</v>
      </c>
      <c r="P2874" t="s">
        <v>5995</v>
      </c>
      <c r="Q2874">
        <v>150</v>
      </c>
      <c r="R2874">
        <v>150</v>
      </c>
      <c r="S2874" t="s">
        <v>34</v>
      </c>
      <c r="T2874" t="s">
        <v>35</v>
      </c>
      <c r="W2874">
        <v>0</v>
      </c>
      <c r="X2874">
        <v>0</v>
      </c>
      <c r="Y2874">
        <v>0</v>
      </c>
      <c r="Z2874">
        <v>0</v>
      </c>
    </row>
    <row r="2875" spans="1:26" hidden="1" x14ac:dyDescent="0.25">
      <c r="A2875" t="s">
        <v>5996</v>
      </c>
      <c r="B2875" t="s">
        <v>2153</v>
      </c>
      <c r="C2875" s="4">
        <v>45649</v>
      </c>
      <c r="F2875" s="4">
        <v>45317</v>
      </c>
      <c r="G2875" t="s">
        <v>691</v>
      </c>
      <c r="H2875" t="s">
        <v>1873</v>
      </c>
      <c r="K2875" t="s">
        <v>98</v>
      </c>
      <c r="L2875" t="s">
        <v>5172</v>
      </c>
      <c r="M2875" t="s">
        <v>84</v>
      </c>
      <c r="N2875" t="s">
        <v>3122</v>
      </c>
      <c r="O2875" t="s">
        <v>32</v>
      </c>
      <c r="P2875" t="s">
        <v>5997</v>
      </c>
      <c r="Q2875">
        <v>87</v>
      </c>
      <c r="R2875">
        <v>87</v>
      </c>
      <c r="S2875" t="s">
        <v>389</v>
      </c>
      <c r="T2875" t="s">
        <v>390</v>
      </c>
      <c r="V2875" s="4">
        <v>37377</v>
      </c>
      <c r="W2875">
        <v>87</v>
      </c>
      <c r="X2875">
        <v>87</v>
      </c>
      <c r="Y2875">
        <v>87</v>
      </c>
      <c r="Z2875">
        <v>87</v>
      </c>
    </row>
    <row r="2876" spans="1:26" hidden="1" x14ac:dyDescent="0.25">
      <c r="A2876" t="s">
        <v>5998</v>
      </c>
      <c r="B2876" t="s">
        <v>38</v>
      </c>
      <c r="C2876" s="4">
        <v>45645</v>
      </c>
      <c r="D2876" s="4">
        <v>45924</v>
      </c>
      <c r="F2876" s="4">
        <v>47087</v>
      </c>
      <c r="G2876" t="s">
        <v>144</v>
      </c>
      <c r="H2876" t="s">
        <v>2437</v>
      </c>
      <c r="K2876" t="s">
        <v>146</v>
      </c>
      <c r="L2876" t="s">
        <v>5172</v>
      </c>
      <c r="M2876" t="s">
        <v>68</v>
      </c>
      <c r="N2876" t="s">
        <v>3122</v>
      </c>
      <c r="O2876" t="s">
        <v>32</v>
      </c>
      <c r="P2876" t="s">
        <v>5999</v>
      </c>
      <c r="Q2876">
        <v>735</v>
      </c>
      <c r="R2876">
        <v>770</v>
      </c>
      <c r="S2876" t="s">
        <v>389</v>
      </c>
      <c r="T2876" t="s">
        <v>2141</v>
      </c>
      <c r="W2876">
        <v>0</v>
      </c>
      <c r="X2876">
        <v>0</v>
      </c>
      <c r="Y2876">
        <v>0</v>
      </c>
      <c r="Z2876">
        <v>0</v>
      </c>
    </row>
    <row r="2877" spans="1:26" hidden="1" x14ac:dyDescent="0.25">
      <c r="A2877" t="s">
        <v>6000</v>
      </c>
      <c r="B2877" t="s">
        <v>2153</v>
      </c>
      <c r="C2877" s="4">
        <v>45684</v>
      </c>
      <c r="F2877" s="4">
        <v>47123</v>
      </c>
      <c r="G2877" t="s">
        <v>907</v>
      </c>
      <c r="H2877" t="s">
        <v>2052</v>
      </c>
      <c r="K2877" t="s">
        <v>53</v>
      </c>
      <c r="L2877" t="s">
        <v>5172</v>
      </c>
      <c r="M2877" t="s">
        <v>54</v>
      </c>
      <c r="N2877" t="s">
        <v>3122</v>
      </c>
      <c r="O2877" t="s">
        <v>32</v>
      </c>
      <c r="P2877" t="s">
        <v>6001</v>
      </c>
      <c r="Q2877">
        <v>350</v>
      </c>
      <c r="R2877">
        <v>350</v>
      </c>
      <c r="S2877" t="s">
        <v>159</v>
      </c>
      <c r="T2877" t="s">
        <v>159</v>
      </c>
      <c r="W2877">
        <v>350</v>
      </c>
      <c r="X2877">
        <v>350</v>
      </c>
      <c r="Y2877">
        <v>0</v>
      </c>
      <c r="Z2877">
        <v>0</v>
      </c>
    </row>
    <row r="2878" spans="1:26" hidden="1" x14ac:dyDescent="0.25">
      <c r="A2878" t="s">
        <v>6002</v>
      </c>
      <c r="B2878" t="s">
        <v>2338</v>
      </c>
      <c r="C2878" s="4">
        <v>45645</v>
      </c>
      <c r="F2878" s="4">
        <v>47270</v>
      </c>
      <c r="G2878" t="s">
        <v>138</v>
      </c>
      <c r="H2878" t="s">
        <v>2375</v>
      </c>
      <c r="K2878" t="s">
        <v>98</v>
      </c>
      <c r="L2878" t="s">
        <v>5172</v>
      </c>
      <c r="M2878" t="s">
        <v>84</v>
      </c>
      <c r="N2878" t="s">
        <v>3122</v>
      </c>
      <c r="O2878" t="s">
        <v>32</v>
      </c>
      <c r="P2878" t="s">
        <v>6003</v>
      </c>
      <c r="Q2878">
        <v>200</v>
      </c>
      <c r="R2878">
        <v>200</v>
      </c>
      <c r="S2878" t="s">
        <v>159</v>
      </c>
      <c r="T2878" t="s">
        <v>159</v>
      </c>
      <c r="W2878">
        <v>200</v>
      </c>
      <c r="X2878">
        <v>200</v>
      </c>
      <c r="Y2878">
        <v>0</v>
      </c>
      <c r="Z2878">
        <v>0</v>
      </c>
    </row>
    <row r="2879" spans="1:26" hidden="1" x14ac:dyDescent="0.25">
      <c r="A2879" t="s">
        <v>6004</v>
      </c>
      <c r="B2879" t="s">
        <v>2153</v>
      </c>
      <c r="C2879" s="4">
        <v>45645</v>
      </c>
      <c r="F2879" s="4">
        <v>47058</v>
      </c>
      <c r="G2879" t="s">
        <v>1326</v>
      </c>
      <c r="H2879" t="s">
        <v>1285</v>
      </c>
      <c r="K2879" t="s">
        <v>67</v>
      </c>
      <c r="L2879" t="s">
        <v>5172</v>
      </c>
      <c r="M2879" t="s">
        <v>68</v>
      </c>
      <c r="N2879" t="s">
        <v>3122</v>
      </c>
      <c r="O2879" t="s">
        <v>122</v>
      </c>
      <c r="P2879" t="s">
        <v>6005</v>
      </c>
      <c r="Q2879">
        <v>770</v>
      </c>
      <c r="R2879">
        <v>770</v>
      </c>
      <c r="S2879" t="s">
        <v>389</v>
      </c>
      <c r="T2879" t="s">
        <v>2141</v>
      </c>
      <c r="W2879">
        <v>770</v>
      </c>
      <c r="X2879">
        <v>0</v>
      </c>
      <c r="Y2879">
        <v>0</v>
      </c>
      <c r="Z2879">
        <v>0</v>
      </c>
    </row>
    <row r="2880" spans="1:26" hidden="1" x14ac:dyDescent="0.25">
      <c r="A2880" t="s">
        <v>6006</v>
      </c>
      <c r="B2880" t="s">
        <v>38</v>
      </c>
      <c r="C2880" s="4">
        <v>45694</v>
      </c>
      <c r="D2880" s="4">
        <v>46022</v>
      </c>
      <c r="F2880" s="4">
        <v>47756</v>
      </c>
      <c r="G2880" t="s">
        <v>52</v>
      </c>
      <c r="H2880" t="s">
        <v>1728</v>
      </c>
      <c r="K2880" t="s">
        <v>53</v>
      </c>
      <c r="L2880" t="s">
        <v>5172</v>
      </c>
      <c r="M2880" t="s">
        <v>54</v>
      </c>
      <c r="N2880" t="s">
        <v>3122</v>
      </c>
      <c r="O2880" t="s">
        <v>32</v>
      </c>
      <c r="P2880" t="s">
        <v>1345</v>
      </c>
      <c r="Q2880">
        <v>50</v>
      </c>
      <c r="R2880">
        <v>50</v>
      </c>
      <c r="S2880" t="s">
        <v>159</v>
      </c>
      <c r="T2880" t="s">
        <v>159</v>
      </c>
      <c r="W2880">
        <v>0</v>
      </c>
      <c r="X2880">
        <v>0</v>
      </c>
      <c r="Y2880">
        <v>0</v>
      </c>
      <c r="Z2880">
        <v>0</v>
      </c>
    </row>
    <row r="2881" spans="1:26" hidden="1" x14ac:dyDescent="0.25">
      <c r="A2881" t="s">
        <v>6007</v>
      </c>
      <c r="B2881" t="s">
        <v>38</v>
      </c>
      <c r="C2881" s="4">
        <v>45694</v>
      </c>
      <c r="D2881" s="4">
        <v>46022</v>
      </c>
      <c r="F2881" s="4">
        <v>47756</v>
      </c>
      <c r="G2881" t="s">
        <v>907</v>
      </c>
      <c r="H2881" t="s">
        <v>1728</v>
      </c>
      <c r="K2881" t="s">
        <v>53</v>
      </c>
      <c r="L2881" t="s">
        <v>5172</v>
      </c>
      <c r="M2881" t="s">
        <v>54</v>
      </c>
      <c r="N2881" t="s">
        <v>3122</v>
      </c>
      <c r="O2881" t="s">
        <v>32</v>
      </c>
      <c r="P2881" t="s">
        <v>1345</v>
      </c>
      <c r="Q2881">
        <v>150</v>
      </c>
      <c r="R2881">
        <v>150</v>
      </c>
      <c r="S2881" t="s">
        <v>34</v>
      </c>
      <c r="T2881" t="s">
        <v>35</v>
      </c>
      <c r="W2881">
        <v>0</v>
      </c>
      <c r="X2881">
        <v>0</v>
      </c>
      <c r="Y2881">
        <v>0</v>
      </c>
      <c r="Z2881">
        <v>0</v>
      </c>
    </row>
    <row r="2882" spans="1:26" hidden="1" x14ac:dyDescent="0.25">
      <c r="A2882" t="s">
        <v>6008</v>
      </c>
      <c r="B2882" t="s">
        <v>38</v>
      </c>
      <c r="C2882" s="4">
        <v>45660</v>
      </c>
      <c r="D2882" s="4">
        <v>46027</v>
      </c>
      <c r="F2882" s="4">
        <v>47270</v>
      </c>
      <c r="G2882" t="s">
        <v>101</v>
      </c>
      <c r="H2882" t="s">
        <v>1663</v>
      </c>
      <c r="K2882" t="s">
        <v>98</v>
      </c>
      <c r="L2882" t="s">
        <v>5172</v>
      </c>
      <c r="M2882" t="s">
        <v>84</v>
      </c>
      <c r="N2882" t="s">
        <v>3122</v>
      </c>
      <c r="O2882" t="s">
        <v>32</v>
      </c>
      <c r="P2882" t="s">
        <v>1345</v>
      </c>
      <c r="Q2882">
        <v>160</v>
      </c>
      <c r="R2882">
        <v>160</v>
      </c>
      <c r="S2882" t="s">
        <v>34</v>
      </c>
      <c r="T2882" t="s">
        <v>35</v>
      </c>
      <c r="W2882">
        <v>0</v>
      </c>
      <c r="X2882">
        <v>0</v>
      </c>
      <c r="Y2882">
        <v>0</v>
      </c>
      <c r="Z2882">
        <v>0</v>
      </c>
    </row>
    <row r="2883" spans="1:26" hidden="1" x14ac:dyDescent="0.25">
      <c r="A2883" t="s">
        <v>6009</v>
      </c>
      <c r="B2883" t="s">
        <v>38</v>
      </c>
      <c r="C2883" s="4">
        <v>45645</v>
      </c>
      <c r="D2883" s="4">
        <v>46027</v>
      </c>
      <c r="F2883" s="4">
        <v>47270</v>
      </c>
      <c r="G2883" t="s">
        <v>117</v>
      </c>
      <c r="H2883" t="s">
        <v>1279</v>
      </c>
      <c r="K2883" t="s">
        <v>83</v>
      </c>
      <c r="L2883" t="s">
        <v>5172</v>
      </c>
      <c r="M2883" t="s">
        <v>84</v>
      </c>
      <c r="N2883" t="s">
        <v>3122</v>
      </c>
      <c r="O2883" t="s">
        <v>32</v>
      </c>
      <c r="P2883" t="s">
        <v>5222</v>
      </c>
      <c r="Q2883">
        <v>300</v>
      </c>
      <c r="R2883">
        <v>300</v>
      </c>
      <c r="S2883" t="s">
        <v>34</v>
      </c>
      <c r="T2883" t="s">
        <v>35</v>
      </c>
      <c r="W2883">
        <v>0</v>
      </c>
      <c r="X2883">
        <v>0</v>
      </c>
      <c r="Y2883">
        <v>0</v>
      </c>
      <c r="Z2883">
        <v>0</v>
      </c>
    </row>
    <row r="2884" spans="1:26" hidden="1" x14ac:dyDescent="0.25">
      <c r="A2884" t="s">
        <v>6010</v>
      </c>
      <c r="B2884" t="s">
        <v>2153</v>
      </c>
      <c r="C2884" s="4">
        <v>45440</v>
      </c>
      <c r="F2884" s="4">
        <v>47696</v>
      </c>
      <c r="G2884" t="s">
        <v>691</v>
      </c>
      <c r="H2884" t="s">
        <v>1437</v>
      </c>
      <c r="K2884" t="s">
        <v>98</v>
      </c>
      <c r="L2884" t="s">
        <v>5172</v>
      </c>
      <c r="M2884" t="s">
        <v>84</v>
      </c>
      <c r="N2884" t="s">
        <v>3122</v>
      </c>
      <c r="O2884" t="s">
        <v>32</v>
      </c>
      <c r="P2884" t="s">
        <v>6011</v>
      </c>
      <c r="Q2884">
        <v>200</v>
      </c>
      <c r="R2884">
        <v>200</v>
      </c>
      <c r="S2884" t="s">
        <v>597</v>
      </c>
      <c r="T2884" t="s">
        <v>598</v>
      </c>
      <c r="W2884">
        <v>200</v>
      </c>
      <c r="X2884">
        <v>200</v>
      </c>
      <c r="Y2884">
        <v>0</v>
      </c>
      <c r="Z2884">
        <v>0</v>
      </c>
    </row>
    <row r="2885" spans="1:26" hidden="1" x14ac:dyDescent="0.25">
      <c r="A2885" t="s">
        <v>6012</v>
      </c>
      <c r="B2885" t="s">
        <v>38</v>
      </c>
      <c r="C2885" s="4">
        <v>45698</v>
      </c>
      <c r="D2885" s="4">
        <v>46126</v>
      </c>
      <c r="F2885" s="4">
        <v>47756</v>
      </c>
      <c r="G2885" t="s">
        <v>117</v>
      </c>
      <c r="H2885" t="s">
        <v>1542</v>
      </c>
      <c r="K2885" t="s">
        <v>83</v>
      </c>
      <c r="L2885" t="s">
        <v>5172</v>
      </c>
      <c r="M2885" t="s">
        <v>84</v>
      </c>
      <c r="N2885" t="s">
        <v>3122</v>
      </c>
      <c r="O2885" t="s">
        <v>32</v>
      </c>
      <c r="P2885" t="s">
        <v>6013</v>
      </c>
      <c r="Q2885">
        <v>200</v>
      </c>
      <c r="R2885">
        <v>200</v>
      </c>
      <c r="S2885" t="s">
        <v>34</v>
      </c>
      <c r="T2885" t="s">
        <v>35</v>
      </c>
      <c r="W2885">
        <v>0</v>
      </c>
      <c r="X2885">
        <v>0</v>
      </c>
      <c r="Y2885">
        <v>0</v>
      </c>
      <c r="Z2885">
        <v>0</v>
      </c>
    </row>
    <row r="2886" spans="1:26" hidden="1" x14ac:dyDescent="0.25">
      <c r="A2886" t="s">
        <v>6014</v>
      </c>
      <c r="B2886" t="s">
        <v>38</v>
      </c>
      <c r="C2886" s="4">
        <v>45698</v>
      </c>
      <c r="D2886" s="4">
        <v>46126</v>
      </c>
      <c r="F2886" s="4">
        <v>47756</v>
      </c>
      <c r="G2886" t="s">
        <v>117</v>
      </c>
      <c r="H2886" t="s">
        <v>1542</v>
      </c>
      <c r="K2886" t="s">
        <v>83</v>
      </c>
      <c r="L2886" t="s">
        <v>5172</v>
      </c>
      <c r="M2886" t="s">
        <v>84</v>
      </c>
      <c r="N2886" t="s">
        <v>3122</v>
      </c>
      <c r="O2886" t="s">
        <v>32</v>
      </c>
      <c r="P2886" t="s">
        <v>6013</v>
      </c>
      <c r="Q2886">
        <v>200</v>
      </c>
      <c r="R2886">
        <v>200</v>
      </c>
      <c r="S2886" t="s">
        <v>159</v>
      </c>
      <c r="T2886" t="s">
        <v>159</v>
      </c>
      <c r="W2886">
        <v>0</v>
      </c>
      <c r="X2886">
        <v>0</v>
      </c>
      <c r="Y2886">
        <v>0</v>
      </c>
      <c r="Z2886">
        <v>0</v>
      </c>
    </row>
    <row r="2887" spans="1:26" hidden="1" x14ac:dyDescent="0.25">
      <c r="A2887" t="s">
        <v>6015</v>
      </c>
      <c r="B2887" t="s">
        <v>2153</v>
      </c>
      <c r="C2887" s="4">
        <v>45698</v>
      </c>
      <c r="F2887" s="4">
        <v>47756</v>
      </c>
      <c r="G2887" t="s">
        <v>117</v>
      </c>
      <c r="H2887" t="s">
        <v>4532</v>
      </c>
      <c r="K2887" t="s">
        <v>83</v>
      </c>
      <c r="L2887" t="s">
        <v>5172</v>
      </c>
      <c r="M2887" t="s">
        <v>84</v>
      </c>
      <c r="N2887" t="s">
        <v>3122</v>
      </c>
      <c r="O2887" t="s">
        <v>32</v>
      </c>
      <c r="P2887" t="s">
        <v>6016</v>
      </c>
      <c r="Q2887">
        <v>250</v>
      </c>
      <c r="R2887">
        <v>250</v>
      </c>
      <c r="S2887" t="s">
        <v>34</v>
      </c>
      <c r="T2887" t="s">
        <v>35</v>
      </c>
      <c r="W2887">
        <v>250</v>
      </c>
      <c r="X2887">
        <v>250</v>
      </c>
      <c r="Y2887">
        <v>0</v>
      </c>
      <c r="Z2887">
        <v>0</v>
      </c>
    </row>
    <row r="2888" spans="1:26" hidden="1" x14ac:dyDescent="0.25">
      <c r="A2888" t="s">
        <v>6017</v>
      </c>
      <c r="B2888" t="s">
        <v>38</v>
      </c>
      <c r="C2888" s="4">
        <v>45698</v>
      </c>
      <c r="D2888" s="4">
        <v>46126</v>
      </c>
      <c r="F2888" s="4">
        <v>47756</v>
      </c>
      <c r="G2888" t="s">
        <v>117</v>
      </c>
      <c r="H2888" t="s">
        <v>4532</v>
      </c>
      <c r="K2888" t="s">
        <v>83</v>
      </c>
      <c r="L2888" t="s">
        <v>5172</v>
      </c>
      <c r="M2888" t="s">
        <v>84</v>
      </c>
      <c r="N2888" t="s">
        <v>3122</v>
      </c>
      <c r="O2888" t="s">
        <v>32</v>
      </c>
      <c r="P2888" t="s">
        <v>6016</v>
      </c>
      <c r="Q2888">
        <v>250</v>
      </c>
      <c r="R2888">
        <v>250</v>
      </c>
      <c r="S2888" t="s">
        <v>159</v>
      </c>
      <c r="T2888" t="s">
        <v>159</v>
      </c>
      <c r="W2888">
        <v>0</v>
      </c>
      <c r="X2888">
        <v>0</v>
      </c>
      <c r="Y2888">
        <v>0</v>
      </c>
      <c r="Z2888">
        <v>0</v>
      </c>
    </row>
    <row r="2889" spans="1:26" hidden="1" x14ac:dyDescent="0.25">
      <c r="A2889" t="s">
        <v>6018</v>
      </c>
      <c r="B2889" t="s">
        <v>38</v>
      </c>
      <c r="C2889" s="4">
        <v>45697</v>
      </c>
      <c r="D2889" s="4">
        <v>46127</v>
      </c>
      <c r="F2889" s="4">
        <v>47756</v>
      </c>
      <c r="G2889" t="s">
        <v>173</v>
      </c>
      <c r="H2889" t="s">
        <v>2569</v>
      </c>
      <c r="K2889" t="s">
        <v>41</v>
      </c>
      <c r="L2889" t="s">
        <v>5172</v>
      </c>
      <c r="M2889" t="s">
        <v>42</v>
      </c>
      <c r="N2889" t="s">
        <v>3122</v>
      </c>
      <c r="O2889" t="s">
        <v>32</v>
      </c>
      <c r="P2889" t="s">
        <v>6019</v>
      </c>
      <c r="Q2889">
        <v>300</v>
      </c>
      <c r="R2889">
        <v>300</v>
      </c>
      <c r="S2889" t="s">
        <v>34</v>
      </c>
      <c r="T2889" t="s">
        <v>35</v>
      </c>
      <c r="W2889">
        <v>0</v>
      </c>
      <c r="X2889">
        <v>0</v>
      </c>
      <c r="Y2889">
        <v>0</v>
      </c>
      <c r="Z2889">
        <v>0</v>
      </c>
    </row>
    <row r="2890" spans="1:26" hidden="1" x14ac:dyDescent="0.25">
      <c r="A2890" t="s">
        <v>6020</v>
      </c>
      <c r="B2890" t="s">
        <v>38</v>
      </c>
      <c r="C2890" s="4">
        <v>45713</v>
      </c>
      <c r="D2890" s="4">
        <v>46027</v>
      </c>
      <c r="F2890" s="4">
        <v>47756</v>
      </c>
      <c r="G2890" t="s">
        <v>144</v>
      </c>
      <c r="H2890" t="s">
        <v>1418</v>
      </c>
      <c r="K2890" t="s">
        <v>146</v>
      </c>
      <c r="L2890" t="s">
        <v>5172</v>
      </c>
      <c r="M2890" t="s">
        <v>68</v>
      </c>
      <c r="N2890" t="s">
        <v>3122</v>
      </c>
      <c r="O2890" t="s">
        <v>32</v>
      </c>
      <c r="P2890" t="s">
        <v>6021</v>
      </c>
      <c r="Q2890">
        <v>200</v>
      </c>
      <c r="R2890">
        <v>200</v>
      </c>
      <c r="S2890" t="s">
        <v>34</v>
      </c>
      <c r="T2890" t="s">
        <v>35</v>
      </c>
      <c r="W2890">
        <v>0</v>
      </c>
      <c r="X2890">
        <v>0</v>
      </c>
      <c r="Y2890">
        <v>0</v>
      </c>
      <c r="Z2890">
        <v>0</v>
      </c>
    </row>
    <row r="2891" spans="1:26" hidden="1" x14ac:dyDescent="0.25">
      <c r="A2891" t="s">
        <v>6022</v>
      </c>
      <c r="B2891" t="s">
        <v>38</v>
      </c>
      <c r="C2891" s="4">
        <v>45699</v>
      </c>
      <c r="D2891" s="4">
        <v>46127</v>
      </c>
      <c r="F2891" s="4">
        <v>47574</v>
      </c>
      <c r="G2891" t="s">
        <v>177</v>
      </c>
      <c r="H2891" t="s">
        <v>4983</v>
      </c>
      <c r="K2891" t="s">
        <v>41</v>
      </c>
      <c r="L2891" t="s">
        <v>5172</v>
      </c>
      <c r="M2891" t="s">
        <v>42</v>
      </c>
      <c r="N2891" t="s">
        <v>3122</v>
      </c>
      <c r="O2891" t="s">
        <v>32</v>
      </c>
      <c r="P2891" t="s">
        <v>5176</v>
      </c>
      <c r="Q2891">
        <v>300</v>
      </c>
      <c r="R2891">
        <v>300</v>
      </c>
      <c r="S2891" t="s">
        <v>56</v>
      </c>
      <c r="T2891" t="s">
        <v>57</v>
      </c>
      <c r="W2891">
        <v>0</v>
      </c>
      <c r="X2891">
        <v>0</v>
      </c>
      <c r="Y2891">
        <v>0</v>
      </c>
      <c r="Z2891">
        <v>0</v>
      </c>
    </row>
    <row r="2892" spans="1:26" hidden="1" x14ac:dyDescent="0.25">
      <c r="A2892" t="s">
        <v>6023</v>
      </c>
      <c r="B2892" t="s">
        <v>38</v>
      </c>
      <c r="C2892" s="4">
        <v>45667</v>
      </c>
      <c r="D2892" s="4">
        <v>46073</v>
      </c>
      <c r="F2892" s="4">
        <v>47848</v>
      </c>
      <c r="G2892" t="s">
        <v>52</v>
      </c>
      <c r="H2892" t="s">
        <v>2308</v>
      </c>
      <c r="K2892" t="s">
        <v>53</v>
      </c>
      <c r="L2892" t="s">
        <v>5172</v>
      </c>
      <c r="M2892" t="s">
        <v>54</v>
      </c>
      <c r="N2892" t="s">
        <v>3122</v>
      </c>
      <c r="O2892" t="s">
        <v>32</v>
      </c>
      <c r="P2892" t="s">
        <v>2309</v>
      </c>
      <c r="Q2892">
        <v>300</v>
      </c>
      <c r="R2892">
        <v>300</v>
      </c>
      <c r="S2892" t="s">
        <v>56</v>
      </c>
      <c r="T2892" t="s">
        <v>57</v>
      </c>
      <c r="W2892">
        <v>0</v>
      </c>
      <c r="X2892">
        <v>0</v>
      </c>
      <c r="Y2892">
        <v>0</v>
      </c>
      <c r="Z2892">
        <v>0</v>
      </c>
    </row>
    <row r="2893" spans="1:26" hidden="1" x14ac:dyDescent="0.25">
      <c r="A2893" t="s">
        <v>6024</v>
      </c>
      <c r="B2893" t="s">
        <v>38</v>
      </c>
      <c r="C2893" s="4">
        <v>45694</v>
      </c>
      <c r="D2893" s="4">
        <v>46127</v>
      </c>
      <c r="F2893" s="4">
        <v>47738</v>
      </c>
      <c r="G2893" t="s">
        <v>65</v>
      </c>
      <c r="H2893" t="s">
        <v>1285</v>
      </c>
      <c r="K2893" t="s">
        <v>67</v>
      </c>
      <c r="L2893" t="s">
        <v>5172</v>
      </c>
      <c r="M2893" t="s">
        <v>68</v>
      </c>
      <c r="N2893" t="s">
        <v>3122</v>
      </c>
      <c r="O2893" t="s">
        <v>32</v>
      </c>
      <c r="P2893" t="s">
        <v>4288</v>
      </c>
      <c r="Q2893">
        <v>150</v>
      </c>
      <c r="R2893">
        <v>150</v>
      </c>
      <c r="S2893" t="s">
        <v>34</v>
      </c>
      <c r="T2893" t="s">
        <v>35</v>
      </c>
      <c r="W2893">
        <v>0</v>
      </c>
      <c r="X2893">
        <v>0</v>
      </c>
      <c r="Y2893">
        <v>0</v>
      </c>
      <c r="Z2893">
        <v>0</v>
      </c>
    </row>
    <row r="2894" spans="1:26" hidden="1" x14ac:dyDescent="0.25">
      <c r="A2894" t="s">
        <v>6025</v>
      </c>
      <c r="B2894" t="s">
        <v>38</v>
      </c>
      <c r="C2894" s="4">
        <v>45694</v>
      </c>
      <c r="D2894" s="4">
        <v>46127</v>
      </c>
      <c r="F2894" s="4">
        <v>47738</v>
      </c>
      <c r="G2894" t="s">
        <v>65</v>
      </c>
      <c r="H2894" t="s">
        <v>1285</v>
      </c>
      <c r="K2894" t="s">
        <v>67</v>
      </c>
      <c r="L2894" t="s">
        <v>5172</v>
      </c>
      <c r="M2894" t="s">
        <v>68</v>
      </c>
      <c r="N2894" t="s">
        <v>3122</v>
      </c>
      <c r="O2894" t="s">
        <v>32</v>
      </c>
      <c r="P2894" t="s">
        <v>4288</v>
      </c>
      <c r="Q2894">
        <v>350</v>
      </c>
      <c r="R2894">
        <v>350</v>
      </c>
      <c r="S2894" t="s">
        <v>34</v>
      </c>
      <c r="T2894" t="s">
        <v>35</v>
      </c>
      <c r="W2894">
        <v>0</v>
      </c>
      <c r="X2894">
        <v>0</v>
      </c>
      <c r="Y2894">
        <v>0</v>
      </c>
      <c r="Z2894">
        <v>0</v>
      </c>
    </row>
    <row r="2895" spans="1:26" hidden="1" x14ac:dyDescent="0.25">
      <c r="A2895" t="s">
        <v>6026</v>
      </c>
      <c r="B2895" t="s">
        <v>38</v>
      </c>
      <c r="C2895" s="4">
        <v>45688</v>
      </c>
      <c r="D2895" s="4">
        <v>46128</v>
      </c>
      <c r="F2895" s="4">
        <v>47727</v>
      </c>
      <c r="G2895" t="s">
        <v>65</v>
      </c>
      <c r="H2895" t="s">
        <v>1453</v>
      </c>
      <c r="K2895" t="s">
        <v>67</v>
      </c>
      <c r="L2895" t="s">
        <v>5172</v>
      </c>
      <c r="M2895" t="s">
        <v>68</v>
      </c>
      <c r="N2895" t="s">
        <v>3122</v>
      </c>
      <c r="O2895" t="s">
        <v>32</v>
      </c>
      <c r="P2895" t="s">
        <v>6027</v>
      </c>
      <c r="Q2895">
        <v>200</v>
      </c>
      <c r="R2895">
        <v>200</v>
      </c>
      <c r="S2895" t="s">
        <v>34</v>
      </c>
      <c r="T2895" t="s">
        <v>35</v>
      </c>
      <c r="W2895">
        <v>0</v>
      </c>
      <c r="X2895">
        <v>0</v>
      </c>
      <c r="Y2895">
        <v>0</v>
      </c>
      <c r="Z2895">
        <v>0</v>
      </c>
    </row>
    <row r="2896" spans="1:26" hidden="1" x14ac:dyDescent="0.25">
      <c r="A2896" t="s">
        <v>6028</v>
      </c>
      <c r="B2896" t="s">
        <v>38</v>
      </c>
      <c r="C2896" s="4">
        <v>45686</v>
      </c>
      <c r="D2896" s="4">
        <v>46126</v>
      </c>
      <c r="F2896" s="4">
        <v>47011</v>
      </c>
      <c r="G2896" t="s">
        <v>1594</v>
      </c>
      <c r="H2896" t="s">
        <v>1291</v>
      </c>
      <c r="K2896" t="s">
        <v>83</v>
      </c>
      <c r="L2896" t="s">
        <v>5172</v>
      </c>
      <c r="M2896" t="s">
        <v>84</v>
      </c>
      <c r="N2896" t="s">
        <v>3122</v>
      </c>
      <c r="O2896" t="s">
        <v>32</v>
      </c>
      <c r="P2896" t="s">
        <v>6029</v>
      </c>
      <c r="Q2896">
        <v>50</v>
      </c>
      <c r="R2896">
        <v>50</v>
      </c>
      <c r="S2896" t="s">
        <v>159</v>
      </c>
      <c r="T2896" t="s">
        <v>159</v>
      </c>
      <c r="W2896">
        <v>0</v>
      </c>
      <c r="X2896">
        <v>0</v>
      </c>
      <c r="Y2896">
        <v>0</v>
      </c>
      <c r="Z2896">
        <v>0</v>
      </c>
    </row>
    <row r="2897" spans="1:26" hidden="1" x14ac:dyDescent="0.25">
      <c r="A2897" t="s">
        <v>6030</v>
      </c>
      <c r="B2897" t="s">
        <v>38</v>
      </c>
      <c r="C2897" s="4">
        <v>45708</v>
      </c>
      <c r="D2897" s="4">
        <v>46027</v>
      </c>
      <c r="F2897" s="4">
        <v>47756</v>
      </c>
      <c r="G2897" t="s">
        <v>65</v>
      </c>
      <c r="H2897" t="s">
        <v>3380</v>
      </c>
      <c r="K2897" t="s">
        <v>67</v>
      </c>
      <c r="L2897" t="s">
        <v>5172</v>
      </c>
      <c r="M2897" t="s">
        <v>68</v>
      </c>
      <c r="N2897" t="s">
        <v>3122</v>
      </c>
      <c r="O2897" t="s">
        <v>32</v>
      </c>
      <c r="P2897" t="s">
        <v>4969</v>
      </c>
      <c r="Q2897">
        <v>214</v>
      </c>
      <c r="R2897">
        <v>214</v>
      </c>
      <c r="S2897" t="s">
        <v>34</v>
      </c>
      <c r="T2897" t="s">
        <v>35</v>
      </c>
      <c r="W2897">
        <v>0</v>
      </c>
      <c r="X2897">
        <v>0</v>
      </c>
      <c r="Y2897">
        <v>0</v>
      </c>
      <c r="Z2897">
        <v>0</v>
      </c>
    </row>
    <row r="2898" spans="1:26" hidden="1" x14ac:dyDescent="0.25">
      <c r="A2898" t="s">
        <v>6031</v>
      </c>
      <c r="B2898" t="s">
        <v>2153</v>
      </c>
      <c r="C2898" s="4">
        <v>45702</v>
      </c>
      <c r="F2898" s="4">
        <v>47604</v>
      </c>
      <c r="G2898" t="s">
        <v>173</v>
      </c>
      <c r="H2898" t="s">
        <v>4479</v>
      </c>
      <c r="K2898" t="s">
        <v>41</v>
      </c>
      <c r="L2898" t="s">
        <v>5172</v>
      </c>
      <c r="M2898" t="s">
        <v>42</v>
      </c>
      <c r="N2898" t="s">
        <v>3122</v>
      </c>
      <c r="O2898" t="s">
        <v>32</v>
      </c>
      <c r="P2898" t="s">
        <v>6032</v>
      </c>
      <c r="Q2898">
        <v>250</v>
      </c>
      <c r="R2898">
        <v>250</v>
      </c>
      <c r="S2898" t="s">
        <v>159</v>
      </c>
      <c r="T2898" t="s">
        <v>159</v>
      </c>
      <c r="W2898">
        <v>250</v>
      </c>
      <c r="X2898">
        <v>250</v>
      </c>
      <c r="Y2898">
        <v>0</v>
      </c>
      <c r="Z2898">
        <v>0</v>
      </c>
    </row>
    <row r="2899" spans="1:26" hidden="1" x14ac:dyDescent="0.25">
      <c r="A2899" t="s">
        <v>6033</v>
      </c>
      <c r="B2899" t="s">
        <v>38</v>
      </c>
      <c r="C2899" s="4">
        <v>45695</v>
      </c>
      <c r="D2899" s="4">
        <v>46127</v>
      </c>
      <c r="F2899" s="4">
        <v>46905</v>
      </c>
      <c r="G2899" t="s">
        <v>52</v>
      </c>
      <c r="H2899" t="s">
        <v>1350</v>
      </c>
      <c r="K2899" t="s">
        <v>53</v>
      </c>
      <c r="L2899" t="s">
        <v>5172</v>
      </c>
      <c r="M2899" t="s">
        <v>54</v>
      </c>
      <c r="N2899" t="s">
        <v>3122</v>
      </c>
      <c r="O2899" t="s">
        <v>32</v>
      </c>
      <c r="P2899" t="s">
        <v>2473</v>
      </c>
      <c r="Q2899">
        <v>199.72</v>
      </c>
      <c r="R2899">
        <v>199.72</v>
      </c>
      <c r="S2899" t="s">
        <v>56</v>
      </c>
      <c r="T2899" t="s">
        <v>57</v>
      </c>
      <c r="W2899">
        <v>0</v>
      </c>
      <c r="X2899">
        <v>0</v>
      </c>
      <c r="Y2899">
        <v>0</v>
      </c>
      <c r="Z2899">
        <v>0</v>
      </c>
    </row>
    <row r="2900" spans="1:26" hidden="1" x14ac:dyDescent="0.25">
      <c r="A2900" t="s">
        <v>6034</v>
      </c>
      <c r="B2900" t="s">
        <v>2153</v>
      </c>
      <c r="C2900" s="4">
        <v>45695</v>
      </c>
      <c r="F2900" s="4">
        <v>47727</v>
      </c>
      <c r="G2900" t="s">
        <v>691</v>
      </c>
      <c r="H2900" t="s">
        <v>1387</v>
      </c>
      <c r="K2900" t="s">
        <v>98</v>
      </c>
      <c r="L2900" t="s">
        <v>5172</v>
      </c>
      <c r="M2900" t="s">
        <v>84</v>
      </c>
      <c r="N2900" t="s">
        <v>3122</v>
      </c>
      <c r="O2900" t="s">
        <v>32</v>
      </c>
      <c r="P2900" t="s">
        <v>3581</v>
      </c>
      <c r="Q2900">
        <v>70</v>
      </c>
      <c r="R2900">
        <v>70</v>
      </c>
      <c r="S2900" t="s">
        <v>34</v>
      </c>
      <c r="T2900" t="s">
        <v>35</v>
      </c>
      <c r="W2900">
        <v>70</v>
      </c>
      <c r="X2900">
        <v>70</v>
      </c>
      <c r="Y2900">
        <v>0</v>
      </c>
      <c r="Z2900">
        <v>0</v>
      </c>
    </row>
    <row r="2901" spans="1:26" hidden="1" x14ac:dyDescent="0.25">
      <c r="A2901" t="s">
        <v>6035</v>
      </c>
      <c r="B2901" t="s">
        <v>38</v>
      </c>
      <c r="C2901" s="4">
        <v>45695</v>
      </c>
      <c r="D2901" s="4">
        <v>46126</v>
      </c>
      <c r="F2901" s="4">
        <v>47727</v>
      </c>
      <c r="G2901" t="s">
        <v>101</v>
      </c>
      <c r="H2901" t="s">
        <v>1387</v>
      </c>
      <c r="K2901" t="s">
        <v>98</v>
      </c>
      <c r="L2901" t="s">
        <v>5172</v>
      </c>
      <c r="M2901" t="s">
        <v>84</v>
      </c>
      <c r="N2901" t="s">
        <v>3122</v>
      </c>
      <c r="O2901" t="s">
        <v>32</v>
      </c>
      <c r="P2901" t="s">
        <v>3581</v>
      </c>
      <c r="Q2901">
        <v>60</v>
      </c>
      <c r="R2901">
        <v>60</v>
      </c>
      <c r="S2901" t="s">
        <v>34</v>
      </c>
      <c r="T2901" t="s">
        <v>35</v>
      </c>
      <c r="W2901">
        <v>0</v>
      </c>
      <c r="X2901">
        <v>0</v>
      </c>
      <c r="Y2901">
        <v>0</v>
      </c>
      <c r="Z2901">
        <v>0</v>
      </c>
    </row>
    <row r="2902" spans="1:26" hidden="1" x14ac:dyDescent="0.25">
      <c r="A2902" t="s">
        <v>6036</v>
      </c>
      <c r="B2902" t="s">
        <v>2153</v>
      </c>
      <c r="C2902" s="4">
        <v>45702</v>
      </c>
      <c r="F2902" s="4">
        <v>47604</v>
      </c>
      <c r="G2902" t="s">
        <v>72</v>
      </c>
      <c r="H2902" t="s">
        <v>1986</v>
      </c>
      <c r="K2902" t="s">
        <v>209</v>
      </c>
      <c r="L2902" t="s">
        <v>5172</v>
      </c>
      <c r="M2902" t="s">
        <v>42</v>
      </c>
      <c r="N2902" t="s">
        <v>3122</v>
      </c>
      <c r="O2902" t="s">
        <v>32</v>
      </c>
      <c r="P2902" t="s">
        <v>6037</v>
      </c>
      <c r="Q2902">
        <v>155</v>
      </c>
      <c r="R2902">
        <v>155</v>
      </c>
      <c r="S2902" t="s">
        <v>56</v>
      </c>
      <c r="T2902" t="s">
        <v>57</v>
      </c>
      <c r="W2902">
        <v>155</v>
      </c>
      <c r="X2902">
        <v>155</v>
      </c>
      <c r="Y2902">
        <v>0</v>
      </c>
      <c r="Z2902">
        <v>0</v>
      </c>
    </row>
    <row r="2903" spans="1:26" hidden="1" x14ac:dyDescent="0.25">
      <c r="A2903" t="s">
        <v>6038</v>
      </c>
      <c r="B2903" t="s">
        <v>2153</v>
      </c>
      <c r="C2903" s="4">
        <v>45629</v>
      </c>
      <c r="F2903" s="4">
        <v>46698</v>
      </c>
      <c r="G2903" t="s">
        <v>117</v>
      </c>
      <c r="H2903" t="s">
        <v>1427</v>
      </c>
      <c r="K2903" t="s">
        <v>83</v>
      </c>
      <c r="L2903" t="s">
        <v>5172</v>
      </c>
      <c r="M2903" t="s">
        <v>84</v>
      </c>
      <c r="N2903" t="s">
        <v>3122</v>
      </c>
      <c r="O2903" t="s">
        <v>32</v>
      </c>
      <c r="P2903" t="s">
        <v>1345</v>
      </c>
      <c r="Q2903">
        <v>100</v>
      </c>
      <c r="R2903">
        <v>100</v>
      </c>
      <c r="S2903" t="s">
        <v>34</v>
      </c>
      <c r="T2903" t="s">
        <v>35</v>
      </c>
      <c r="W2903">
        <v>100</v>
      </c>
      <c r="X2903">
        <v>100</v>
      </c>
      <c r="Y2903">
        <v>0</v>
      </c>
      <c r="Z2903">
        <v>0</v>
      </c>
    </row>
    <row r="2904" spans="1:26" hidden="1" x14ac:dyDescent="0.25">
      <c r="A2904" t="s">
        <v>6039</v>
      </c>
      <c r="B2904" t="s">
        <v>38</v>
      </c>
      <c r="C2904" s="4">
        <v>45652</v>
      </c>
      <c r="D2904" s="4">
        <v>46128</v>
      </c>
      <c r="F2904" s="4">
        <v>47574</v>
      </c>
      <c r="G2904" t="s">
        <v>1311</v>
      </c>
      <c r="H2904" t="s">
        <v>3060</v>
      </c>
      <c r="K2904" t="s">
        <v>114</v>
      </c>
      <c r="L2904" t="s">
        <v>5172</v>
      </c>
      <c r="M2904" t="s">
        <v>68</v>
      </c>
      <c r="N2904" t="s">
        <v>3122</v>
      </c>
      <c r="O2904" t="s">
        <v>32</v>
      </c>
      <c r="P2904" t="s">
        <v>5141</v>
      </c>
      <c r="Q2904">
        <v>163</v>
      </c>
      <c r="R2904">
        <v>163</v>
      </c>
      <c r="S2904" t="s">
        <v>56</v>
      </c>
      <c r="T2904" t="s">
        <v>57</v>
      </c>
      <c r="W2904">
        <v>0</v>
      </c>
      <c r="X2904">
        <v>0</v>
      </c>
      <c r="Y2904">
        <v>0</v>
      </c>
      <c r="Z2904">
        <v>0</v>
      </c>
    </row>
    <row r="2905" spans="1:26" hidden="1" x14ac:dyDescent="0.25">
      <c r="A2905" t="s">
        <v>6040</v>
      </c>
      <c r="B2905" t="s">
        <v>38</v>
      </c>
      <c r="C2905" s="4">
        <v>45674</v>
      </c>
      <c r="D2905" s="4">
        <v>46126</v>
      </c>
      <c r="F2905" s="4">
        <v>47574</v>
      </c>
      <c r="G2905" t="s">
        <v>117</v>
      </c>
      <c r="H2905" t="s">
        <v>1821</v>
      </c>
      <c r="K2905" t="s">
        <v>83</v>
      </c>
      <c r="L2905" t="s">
        <v>5172</v>
      </c>
      <c r="M2905" t="s">
        <v>84</v>
      </c>
      <c r="N2905" t="s">
        <v>3122</v>
      </c>
      <c r="O2905" t="s">
        <v>32</v>
      </c>
      <c r="P2905" t="s">
        <v>6041</v>
      </c>
      <c r="Q2905">
        <v>300</v>
      </c>
      <c r="R2905">
        <v>300</v>
      </c>
      <c r="S2905" t="s">
        <v>56</v>
      </c>
      <c r="T2905" t="s">
        <v>57</v>
      </c>
      <c r="W2905">
        <v>0</v>
      </c>
      <c r="X2905">
        <v>0</v>
      </c>
      <c r="Y2905">
        <v>0</v>
      </c>
      <c r="Z2905">
        <v>0</v>
      </c>
    </row>
    <row r="2906" spans="1:26" hidden="1" x14ac:dyDescent="0.25">
      <c r="A2906" t="s">
        <v>6042</v>
      </c>
      <c r="B2906" t="s">
        <v>2153</v>
      </c>
      <c r="C2906" s="4">
        <v>45694</v>
      </c>
      <c r="F2906" s="4">
        <v>46905</v>
      </c>
      <c r="G2906" t="s">
        <v>1749</v>
      </c>
      <c r="H2906" t="s">
        <v>1279</v>
      </c>
      <c r="K2906" t="s">
        <v>151</v>
      </c>
      <c r="L2906" t="s">
        <v>5172</v>
      </c>
      <c r="M2906" t="s">
        <v>68</v>
      </c>
      <c r="N2906" t="s">
        <v>3122</v>
      </c>
      <c r="O2906" t="s">
        <v>32</v>
      </c>
      <c r="P2906" t="s">
        <v>6043</v>
      </c>
      <c r="Q2906">
        <v>288.5</v>
      </c>
      <c r="R2906">
        <v>288.5</v>
      </c>
      <c r="S2906" t="s">
        <v>56</v>
      </c>
      <c r="T2906" t="s">
        <v>57</v>
      </c>
      <c r="W2906">
        <v>218.94</v>
      </c>
      <c r="X2906">
        <v>218.94</v>
      </c>
      <c r="Y2906">
        <v>0</v>
      </c>
      <c r="Z2906">
        <v>0</v>
      </c>
    </row>
    <row r="2907" spans="1:26" hidden="1" x14ac:dyDescent="0.25">
      <c r="A2907" t="s">
        <v>6044</v>
      </c>
      <c r="B2907" t="s">
        <v>2153</v>
      </c>
      <c r="C2907" s="4">
        <v>45707</v>
      </c>
      <c r="F2907" s="4">
        <v>47207</v>
      </c>
      <c r="G2907" t="s">
        <v>1274</v>
      </c>
      <c r="H2907" t="s">
        <v>2057</v>
      </c>
      <c r="K2907" t="s">
        <v>41</v>
      </c>
      <c r="L2907" t="s">
        <v>5172</v>
      </c>
      <c r="M2907" t="s">
        <v>42</v>
      </c>
      <c r="N2907" t="s">
        <v>3122</v>
      </c>
      <c r="O2907" t="s">
        <v>122</v>
      </c>
      <c r="P2907" t="s">
        <v>6045</v>
      </c>
      <c r="Q2907">
        <v>185</v>
      </c>
      <c r="R2907">
        <v>185</v>
      </c>
      <c r="S2907" t="s">
        <v>34</v>
      </c>
      <c r="T2907" t="s">
        <v>35</v>
      </c>
      <c r="W2907">
        <v>185</v>
      </c>
      <c r="X2907">
        <v>0</v>
      </c>
      <c r="Y2907">
        <v>0</v>
      </c>
      <c r="Z2907">
        <v>0</v>
      </c>
    </row>
    <row r="2908" spans="1:26" hidden="1" x14ac:dyDescent="0.25">
      <c r="A2908" t="s">
        <v>6046</v>
      </c>
      <c r="B2908" t="s">
        <v>2153</v>
      </c>
      <c r="C2908" s="4">
        <v>45728</v>
      </c>
      <c r="F2908" s="4">
        <v>47604</v>
      </c>
      <c r="G2908" t="s">
        <v>117</v>
      </c>
      <c r="H2908" t="s">
        <v>1711</v>
      </c>
      <c r="K2908" t="s">
        <v>83</v>
      </c>
      <c r="L2908" t="s">
        <v>5172</v>
      </c>
      <c r="M2908" t="s">
        <v>84</v>
      </c>
      <c r="N2908" t="s">
        <v>3122</v>
      </c>
      <c r="O2908" t="s">
        <v>32</v>
      </c>
      <c r="P2908" t="s">
        <v>1345</v>
      </c>
      <c r="Q2908">
        <v>175</v>
      </c>
      <c r="R2908">
        <v>175</v>
      </c>
      <c r="S2908" t="s">
        <v>159</v>
      </c>
      <c r="T2908" t="s">
        <v>159</v>
      </c>
      <c r="W2908">
        <v>175</v>
      </c>
      <c r="X2908">
        <v>175</v>
      </c>
      <c r="Y2908">
        <v>0</v>
      </c>
      <c r="Z2908">
        <v>0</v>
      </c>
    </row>
    <row r="2909" spans="1:26" hidden="1" x14ac:dyDescent="0.25">
      <c r="A2909" t="s">
        <v>6047</v>
      </c>
      <c r="B2909" t="s">
        <v>2153</v>
      </c>
      <c r="C2909" s="4">
        <v>45728</v>
      </c>
      <c r="F2909" s="4">
        <v>47604</v>
      </c>
      <c r="G2909" t="s">
        <v>117</v>
      </c>
      <c r="H2909" t="s">
        <v>1711</v>
      </c>
      <c r="K2909" t="s">
        <v>83</v>
      </c>
      <c r="L2909" t="s">
        <v>5172</v>
      </c>
      <c r="M2909" t="s">
        <v>84</v>
      </c>
      <c r="N2909" t="s">
        <v>3122</v>
      </c>
      <c r="O2909" t="s">
        <v>32</v>
      </c>
      <c r="P2909" t="s">
        <v>1345</v>
      </c>
      <c r="Q2909">
        <v>175</v>
      </c>
      <c r="R2909">
        <v>175</v>
      </c>
      <c r="S2909" t="s">
        <v>56</v>
      </c>
      <c r="T2909" t="s">
        <v>57</v>
      </c>
      <c r="W2909">
        <v>175</v>
      </c>
      <c r="X2909">
        <v>175</v>
      </c>
      <c r="Y2909">
        <v>0</v>
      </c>
      <c r="Z2909">
        <v>0</v>
      </c>
    </row>
    <row r="2910" spans="1:26" hidden="1" x14ac:dyDescent="0.25">
      <c r="A2910" t="s">
        <v>6048</v>
      </c>
      <c r="B2910" t="s">
        <v>38</v>
      </c>
      <c r="C2910" s="4">
        <v>45728</v>
      </c>
      <c r="D2910" s="4">
        <v>46027</v>
      </c>
      <c r="F2910" s="4">
        <v>47604</v>
      </c>
      <c r="G2910" t="s">
        <v>1251</v>
      </c>
      <c r="H2910" t="s">
        <v>3250</v>
      </c>
      <c r="K2910" t="s">
        <v>109</v>
      </c>
      <c r="L2910" t="s">
        <v>5172</v>
      </c>
      <c r="M2910" t="s">
        <v>84</v>
      </c>
      <c r="N2910" t="s">
        <v>3122</v>
      </c>
      <c r="O2910" t="s">
        <v>32</v>
      </c>
      <c r="P2910" t="s">
        <v>5274</v>
      </c>
      <c r="Q2910">
        <v>140</v>
      </c>
      <c r="R2910">
        <v>140</v>
      </c>
      <c r="S2910" t="s">
        <v>597</v>
      </c>
      <c r="T2910" t="s">
        <v>159</v>
      </c>
      <c r="W2910">
        <v>0</v>
      </c>
      <c r="X2910">
        <v>0</v>
      </c>
      <c r="Y2910">
        <v>0</v>
      </c>
      <c r="Z2910">
        <v>0</v>
      </c>
    </row>
    <row r="2911" spans="1:26" hidden="1" x14ac:dyDescent="0.25">
      <c r="A2911" t="s">
        <v>6049</v>
      </c>
      <c r="B2911" t="s">
        <v>2153</v>
      </c>
      <c r="C2911" s="4">
        <v>45727</v>
      </c>
      <c r="F2911" s="4">
        <v>47604</v>
      </c>
      <c r="G2911" t="s">
        <v>117</v>
      </c>
      <c r="H2911" t="s">
        <v>4494</v>
      </c>
      <c r="K2911" t="s">
        <v>83</v>
      </c>
      <c r="L2911" t="s">
        <v>5172</v>
      </c>
      <c r="M2911" t="s">
        <v>84</v>
      </c>
      <c r="N2911" t="s">
        <v>3122</v>
      </c>
      <c r="O2911" t="s">
        <v>32</v>
      </c>
      <c r="P2911" t="s">
        <v>6050</v>
      </c>
      <c r="Q2911">
        <v>200</v>
      </c>
      <c r="R2911">
        <v>200</v>
      </c>
      <c r="S2911" t="s">
        <v>597</v>
      </c>
      <c r="T2911" t="s">
        <v>57</v>
      </c>
      <c r="W2911">
        <v>200</v>
      </c>
      <c r="X2911">
        <v>150</v>
      </c>
      <c r="Y2911">
        <v>0</v>
      </c>
      <c r="Z2911">
        <v>0</v>
      </c>
    </row>
    <row r="2912" spans="1:26" hidden="1" x14ac:dyDescent="0.25">
      <c r="A2912" t="s">
        <v>6051</v>
      </c>
      <c r="B2912" t="s">
        <v>2153</v>
      </c>
      <c r="C2912" s="4">
        <v>45726</v>
      </c>
      <c r="F2912" s="4">
        <v>45777</v>
      </c>
      <c r="G2912" t="s">
        <v>52</v>
      </c>
      <c r="H2912" t="s">
        <v>1591</v>
      </c>
      <c r="K2912" t="s">
        <v>53</v>
      </c>
      <c r="L2912" t="s">
        <v>6052</v>
      </c>
      <c r="M2912" t="s">
        <v>54</v>
      </c>
      <c r="O2912" t="s">
        <v>32</v>
      </c>
      <c r="P2912" t="s">
        <v>5951</v>
      </c>
      <c r="Q2912">
        <v>196</v>
      </c>
      <c r="R2912">
        <v>196</v>
      </c>
      <c r="S2912" t="s">
        <v>34</v>
      </c>
      <c r="T2912" t="s">
        <v>35</v>
      </c>
      <c r="W2912">
        <v>0</v>
      </c>
      <c r="X2912">
        <v>0</v>
      </c>
      <c r="Y2912">
        <v>0</v>
      </c>
      <c r="Z2912">
        <v>0</v>
      </c>
    </row>
    <row r="2913" spans="1:26" hidden="1" x14ac:dyDescent="0.25">
      <c r="A2913" t="s">
        <v>6053</v>
      </c>
      <c r="B2913" t="s">
        <v>38</v>
      </c>
      <c r="C2913" s="4">
        <v>45716</v>
      </c>
      <c r="D2913" s="4">
        <v>46129</v>
      </c>
      <c r="F2913" s="4">
        <v>47604</v>
      </c>
      <c r="G2913" t="s">
        <v>52</v>
      </c>
      <c r="H2913" t="s">
        <v>2521</v>
      </c>
      <c r="K2913" t="s">
        <v>53</v>
      </c>
      <c r="L2913" t="s">
        <v>5172</v>
      </c>
      <c r="M2913" t="s">
        <v>54</v>
      </c>
      <c r="N2913" t="s">
        <v>3122</v>
      </c>
      <c r="O2913" t="s">
        <v>32</v>
      </c>
      <c r="P2913" t="s">
        <v>5864</v>
      </c>
      <c r="Q2913">
        <v>175</v>
      </c>
      <c r="R2913">
        <v>175</v>
      </c>
      <c r="S2913" t="s">
        <v>597</v>
      </c>
      <c r="T2913" t="s">
        <v>57</v>
      </c>
      <c r="W2913">
        <v>0</v>
      </c>
      <c r="X2913">
        <v>0</v>
      </c>
      <c r="Y2913">
        <v>0</v>
      </c>
      <c r="Z2913">
        <v>0</v>
      </c>
    </row>
    <row r="2914" spans="1:26" hidden="1" x14ac:dyDescent="0.25">
      <c r="A2914" t="s">
        <v>6054</v>
      </c>
      <c r="B2914" t="s">
        <v>2153</v>
      </c>
      <c r="C2914" s="4">
        <v>45716</v>
      </c>
      <c r="F2914" s="4">
        <v>47604</v>
      </c>
      <c r="G2914" t="s">
        <v>1690</v>
      </c>
      <c r="H2914" t="s">
        <v>1691</v>
      </c>
      <c r="K2914" t="s">
        <v>98</v>
      </c>
      <c r="L2914" t="s">
        <v>5172</v>
      </c>
      <c r="M2914" t="s">
        <v>84</v>
      </c>
      <c r="N2914" t="s">
        <v>3122</v>
      </c>
      <c r="O2914" t="s">
        <v>32</v>
      </c>
      <c r="P2914" t="s">
        <v>1345</v>
      </c>
      <c r="Q2914">
        <v>300</v>
      </c>
      <c r="R2914">
        <v>300</v>
      </c>
      <c r="S2914" t="s">
        <v>597</v>
      </c>
      <c r="T2914" t="s">
        <v>57</v>
      </c>
      <c r="W2914">
        <v>300</v>
      </c>
      <c r="X2914">
        <v>300</v>
      </c>
      <c r="Y2914">
        <v>0</v>
      </c>
      <c r="Z2914">
        <v>0</v>
      </c>
    </row>
    <row r="2915" spans="1:26" hidden="1" x14ac:dyDescent="0.25">
      <c r="A2915" t="s">
        <v>6055</v>
      </c>
      <c r="B2915" t="s">
        <v>2153</v>
      </c>
      <c r="C2915" s="4">
        <v>45713</v>
      </c>
      <c r="F2915" s="4">
        <v>47635</v>
      </c>
      <c r="G2915" t="s">
        <v>1368</v>
      </c>
      <c r="H2915" t="s">
        <v>3601</v>
      </c>
      <c r="K2915" t="s">
        <v>209</v>
      </c>
      <c r="L2915" t="s">
        <v>5172</v>
      </c>
      <c r="M2915" t="s">
        <v>42</v>
      </c>
      <c r="N2915" t="s">
        <v>3122</v>
      </c>
      <c r="O2915" t="s">
        <v>32</v>
      </c>
      <c r="P2915" t="s">
        <v>5739</v>
      </c>
      <c r="Q2915">
        <v>250</v>
      </c>
      <c r="R2915">
        <v>250</v>
      </c>
      <c r="S2915" t="s">
        <v>34</v>
      </c>
      <c r="T2915" t="s">
        <v>35</v>
      </c>
      <c r="W2915">
        <v>250</v>
      </c>
      <c r="X2915">
        <v>250</v>
      </c>
      <c r="Y2915">
        <v>0</v>
      </c>
      <c r="Z2915">
        <v>0</v>
      </c>
    </row>
    <row r="2916" spans="1:26" hidden="1" x14ac:dyDescent="0.25">
      <c r="A2916" t="s">
        <v>6056</v>
      </c>
      <c r="B2916" t="s">
        <v>38</v>
      </c>
      <c r="C2916" s="4">
        <v>45709</v>
      </c>
      <c r="D2916" s="4">
        <v>46024</v>
      </c>
      <c r="F2916" s="4">
        <v>47635</v>
      </c>
      <c r="G2916" t="s">
        <v>39</v>
      </c>
      <c r="H2916" t="s">
        <v>1694</v>
      </c>
      <c r="K2916" t="s">
        <v>28</v>
      </c>
      <c r="L2916" t="s">
        <v>5172</v>
      </c>
      <c r="M2916" t="s">
        <v>42</v>
      </c>
      <c r="N2916" t="s">
        <v>3122</v>
      </c>
      <c r="O2916" t="s">
        <v>32</v>
      </c>
      <c r="P2916" t="s">
        <v>6057</v>
      </c>
      <c r="Q2916">
        <v>150</v>
      </c>
      <c r="R2916">
        <v>150</v>
      </c>
      <c r="S2916" t="s">
        <v>34</v>
      </c>
      <c r="T2916" t="s">
        <v>35</v>
      </c>
      <c r="W2916">
        <v>0</v>
      </c>
      <c r="X2916">
        <v>0</v>
      </c>
      <c r="Y2916">
        <v>0</v>
      </c>
      <c r="Z2916">
        <v>0</v>
      </c>
    </row>
    <row r="2917" spans="1:26" hidden="1" x14ac:dyDescent="0.25">
      <c r="A2917" t="s">
        <v>6058</v>
      </c>
      <c r="B2917" t="s">
        <v>38</v>
      </c>
      <c r="C2917" s="4">
        <v>45590</v>
      </c>
      <c r="D2917" s="4">
        <v>46127</v>
      </c>
      <c r="F2917" s="4">
        <v>47728</v>
      </c>
      <c r="G2917" t="s">
        <v>1311</v>
      </c>
      <c r="H2917" t="s">
        <v>2515</v>
      </c>
      <c r="K2917" t="s">
        <v>114</v>
      </c>
      <c r="L2917" t="s">
        <v>5172</v>
      </c>
      <c r="M2917" t="s">
        <v>68</v>
      </c>
      <c r="N2917" t="s">
        <v>3122</v>
      </c>
      <c r="O2917" t="s">
        <v>32</v>
      </c>
      <c r="P2917" t="s">
        <v>4888</v>
      </c>
      <c r="Q2917">
        <v>140</v>
      </c>
      <c r="R2917">
        <v>140</v>
      </c>
      <c r="S2917" t="s">
        <v>34</v>
      </c>
      <c r="T2917" t="s">
        <v>35</v>
      </c>
      <c r="W2917">
        <v>0</v>
      </c>
      <c r="X2917">
        <v>0</v>
      </c>
      <c r="Y2917">
        <v>0</v>
      </c>
      <c r="Z2917">
        <v>0</v>
      </c>
    </row>
    <row r="2918" spans="1:26" hidden="1" x14ac:dyDescent="0.25">
      <c r="A2918" t="s">
        <v>6059</v>
      </c>
      <c r="B2918" t="s">
        <v>38</v>
      </c>
      <c r="C2918" s="4">
        <v>45590</v>
      </c>
      <c r="D2918" s="4">
        <v>46127</v>
      </c>
      <c r="F2918" s="4">
        <v>47728</v>
      </c>
      <c r="G2918" t="s">
        <v>144</v>
      </c>
      <c r="H2918" t="s">
        <v>1744</v>
      </c>
      <c r="K2918" t="s">
        <v>146</v>
      </c>
      <c r="L2918" t="s">
        <v>5172</v>
      </c>
      <c r="M2918" t="s">
        <v>68</v>
      </c>
      <c r="N2918" t="s">
        <v>3122</v>
      </c>
      <c r="O2918" t="s">
        <v>32</v>
      </c>
      <c r="P2918" t="s">
        <v>6060</v>
      </c>
      <c r="Q2918">
        <v>85</v>
      </c>
      <c r="R2918">
        <v>85</v>
      </c>
      <c r="S2918" t="s">
        <v>34</v>
      </c>
      <c r="T2918" t="s">
        <v>35</v>
      </c>
      <c r="W2918">
        <v>0</v>
      </c>
      <c r="X2918">
        <v>0</v>
      </c>
      <c r="Y2918">
        <v>0</v>
      </c>
      <c r="Z2918">
        <v>0</v>
      </c>
    </row>
    <row r="2919" spans="1:26" hidden="1" x14ac:dyDescent="0.25">
      <c r="A2919" t="s">
        <v>6061</v>
      </c>
      <c r="B2919" t="s">
        <v>38</v>
      </c>
      <c r="C2919" s="4">
        <v>45590</v>
      </c>
      <c r="D2919" s="4">
        <v>45958</v>
      </c>
      <c r="F2919" s="4">
        <v>47728</v>
      </c>
      <c r="G2919" t="s">
        <v>112</v>
      </c>
      <c r="H2919" t="s">
        <v>1813</v>
      </c>
      <c r="K2919" t="s">
        <v>114</v>
      </c>
      <c r="L2919" t="s">
        <v>5172</v>
      </c>
      <c r="M2919" t="s">
        <v>68</v>
      </c>
      <c r="N2919" t="s">
        <v>3122</v>
      </c>
      <c r="O2919" t="s">
        <v>251</v>
      </c>
      <c r="P2919" t="s">
        <v>5285</v>
      </c>
      <c r="Q2919">
        <v>125</v>
      </c>
      <c r="R2919">
        <v>125</v>
      </c>
      <c r="S2919" t="s">
        <v>34</v>
      </c>
      <c r="T2919" t="s">
        <v>35</v>
      </c>
      <c r="W2919">
        <v>0</v>
      </c>
      <c r="X2919">
        <v>0</v>
      </c>
      <c r="Y2919">
        <v>0</v>
      </c>
      <c r="Z2919">
        <v>0</v>
      </c>
    </row>
    <row r="2920" spans="1:26" hidden="1" x14ac:dyDescent="0.25">
      <c r="A2920" t="s">
        <v>6062</v>
      </c>
      <c r="B2920" t="s">
        <v>2153</v>
      </c>
      <c r="C2920" s="4">
        <v>45590</v>
      </c>
      <c r="F2920" s="4">
        <v>47728</v>
      </c>
      <c r="G2920" t="s">
        <v>117</v>
      </c>
      <c r="H2920" t="s">
        <v>2777</v>
      </c>
      <c r="K2920" t="s">
        <v>83</v>
      </c>
      <c r="L2920" t="s">
        <v>5172</v>
      </c>
      <c r="M2920" t="s">
        <v>84</v>
      </c>
      <c r="N2920" t="s">
        <v>3122</v>
      </c>
      <c r="O2920" t="s">
        <v>32</v>
      </c>
      <c r="P2920" t="s">
        <v>6063</v>
      </c>
      <c r="Q2920">
        <v>100</v>
      </c>
      <c r="R2920">
        <v>100</v>
      </c>
      <c r="S2920" t="s">
        <v>34</v>
      </c>
      <c r="T2920" t="s">
        <v>35</v>
      </c>
      <c r="W2920">
        <v>100</v>
      </c>
      <c r="X2920">
        <v>100</v>
      </c>
      <c r="Y2920">
        <v>0</v>
      </c>
      <c r="Z2920">
        <v>0</v>
      </c>
    </row>
    <row r="2921" spans="1:26" hidden="1" x14ac:dyDescent="0.25">
      <c r="A2921" t="s">
        <v>6064</v>
      </c>
      <c r="B2921" t="s">
        <v>38</v>
      </c>
      <c r="C2921" s="4">
        <v>45616</v>
      </c>
      <c r="D2921" s="4">
        <v>46127</v>
      </c>
      <c r="F2921" s="4">
        <v>47270</v>
      </c>
      <c r="G2921" t="s">
        <v>65</v>
      </c>
      <c r="H2921" t="s">
        <v>1645</v>
      </c>
      <c r="K2921" t="s">
        <v>67</v>
      </c>
      <c r="L2921" t="s">
        <v>5172</v>
      </c>
      <c r="M2921" t="s">
        <v>68</v>
      </c>
      <c r="N2921" t="s">
        <v>3122</v>
      </c>
      <c r="O2921" t="s">
        <v>32</v>
      </c>
      <c r="P2921" t="s">
        <v>6065</v>
      </c>
      <c r="Q2921">
        <v>100</v>
      </c>
      <c r="R2921">
        <v>100</v>
      </c>
      <c r="S2921" t="s">
        <v>34</v>
      </c>
      <c r="T2921" t="s">
        <v>35</v>
      </c>
      <c r="W2921">
        <v>0</v>
      </c>
      <c r="X2921">
        <v>0</v>
      </c>
      <c r="Y2921">
        <v>0</v>
      </c>
      <c r="Z2921">
        <v>0</v>
      </c>
    </row>
    <row r="2922" spans="1:26" hidden="1" x14ac:dyDescent="0.25">
      <c r="A2922" t="s">
        <v>6066</v>
      </c>
      <c r="B2922" t="s">
        <v>2153</v>
      </c>
      <c r="C2922" s="4">
        <v>45694</v>
      </c>
      <c r="F2922" s="4">
        <v>46905</v>
      </c>
      <c r="G2922" t="s">
        <v>117</v>
      </c>
      <c r="H2922" t="s">
        <v>1708</v>
      </c>
      <c r="K2922" t="s">
        <v>83</v>
      </c>
      <c r="L2922" t="s">
        <v>5172</v>
      </c>
      <c r="M2922" t="s">
        <v>84</v>
      </c>
      <c r="N2922" t="s">
        <v>3122</v>
      </c>
      <c r="O2922" t="s">
        <v>32</v>
      </c>
      <c r="P2922" t="s">
        <v>5342</v>
      </c>
      <c r="Q2922">
        <v>138.38</v>
      </c>
      <c r="R2922">
        <v>138.38</v>
      </c>
      <c r="S2922" t="s">
        <v>56</v>
      </c>
      <c r="T2922" t="s">
        <v>57</v>
      </c>
      <c r="W2922">
        <v>138.38</v>
      </c>
      <c r="X2922">
        <v>138.38</v>
      </c>
      <c r="Y2922">
        <v>0</v>
      </c>
      <c r="Z2922">
        <v>0</v>
      </c>
    </row>
    <row r="2923" spans="1:26" hidden="1" x14ac:dyDescent="0.25">
      <c r="A2923" t="s">
        <v>6067</v>
      </c>
      <c r="B2923" t="s">
        <v>38</v>
      </c>
      <c r="C2923" s="4">
        <v>45723</v>
      </c>
      <c r="D2923" s="4">
        <v>46126</v>
      </c>
      <c r="F2923" s="4">
        <v>47788</v>
      </c>
      <c r="G2923" t="s">
        <v>1251</v>
      </c>
      <c r="H2923" t="s">
        <v>3025</v>
      </c>
      <c r="K2923" t="s">
        <v>109</v>
      </c>
      <c r="L2923" t="s">
        <v>5172</v>
      </c>
      <c r="M2923" t="s">
        <v>84</v>
      </c>
      <c r="N2923" t="s">
        <v>3122</v>
      </c>
      <c r="O2923" t="s">
        <v>32</v>
      </c>
      <c r="P2923" t="s">
        <v>1345</v>
      </c>
      <c r="Q2923">
        <v>200</v>
      </c>
      <c r="R2923">
        <v>200</v>
      </c>
      <c r="S2923" t="s">
        <v>34</v>
      </c>
      <c r="T2923" t="s">
        <v>35</v>
      </c>
      <c r="W2923">
        <v>0</v>
      </c>
      <c r="X2923">
        <v>0</v>
      </c>
      <c r="Y2923">
        <v>0</v>
      </c>
      <c r="Z2923">
        <v>0</v>
      </c>
    </row>
    <row r="2924" spans="1:26" hidden="1" x14ac:dyDescent="0.25">
      <c r="A2924" t="s">
        <v>6068</v>
      </c>
      <c r="B2924" t="s">
        <v>38</v>
      </c>
      <c r="C2924" s="4">
        <v>45726</v>
      </c>
      <c r="D2924" s="4">
        <v>46027</v>
      </c>
      <c r="F2924" s="4">
        <v>47604</v>
      </c>
      <c r="G2924" t="s">
        <v>1381</v>
      </c>
      <c r="H2924" t="s">
        <v>1542</v>
      </c>
      <c r="K2924" t="s">
        <v>209</v>
      </c>
      <c r="L2924" t="s">
        <v>5172</v>
      </c>
      <c r="M2924" t="s">
        <v>42</v>
      </c>
      <c r="N2924" t="s">
        <v>3122</v>
      </c>
      <c r="O2924" t="s">
        <v>122</v>
      </c>
      <c r="P2924" t="s">
        <v>1345</v>
      </c>
      <c r="Q2924">
        <v>300</v>
      </c>
      <c r="R2924">
        <v>300</v>
      </c>
      <c r="S2924" t="s">
        <v>56</v>
      </c>
      <c r="T2924" t="s">
        <v>57</v>
      </c>
      <c r="W2924">
        <v>0</v>
      </c>
      <c r="X2924">
        <v>0</v>
      </c>
      <c r="Y2924">
        <v>0</v>
      </c>
      <c r="Z2924">
        <v>0</v>
      </c>
    </row>
    <row r="2925" spans="1:26" hidden="1" x14ac:dyDescent="0.25">
      <c r="A2925" t="s">
        <v>6069</v>
      </c>
      <c r="B2925" t="s">
        <v>38</v>
      </c>
      <c r="C2925" s="4">
        <v>45723</v>
      </c>
      <c r="D2925" s="4">
        <v>46014</v>
      </c>
      <c r="F2925" s="4">
        <v>46631</v>
      </c>
      <c r="G2925" t="s">
        <v>1381</v>
      </c>
      <c r="H2925" t="s">
        <v>2366</v>
      </c>
      <c r="K2925" t="s">
        <v>209</v>
      </c>
      <c r="L2925" t="s">
        <v>5172</v>
      </c>
      <c r="M2925" t="s">
        <v>42</v>
      </c>
      <c r="N2925" t="s">
        <v>3122</v>
      </c>
      <c r="O2925" t="s">
        <v>32</v>
      </c>
      <c r="P2925" t="s">
        <v>6070</v>
      </c>
      <c r="Q2925">
        <v>150</v>
      </c>
      <c r="R2925">
        <v>150</v>
      </c>
      <c r="S2925" t="s">
        <v>34</v>
      </c>
      <c r="T2925" t="s">
        <v>35</v>
      </c>
      <c r="W2925">
        <v>0</v>
      </c>
      <c r="X2925">
        <v>0</v>
      </c>
      <c r="Y2925">
        <v>0</v>
      </c>
      <c r="Z2925">
        <v>0</v>
      </c>
    </row>
    <row r="2926" spans="1:26" hidden="1" x14ac:dyDescent="0.25">
      <c r="A2926" t="s">
        <v>6071</v>
      </c>
      <c r="B2926" t="s">
        <v>2338</v>
      </c>
      <c r="C2926" s="4">
        <v>45720</v>
      </c>
      <c r="F2926" s="4">
        <v>47543</v>
      </c>
      <c r="G2926" t="s">
        <v>52</v>
      </c>
      <c r="H2926" t="s">
        <v>1433</v>
      </c>
      <c r="K2926" t="s">
        <v>53</v>
      </c>
      <c r="L2926" t="s">
        <v>5172</v>
      </c>
      <c r="M2926" t="s">
        <v>54</v>
      </c>
      <c r="N2926" t="s">
        <v>3122</v>
      </c>
      <c r="O2926" t="s">
        <v>32</v>
      </c>
      <c r="P2926" t="s">
        <v>2906</v>
      </c>
      <c r="Q2926">
        <v>1445</v>
      </c>
      <c r="R2926">
        <v>1445</v>
      </c>
      <c r="S2926" t="s">
        <v>389</v>
      </c>
      <c r="T2926" t="s">
        <v>390</v>
      </c>
      <c r="W2926">
        <v>1445</v>
      </c>
      <c r="X2926">
        <v>1445</v>
      </c>
      <c r="Y2926">
        <v>0</v>
      </c>
      <c r="Z2926">
        <v>0</v>
      </c>
    </row>
    <row r="2927" spans="1:26" hidden="1" x14ac:dyDescent="0.25">
      <c r="A2927" t="s">
        <v>6072</v>
      </c>
      <c r="B2927" t="s">
        <v>2153</v>
      </c>
      <c r="C2927" s="4">
        <v>45716</v>
      </c>
      <c r="F2927" s="4">
        <v>47543</v>
      </c>
      <c r="G2927" t="s">
        <v>907</v>
      </c>
      <c r="H2927" t="s">
        <v>1724</v>
      </c>
      <c r="K2927" t="s">
        <v>53</v>
      </c>
      <c r="L2927" t="s">
        <v>5172</v>
      </c>
      <c r="M2927" t="s">
        <v>54</v>
      </c>
      <c r="N2927" t="s">
        <v>3122</v>
      </c>
      <c r="O2927" t="s">
        <v>32</v>
      </c>
      <c r="P2927" t="s">
        <v>6073</v>
      </c>
      <c r="Q2927">
        <v>1414</v>
      </c>
      <c r="R2927">
        <v>1414</v>
      </c>
      <c r="S2927" t="s">
        <v>389</v>
      </c>
      <c r="T2927" t="s">
        <v>390</v>
      </c>
      <c r="W2927">
        <v>1414</v>
      </c>
      <c r="X2927">
        <v>1414</v>
      </c>
      <c r="Y2927">
        <v>0</v>
      </c>
      <c r="Z2927">
        <v>0</v>
      </c>
    </row>
    <row r="2928" spans="1:26" hidden="1" x14ac:dyDescent="0.25">
      <c r="A2928" t="s">
        <v>6074</v>
      </c>
      <c r="B2928" t="s">
        <v>2153</v>
      </c>
      <c r="C2928" s="4">
        <v>45721</v>
      </c>
      <c r="F2928" s="4">
        <v>47757</v>
      </c>
      <c r="G2928" t="s">
        <v>52</v>
      </c>
      <c r="H2928" t="s">
        <v>1433</v>
      </c>
      <c r="K2928" t="s">
        <v>53</v>
      </c>
      <c r="L2928" t="s">
        <v>6052</v>
      </c>
      <c r="M2928" t="s">
        <v>54</v>
      </c>
      <c r="O2928" t="s">
        <v>32</v>
      </c>
      <c r="P2928" t="s">
        <v>1722</v>
      </c>
      <c r="Q2928">
        <v>80</v>
      </c>
      <c r="R2928">
        <v>80</v>
      </c>
      <c r="S2928" t="s">
        <v>159</v>
      </c>
      <c r="T2928" t="s">
        <v>159</v>
      </c>
      <c r="W2928">
        <v>0</v>
      </c>
      <c r="X2928">
        <v>0</v>
      </c>
      <c r="Y2928">
        <v>0</v>
      </c>
      <c r="Z2928">
        <v>0</v>
      </c>
    </row>
    <row r="2929" spans="1:26" hidden="1" x14ac:dyDescent="0.25">
      <c r="A2929" t="s">
        <v>6075</v>
      </c>
      <c r="B2929" t="s">
        <v>2153</v>
      </c>
      <c r="C2929" s="4">
        <v>45695</v>
      </c>
      <c r="F2929" s="4">
        <v>47727</v>
      </c>
      <c r="G2929" t="s">
        <v>691</v>
      </c>
      <c r="H2929" t="s">
        <v>1387</v>
      </c>
      <c r="K2929" t="s">
        <v>98</v>
      </c>
      <c r="L2929" t="s">
        <v>5172</v>
      </c>
      <c r="M2929" t="s">
        <v>84</v>
      </c>
      <c r="N2929" t="s">
        <v>3122</v>
      </c>
      <c r="O2929" t="s">
        <v>32</v>
      </c>
      <c r="P2929" t="s">
        <v>3581</v>
      </c>
      <c r="Q2929">
        <v>70</v>
      </c>
      <c r="R2929">
        <v>70</v>
      </c>
      <c r="S2929" t="s">
        <v>34</v>
      </c>
      <c r="T2929" t="s">
        <v>35</v>
      </c>
      <c r="W2929">
        <v>70</v>
      </c>
      <c r="X2929">
        <v>70</v>
      </c>
      <c r="Y2929">
        <v>0</v>
      </c>
      <c r="Z2929">
        <v>0</v>
      </c>
    </row>
    <row r="2930" spans="1:26" hidden="1" x14ac:dyDescent="0.25">
      <c r="A2930" t="s">
        <v>6076</v>
      </c>
      <c r="B2930" t="s">
        <v>2153</v>
      </c>
      <c r="C2930" s="4">
        <v>45729</v>
      </c>
      <c r="F2930" s="4">
        <v>47604</v>
      </c>
      <c r="G2930" t="s">
        <v>1368</v>
      </c>
      <c r="H2930" t="s">
        <v>1618</v>
      </c>
      <c r="K2930" t="s">
        <v>209</v>
      </c>
      <c r="L2930" t="s">
        <v>5172</v>
      </c>
      <c r="M2930" t="s">
        <v>42</v>
      </c>
      <c r="N2930" t="s">
        <v>3122</v>
      </c>
      <c r="O2930" t="s">
        <v>32</v>
      </c>
      <c r="P2930" t="s">
        <v>6077</v>
      </c>
      <c r="Q2930">
        <v>170</v>
      </c>
      <c r="R2930">
        <v>170</v>
      </c>
      <c r="S2930" t="s">
        <v>56</v>
      </c>
      <c r="T2930" t="s">
        <v>57</v>
      </c>
      <c r="W2930">
        <v>170</v>
      </c>
      <c r="X2930">
        <v>170</v>
      </c>
      <c r="Y2930">
        <v>0</v>
      </c>
      <c r="Z2930">
        <v>0</v>
      </c>
    </row>
    <row r="2931" spans="1:26" hidden="1" x14ac:dyDescent="0.25">
      <c r="A2931" t="s">
        <v>6078</v>
      </c>
      <c r="B2931" t="s">
        <v>38</v>
      </c>
      <c r="C2931" s="4">
        <v>45712</v>
      </c>
      <c r="D2931" s="4">
        <v>46014</v>
      </c>
      <c r="F2931" s="4">
        <v>46997</v>
      </c>
      <c r="G2931" t="s">
        <v>1278</v>
      </c>
      <c r="H2931" t="s">
        <v>2040</v>
      </c>
      <c r="K2931" t="s">
        <v>28</v>
      </c>
      <c r="L2931" t="s">
        <v>5172</v>
      </c>
      <c r="M2931" t="s">
        <v>30</v>
      </c>
      <c r="N2931" t="s">
        <v>3122</v>
      </c>
      <c r="O2931" t="s">
        <v>32</v>
      </c>
      <c r="P2931" t="s">
        <v>6079</v>
      </c>
      <c r="Q2931">
        <v>150</v>
      </c>
      <c r="R2931">
        <v>150</v>
      </c>
      <c r="S2931" t="s">
        <v>34</v>
      </c>
      <c r="T2931" t="s">
        <v>35</v>
      </c>
      <c r="W2931">
        <v>0</v>
      </c>
      <c r="X2931">
        <v>0</v>
      </c>
      <c r="Y2931">
        <v>0</v>
      </c>
      <c r="Z2931">
        <v>0</v>
      </c>
    </row>
    <row r="2932" spans="1:26" hidden="1" x14ac:dyDescent="0.25">
      <c r="A2932" t="s">
        <v>6080</v>
      </c>
      <c r="B2932" t="s">
        <v>38</v>
      </c>
      <c r="C2932" s="4">
        <v>45688</v>
      </c>
      <c r="D2932" s="4">
        <v>46127</v>
      </c>
      <c r="F2932" s="4">
        <v>47786</v>
      </c>
      <c r="G2932" t="s">
        <v>52</v>
      </c>
      <c r="H2932" t="s">
        <v>2288</v>
      </c>
      <c r="K2932" t="s">
        <v>53</v>
      </c>
      <c r="L2932" t="s">
        <v>5172</v>
      </c>
      <c r="M2932" t="s">
        <v>54</v>
      </c>
      <c r="N2932" t="s">
        <v>3122</v>
      </c>
      <c r="O2932" t="s">
        <v>32</v>
      </c>
      <c r="P2932" t="s">
        <v>6081</v>
      </c>
      <c r="Q2932">
        <v>200</v>
      </c>
      <c r="R2932">
        <v>200</v>
      </c>
      <c r="S2932" t="s">
        <v>56</v>
      </c>
      <c r="T2932" t="s">
        <v>57</v>
      </c>
      <c r="W2932">
        <v>0</v>
      </c>
      <c r="X2932">
        <v>0</v>
      </c>
      <c r="Y2932">
        <v>0</v>
      </c>
      <c r="Z2932">
        <v>0</v>
      </c>
    </row>
    <row r="2933" spans="1:26" hidden="1" x14ac:dyDescent="0.25">
      <c r="A2933" t="s">
        <v>6082</v>
      </c>
      <c r="B2933" t="s">
        <v>38</v>
      </c>
      <c r="C2933" s="4">
        <v>45688</v>
      </c>
      <c r="D2933" s="4">
        <v>46126</v>
      </c>
      <c r="F2933" s="4">
        <v>47786</v>
      </c>
      <c r="G2933" t="s">
        <v>1251</v>
      </c>
      <c r="H2933" t="s">
        <v>4400</v>
      </c>
      <c r="K2933" t="s">
        <v>109</v>
      </c>
      <c r="L2933" t="s">
        <v>5172</v>
      </c>
      <c r="M2933" t="s">
        <v>84</v>
      </c>
      <c r="N2933" t="s">
        <v>3122</v>
      </c>
      <c r="O2933" t="s">
        <v>32</v>
      </c>
      <c r="P2933" t="s">
        <v>3058</v>
      </c>
      <c r="Q2933">
        <v>250</v>
      </c>
      <c r="R2933">
        <v>250</v>
      </c>
      <c r="S2933" t="s">
        <v>56</v>
      </c>
      <c r="T2933" t="s">
        <v>57</v>
      </c>
      <c r="W2933">
        <v>0</v>
      </c>
      <c r="X2933">
        <v>0</v>
      </c>
      <c r="Y2933">
        <v>0</v>
      </c>
      <c r="Z2933">
        <v>0</v>
      </c>
    </row>
    <row r="2934" spans="1:26" hidden="1" x14ac:dyDescent="0.25">
      <c r="A2934" t="s">
        <v>6083</v>
      </c>
      <c r="B2934" t="s">
        <v>38</v>
      </c>
      <c r="C2934" s="4">
        <v>45701</v>
      </c>
      <c r="D2934" s="4">
        <v>46129</v>
      </c>
      <c r="F2934" s="4">
        <v>47362</v>
      </c>
      <c r="G2934" t="s">
        <v>616</v>
      </c>
      <c r="H2934" t="s">
        <v>1459</v>
      </c>
      <c r="K2934" t="s">
        <v>146</v>
      </c>
      <c r="L2934" t="s">
        <v>5172</v>
      </c>
      <c r="M2934" t="s">
        <v>68</v>
      </c>
      <c r="N2934" t="s">
        <v>3122</v>
      </c>
      <c r="O2934" t="s">
        <v>32</v>
      </c>
      <c r="P2934" t="s">
        <v>6084</v>
      </c>
      <c r="Q2934">
        <v>120</v>
      </c>
      <c r="R2934">
        <v>120</v>
      </c>
      <c r="S2934" t="s">
        <v>159</v>
      </c>
      <c r="T2934" t="s">
        <v>159</v>
      </c>
      <c r="W2934">
        <v>0</v>
      </c>
      <c r="X2934">
        <v>0</v>
      </c>
      <c r="Y2934">
        <v>0</v>
      </c>
      <c r="Z2934">
        <v>0</v>
      </c>
    </row>
    <row r="2935" spans="1:26" hidden="1" x14ac:dyDescent="0.25">
      <c r="A2935" t="s">
        <v>6085</v>
      </c>
      <c r="B2935" t="s">
        <v>2153</v>
      </c>
      <c r="C2935" s="4">
        <v>45695</v>
      </c>
      <c r="F2935" s="4">
        <v>47756</v>
      </c>
      <c r="G2935" t="s">
        <v>1690</v>
      </c>
      <c r="H2935" t="s">
        <v>2366</v>
      </c>
      <c r="K2935" t="s">
        <v>98</v>
      </c>
      <c r="L2935" t="s">
        <v>5172</v>
      </c>
      <c r="M2935" t="s">
        <v>84</v>
      </c>
      <c r="N2935" t="s">
        <v>3122</v>
      </c>
      <c r="O2935" t="s">
        <v>32</v>
      </c>
      <c r="P2935" t="s">
        <v>1345</v>
      </c>
      <c r="Q2935">
        <v>500</v>
      </c>
      <c r="R2935">
        <v>500</v>
      </c>
      <c r="S2935" t="s">
        <v>34</v>
      </c>
      <c r="T2935" t="s">
        <v>35</v>
      </c>
      <c r="W2935">
        <v>500</v>
      </c>
      <c r="X2935">
        <v>500</v>
      </c>
      <c r="Y2935">
        <v>0</v>
      </c>
      <c r="Z2935">
        <v>0</v>
      </c>
    </row>
    <row r="2936" spans="1:26" hidden="1" x14ac:dyDescent="0.25">
      <c r="A2936" t="s">
        <v>6086</v>
      </c>
      <c r="B2936" t="s">
        <v>2153</v>
      </c>
      <c r="C2936" s="4">
        <v>45730</v>
      </c>
      <c r="F2936" s="4">
        <v>47298</v>
      </c>
      <c r="G2936" t="s">
        <v>72</v>
      </c>
      <c r="H2936" t="s">
        <v>2246</v>
      </c>
      <c r="K2936" t="s">
        <v>209</v>
      </c>
      <c r="L2936" t="s">
        <v>5172</v>
      </c>
      <c r="M2936" t="s">
        <v>42</v>
      </c>
      <c r="N2936" t="s">
        <v>3122</v>
      </c>
      <c r="O2936" t="s">
        <v>32</v>
      </c>
      <c r="P2936" t="s">
        <v>6087</v>
      </c>
      <c r="Q2936">
        <v>646</v>
      </c>
      <c r="R2936">
        <v>646</v>
      </c>
      <c r="S2936" t="s">
        <v>5900</v>
      </c>
      <c r="T2936" t="s">
        <v>5900</v>
      </c>
      <c r="W2936">
        <v>646</v>
      </c>
      <c r="X2936">
        <v>646</v>
      </c>
      <c r="Y2936">
        <v>0</v>
      </c>
      <c r="Z2936">
        <v>0</v>
      </c>
    </row>
    <row r="2937" spans="1:26" hidden="1" x14ac:dyDescent="0.25">
      <c r="A2937" t="s">
        <v>6088</v>
      </c>
      <c r="B2937" t="s">
        <v>38</v>
      </c>
      <c r="C2937" s="4">
        <v>45712</v>
      </c>
      <c r="D2937" s="4">
        <v>46014</v>
      </c>
      <c r="F2937" s="4">
        <v>46997</v>
      </c>
      <c r="G2937" t="s">
        <v>72</v>
      </c>
      <c r="H2937" t="s">
        <v>1424</v>
      </c>
      <c r="K2937" t="s">
        <v>209</v>
      </c>
      <c r="L2937" t="s">
        <v>5172</v>
      </c>
      <c r="M2937" t="s">
        <v>42</v>
      </c>
      <c r="N2937" t="s">
        <v>3122</v>
      </c>
      <c r="O2937" t="s">
        <v>32</v>
      </c>
      <c r="P2937" t="s">
        <v>6089</v>
      </c>
      <c r="Q2937">
        <v>200</v>
      </c>
      <c r="R2937">
        <v>200</v>
      </c>
      <c r="S2937" t="s">
        <v>34</v>
      </c>
      <c r="T2937" t="s">
        <v>35</v>
      </c>
      <c r="W2937">
        <v>0</v>
      </c>
      <c r="X2937">
        <v>0</v>
      </c>
      <c r="Y2937">
        <v>0</v>
      </c>
      <c r="Z2937">
        <v>0</v>
      </c>
    </row>
    <row r="2938" spans="1:26" hidden="1" x14ac:dyDescent="0.25">
      <c r="A2938" t="s">
        <v>6090</v>
      </c>
      <c r="B2938" t="s">
        <v>38</v>
      </c>
      <c r="C2938" s="4">
        <v>45707</v>
      </c>
      <c r="D2938" s="4">
        <v>46024</v>
      </c>
      <c r="F2938" s="4">
        <v>47207</v>
      </c>
      <c r="G2938" t="s">
        <v>39</v>
      </c>
      <c r="H2938" t="s">
        <v>5457</v>
      </c>
      <c r="K2938" t="s">
        <v>41</v>
      </c>
      <c r="L2938" t="s">
        <v>5172</v>
      </c>
      <c r="M2938" t="s">
        <v>42</v>
      </c>
      <c r="N2938" t="s">
        <v>3122</v>
      </c>
      <c r="O2938" t="s">
        <v>32</v>
      </c>
      <c r="P2938" t="s">
        <v>6091</v>
      </c>
      <c r="Q2938">
        <v>250</v>
      </c>
      <c r="R2938">
        <v>250</v>
      </c>
      <c r="S2938" t="s">
        <v>34</v>
      </c>
      <c r="T2938" t="s">
        <v>35</v>
      </c>
      <c r="W2938">
        <v>0</v>
      </c>
      <c r="X2938">
        <v>0</v>
      </c>
      <c r="Y2938">
        <v>0</v>
      </c>
      <c r="Z2938">
        <v>0</v>
      </c>
    </row>
    <row r="2939" spans="1:26" hidden="1" x14ac:dyDescent="0.25">
      <c r="A2939" t="s">
        <v>6092</v>
      </c>
      <c r="B2939" t="s">
        <v>2153</v>
      </c>
      <c r="C2939" s="4">
        <v>45716</v>
      </c>
      <c r="F2939" s="4">
        <v>47543</v>
      </c>
      <c r="G2939" t="s">
        <v>52</v>
      </c>
      <c r="H2939" t="s">
        <v>1393</v>
      </c>
      <c r="K2939" t="s">
        <v>53</v>
      </c>
      <c r="L2939" t="s">
        <v>5172</v>
      </c>
      <c r="M2939" t="s">
        <v>54</v>
      </c>
      <c r="N2939" t="s">
        <v>3122</v>
      </c>
      <c r="O2939" t="s">
        <v>32</v>
      </c>
      <c r="P2939" t="s">
        <v>4932</v>
      </c>
      <c r="Q2939">
        <v>975.4</v>
      </c>
      <c r="R2939">
        <v>975.4</v>
      </c>
      <c r="S2939" t="s">
        <v>389</v>
      </c>
      <c r="T2939" t="s">
        <v>584</v>
      </c>
      <c r="W2939">
        <v>975.4</v>
      </c>
      <c r="X2939">
        <v>975.4</v>
      </c>
      <c r="Y2939">
        <v>0</v>
      </c>
      <c r="Z2939">
        <v>0</v>
      </c>
    </row>
    <row r="2940" spans="1:26" hidden="1" x14ac:dyDescent="0.25">
      <c r="A2940" t="s">
        <v>6093</v>
      </c>
      <c r="B2940" t="s">
        <v>2153</v>
      </c>
      <c r="C2940" s="4">
        <v>45700</v>
      </c>
      <c r="F2940" s="4">
        <v>46388</v>
      </c>
      <c r="G2940" t="s">
        <v>1278</v>
      </c>
      <c r="H2940" t="s">
        <v>2007</v>
      </c>
      <c r="K2940" t="s">
        <v>28</v>
      </c>
      <c r="L2940" t="s">
        <v>5172</v>
      </c>
      <c r="M2940" t="s">
        <v>30</v>
      </c>
      <c r="N2940" t="s">
        <v>3122</v>
      </c>
      <c r="O2940" t="s">
        <v>32</v>
      </c>
      <c r="P2940" t="s">
        <v>6094</v>
      </c>
      <c r="Q2940">
        <v>133</v>
      </c>
      <c r="R2940">
        <v>133</v>
      </c>
      <c r="S2940" t="s">
        <v>389</v>
      </c>
      <c r="T2940" t="s">
        <v>584</v>
      </c>
      <c r="W2940">
        <v>133</v>
      </c>
      <c r="X2940">
        <v>100</v>
      </c>
      <c r="Y2940">
        <v>0</v>
      </c>
      <c r="Z2940">
        <v>0</v>
      </c>
    </row>
    <row r="2941" spans="1:26" hidden="1" x14ac:dyDescent="0.25">
      <c r="A2941" t="s">
        <v>6095</v>
      </c>
      <c r="B2941" t="s">
        <v>38</v>
      </c>
      <c r="C2941" s="4">
        <v>45748</v>
      </c>
      <c r="D2941" s="4">
        <v>46027</v>
      </c>
      <c r="F2941" s="4">
        <v>47756</v>
      </c>
      <c r="G2941" t="s">
        <v>65</v>
      </c>
      <c r="H2941" t="s">
        <v>5623</v>
      </c>
      <c r="K2941" t="s">
        <v>67</v>
      </c>
      <c r="L2941" t="s">
        <v>5172</v>
      </c>
      <c r="M2941" t="s">
        <v>68</v>
      </c>
      <c r="N2941" t="s">
        <v>3122</v>
      </c>
      <c r="O2941" t="s">
        <v>32</v>
      </c>
      <c r="P2941" t="s">
        <v>3267</v>
      </c>
      <c r="Q2941">
        <v>500</v>
      </c>
      <c r="R2941">
        <v>500</v>
      </c>
      <c r="S2941" t="s">
        <v>34</v>
      </c>
      <c r="T2941" t="s">
        <v>35</v>
      </c>
      <c r="W2941">
        <v>0</v>
      </c>
      <c r="X2941">
        <v>0</v>
      </c>
      <c r="Y2941">
        <v>0</v>
      </c>
      <c r="Z2941">
        <v>0</v>
      </c>
    </row>
    <row r="2942" spans="1:26" hidden="1" x14ac:dyDescent="0.25">
      <c r="A2942" t="s">
        <v>6096</v>
      </c>
      <c r="B2942" t="s">
        <v>38</v>
      </c>
      <c r="C2942" s="4">
        <v>45748</v>
      </c>
      <c r="D2942" s="4">
        <v>46027</v>
      </c>
      <c r="F2942" s="4">
        <v>47756</v>
      </c>
      <c r="G2942" t="s">
        <v>254</v>
      </c>
      <c r="H2942" t="s">
        <v>1500</v>
      </c>
      <c r="K2942" t="s">
        <v>98</v>
      </c>
      <c r="L2942" t="s">
        <v>5172</v>
      </c>
      <c r="M2942" t="s">
        <v>84</v>
      </c>
      <c r="N2942" t="s">
        <v>3122</v>
      </c>
      <c r="O2942" t="s">
        <v>32</v>
      </c>
      <c r="P2942" t="s">
        <v>6097</v>
      </c>
      <c r="Q2942">
        <v>123</v>
      </c>
      <c r="R2942">
        <v>123</v>
      </c>
      <c r="S2942" t="s">
        <v>34</v>
      </c>
      <c r="T2942" t="s">
        <v>35</v>
      </c>
      <c r="W2942">
        <v>0</v>
      </c>
      <c r="X2942">
        <v>0</v>
      </c>
      <c r="Y2942">
        <v>0</v>
      </c>
      <c r="Z2942">
        <v>0</v>
      </c>
    </row>
    <row r="2943" spans="1:26" hidden="1" x14ac:dyDescent="0.25">
      <c r="A2943" t="s">
        <v>6098</v>
      </c>
      <c r="B2943" t="s">
        <v>38</v>
      </c>
      <c r="C2943" s="4">
        <v>45748</v>
      </c>
      <c r="D2943" s="4">
        <v>46127</v>
      </c>
      <c r="F2943" s="4">
        <v>47756</v>
      </c>
      <c r="G2943" t="s">
        <v>616</v>
      </c>
      <c r="H2943" t="s">
        <v>1656</v>
      </c>
      <c r="K2943" t="s">
        <v>146</v>
      </c>
      <c r="L2943" t="s">
        <v>5172</v>
      </c>
      <c r="M2943" t="s">
        <v>68</v>
      </c>
      <c r="N2943" t="s">
        <v>3122</v>
      </c>
      <c r="O2943" t="s">
        <v>32</v>
      </c>
      <c r="P2943" t="s">
        <v>6099</v>
      </c>
      <c r="Q2943">
        <v>386</v>
      </c>
      <c r="R2943">
        <v>386</v>
      </c>
      <c r="S2943" t="s">
        <v>34</v>
      </c>
      <c r="T2943" t="s">
        <v>35</v>
      </c>
      <c r="W2943">
        <v>0</v>
      </c>
      <c r="X2943">
        <v>0</v>
      </c>
      <c r="Y2943">
        <v>0</v>
      </c>
      <c r="Z2943">
        <v>0</v>
      </c>
    </row>
    <row r="2944" spans="1:26" hidden="1" x14ac:dyDescent="0.25">
      <c r="A2944" t="s">
        <v>6100</v>
      </c>
      <c r="B2944" t="s">
        <v>38</v>
      </c>
      <c r="C2944" s="4">
        <v>45702</v>
      </c>
      <c r="D2944" s="4">
        <v>46127</v>
      </c>
      <c r="F2944" s="4">
        <v>47635</v>
      </c>
      <c r="G2944" t="s">
        <v>52</v>
      </c>
      <c r="H2944" t="s">
        <v>1390</v>
      </c>
      <c r="K2944" t="s">
        <v>53</v>
      </c>
      <c r="L2944" t="s">
        <v>5172</v>
      </c>
      <c r="M2944" t="s">
        <v>54</v>
      </c>
      <c r="N2944" t="s">
        <v>3122</v>
      </c>
      <c r="O2944" t="s">
        <v>32</v>
      </c>
      <c r="P2944" t="s">
        <v>6101</v>
      </c>
      <c r="Q2944">
        <v>214</v>
      </c>
      <c r="R2944">
        <v>214</v>
      </c>
      <c r="S2944" t="s">
        <v>34</v>
      </c>
      <c r="T2944" t="s">
        <v>35</v>
      </c>
      <c r="W2944">
        <v>0</v>
      </c>
      <c r="X2944">
        <v>0</v>
      </c>
      <c r="Y2944">
        <v>0</v>
      </c>
      <c r="Z2944">
        <v>0</v>
      </c>
    </row>
    <row r="2945" spans="1:26" hidden="1" x14ac:dyDescent="0.25">
      <c r="A2945" t="s">
        <v>6102</v>
      </c>
      <c r="B2945" t="s">
        <v>2153</v>
      </c>
      <c r="C2945" s="4">
        <v>45742</v>
      </c>
      <c r="F2945" s="4">
        <v>47604</v>
      </c>
      <c r="G2945" t="s">
        <v>1499</v>
      </c>
      <c r="H2945" t="s">
        <v>2477</v>
      </c>
      <c r="K2945" t="s">
        <v>62</v>
      </c>
      <c r="L2945" t="s">
        <v>5172</v>
      </c>
      <c r="M2945" t="s">
        <v>42</v>
      </c>
      <c r="N2945" t="s">
        <v>3122</v>
      </c>
      <c r="O2945" t="s">
        <v>32</v>
      </c>
      <c r="P2945" t="s">
        <v>5205</v>
      </c>
      <c r="Q2945">
        <v>1144</v>
      </c>
      <c r="R2945">
        <v>1144</v>
      </c>
      <c r="S2945" t="s">
        <v>389</v>
      </c>
      <c r="T2945" t="s">
        <v>584</v>
      </c>
      <c r="W2945">
        <v>1144</v>
      </c>
      <c r="X2945">
        <v>744</v>
      </c>
      <c r="Y2945">
        <v>0</v>
      </c>
      <c r="Z2945">
        <v>0</v>
      </c>
    </row>
    <row r="2946" spans="1:26" hidden="1" x14ac:dyDescent="0.25">
      <c r="A2946" t="s">
        <v>6103</v>
      </c>
      <c r="B2946" t="s">
        <v>2153</v>
      </c>
      <c r="C2946" s="4">
        <v>45708</v>
      </c>
      <c r="F2946" s="4">
        <v>47635</v>
      </c>
      <c r="G2946" t="s">
        <v>691</v>
      </c>
      <c r="H2946" t="s">
        <v>1873</v>
      </c>
      <c r="K2946" t="s">
        <v>98</v>
      </c>
      <c r="L2946" t="s">
        <v>5172</v>
      </c>
      <c r="M2946" t="s">
        <v>84</v>
      </c>
      <c r="N2946" t="s">
        <v>3122</v>
      </c>
      <c r="O2946" t="s">
        <v>32</v>
      </c>
      <c r="P2946" t="s">
        <v>5737</v>
      </c>
      <c r="Q2946">
        <v>365</v>
      </c>
      <c r="R2946">
        <v>365</v>
      </c>
      <c r="S2946" t="s">
        <v>34</v>
      </c>
      <c r="T2946" t="s">
        <v>35</v>
      </c>
      <c r="W2946">
        <v>365</v>
      </c>
      <c r="X2946">
        <v>365</v>
      </c>
      <c r="Y2946">
        <v>0</v>
      </c>
      <c r="Z2946">
        <v>0</v>
      </c>
    </row>
    <row r="2947" spans="1:26" hidden="1" x14ac:dyDescent="0.25">
      <c r="A2947" t="s">
        <v>6104</v>
      </c>
      <c r="B2947" t="s">
        <v>38</v>
      </c>
      <c r="C2947" s="4">
        <v>45709</v>
      </c>
      <c r="D2947" s="4">
        <v>46126</v>
      </c>
      <c r="F2947" s="4">
        <v>47635</v>
      </c>
      <c r="G2947" t="s">
        <v>101</v>
      </c>
      <c r="H2947" t="s">
        <v>1873</v>
      </c>
      <c r="K2947" t="s">
        <v>98</v>
      </c>
      <c r="L2947" t="s">
        <v>5172</v>
      </c>
      <c r="M2947" t="s">
        <v>84</v>
      </c>
      <c r="N2947" t="s">
        <v>3122</v>
      </c>
      <c r="O2947" t="s">
        <v>32</v>
      </c>
      <c r="P2947" t="s">
        <v>5737</v>
      </c>
      <c r="Q2947">
        <v>337</v>
      </c>
      <c r="R2947">
        <v>337</v>
      </c>
      <c r="S2947" t="s">
        <v>34</v>
      </c>
      <c r="T2947" t="s">
        <v>35</v>
      </c>
      <c r="W2947">
        <v>0</v>
      </c>
      <c r="X2947">
        <v>0</v>
      </c>
      <c r="Y2947">
        <v>0</v>
      </c>
      <c r="Z2947">
        <v>0</v>
      </c>
    </row>
    <row r="2948" spans="1:26" hidden="1" x14ac:dyDescent="0.25">
      <c r="A2948" t="s">
        <v>6105</v>
      </c>
      <c r="B2948" t="s">
        <v>38</v>
      </c>
      <c r="C2948" s="4">
        <v>45708</v>
      </c>
      <c r="D2948" s="4">
        <v>46126</v>
      </c>
      <c r="F2948" s="4">
        <v>47635</v>
      </c>
      <c r="G2948" t="s">
        <v>117</v>
      </c>
      <c r="H2948" t="s">
        <v>1949</v>
      </c>
      <c r="K2948" t="s">
        <v>83</v>
      </c>
      <c r="L2948" t="s">
        <v>5172</v>
      </c>
      <c r="M2948" t="s">
        <v>84</v>
      </c>
      <c r="N2948" t="s">
        <v>3122</v>
      </c>
      <c r="O2948" t="s">
        <v>32</v>
      </c>
      <c r="P2948" t="s">
        <v>6106</v>
      </c>
      <c r="Q2948">
        <v>200</v>
      </c>
      <c r="R2948">
        <v>200</v>
      </c>
      <c r="S2948" t="s">
        <v>34</v>
      </c>
      <c r="T2948" t="s">
        <v>35</v>
      </c>
      <c r="W2948">
        <v>0</v>
      </c>
      <c r="X2948">
        <v>0</v>
      </c>
      <c r="Y2948">
        <v>0</v>
      </c>
      <c r="Z2948">
        <v>0</v>
      </c>
    </row>
    <row r="2949" spans="1:26" hidden="1" x14ac:dyDescent="0.25">
      <c r="A2949" t="s">
        <v>6107</v>
      </c>
      <c r="B2949" t="s">
        <v>2153</v>
      </c>
      <c r="C2949" s="4">
        <v>45754</v>
      </c>
      <c r="F2949" s="4">
        <v>47514</v>
      </c>
      <c r="G2949" t="s">
        <v>907</v>
      </c>
      <c r="H2949" t="s">
        <v>1724</v>
      </c>
      <c r="K2949" t="s">
        <v>53</v>
      </c>
      <c r="L2949" t="s">
        <v>6052</v>
      </c>
      <c r="M2949" t="s">
        <v>54</v>
      </c>
      <c r="O2949" t="s">
        <v>32</v>
      </c>
      <c r="P2949" t="s">
        <v>5083</v>
      </c>
      <c r="Q2949">
        <v>245</v>
      </c>
      <c r="R2949">
        <v>245</v>
      </c>
      <c r="S2949" t="s">
        <v>34</v>
      </c>
      <c r="T2949" t="s">
        <v>35</v>
      </c>
      <c r="W2949">
        <v>0</v>
      </c>
      <c r="X2949">
        <v>0</v>
      </c>
      <c r="Y2949">
        <v>0</v>
      </c>
      <c r="Z2949">
        <v>0</v>
      </c>
    </row>
    <row r="2950" spans="1:26" hidden="1" x14ac:dyDescent="0.25">
      <c r="A2950" t="s">
        <v>6108</v>
      </c>
      <c r="B2950" t="s">
        <v>2153</v>
      </c>
      <c r="C2950" s="4">
        <v>45747</v>
      </c>
      <c r="F2950" s="4">
        <v>47635</v>
      </c>
      <c r="G2950" t="s">
        <v>117</v>
      </c>
      <c r="H2950" t="s">
        <v>1711</v>
      </c>
      <c r="K2950" t="s">
        <v>83</v>
      </c>
      <c r="L2950" t="s">
        <v>5172</v>
      </c>
      <c r="M2950" t="s">
        <v>84</v>
      </c>
      <c r="N2950" t="s">
        <v>3122</v>
      </c>
      <c r="O2950" t="s">
        <v>32</v>
      </c>
      <c r="P2950" t="s">
        <v>1711</v>
      </c>
      <c r="Q2950">
        <v>300</v>
      </c>
      <c r="R2950">
        <v>300</v>
      </c>
      <c r="S2950" t="s">
        <v>159</v>
      </c>
      <c r="T2950" t="s">
        <v>159</v>
      </c>
      <c r="W2950">
        <v>300</v>
      </c>
      <c r="X2950">
        <v>300</v>
      </c>
      <c r="Y2950">
        <v>0</v>
      </c>
      <c r="Z2950">
        <v>0</v>
      </c>
    </row>
    <row r="2951" spans="1:26" hidden="1" x14ac:dyDescent="0.25">
      <c r="A2951" t="s">
        <v>6109</v>
      </c>
      <c r="B2951" t="s">
        <v>2153</v>
      </c>
      <c r="C2951" s="4">
        <v>45741</v>
      </c>
      <c r="F2951" s="4">
        <v>47756</v>
      </c>
      <c r="G2951" t="s">
        <v>132</v>
      </c>
      <c r="H2951" t="s">
        <v>1821</v>
      </c>
      <c r="K2951" t="s">
        <v>83</v>
      </c>
      <c r="L2951" t="s">
        <v>5172</v>
      </c>
      <c r="M2951" t="s">
        <v>84</v>
      </c>
      <c r="N2951" t="s">
        <v>3122</v>
      </c>
      <c r="O2951" t="s">
        <v>32</v>
      </c>
      <c r="P2951" t="s">
        <v>4385</v>
      </c>
      <c r="Q2951">
        <v>200</v>
      </c>
      <c r="R2951">
        <v>200</v>
      </c>
      <c r="S2951" t="s">
        <v>159</v>
      </c>
      <c r="T2951" t="s">
        <v>159</v>
      </c>
      <c r="W2951">
        <v>200</v>
      </c>
      <c r="X2951">
        <v>200</v>
      </c>
      <c r="Y2951">
        <v>0</v>
      </c>
      <c r="Z2951">
        <v>0</v>
      </c>
    </row>
    <row r="2952" spans="1:26" hidden="1" x14ac:dyDescent="0.25">
      <c r="A2952" t="s">
        <v>6110</v>
      </c>
      <c r="B2952" t="s">
        <v>38</v>
      </c>
      <c r="C2952" s="4">
        <v>45741</v>
      </c>
      <c r="D2952" s="4">
        <v>46126</v>
      </c>
      <c r="F2952" s="4">
        <v>47756</v>
      </c>
      <c r="G2952" t="s">
        <v>1679</v>
      </c>
      <c r="H2952" t="s">
        <v>4377</v>
      </c>
      <c r="K2952" t="s">
        <v>98</v>
      </c>
      <c r="L2952" t="s">
        <v>5172</v>
      </c>
      <c r="M2952" t="s">
        <v>84</v>
      </c>
      <c r="N2952" t="s">
        <v>3122</v>
      </c>
      <c r="O2952" t="s">
        <v>32</v>
      </c>
      <c r="P2952" t="s">
        <v>4378</v>
      </c>
      <c r="Q2952">
        <v>200</v>
      </c>
      <c r="R2952">
        <v>200</v>
      </c>
      <c r="S2952" t="s">
        <v>159</v>
      </c>
      <c r="T2952" t="s">
        <v>159</v>
      </c>
      <c r="W2952">
        <v>0</v>
      </c>
      <c r="X2952">
        <v>0</v>
      </c>
      <c r="Y2952">
        <v>0</v>
      </c>
      <c r="Z2952">
        <v>0</v>
      </c>
    </row>
    <row r="2953" spans="1:26" hidden="1" x14ac:dyDescent="0.25">
      <c r="A2953" t="s">
        <v>6111</v>
      </c>
      <c r="B2953" t="s">
        <v>2153</v>
      </c>
      <c r="C2953" s="4">
        <v>45754</v>
      </c>
      <c r="F2953" s="4">
        <v>47514</v>
      </c>
      <c r="G2953" t="s">
        <v>132</v>
      </c>
      <c r="H2953" t="s">
        <v>2878</v>
      </c>
      <c r="K2953" t="s">
        <v>83</v>
      </c>
      <c r="L2953" t="s">
        <v>5172</v>
      </c>
      <c r="M2953" t="s">
        <v>84</v>
      </c>
      <c r="N2953" t="s">
        <v>3122</v>
      </c>
      <c r="O2953" t="s">
        <v>32</v>
      </c>
      <c r="P2953" t="s">
        <v>6112</v>
      </c>
      <c r="Q2953">
        <v>245</v>
      </c>
      <c r="R2953">
        <v>245</v>
      </c>
      <c r="S2953" t="s">
        <v>34</v>
      </c>
      <c r="T2953" t="s">
        <v>35</v>
      </c>
      <c r="W2953">
        <v>245</v>
      </c>
      <c r="X2953">
        <v>245</v>
      </c>
      <c r="Y2953">
        <v>0</v>
      </c>
      <c r="Z2953">
        <v>0</v>
      </c>
    </row>
    <row r="2954" spans="1:26" hidden="1" x14ac:dyDescent="0.25">
      <c r="A2954" t="s">
        <v>6113</v>
      </c>
      <c r="B2954" t="s">
        <v>38</v>
      </c>
      <c r="C2954" s="4">
        <v>45708</v>
      </c>
      <c r="D2954" s="4">
        <v>46126</v>
      </c>
      <c r="F2954" s="4">
        <v>47635</v>
      </c>
      <c r="G2954" t="s">
        <v>117</v>
      </c>
      <c r="H2954" t="s">
        <v>1550</v>
      </c>
      <c r="K2954" t="s">
        <v>83</v>
      </c>
      <c r="L2954" t="s">
        <v>5172</v>
      </c>
      <c r="M2954" t="s">
        <v>84</v>
      </c>
      <c r="N2954" t="s">
        <v>3122</v>
      </c>
      <c r="O2954" t="s">
        <v>32</v>
      </c>
      <c r="P2954" t="s">
        <v>5689</v>
      </c>
      <c r="Q2954">
        <v>340</v>
      </c>
      <c r="R2954">
        <v>340</v>
      </c>
      <c r="S2954" t="s">
        <v>34</v>
      </c>
      <c r="T2954" t="s">
        <v>35</v>
      </c>
      <c r="W2954">
        <v>0</v>
      </c>
      <c r="X2954">
        <v>0</v>
      </c>
      <c r="Y2954">
        <v>0</v>
      </c>
      <c r="Z2954">
        <v>0</v>
      </c>
    </row>
    <row r="2955" spans="1:26" hidden="1" x14ac:dyDescent="0.25">
      <c r="A2955" t="s">
        <v>6114</v>
      </c>
      <c r="B2955" t="s">
        <v>38</v>
      </c>
      <c r="C2955" s="4">
        <v>45714</v>
      </c>
      <c r="D2955" s="4">
        <v>46024</v>
      </c>
      <c r="F2955" s="4">
        <v>47635</v>
      </c>
      <c r="G2955" t="s">
        <v>177</v>
      </c>
      <c r="H2955" t="s">
        <v>2356</v>
      </c>
      <c r="K2955" t="s">
        <v>41</v>
      </c>
      <c r="L2955" t="s">
        <v>5172</v>
      </c>
      <c r="M2955" t="s">
        <v>42</v>
      </c>
      <c r="N2955" t="s">
        <v>3122</v>
      </c>
      <c r="O2955" t="s">
        <v>32</v>
      </c>
      <c r="P2955" t="s">
        <v>1345</v>
      </c>
      <c r="Q2955">
        <v>218</v>
      </c>
      <c r="R2955">
        <v>218</v>
      </c>
      <c r="S2955" t="s">
        <v>34</v>
      </c>
      <c r="T2955" t="s">
        <v>35</v>
      </c>
      <c r="W2955">
        <v>0</v>
      </c>
      <c r="X2955">
        <v>0</v>
      </c>
      <c r="Y2955">
        <v>0</v>
      </c>
      <c r="Z2955">
        <v>0</v>
      </c>
    </row>
    <row r="2956" spans="1:26" hidden="1" x14ac:dyDescent="0.25">
      <c r="A2956" t="s">
        <v>6115</v>
      </c>
      <c r="B2956" t="s">
        <v>38</v>
      </c>
      <c r="C2956" s="4">
        <v>45714</v>
      </c>
      <c r="D2956" s="4">
        <v>46024</v>
      </c>
      <c r="F2956" s="4">
        <v>47635</v>
      </c>
      <c r="G2956" t="s">
        <v>177</v>
      </c>
      <c r="H2956" t="s">
        <v>2356</v>
      </c>
      <c r="K2956" t="s">
        <v>41</v>
      </c>
      <c r="L2956" t="s">
        <v>5172</v>
      </c>
      <c r="M2956" t="s">
        <v>42</v>
      </c>
      <c r="N2956" t="s">
        <v>3122</v>
      </c>
      <c r="O2956" t="s">
        <v>32</v>
      </c>
      <c r="P2956" t="s">
        <v>1345</v>
      </c>
      <c r="Q2956">
        <v>395</v>
      </c>
      <c r="R2956">
        <v>395</v>
      </c>
      <c r="S2956" t="s">
        <v>34</v>
      </c>
      <c r="T2956" t="s">
        <v>35</v>
      </c>
      <c r="W2956">
        <v>0</v>
      </c>
      <c r="X2956">
        <v>0</v>
      </c>
      <c r="Y2956">
        <v>0</v>
      </c>
      <c r="Z2956">
        <v>0</v>
      </c>
    </row>
    <row r="2957" spans="1:26" hidden="1" x14ac:dyDescent="0.25">
      <c r="A2957" t="s">
        <v>6116</v>
      </c>
      <c r="B2957" t="s">
        <v>38</v>
      </c>
      <c r="C2957" s="4">
        <v>45601</v>
      </c>
      <c r="D2957" s="4">
        <v>46127</v>
      </c>
      <c r="F2957" s="4">
        <v>47102</v>
      </c>
      <c r="G2957" t="s">
        <v>65</v>
      </c>
      <c r="H2957" t="s">
        <v>3363</v>
      </c>
      <c r="K2957" t="s">
        <v>67</v>
      </c>
      <c r="L2957" t="s">
        <v>5172</v>
      </c>
      <c r="M2957" t="s">
        <v>68</v>
      </c>
      <c r="N2957" t="s">
        <v>3122</v>
      </c>
      <c r="O2957" t="s">
        <v>32</v>
      </c>
      <c r="P2957" t="s">
        <v>6117</v>
      </c>
      <c r="Q2957">
        <v>90</v>
      </c>
      <c r="R2957">
        <v>90</v>
      </c>
      <c r="S2957" t="s">
        <v>34</v>
      </c>
      <c r="T2957" t="s">
        <v>35</v>
      </c>
      <c r="W2957">
        <v>0</v>
      </c>
      <c r="X2957">
        <v>0</v>
      </c>
      <c r="Y2957">
        <v>0</v>
      </c>
      <c r="Z2957">
        <v>0</v>
      </c>
    </row>
    <row r="2958" spans="1:26" hidden="1" x14ac:dyDescent="0.25">
      <c r="A2958" t="s">
        <v>6118</v>
      </c>
      <c r="B2958" t="s">
        <v>2153</v>
      </c>
      <c r="C2958" s="4">
        <v>45756</v>
      </c>
      <c r="F2958" s="4">
        <v>47757</v>
      </c>
      <c r="G2958" t="s">
        <v>132</v>
      </c>
      <c r="H2958" t="s">
        <v>3392</v>
      </c>
      <c r="K2958" t="s">
        <v>83</v>
      </c>
      <c r="L2958" t="s">
        <v>5172</v>
      </c>
      <c r="M2958" t="s">
        <v>84</v>
      </c>
      <c r="N2958" t="s">
        <v>3122</v>
      </c>
      <c r="O2958" t="s">
        <v>122</v>
      </c>
      <c r="P2958" t="s">
        <v>6119</v>
      </c>
      <c r="Q2958">
        <v>250</v>
      </c>
      <c r="R2958">
        <v>250</v>
      </c>
      <c r="S2958" t="s">
        <v>34</v>
      </c>
      <c r="T2958" t="s">
        <v>35</v>
      </c>
      <c r="W2958">
        <v>250</v>
      </c>
      <c r="X2958">
        <v>0</v>
      </c>
      <c r="Y2958">
        <v>0</v>
      </c>
      <c r="Z2958">
        <v>0</v>
      </c>
    </row>
    <row r="2959" spans="1:26" hidden="1" x14ac:dyDescent="0.25">
      <c r="A2959" t="s">
        <v>6120</v>
      </c>
      <c r="B2959" t="s">
        <v>2153</v>
      </c>
      <c r="C2959" s="4">
        <v>45755</v>
      </c>
      <c r="F2959" s="4">
        <v>47664</v>
      </c>
      <c r="G2959" t="s">
        <v>1499</v>
      </c>
      <c r="H2959" t="s">
        <v>6121</v>
      </c>
      <c r="K2959" t="s">
        <v>41</v>
      </c>
      <c r="L2959" t="s">
        <v>5172</v>
      </c>
      <c r="M2959" t="s">
        <v>42</v>
      </c>
      <c r="N2959" t="s">
        <v>3122</v>
      </c>
      <c r="O2959" t="s">
        <v>32</v>
      </c>
      <c r="P2959" t="s">
        <v>6122</v>
      </c>
      <c r="Q2959">
        <v>200</v>
      </c>
      <c r="R2959">
        <v>200</v>
      </c>
      <c r="S2959" t="s">
        <v>56</v>
      </c>
      <c r="T2959" t="s">
        <v>57</v>
      </c>
      <c r="W2959">
        <v>200</v>
      </c>
      <c r="X2959">
        <v>200</v>
      </c>
      <c r="Y2959">
        <v>0</v>
      </c>
      <c r="Z2959">
        <v>0</v>
      </c>
    </row>
    <row r="2960" spans="1:26" hidden="1" x14ac:dyDescent="0.25">
      <c r="A2960" t="s">
        <v>6123</v>
      </c>
      <c r="B2960" t="s">
        <v>38</v>
      </c>
      <c r="C2960" s="4">
        <v>45768</v>
      </c>
      <c r="D2960" s="4">
        <v>46010</v>
      </c>
      <c r="F2960" s="4">
        <v>47664</v>
      </c>
      <c r="G2960" t="s">
        <v>177</v>
      </c>
      <c r="H2960" t="s">
        <v>3445</v>
      </c>
      <c r="K2960" t="s">
        <v>41</v>
      </c>
      <c r="L2960" t="s">
        <v>5172</v>
      </c>
      <c r="M2960" t="s">
        <v>42</v>
      </c>
      <c r="N2960" t="s">
        <v>3122</v>
      </c>
      <c r="O2960" t="s">
        <v>32</v>
      </c>
      <c r="P2960" t="s">
        <v>6124</v>
      </c>
      <c r="Q2960">
        <v>240</v>
      </c>
      <c r="R2960">
        <v>240</v>
      </c>
      <c r="S2960" t="s">
        <v>56</v>
      </c>
      <c r="T2960" t="s">
        <v>57</v>
      </c>
      <c r="W2960">
        <v>0</v>
      </c>
      <c r="X2960">
        <v>0</v>
      </c>
      <c r="Y2960">
        <v>0</v>
      </c>
      <c r="Z2960">
        <v>0</v>
      </c>
    </row>
    <row r="2961" spans="1:26" hidden="1" x14ac:dyDescent="0.25">
      <c r="A2961" t="s">
        <v>6125</v>
      </c>
      <c r="B2961" t="s">
        <v>2153</v>
      </c>
      <c r="C2961" s="4">
        <v>45764</v>
      </c>
      <c r="F2961" s="4">
        <v>47423</v>
      </c>
      <c r="G2961" t="s">
        <v>132</v>
      </c>
      <c r="H2961" t="s">
        <v>1805</v>
      </c>
      <c r="K2961" t="s">
        <v>109</v>
      </c>
      <c r="L2961" t="s">
        <v>5172</v>
      </c>
      <c r="M2961" t="s">
        <v>84</v>
      </c>
      <c r="N2961" t="s">
        <v>3122</v>
      </c>
      <c r="O2961" t="s">
        <v>32</v>
      </c>
      <c r="P2961" t="s">
        <v>1345</v>
      </c>
      <c r="Q2961">
        <v>300</v>
      </c>
      <c r="R2961">
        <v>300</v>
      </c>
      <c r="S2961" t="s">
        <v>34</v>
      </c>
      <c r="T2961" t="s">
        <v>35</v>
      </c>
      <c r="W2961">
        <v>300</v>
      </c>
      <c r="X2961">
        <v>300</v>
      </c>
      <c r="Y2961">
        <v>0</v>
      </c>
      <c r="Z2961">
        <v>0</v>
      </c>
    </row>
    <row r="2962" spans="1:26" hidden="1" x14ac:dyDescent="0.25">
      <c r="A2962" t="s">
        <v>6126</v>
      </c>
      <c r="B2962" t="s">
        <v>38</v>
      </c>
      <c r="C2962" s="4">
        <v>45764</v>
      </c>
      <c r="D2962" s="4">
        <v>45952</v>
      </c>
      <c r="F2962" s="4">
        <v>47423</v>
      </c>
      <c r="G2962" t="s">
        <v>1251</v>
      </c>
      <c r="H2962" t="s">
        <v>1805</v>
      </c>
      <c r="K2962" t="s">
        <v>109</v>
      </c>
      <c r="L2962" t="s">
        <v>5172</v>
      </c>
      <c r="M2962" t="s">
        <v>84</v>
      </c>
      <c r="N2962" t="s">
        <v>3122</v>
      </c>
      <c r="O2962" t="s">
        <v>32</v>
      </c>
      <c r="P2962" t="s">
        <v>1345</v>
      </c>
      <c r="Q2962">
        <v>300</v>
      </c>
      <c r="R2962">
        <v>300</v>
      </c>
      <c r="S2962" t="s">
        <v>34</v>
      </c>
      <c r="T2962" t="s">
        <v>35</v>
      </c>
      <c r="W2962">
        <v>0</v>
      </c>
      <c r="X2962">
        <v>0</v>
      </c>
      <c r="Y2962">
        <v>0</v>
      </c>
      <c r="Z2962">
        <v>0</v>
      </c>
    </row>
    <row r="2963" spans="1:26" hidden="1" x14ac:dyDescent="0.25">
      <c r="A2963" t="s">
        <v>6127</v>
      </c>
      <c r="B2963" t="s">
        <v>2153</v>
      </c>
      <c r="C2963" s="4">
        <v>45764</v>
      </c>
      <c r="F2963" s="4">
        <v>47423</v>
      </c>
      <c r="G2963" t="s">
        <v>132</v>
      </c>
      <c r="H2963" t="s">
        <v>6128</v>
      </c>
      <c r="K2963" t="s">
        <v>109</v>
      </c>
      <c r="L2963" t="s">
        <v>5172</v>
      </c>
      <c r="M2963" t="s">
        <v>84</v>
      </c>
      <c r="N2963" t="s">
        <v>3122</v>
      </c>
      <c r="O2963" t="s">
        <v>32</v>
      </c>
      <c r="P2963" t="s">
        <v>1345</v>
      </c>
      <c r="Q2963">
        <v>200</v>
      </c>
      <c r="R2963">
        <v>200</v>
      </c>
      <c r="S2963" t="s">
        <v>34</v>
      </c>
      <c r="T2963" t="s">
        <v>35</v>
      </c>
      <c r="W2963">
        <v>200</v>
      </c>
      <c r="X2963">
        <v>200</v>
      </c>
      <c r="Y2963">
        <v>0</v>
      </c>
      <c r="Z2963">
        <v>0</v>
      </c>
    </row>
    <row r="2964" spans="1:26" hidden="1" x14ac:dyDescent="0.25">
      <c r="A2964" t="s">
        <v>6129</v>
      </c>
      <c r="B2964" t="s">
        <v>2153</v>
      </c>
      <c r="C2964" s="4">
        <v>45755</v>
      </c>
      <c r="F2964" s="4">
        <v>47664</v>
      </c>
      <c r="G2964" t="s">
        <v>1499</v>
      </c>
      <c r="H2964" t="s">
        <v>6121</v>
      </c>
      <c r="K2964" t="s">
        <v>41</v>
      </c>
      <c r="L2964" t="s">
        <v>5172</v>
      </c>
      <c r="M2964" t="s">
        <v>42</v>
      </c>
      <c r="N2964" t="s">
        <v>3122</v>
      </c>
      <c r="O2964" t="s">
        <v>32</v>
      </c>
      <c r="P2964" t="s">
        <v>6122</v>
      </c>
      <c r="Q2964">
        <v>300</v>
      </c>
      <c r="R2964">
        <v>300</v>
      </c>
      <c r="S2964" t="s">
        <v>56</v>
      </c>
      <c r="T2964" t="s">
        <v>57</v>
      </c>
      <c r="W2964">
        <v>300</v>
      </c>
      <c r="X2964">
        <v>300</v>
      </c>
      <c r="Y2964">
        <v>0</v>
      </c>
      <c r="Z2964">
        <v>0</v>
      </c>
    </row>
    <row r="2965" spans="1:26" hidden="1" x14ac:dyDescent="0.25">
      <c r="A2965" t="s">
        <v>6130</v>
      </c>
      <c r="B2965" t="s">
        <v>38</v>
      </c>
      <c r="C2965" s="4">
        <v>45754</v>
      </c>
      <c r="D2965" s="4">
        <v>46127</v>
      </c>
      <c r="F2965" s="4">
        <v>47514</v>
      </c>
      <c r="G2965" t="s">
        <v>39</v>
      </c>
      <c r="H2965" t="s">
        <v>3025</v>
      </c>
      <c r="K2965" t="s">
        <v>41</v>
      </c>
      <c r="L2965" t="s">
        <v>5172</v>
      </c>
      <c r="M2965" t="s">
        <v>42</v>
      </c>
      <c r="N2965" t="s">
        <v>3122</v>
      </c>
      <c r="O2965" t="s">
        <v>32</v>
      </c>
      <c r="P2965" t="s">
        <v>6131</v>
      </c>
      <c r="Q2965">
        <v>245</v>
      </c>
      <c r="R2965">
        <v>245</v>
      </c>
      <c r="S2965" t="s">
        <v>34</v>
      </c>
      <c r="T2965" t="s">
        <v>35</v>
      </c>
      <c r="W2965">
        <v>0</v>
      </c>
      <c r="X2965">
        <v>0</v>
      </c>
      <c r="Y2965">
        <v>0</v>
      </c>
      <c r="Z2965">
        <v>0</v>
      </c>
    </row>
    <row r="2966" spans="1:26" hidden="1" x14ac:dyDescent="0.25">
      <c r="A2966" t="s">
        <v>6132</v>
      </c>
      <c r="B2966" t="s">
        <v>2153</v>
      </c>
      <c r="C2966" s="4">
        <v>45728</v>
      </c>
      <c r="F2966" s="4">
        <v>47604</v>
      </c>
      <c r="G2966" t="s">
        <v>52</v>
      </c>
      <c r="H2966" t="s">
        <v>2288</v>
      </c>
      <c r="K2966" t="s">
        <v>53</v>
      </c>
      <c r="L2966" t="s">
        <v>6052</v>
      </c>
      <c r="M2966" t="s">
        <v>54</v>
      </c>
      <c r="O2966" t="s">
        <v>32</v>
      </c>
      <c r="P2966" t="s">
        <v>6133</v>
      </c>
      <c r="Q2966">
        <v>165</v>
      </c>
      <c r="R2966">
        <v>165</v>
      </c>
      <c r="S2966" t="s">
        <v>597</v>
      </c>
      <c r="T2966" t="s">
        <v>2552</v>
      </c>
      <c r="W2966">
        <v>0</v>
      </c>
      <c r="X2966">
        <v>0</v>
      </c>
      <c r="Y2966">
        <v>0</v>
      </c>
      <c r="Z2966">
        <v>0</v>
      </c>
    </row>
    <row r="2967" spans="1:26" hidden="1" x14ac:dyDescent="0.25">
      <c r="A2967" t="s">
        <v>6134</v>
      </c>
      <c r="B2967" t="s">
        <v>2153</v>
      </c>
      <c r="C2967" s="4">
        <v>45754</v>
      </c>
      <c r="F2967" s="4">
        <v>47514</v>
      </c>
      <c r="G2967" t="s">
        <v>39</v>
      </c>
      <c r="H2967" t="s">
        <v>4961</v>
      </c>
      <c r="K2967" t="s">
        <v>62</v>
      </c>
      <c r="L2967" t="s">
        <v>5172</v>
      </c>
      <c r="M2967" t="s">
        <v>42</v>
      </c>
      <c r="N2967" t="s">
        <v>3122</v>
      </c>
      <c r="O2967" t="s">
        <v>32</v>
      </c>
      <c r="P2967" t="s">
        <v>4962</v>
      </c>
      <c r="Q2967">
        <v>490</v>
      </c>
      <c r="R2967">
        <v>490</v>
      </c>
      <c r="S2967" t="s">
        <v>34</v>
      </c>
      <c r="T2967" t="s">
        <v>35</v>
      </c>
      <c r="W2967">
        <v>490</v>
      </c>
      <c r="X2967">
        <v>490</v>
      </c>
      <c r="Y2967">
        <v>0</v>
      </c>
      <c r="Z2967">
        <v>0</v>
      </c>
    </row>
    <row r="2968" spans="1:26" hidden="1" x14ac:dyDescent="0.25">
      <c r="A2968" t="s">
        <v>6135</v>
      </c>
      <c r="B2968" t="s">
        <v>2153</v>
      </c>
      <c r="C2968" s="4">
        <v>45754</v>
      </c>
      <c r="F2968" s="4">
        <v>47514</v>
      </c>
      <c r="G2968" t="s">
        <v>39</v>
      </c>
      <c r="H2968" t="s">
        <v>4961</v>
      </c>
      <c r="K2968" t="s">
        <v>62</v>
      </c>
      <c r="L2968" t="s">
        <v>5172</v>
      </c>
      <c r="M2968" t="s">
        <v>42</v>
      </c>
      <c r="N2968" t="s">
        <v>3122</v>
      </c>
      <c r="O2968" t="s">
        <v>32</v>
      </c>
      <c r="P2968" t="s">
        <v>6136</v>
      </c>
      <c r="Q2968">
        <v>490</v>
      </c>
      <c r="R2968">
        <v>490</v>
      </c>
      <c r="S2968" t="s">
        <v>34</v>
      </c>
      <c r="T2968" t="s">
        <v>35</v>
      </c>
      <c r="W2968">
        <v>490</v>
      </c>
      <c r="X2968">
        <v>490</v>
      </c>
      <c r="Y2968">
        <v>0</v>
      </c>
      <c r="Z2968">
        <v>0</v>
      </c>
    </row>
    <row r="2969" spans="1:26" hidden="1" x14ac:dyDescent="0.25">
      <c r="A2969" t="s">
        <v>6137</v>
      </c>
      <c r="B2969" t="s">
        <v>38</v>
      </c>
      <c r="C2969" s="4">
        <v>45754</v>
      </c>
      <c r="D2969" s="4">
        <v>46013</v>
      </c>
      <c r="F2969" s="4">
        <v>47513</v>
      </c>
      <c r="G2969" t="s">
        <v>117</v>
      </c>
      <c r="H2969" t="s">
        <v>3392</v>
      </c>
      <c r="K2969" t="s">
        <v>83</v>
      </c>
      <c r="L2969" t="s">
        <v>5172</v>
      </c>
      <c r="M2969" t="s">
        <v>84</v>
      </c>
      <c r="N2969" t="s">
        <v>3122</v>
      </c>
      <c r="O2969" t="s">
        <v>32</v>
      </c>
      <c r="P2969" t="s">
        <v>6138</v>
      </c>
      <c r="Q2969">
        <v>401.8</v>
      </c>
      <c r="R2969">
        <v>401.8</v>
      </c>
      <c r="S2969" t="s">
        <v>34</v>
      </c>
      <c r="T2969" t="s">
        <v>35</v>
      </c>
      <c r="W2969">
        <v>0</v>
      </c>
      <c r="X2969">
        <v>0</v>
      </c>
      <c r="Y2969">
        <v>0</v>
      </c>
      <c r="Z2969">
        <v>0</v>
      </c>
    </row>
    <row r="2970" spans="1:26" hidden="1" x14ac:dyDescent="0.25">
      <c r="A2970" t="s">
        <v>6139</v>
      </c>
      <c r="B2970" t="s">
        <v>2153</v>
      </c>
      <c r="C2970" s="4">
        <v>45748</v>
      </c>
      <c r="F2970" s="4">
        <v>47453</v>
      </c>
      <c r="G2970" t="s">
        <v>907</v>
      </c>
      <c r="H2970" t="s">
        <v>1357</v>
      </c>
      <c r="K2970" t="s">
        <v>53</v>
      </c>
      <c r="L2970" t="s">
        <v>6052</v>
      </c>
      <c r="M2970" t="s">
        <v>54</v>
      </c>
      <c r="O2970" t="s">
        <v>32</v>
      </c>
      <c r="P2970" t="s">
        <v>1358</v>
      </c>
      <c r="Q2970">
        <v>318</v>
      </c>
      <c r="R2970">
        <v>318</v>
      </c>
      <c r="S2970" t="s">
        <v>56</v>
      </c>
      <c r="T2970" t="s">
        <v>57</v>
      </c>
      <c r="W2970">
        <v>0</v>
      </c>
      <c r="X2970">
        <v>0</v>
      </c>
      <c r="Y2970">
        <v>0</v>
      </c>
      <c r="Z2970">
        <v>0</v>
      </c>
    </row>
    <row r="2971" spans="1:26" hidden="1" x14ac:dyDescent="0.25">
      <c r="A2971" t="s">
        <v>6140</v>
      </c>
      <c r="B2971" t="s">
        <v>2153</v>
      </c>
      <c r="C2971" s="4">
        <v>45748</v>
      </c>
      <c r="F2971" s="4">
        <v>47453</v>
      </c>
      <c r="G2971" t="s">
        <v>907</v>
      </c>
      <c r="H2971" t="s">
        <v>1357</v>
      </c>
      <c r="K2971" t="s">
        <v>53</v>
      </c>
      <c r="L2971" t="s">
        <v>6052</v>
      </c>
      <c r="M2971" t="s">
        <v>54</v>
      </c>
      <c r="O2971" t="s">
        <v>32</v>
      </c>
      <c r="P2971" t="s">
        <v>6141</v>
      </c>
      <c r="Q2971">
        <v>170</v>
      </c>
      <c r="R2971">
        <v>170</v>
      </c>
      <c r="S2971" t="s">
        <v>56</v>
      </c>
      <c r="T2971" t="s">
        <v>57</v>
      </c>
      <c r="W2971">
        <v>0</v>
      </c>
      <c r="X2971">
        <v>0</v>
      </c>
      <c r="Y2971">
        <v>0</v>
      </c>
      <c r="Z2971">
        <v>0</v>
      </c>
    </row>
    <row r="2972" spans="1:26" hidden="1" x14ac:dyDescent="0.25">
      <c r="A2972" t="s">
        <v>6142</v>
      </c>
      <c r="B2972" t="s">
        <v>2153</v>
      </c>
      <c r="C2972" s="4">
        <v>45730</v>
      </c>
      <c r="F2972" s="4">
        <v>47011</v>
      </c>
      <c r="G2972" t="s">
        <v>117</v>
      </c>
      <c r="H2972" t="s">
        <v>1954</v>
      </c>
      <c r="K2972" t="s">
        <v>83</v>
      </c>
      <c r="L2972" t="s">
        <v>5172</v>
      </c>
      <c r="M2972" t="s">
        <v>84</v>
      </c>
      <c r="N2972" t="s">
        <v>3122</v>
      </c>
      <c r="O2972" t="s">
        <v>32</v>
      </c>
      <c r="P2972" t="s">
        <v>2417</v>
      </c>
      <c r="Q2972">
        <v>100</v>
      </c>
      <c r="R2972">
        <v>100</v>
      </c>
      <c r="S2972" t="s">
        <v>159</v>
      </c>
      <c r="T2972" t="s">
        <v>159</v>
      </c>
      <c r="W2972">
        <v>100</v>
      </c>
      <c r="X2972">
        <v>100</v>
      </c>
      <c r="Y2972">
        <v>0</v>
      </c>
      <c r="Z2972">
        <v>0</v>
      </c>
    </row>
    <row r="2973" spans="1:26" hidden="1" x14ac:dyDescent="0.25">
      <c r="A2973" t="s">
        <v>6143</v>
      </c>
      <c r="B2973" t="s">
        <v>38</v>
      </c>
      <c r="C2973" s="4">
        <v>45726</v>
      </c>
      <c r="D2973" s="4">
        <v>46024</v>
      </c>
      <c r="F2973" s="4">
        <v>47786</v>
      </c>
      <c r="G2973" t="s">
        <v>65</v>
      </c>
      <c r="H2973" t="s">
        <v>3247</v>
      </c>
      <c r="K2973" t="s">
        <v>67</v>
      </c>
      <c r="L2973" t="s">
        <v>5172</v>
      </c>
      <c r="M2973" t="s">
        <v>68</v>
      </c>
      <c r="N2973" t="s">
        <v>3122</v>
      </c>
      <c r="O2973" t="s">
        <v>32</v>
      </c>
      <c r="P2973" t="s">
        <v>6144</v>
      </c>
      <c r="Q2973">
        <v>196</v>
      </c>
      <c r="R2973">
        <v>196</v>
      </c>
      <c r="S2973" t="s">
        <v>34</v>
      </c>
      <c r="T2973" t="s">
        <v>35</v>
      </c>
      <c r="W2973">
        <v>0</v>
      </c>
      <c r="X2973">
        <v>0</v>
      </c>
      <c r="Y2973">
        <v>0</v>
      </c>
      <c r="Z2973">
        <v>0</v>
      </c>
    </row>
    <row r="2974" spans="1:26" hidden="1" x14ac:dyDescent="0.25">
      <c r="A2974" t="s">
        <v>6145</v>
      </c>
      <c r="B2974" t="s">
        <v>2153</v>
      </c>
      <c r="C2974" s="4">
        <v>45748</v>
      </c>
      <c r="F2974" s="4">
        <v>47453</v>
      </c>
      <c r="G2974" t="s">
        <v>907</v>
      </c>
      <c r="H2974" t="s">
        <v>1357</v>
      </c>
      <c r="K2974" t="s">
        <v>53</v>
      </c>
      <c r="L2974" t="s">
        <v>6052</v>
      </c>
      <c r="M2974" t="s">
        <v>54</v>
      </c>
      <c r="O2974" t="s">
        <v>32</v>
      </c>
      <c r="P2974" t="s">
        <v>6141</v>
      </c>
      <c r="Q2974">
        <v>70</v>
      </c>
      <c r="R2974">
        <v>70</v>
      </c>
      <c r="S2974" t="s">
        <v>56</v>
      </c>
      <c r="T2974" t="s">
        <v>57</v>
      </c>
      <c r="W2974">
        <v>0</v>
      </c>
      <c r="X2974">
        <v>0</v>
      </c>
      <c r="Y2974">
        <v>0</v>
      </c>
      <c r="Z2974">
        <v>0</v>
      </c>
    </row>
    <row r="2975" spans="1:26" hidden="1" x14ac:dyDescent="0.25">
      <c r="A2975" t="s">
        <v>6146</v>
      </c>
      <c r="B2975" t="s">
        <v>2153</v>
      </c>
      <c r="C2975" s="4">
        <v>45748</v>
      </c>
      <c r="F2975" s="4">
        <v>47453</v>
      </c>
      <c r="G2975" t="s">
        <v>907</v>
      </c>
      <c r="H2975" t="s">
        <v>1357</v>
      </c>
      <c r="K2975" t="s">
        <v>53</v>
      </c>
      <c r="L2975" t="s">
        <v>6052</v>
      </c>
      <c r="M2975" t="s">
        <v>54</v>
      </c>
      <c r="O2975" t="s">
        <v>32</v>
      </c>
      <c r="P2975" t="s">
        <v>6147</v>
      </c>
      <c r="Q2975">
        <v>255</v>
      </c>
      <c r="R2975">
        <v>255</v>
      </c>
      <c r="S2975" t="s">
        <v>56</v>
      </c>
      <c r="T2975" t="s">
        <v>57</v>
      </c>
      <c r="W2975">
        <v>0</v>
      </c>
      <c r="X2975">
        <v>0</v>
      </c>
      <c r="Y2975">
        <v>0</v>
      </c>
      <c r="Z2975">
        <v>0</v>
      </c>
    </row>
    <row r="2976" spans="1:26" hidden="1" x14ac:dyDescent="0.25">
      <c r="A2976" t="s">
        <v>6148</v>
      </c>
      <c r="B2976" t="s">
        <v>38</v>
      </c>
      <c r="C2976" s="4">
        <v>45742</v>
      </c>
      <c r="D2976" s="4">
        <v>45924</v>
      </c>
      <c r="F2976" s="4">
        <v>47195</v>
      </c>
      <c r="G2976" t="s">
        <v>149</v>
      </c>
      <c r="H2976" t="s">
        <v>1962</v>
      </c>
      <c r="K2976" t="s">
        <v>151</v>
      </c>
      <c r="L2976" t="s">
        <v>5172</v>
      </c>
      <c r="M2976" t="s">
        <v>68</v>
      </c>
      <c r="N2976" t="s">
        <v>3122</v>
      </c>
      <c r="O2976" t="s">
        <v>32</v>
      </c>
      <c r="P2976" t="s">
        <v>6149</v>
      </c>
      <c r="Q2976">
        <v>200</v>
      </c>
      <c r="R2976">
        <v>200</v>
      </c>
      <c r="S2976" t="s">
        <v>56</v>
      </c>
      <c r="T2976" t="s">
        <v>57</v>
      </c>
      <c r="W2976">
        <v>0</v>
      </c>
      <c r="X2976">
        <v>0</v>
      </c>
      <c r="Y2976">
        <v>0</v>
      </c>
      <c r="Z2976">
        <v>0</v>
      </c>
    </row>
    <row r="2977" spans="1:26" hidden="1" x14ac:dyDescent="0.25">
      <c r="A2977" t="s">
        <v>6150</v>
      </c>
      <c r="B2977" t="s">
        <v>2153</v>
      </c>
      <c r="C2977" s="4">
        <v>45721</v>
      </c>
      <c r="F2977" s="4">
        <v>47757</v>
      </c>
      <c r="G2977" t="s">
        <v>52</v>
      </c>
      <c r="H2977" t="s">
        <v>1433</v>
      </c>
      <c r="K2977" t="s">
        <v>53</v>
      </c>
      <c r="L2977" t="s">
        <v>6052</v>
      </c>
      <c r="M2977" t="s">
        <v>54</v>
      </c>
      <c r="O2977" t="s">
        <v>32</v>
      </c>
      <c r="P2977" t="s">
        <v>1722</v>
      </c>
      <c r="Q2977">
        <v>100</v>
      </c>
      <c r="R2977">
        <v>100</v>
      </c>
      <c r="S2977" t="s">
        <v>159</v>
      </c>
      <c r="T2977" t="s">
        <v>159</v>
      </c>
      <c r="W2977">
        <v>0</v>
      </c>
      <c r="X2977">
        <v>0</v>
      </c>
      <c r="Y2977">
        <v>0</v>
      </c>
      <c r="Z2977">
        <v>0</v>
      </c>
    </row>
    <row r="2978" spans="1:26" hidden="1" x14ac:dyDescent="0.25">
      <c r="A2978" t="s">
        <v>6151</v>
      </c>
      <c r="B2978" t="s">
        <v>38</v>
      </c>
      <c r="C2978" s="4">
        <v>45699</v>
      </c>
      <c r="D2978" s="4">
        <v>46127</v>
      </c>
      <c r="F2978" s="4">
        <v>46539</v>
      </c>
      <c r="G2978" t="s">
        <v>65</v>
      </c>
      <c r="H2978" t="s">
        <v>1279</v>
      </c>
      <c r="K2978" t="s">
        <v>67</v>
      </c>
      <c r="L2978" t="s">
        <v>5172</v>
      </c>
      <c r="M2978" t="s">
        <v>68</v>
      </c>
      <c r="N2978" t="s">
        <v>3122</v>
      </c>
      <c r="O2978" t="s">
        <v>32</v>
      </c>
      <c r="P2978" t="s">
        <v>2488</v>
      </c>
      <c r="Q2978">
        <v>200</v>
      </c>
      <c r="R2978">
        <v>200</v>
      </c>
      <c r="S2978" t="s">
        <v>34</v>
      </c>
      <c r="T2978" t="s">
        <v>35</v>
      </c>
      <c r="W2978">
        <v>0</v>
      </c>
      <c r="X2978">
        <v>0</v>
      </c>
      <c r="Y2978">
        <v>0</v>
      </c>
      <c r="Z2978">
        <v>0</v>
      </c>
    </row>
    <row r="2979" spans="1:26" hidden="1" x14ac:dyDescent="0.25">
      <c r="A2979" t="s">
        <v>6152</v>
      </c>
      <c r="B2979" t="s">
        <v>2153</v>
      </c>
      <c r="C2979" s="4">
        <v>45726</v>
      </c>
      <c r="F2979" s="4">
        <v>47534</v>
      </c>
      <c r="G2979" t="s">
        <v>1278</v>
      </c>
      <c r="H2979" t="s">
        <v>6153</v>
      </c>
      <c r="K2979" t="s">
        <v>28</v>
      </c>
      <c r="L2979" t="s">
        <v>5172</v>
      </c>
      <c r="M2979" t="s">
        <v>30</v>
      </c>
      <c r="N2979" t="s">
        <v>3122</v>
      </c>
      <c r="O2979" t="s">
        <v>32</v>
      </c>
      <c r="P2979" t="s">
        <v>4833</v>
      </c>
      <c r="Q2979">
        <v>416.5</v>
      </c>
      <c r="R2979">
        <v>416.5</v>
      </c>
      <c r="S2979" t="s">
        <v>34</v>
      </c>
      <c r="T2979" t="s">
        <v>35</v>
      </c>
      <c r="W2979">
        <v>416.5</v>
      </c>
      <c r="X2979">
        <v>416.5</v>
      </c>
      <c r="Y2979">
        <v>0</v>
      </c>
      <c r="Z2979">
        <v>0</v>
      </c>
    </row>
    <row r="2980" spans="1:26" hidden="1" x14ac:dyDescent="0.25">
      <c r="A2980" t="s">
        <v>6154</v>
      </c>
      <c r="B2980" t="s">
        <v>2153</v>
      </c>
      <c r="C2980" s="4">
        <v>45741</v>
      </c>
      <c r="F2980" s="4">
        <v>47102</v>
      </c>
      <c r="G2980" t="s">
        <v>117</v>
      </c>
      <c r="H2980" t="s">
        <v>1637</v>
      </c>
      <c r="K2980" t="s">
        <v>83</v>
      </c>
      <c r="L2980" t="s">
        <v>5172</v>
      </c>
      <c r="M2980" t="s">
        <v>84</v>
      </c>
      <c r="N2980" t="s">
        <v>3122</v>
      </c>
      <c r="O2980" t="s">
        <v>32</v>
      </c>
      <c r="P2980" t="s">
        <v>6155</v>
      </c>
      <c r="Q2980">
        <v>66.8</v>
      </c>
      <c r="R2980">
        <v>66.8</v>
      </c>
      <c r="S2980" t="s">
        <v>56</v>
      </c>
      <c r="T2980" t="s">
        <v>57</v>
      </c>
      <c r="W2980">
        <v>66.8</v>
      </c>
      <c r="X2980">
        <v>66.8</v>
      </c>
      <c r="Y2980">
        <v>0</v>
      </c>
      <c r="Z2980">
        <v>0</v>
      </c>
    </row>
    <row r="2981" spans="1:26" hidden="1" x14ac:dyDescent="0.25">
      <c r="A2981" t="s">
        <v>6156</v>
      </c>
      <c r="B2981" t="s">
        <v>2153</v>
      </c>
      <c r="C2981" s="4">
        <v>45747</v>
      </c>
      <c r="F2981" s="4">
        <v>47270</v>
      </c>
      <c r="G2981" t="s">
        <v>907</v>
      </c>
      <c r="H2981" t="s">
        <v>1450</v>
      </c>
      <c r="K2981" t="s">
        <v>53</v>
      </c>
      <c r="L2981" t="s">
        <v>6052</v>
      </c>
      <c r="M2981" t="s">
        <v>54</v>
      </c>
      <c r="O2981" t="s">
        <v>32</v>
      </c>
      <c r="P2981" t="s">
        <v>3787</v>
      </c>
      <c r="Q2981">
        <v>250</v>
      </c>
      <c r="R2981">
        <v>250</v>
      </c>
      <c r="S2981" t="s">
        <v>159</v>
      </c>
      <c r="T2981" t="s">
        <v>159</v>
      </c>
      <c r="W2981">
        <v>0</v>
      </c>
      <c r="X2981">
        <v>0</v>
      </c>
      <c r="Y2981">
        <v>0</v>
      </c>
      <c r="Z2981">
        <v>0</v>
      </c>
    </row>
    <row r="2982" spans="1:26" hidden="1" x14ac:dyDescent="0.25">
      <c r="A2982" t="s">
        <v>6157</v>
      </c>
      <c r="B2982" t="s">
        <v>2153</v>
      </c>
      <c r="C2982" s="4">
        <v>45755</v>
      </c>
      <c r="F2982" s="4">
        <v>47392</v>
      </c>
      <c r="G2982" t="s">
        <v>138</v>
      </c>
      <c r="H2982" t="s">
        <v>1805</v>
      </c>
      <c r="K2982" t="s">
        <v>98</v>
      </c>
      <c r="L2982" t="s">
        <v>5172</v>
      </c>
      <c r="M2982" t="s">
        <v>84</v>
      </c>
      <c r="N2982" t="s">
        <v>3122</v>
      </c>
      <c r="O2982" t="s">
        <v>32</v>
      </c>
      <c r="P2982" t="s">
        <v>5079</v>
      </c>
      <c r="Q2982">
        <v>200</v>
      </c>
      <c r="R2982">
        <v>200</v>
      </c>
      <c r="S2982" t="s">
        <v>597</v>
      </c>
      <c r="T2982" t="s">
        <v>598</v>
      </c>
      <c r="W2982">
        <v>200</v>
      </c>
      <c r="X2982">
        <v>200</v>
      </c>
      <c r="Y2982">
        <v>0</v>
      </c>
      <c r="Z2982">
        <v>0</v>
      </c>
    </row>
    <row r="2983" spans="1:26" hidden="1" x14ac:dyDescent="0.25">
      <c r="A2983" t="s">
        <v>6158</v>
      </c>
      <c r="B2983" t="s">
        <v>2153</v>
      </c>
      <c r="C2983" s="4">
        <v>45755</v>
      </c>
      <c r="F2983" s="4">
        <v>47392</v>
      </c>
      <c r="G2983" t="s">
        <v>138</v>
      </c>
      <c r="H2983" t="s">
        <v>1805</v>
      </c>
      <c r="K2983" t="s">
        <v>98</v>
      </c>
      <c r="L2983" t="s">
        <v>5172</v>
      </c>
      <c r="M2983" t="s">
        <v>84</v>
      </c>
      <c r="N2983" t="s">
        <v>3122</v>
      </c>
      <c r="O2983" t="s">
        <v>32</v>
      </c>
      <c r="P2983" t="s">
        <v>5079</v>
      </c>
      <c r="Q2983">
        <v>200</v>
      </c>
      <c r="R2983">
        <v>200</v>
      </c>
      <c r="S2983" t="s">
        <v>597</v>
      </c>
      <c r="T2983" t="s">
        <v>598</v>
      </c>
      <c r="W2983">
        <v>200</v>
      </c>
      <c r="X2983">
        <v>200</v>
      </c>
      <c r="Y2983">
        <v>0</v>
      </c>
      <c r="Z2983">
        <v>0</v>
      </c>
    </row>
    <row r="2984" spans="1:26" hidden="1" x14ac:dyDescent="0.25">
      <c r="A2984" t="s">
        <v>6159</v>
      </c>
      <c r="B2984" t="s">
        <v>2153</v>
      </c>
      <c r="C2984" s="4">
        <v>45755</v>
      </c>
      <c r="F2984" s="4">
        <v>47392</v>
      </c>
      <c r="G2984" t="s">
        <v>691</v>
      </c>
      <c r="H2984" t="s">
        <v>1805</v>
      </c>
      <c r="K2984" t="s">
        <v>98</v>
      </c>
      <c r="L2984" t="s">
        <v>5172</v>
      </c>
      <c r="M2984" t="s">
        <v>84</v>
      </c>
      <c r="N2984" t="s">
        <v>3122</v>
      </c>
      <c r="O2984" t="s">
        <v>32</v>
      </c>
      <c r="P2984" t="s">
        <v>1806</v>
      </c>
      <c r="Q2984">
        <v>200</v>
      </c>
      <c r="R2984">
        <v>200</v>
      </c>
      <c r="S2984" t="s">
        <v>597</v>
      </c>
      <c r="T2984" t="s">
        <v>598</v>
      </c>
      <c r="W2984">
        <v>200</v>
      </c>
      <c r="X2984">
        <v>200</v>
      </c>
      <c r="Y2984">
        <v>0</v>
      </c>
      <c r="Z2984">
        <v>0</v>
      </c>
    </row>
    <row r="2985" spans="1:26" hidden="1" x14ac:dyDescent="0.25">
      <c r="A2985" t="s">
        <v>6160</v>
      </c>
      <c r="B2985" t="s">
        <v>2153</v>
      </c>
      <c r="C2985" s="4">
        <v>45755</v>
      </c>
      <c r="F2985" s="4">
        <v>47392</v>
      </c>
      <c r="G2985" t="s">
        <v>691</v>
      </c>
      <c r="H2985" t="s">
        <v>1805</v>
      </c>
      <c r="K2985" t="s">
        <v>98</v>
      </c>
      <c r="L2985" t="s">
        <v>5172</v>
      </c>
      <c r="M2985" t="s">
        <v>84</v>
      </c>
      <c r="N2985" t="s">
        <v>3122</v>
      </c>
      <c r="O2985" t="s">
        <v>32</v>
      </c>
      <c r="P2985" t="s">
        <v>1806</v>
      </c>
      <c r="Q2985">
        <v>200</v>
      </c>
      <c r="R2985">
        <v>200</v>
      </c>
      <c r="S2985" t="s">
        <v>597</v>
      </c>
      <c r="T2985" t="s">
        <v>598</v>
      </c>
      <c r="W2985">
        <v>200</v>
      </c>
      <c r="X2985">
        <v>200</v>
      </c>
      <c r="Y2985">
        <v>0</v>
      </c>
      <c r="Z2985">
        <v>0</v>
      </c>
    </row>
    <row r="2986" spans="1:26" hidden="1" x14ac:dyDescent="0.25">
      <c r="A2986" t="s">
        <v>6161</v>
      </c>
      <c r="B2986" t="s">
        <v>2153</v>
      </c>
      <c r="C2986" s="4">
        <v>45650</v>
      </c>
      <c r="F2986" s="4">
        <v>47574</v>
      </c>
      <c r="G2986" t="s">
        <v>1326</v>
      </c>
      <c r="H2986" t="s">
        <v>1876</v>
      </c>
      <c r="K2986" t="s">
        <v>67</v>
      </c>
      <c r="L2986" t="s">
        <v>5172</v>
      </c>
      <c r="M2986" t="s">
        <v>68</v>
      </c>
      <c r="N2986" t="s">
        <v>3122</v>
      </c>
      <c r="O2986" t="s">
        <v>32</v>
      </c>
      <c r="P2986" t="s">
        <v>2099</v>
      </c>
      <c r="Q2986">
        <v>319.5</v>
      </c>
      <c r="R2986">
        <v>319.5</v>
      </c>
      <c r="S2986" t="s">
        <v>56</v>
      </c>
      <c r="T2986" t="s">
        <v>57</v>
      </c>
      <c r="W2986">
        <v>319.5</v>
      </c>
      <c r="X2986">
        <v>128</v>
      </c>
      <c r="Y2986">
        <v>0</v>
      </c>
      <c r="Z2986">
        <v>0</v>
      </c>
    </row>
    <row r="2987" spans="1:26" hidden="1" x14ac:dyDescent="0.25">
      <c r="A2987" t="s">
        <v>6162</v>
      </c>
      <c r="B2987" t="s">
        <v>38</v>
      </c>
      <c r="C2987" s="4">
        <v>45595</v>
      </c>
      <c r="D2987" s="4">
        <v>46126</v>
      </c>
      <c r="F2987" s="4">
        <v>47728</v>
      </c>
      <c r="G2987" t="s">
        <v>101</v>
      </c>
      <c r="H2987" t="s">
        <v>2375</v>
      </c>
      <c r="K2987" t="s">
        <v>98</v>
      </c>
      <c r="L2987" t="s">
        <v>5172</v>
      </c>
      <c r="M2987" t="s">
        <v>84</v>
      </c>
      <c r="N2987" t="s">
        <v>3122</v>
      </c>
      <c r="O2987" t="s">
        <v>32</v>
      </c>
      <c r="P2987" t="s">
        <v>6163</v>
      </c>
      <c r="Q2987">
        <v>100</v>
      </c>
      <c r="R2987">
        <v>100</v>
      </c>
      <c r="S2987" t="s">
        <v>597</v>
      </c>
      <c r="T2987" t="s">
        <v>598</v>
      </c>
      <c r="W2987">
        <v>0</v>
      </c>
      <c r="X2987">
        <v>0</v>
      </c>
      <c r="Y2987">
        <v>0</v>
      </c>
      <c r="Z2987">
        <v>0</v>
      </c>
    </row>
    <row r="2988" spans="1:26" hidden="1" x14ac:dyDescent="0.25">
      <c r="A2988" t="s">
        <v>6164</v>
      </c>
      <c r="B2988" t="s">
        <v>38</v>
      </c>
      <c r="C2988" s="4">
        <v>45590</v>
      </c>
      <c r="D2988" s="4">
        <v>46127</v>
      </c>
      <c r="F2988" s="4">
        <v>47728</v>
      </c>
      <c r="G2988" t="s">
        <v>65</v>
      </c>
      <c r="H2988" t="s">
        <v>1279</v>
      </c>
      <c r="K2988" t="s">
        <v>67</v>
      </c>
      <c r="L2988" t="s">
        <v>5172</v>
      </c>
      <c r="M2988" t="s">
        <v>68</v>
      </c>
      <c r="N2988" t="s">
        <v>3122</v>
      </c>
      <c r="O2988" t="s">
        <v>32</v>
      </c>
      <c r="P2988" t="s">
        <v>2488</v>
      </c>
      <c r="Q2988">
        <v>200</v>
      </c>
      <c r="R2988">
        <v>200</v>
      </c>
      <c r="S2988" t="s">
        <v>597</v>
      </c>
      <c r="T2988" t="s">
        <v>598</v>
      </c>
      <c r="W2988">
        <v>0</v>
      </c>
      <c r="X2988">
        <v>0</v>
      </c>
      <c r="Y2988">
        <v>0</v>
      </c>
      <c r="Z2988">
        <v>0</v>
      </c>
    </row>
    <row r="2989" spans="1:26" hidden="1" x14ac:dyDescent="0.25">
      <c r="A2989" t="s">
        <v>6165</v>
      </c>
      <c r="B2989" t="s">
        <v>38</v>
      </c>
      <c r="C2989" s="4">
        <v>45614</v>
      </c>
      <c r="D2989" s="4">
        <v>46127</v>
      </c>
      <c r="F2989" s="4">
        <v>47728</v>
      </c>
      <c r="G2989" t="s">
        <v>6166</v>
      </c>
      <c r="H2989" t="s">
        <v>2356</v>
      </c>
      <c r="K2989" t="s">
        <v>151</v>
      </c>
      <c r="L2989" t="s">
        <v>5172</v>
      </c>
      <c r="M2989" t="s">
        <v>68</v>
      </c>
      <c r="N2989" t="s">
        <v>3122</v>
      </c>
      <c r="O2989" t="s">
        <v>32</v>
      </c>
      <c r="P2989" t="s">
        <v>6167</v>
      </c>
      <c r="Q2989">
        <v>240</v>
      </c>
      <c r="R2989">
        <v>240</v>
      </c>
      <c r="S2989" t="s">
        <v>597</v>
      </c>
      <c r="T2989" t="s">
        <v>598</v>
      </c>
      <c r="W2989">
        <v>0</v>
      </c>
      <c r="X2989">
        <v>0</v>
      </c>
      <c r="Y2989">
        <v>0</v>
      </c>
      <c r="Z2989">
        <v>0</v>
      </c>
    </row>
    <row r="2990" spans="1:26" hidden="1" x14ac:dyDescent="0.25">
      <c r="A2990" t="s">
        <v>6168</v>
      </c>
      <c r="B2990" t="s">
        <v>38</v>
      </c>
      <c r="C2990" s="4">
        <v>45590</v>
      </c>
      <c r="D2990" s="4">
        <v>46127</v>
      </c>
      <c r="F2990" s="4">
        <v>47728</v>
      </c>
      <c r="G2990" t="s">
        <v>149</v>
      </c>
      <c r="H2990" t="s">
        <v>1962</v>
      </c>
      <c r="K2990" t="s">
        <v>151</v>
      </c>
      <c r="L2990" t="s">
        <v>5172</v>
      </c>
      <c r="M2990" t="s">
        <v>68</v>
      </c>
      <c r="N2990" t="s">
        <v>3122</v>
      </c>
      <c r="O2990" t="s">
        <v>32</v>
      </c>
      <c r="P2990" t="s">
        <v>5514</v>
      </c>
      <c r="Q2990">
        <v>270</v>
      </c>
      <c r="R2990">
        <v>270</v>
      </c>
      <c r="S2990" t="s">
        <v>34</v>
      </c>
      <c r="T2990" t="s">
        <v>35</v>
      </c>
      <c r="W2990">
        <v>0</v>
      </c>
      <c r="X2990">
        <v>0</v>
      </c>
      <c r="Y2990">
        <v>0</v>
      </c>
      <c r="Z2990">
        <v>0</v>
      </c>
    </row>
    <row r="2991" spans="1:26" hidden="1" x14ac:dyDescent="0.25">
      <c r="A2991" t="s">
        <v>6169</v>
      </c>
      <c r="B2991" t="s">
        <v>38</v>
      </c>
      <c r="C2991" s="4">
        <v>45590</v>
      </c>
      <c r="D2991" s="4">
        <v>46127</v>
      </c>
      <c r="F2991" s="4">
        <v>47728</v>
      </c>
      <c r="G2991" t="s">
        <v>1311</v>
      </c>
      <c r="H2991" t="s">
        <v>2515</v>
      </c>
      <c r="K2991" t="s">
        <v>114</v>
      </c>
      <c r="L2991" t="s">
        <v>5172</v>
      </c>
      <c r="M2991" t="s">
        <v>68</v>
      </c>
      <c r="N2991" t="s">
        <v>3122</v>
      </c>
      <c r="O2991" t="s">
        <v>32</v>
      </c>
      <c r="P2991" t="s">
        <v>6170</v>
      </c>
      <c r="Q2991">
        <v>165</v>
      </c>
      <c r="R2991">
        <v>165</v>
      </c>
      <c r="S2991" t="s">
        <v>34</v>
      </c>
      <c r="T2991" t="s">
        <v>35</v>
      </c>
      <c r="W2991">
        <v>0</v>
      </c>
      <c r="X2991">
        <v>0</v>
      </c>
      <c r="Y2991">
        <v>0</v>
      </c>
      <c r="Z2991">
        <v>0</v>
      </c>
    </row>
    <row r="2992" spans="1:26" hidden="1" x14ac:dyDescent="0.25">
      <c r="A2992" t="s">
        <v>6171</v>
      </c>
      <c r="B2992" t="s">
        <v>38</v>
      </c>
      <c r="C2992" s="4">
        <v>45590</v>
      </c>
      <c r="D2992" s="4">
        <v>46127</v>
      </c>
      <c r="F2992" s="4">
        <v>47728</v>
      </c>
      <c r="G2992" t="s">
        <v>144</v>
      </c>
      <c r="H2992" t="s">
        <v>1418</v>
      </c>
      <c r="K2992" t="s">
        <v>146</v>
      </c>
      <c r="L2992" t="s">
        <v>5172</v>
      </c>
      <c r="M2992" t="s">
        <v>68</v>
      </c>
      <c r="N2992" t="s">
        <v>3122</v>
      </c>
      <c r="O2992" t="s">
        <v>32</v>
      </c>
      <c r="P2992" t="s">
        <v>6172</v>
      </c>
      <c r="Q2992">
        <v>85</v>
      </c>
      <c r="R2992">
        <v>85</v>
      </c>
      <c r="S2992" t="s">
        <v>34</v>
      </c>
      <c r="T2992" t="s">
        <v>35</v>
      </c>
      <c r="W2992">
        <v>0</v>
      </c>
      <c r="X2992">
        <v>0</v>
      </c>
      <c r="Y2992">
        <v>0</v>
      </c>
      <c r="Z2992">
        <v>0</v>
      </c>
    </row>
    <row r="2993" spans="1:26" hidden="1" x14ac:dyDescent="0.25">
      <c r="A2993" t="s">
        <v>6173</v>
      </c>
      <c r="B2993" t="s">
        <v>38</v>
      </c>
      <c r="C2993" s="4">
        <v>45748</v>
      </c>
      <c r="D2993" s="4">
        <v>46027</v>
      </c>
      <c r="F2993" s="4">
        <v>47756</v>
      </c>
      <c r="G2993" t="s">
        <v>117</v>
      </c>
      <c r="H2993" t="s">
        <v>3011</v>
      </c>
      <c r="K2993" t="s">
        <v>83</v>
      </c>
      <c r="L2993" t="s">
        <v>5172</v>
      </c>
      <c r="M2993" t="s">
        <v>84</v>
      </c>
      <c r="N2993" t="s">
        <v>3122</v>
      </c>
      <c r="O2993" t="s">
        <v>32</v>
      </c>
      <c r="P2993" t="s">
        <v>6174</v>
      </c>
      <c r="Q2993">
        <v>200</v>
      </c>
      <c r="R2993">
        <v>200</v>
      </c>
      <c r="S2993" t="s">
        <v>159</v>
      </c>
      <c r="T2993" t="s">
        <v>159</v>
      </c>
      <c r="W2993">
        <v>0</v>
      </c>
      <c r="X2993">
        <v>0</v>
      </c>
      <c r="Y2993">
        <v>0</v>
      </c>
      <c r="Z2993">
        <v>0</v>
      </c>
    </row>
    <row r="2994" spans="1:26" hidden="1" x14ac:dyDescent="0.25">
      <c r="A2994" t="s">
        <v>6175</v>
      </c>
      <c r="B2994" t="s">
        <v>2153</v>
      </c>
      <c r="C2994" s="4">
        <v>45764</v>
      </c>
      <c r="F2994" s="4">
        <v>47209</v>
      </c>
      <c r="G2994" t="s">
        <v>117</v>
      </c>
      <c r="H2994" t="s">
        <v>1765</v>
      </c>
      <c r="K2994" t="s">
        <v>83</v>
      </c>
      <c r="L2994" t="s">
        <v>5172</v>
      </c>
      <c r="M2994" t="s">
        <v>84</v>
      </c>
      <c r="N2994" t="s">
        <v>3122</v>
      </c>
      <c r="O2994" t="s">
        <v>32</v>
      </c>
      <c r="P2994" t="s">
        <v>1345</v>
      </c>
      <c r="Q2994">
        <v>100</v>
      </c>
      <c r="R2994">
        <v>100</v>
      </c>
      <c r="S2994" t="s">
        <v>56</v>
      </c>
      <c r="T2994" t="s">
        <v>57</v>
      </c>
      <c r="W2994">
        <v>100</v>
      </c>
      <c r="X2994">
        <v>100</v>
      </c>
      <c r="Y2994">
        <v>0</v>
      </c>
      <c r="Z2994">
        <v>0</v>
      </c>
    </row>
    <row r="2995" spans="1:26" hidden="1" x14ac:dyDescent="0.25">
      <c r="A2995" t="s">
        <v>6176</v>
      </c>
      <c r="B2995" t="s">
        <v>2153</v>
      </c>
      <c r="C2995" s="4">
        <v>45764</v>
      </c>
      <c r="F2995" s="4">
        <v>47209</v>
      </c>
      <c r="G2995" t="s">
        <v>117</v>
      </c>
      <c r="H2995" t="s">
        <v>1765</v>
      </c>
      <c r="K2995" t="s">
        <v>83</v>
      </c>
      <c r="L2995" t="s">
        <v>5172</v>
      </c>
      <c r="M2995" t="s">
        <v>84</v>
      </c>
      <c r="N2995" t="s">
        <v>3122</v>
      </c>
      <c r="O2995" t="s">
        <v>32</v>
      </c>
      <c r="P2995" t="s">
        <v>1345</v>
      </c>
      <c r="Q2995">
        <v>340</v>
      </c>
      <c r="R2995">
        <v>340</v>
      </c>
      <c r="S2995" t="s">
        <v>56</v>
      </c>
      <c r="T2995" t="s">
        <v>57</v>
      </c>
      <c r="W2995">
        <v>340</v>
      </c>
      <c r="X2995">
        <v>340</v>
      </c>
      <c r="Y2995">
        <v>0</v>
      </c>
      <c r="Z2995">
        <v>0</v>
      </c>
    </row>
    <row r="2996" spans="1:26" hidden="1" x14ac:dyDescent="0.25">
      <c r="A2996" t="s">
        <v>6177</v>
      </c>
      <c r="B2996" t="s">
        <v>2153</v>
      </c>
      <c r="C2996" s="4">
        <v>45764</v>
      </c>
      <c r="F2996" s="4">
        <v>46844</v>
      </c>
      <c r="G2996" t="s">
        <v>52</v>
      </c>
      <c r="H2996" t="s">
        <v>3615</v>
      </c>
      <c r="K2996" t="s">
        <v>53</v>
      </c>
      <c r="L2996" t="s">
        <v>6052</v>
      </c>
      <c r="M2996" t="s">
        <v>54</v>
      </c>
      <c r="O2996" t="s">
        <v>32</v>
      </c>
      <c r="P2996" t="s">
        <v>4537</v>
      </c>
      <c r="Q2996">
        <v>400</v>
      </c>
      <c r="R2996">
        <v>400</v>
      </c>
      <c r="S2996" t="s">
        <v>159</v>
      </c>
      <c r="T2996" t="s">
        <v>159</v>
      </c>
      <c r="W2996">
        <v>0</v>
      </c>
      <c r="X2996">
        <v>0</v>
      </c>
      <c r="Y2996">
        <v>0</v>
      </c>
      <c r="Z2996">
        <v>0</v>
      </c>
    </row>
    <row r="2997" spans="1:26" hidden="1" x14ac:dyDescent="0.25">
      <c r="A2997" t="s">
        <v>6178</v>
      </c>
      <c r="B2997" t="s">
        <v>38</v>
      </c>
      <c r="C2997" s="4">
        <v>45776</v>
      </c>
      <c r="D2997" s="4">
        <v>46126</v>
      </c>
      <c r="F2997" s="4">
        <v>46419</v>
      </c>
      <c r="G2997" t="s">
        <v>138</v>
      </c>
      <c r="H2997" t="s">
        <v>2052</v>
      </c>
      <c r="K2997" t="s">
        <v>83</v>
      </c>
      <c r="L2997" t="s">
        <v>5172</v>
      </c>
      <c r="M2997" t="s">
        <v>84</v>
      </c>
      <c r="N2997" t="s">
        <v>3122</v>
      </c>
      <c r="O2997" t="s">
        <v>32</v>
      </c>
      <c r="P2997" t="s">
        <v>6179</v>
      </c>
      <c r="Q2997">
        <v>21.44</v>
      </c>
      <c r="R2997">
        <v>21.44</v>
      </c>
      <c r="S2997" t="s">
        <v>34</v>
      </c>
      <c r="T2997" t="s">
        <v>35</v>
      </c>
      <c r="W2997">
        <v>0</v>
      </c>
      <c r="X2997">
        <v>0</v>
      </c>
      <c r="Y2997">
        <v>0</v>
      </c>
      <c r="Z2997">
        <v>0</v>
      </c>
    </row>
    <row r="2998" spans="1:26" hidden="1" x14ac:dyDescent="0.25">
      <c r="A2998" t="s">
        <v>6180</v>
      </c>
      <c r="B2998" t="s">
        <v>2153</v>
      </c>
      <c r="C2998" s="4">
        <v>45764</v>
      </c>
      <c r="F2998" s="4">
        <v>46844</v>
      </c>
      <c r="G2998" t="s">
        <v>52</v>
      </c>
      <c r="H2998" t="s">
        <v>1421</v>
      </c>
      <c r="K2998" t="s">
        <v>53</v>
      </c>
      <c r="L2998" t="s">
        <v>6052</v>
      </c>
      <c r="M2998" t="s">
        <v>54</v>
      </c>
      <c r="O2998" t="s">
        <v>32</v>
      </c>
      <c r="P2998" t="s">
        <v>6181</v>
      </c>
      <c r="Q2998">
        <v>360</v>
      </c>
      <c r="R2998">
        <v>360</v>
      </c>
      <c r="S2998" t="s">
        <v>159</v>
      </c>
      <c r="T2998" t="s">
        <v>159</v>
      </c>
      <c r="W2998">
        <v>0</v>
      </c>
      <c r="X2998">
        <v>0</v>
      </c>
      <c r="Y2998">
        <v>0</v>
      </c>
      <c r="Z2998">
        <v>0</v>
      </c>
    </row>
    <row r="2999" spans="1:26" hidden="1" x14ac:dyDescent="0.25">
      <c r="A2999" t="s">
        <v>6182</v>
      </c>
      <c r="B2999" t="s">
        <v>38</v>
      </c>
      <c r="C2999" s="4">
        <v>45770</v>
      </c>
      <c r="D2999" s="4">
        <v>46027</v>
      </c>
      <c r="F2999" s="4">
        <v>47665</v>
      </c>
      <c r="G2999" t="s">
        <v>117</v>
      </c>
      <c r="H2999" t="s">
        <v>2366</v>
      </c>
      <c r="K2999" t="s">
        <v>83</v>
      </c>
      <c r="L2999" t="s">
        <v>5172</v>
      </c>
      <c r="M2999" t="s">
        <v>84</v>
      </c>
      <c r="N2999" t="s">
        <v>3122</v>
      </c>
      <c r="O2999" t="s">
        <v>32</v>
      </c>
      <c r="P2999" t="s">
        <v>2741</v>
      </c>
      <c r="Q2999">
        <v>300</v>
      </c>
      <c r="R2999">
        <v>300</v>
      </c>
      <c r="S2999" t="s">
        <v>56</v>
      </c>
      <c r="T2999" t="s">
        <v>57</v>
      </c>
      <c r="W2999">
        <v>0</v>
      </c>
      <c r="X2999">
        <v>0</v>
      </c>
      <c r="Y2999">
        <v>0</v>
      </c>
      <c r="Z2999">
        <v>0</v>
      </c>
    </row>
    <row r="3000" spans="1:26" hidden="1" x14ac:dyDescent="0.25">
      <c r="A3000" t="s">
        <v>6183</v>
      </c>
      <c r="B3000" t="s">
        <v>2153</v>
      </c>
      <c r="C3000" s="4">
        <v>45776</v>
      </c>
      <c r="F3000" s="4">
        <v>47484</v>
      </c>
      <c r="G3000" t="s">
        <v>1251</v>
      </c>
      <c r="H3000" t="s">
        <v>2437</v>
      </c>
      <c r="K3000" t="s">
        <v>109</v>
      </c>
      <c r="L3000" t="s">
        <v>5172</v>
      </c>
      <c r="M3000" t="s">
        <v>84</v>
      </c>
      <c r="N3000" t="s">
        <v>3122</v>
      </c>
      <c r="O3000" t="s">
        <v>32</v>
      </c>
      <c r="P3000" t="s">
        <v>6184</v>
      </c>
      <c r="Q3000">
        <v>2220</v>
      </c>
      <c r="R3000">
        <v>2220</v>
      </c>
      <c r="S3000" t="s">
        <v>389</v>
      </c>
      <c r="T3000" t="s">
        <v>390</v>
      </c>
      <c r="W3000">
        <v>2200</v>
      </c>
      <c r="X3000">
        <v>2200</v>
      </c>
      <c r="Y3000">
        <v>0</v>
      </c>
      <c r="Z3000">
        <v>0</v>
      </c>
    </row>
    <row r="3001" spans="1:26" hidden="1" x14ac:dyDescent="0.25">
      <c r="A3001" t="s">
        <v>6185</v>
      </c>
      <c r="B3001" t="s">
        <v>38</v>
      </c>
      <c r="C3001" s="4">
        <v>45778</v>
      </c>
      <c r="D3001" s="4">
        <v>46027</v>
      </c>
      <c r="F3001" s="4">
        <v>46793</v>
      </c>
      <c r="G3001" t="s">
        <v>101</v>
      </c>
      <c r="H3001" t="s">
        <v>1663</v>
      </c>
      <c r="K3001" t="s">
        <v>98</v>
      </c>
      <c r="L3001" t="s">
        <v>5172</v>
      </c>
      <c r="M3001" t="s">
        <v>84</v>
      </c>
      <c r="N3001" t="s">
        <v>3122</v>
      </c>
      <c r="O3001" t="s">
        <v>32</v>
      </c>
      <c r="P3001" t="s">
        <v>6186</v>
      </c>
      <c r="Q3001">
        <v>200</v>
      </c>
      <c r="R3001">
        <v>200</v>
      </c>
      <c r="S3001" t="s">
        <v>34</v>
      </c>
      <c r="T3001" t="s">
        <v>35</v>
      </c>
      <c r="W3001">
        <v>0</v>
      </c>
      <c r="X3001">
        <v>0</v>
      </c>
      <c r="Y3001">
        <v>0</v>
      </c>
      <c r="Z3001">
        <v>0</v>
      </c>
    </row>
    <row r="3002" spans="1:26" hidden="1" x14ac:dyDescent="0.25">
      <c r="A3002" t="s">
        <v>6187</v>
      </c>
      <c r="B3002" t="s">
        <v>38</v>
      </c>
      <c r="C3002" s="4">
        <v>45713</v>
      </c>
      <c r="D3002" s="4">
        <v>45975</v>
      </c>
      <c r="F3002" s="4">
        <v>47635</v>
      </c>
      <c r="G3002" t="s">
        <v>72</v>
      </c>
      <c r="H3002" t="s">
        <v>2201</v>
      </c>
      <c r="K3002" t="s">
        <v>209</v>
      </c>
      <c r="L3002" t="s">
        <v>5172</v>
      </c>
      <c r="M3002" t="s">
        <v>42</v>
      </c>
      <c r="N3002" t="s">
        <v>3122</v>
      </c>
      <c r="O3002" t="s">
        <v>32</v>
      </c>
      <c r="P3002" t="s">
        <v>6089</v>
      </c>
      <c r="Q3002">
        <v>450</v>
      </c>
      <c r="R3002">
        <v>450</v>
      </c>
      <c r="S3002" t="s">
        <v>34</v>
      </c>
      <c r="T3002" t="s">
        <v>35</v>
      </c>
      <c r="W3002">
        <v>0</v>
      </c>
      <c r="X3002">
        <v>0</v>
      </c>
      <c r="Y3002">
        <v>0</v>
      </c>
      <c r="Z3002">
        <v>0</v>
      </c>
    </row>
    <row r="3003" spans="1:26" hidden="1" x14ac:dyDescent="0.25">
      <c r="A3003" t="s">
        <v>6188</v>
      </c>
      <c r="B3003" t="s">
        <v>2153</v>
      </c>
      <c r="C3003" s="4">
        <v>45761</v>
      </c>
      <c r="F3003" s="4">
        <v>47485</v>
      </c>
      <c r="G3003" t="s">
        <v>691</v>
      </c>
      <c r="H3003" t="s">
        <v>1336</v>
      </c>
      <c r="K3003" t="s">
        <v>98</v>
      </c>
      <c r="L3003" t="s">
        <v>5172</v>
      </c>
      <c r="M3003" t="s">
        <v>84</v>
      </c>
      <c r="N3003" t="s">
        <v>3122</v>
      </c>
      <c r="O3003" t="s">
        <v>32</v>
      </c>
      <c r="P3003" t="s">
        <v>3624</v>
      </c>
      <c r="Q3003">
        <v>1540</v>
      </c>
      <c r="R3003">
        <v>1540</v>
      </c>
      <c r="S3003" t="s">
        <v>389</v>
      </c>
      <c r="T3003" t="s">
        <v>390</v>
      </c>
      <c r="W3003">
        <v>1540</v>
      </c>
      <c r="X3003">
        <v>1540</v>
      </c>
      <c r="Y3003">
        <v>0</v>
      </c>
      <c r="Z3003">
        <v>0</v>
      </c>
    </row>
    <row r="3004" spans="1:26" hidden="1" x14ac:dyDescent="0.25">
      <c r="A3004" t="s">
        <v>6189</v>
      </c>
      <c r="B3004" t="s">
        <v>2153</v>
      </c>
      <c r="C3004" s="4">
        <v>45776</v>
      </c>
      <c r="F3004" s="4">
        <v>47511</v>
      </c>
      <c r="G3004" t="s">
        <v>132</v>
      </c>
      <c r="H3004" t="s">
        <v>2878</v>
      </c>
      <c r="K3004" t="s">
        <v>83</v>
      </c>
      <c r="L3004" t="s">
        <v>5172</v>
      </c>
      <c r="M3004" t="s">
        <v>84</v>
      </c>
      <c r="N3004" t="s">
        <v>3122</v>
      </c>
      <c r="O3004" t="s">
        <v>32</v>
      </c>
      <c r="P3004" t="s">
        <v>6112</v>
      </c>
      <c r="Q3004">
        <v>343</v>
      </c>
      <c r="R3004">
        <v>343</v>
      </c>
      <c r="S3004" t="s">
        <v>34</v>
      </c>
      <c r="T3004" t="s">
        <v>35</v>
      </c>
      <c r="W3004">
        <v>343</v>
      </c>
      <c r="X3004">
        <v>343</v>
      </c>
      <c r="Y3004">
        <v>0</v>
      </c>
      <c r="Z3004">
        <v>0</v>
      </c>
    </row>
    <row r="3005" spans="1:26" hidden="1" x14ac:dyDescent="0.25">
      <c r="A3005" t="s">
        <v>6190</v>
      </c>
      <c r="B3005" t="s">
        <v>2153</v>
      </c>
      <c r="C3005" s="4">
        <v>45776</v>
      </c>
      <c r="F3005" s="4">
        <v>47514</v>
      </c>
      <c r="G3005" t="s">
        <v>1251</v>
      </c>
      <c r="H3005" t="s">
        <v>1258</v>
      </c>
      <c r="K3005" t="s">
        <v>109</v>
      </c>
      <c r="L3005" t="s">
        <v>5172</v>
      </c>
      <c r="M3005" t="s">
        <v>84</v>
      </c>
      <c r="N3005" t="s">
        <v>3122</v>
      </c>
      <c r="O3005" t="s">
        <v>32</v>
      </c>
      <c r="P3005" t="s">
        <v>6191</v>
      </c>
      <c r="Q3005">
        <v>245</v>
      </c>
      <c r="R3005">
        <v>245</v>
      </c>
      <c r="S3005" t="s">
        <v>34</v>
      </c>
      <c r="T3005" t="s">
        <v>35</v>
      </c>
      <c r="W3005">
        <v>245</v>
      </c>
      <c r="X3005">
        <v>245</v>
      </c>
      <c r="Y3005">
        <v>0</v>
      </c>
      <c r="Z3005">
        <v>0</v>
      </c>
    </row>
    <row r="3006" spans="1:26" hidden="1" x14ac:dyDescent="0.25">
      <c r="A3006" t="s">
        <v>6192</v>
      </c>
      <c r="B3006" t="s">
        <v>2153</v>
      </c>
      <c r="C3006" s="4">
        <v>45777</v>
      </c>
      <c r="F3006" s="4">
        <v>47756</v>
      </c>
      <c r="G3006" t="s">
        <v>132</v>
      </c>
      <c r="H3006" t="s">
        <v>1762</v>
      </c>
      <c r="K3006" t="s">
        <v>83</v>
      </c>
      <c r="L3006" t="s">
        <v>5172</v>
      </c>
      <c r="M3006" t="s">
        <v>84</v>
      </c>
      <c r="N3006" t="s">
        <v>3122</v>
      </c>
      <c r="O3006" t="s">
        <v>32</v>
      </c>
      <c r="P3006" t="s">
        <v>3009</v>
      </c>
      <c r="Q3006">
        <v>200</v>
      </c>
      <c r="R3006">
        <v>200</v>
      </c>
      <c r="S3006" t="s">
        <v>159</v>
      </c>
      <c r="T3006" t="s">
        <v>159</v>
      </c>
      <c r="W3006">
        <v>200</v>
      </c>
      <c r="X3006">
        <v>200</v>
      </c>
      <c r="Y3006">
        <v>0</v>
      </c>
      <c r="Z3006">
        <v>0</v>
      </c>
    </row>
    <row r="3007" spans="1:26" hidden="1" x14ac:dyDescent="0.25">
      <c r="A3007" t="s">
        <v>6193</v>
      </c>
      <c r="B3007" t="s">
        <v>2153</v>
      </c>
      <c r="C3007" s="4">
        <v>45777</v>
      </c>
      <c r="F3007" s="4">
        <v>47756</v>
      </c>
      <c r="G3007" t="s">
        <v>132</v>
      </c>
      <c r="H3007" t="s">
        <v>1762</v>
      </c>
      <c r="K3007" t="s">
        <v>83</v>
      </c>
      <c r="L3007" t="s">
        <v>5172</v>
      </c>
      <c r="M3007" t="s">
        <v>84</v>
      </c>
      <c r="N3007" t="s">
        <v>3122</v>
      </c>
      <c r="O3007" t="s">
        <v>32</v>
      </c>
      <c r="P3007" t="s">
        <v>6194</v>
      </c>
      <c r="Q3007">
        <v>200</v>
      </c>
      <c r="R3007">
        <v>200</v>
      </c>
      <c r="S3007" t="s">
        <v>34</v>
      </c>
      <c r="T3007" t="s">
        <v>35</v>
      </c>
      <c r="W3007">
        <v>200</v>
      </c>
      <c r="X3007">
        <v>200</v>
      </c>
      <c r="Y3007">
        <v>0</v>
      </c>
      <c r="Z3007">
        <v>0</v>
      </c>
    </row>
    <row r="3008" spans="1:26" hidden="1" x14ac:dyDescent="0.25">
      <c r="A3008" t="s">
        <v>6195</v>
      </c>
      <c r="B3008" t="s">
        <v>38</v>
      </c>
      <c r="C3008" s="4">
        <v>45780</v>
      </c>
      <c r="D3008" s="4">
        <v>46029</v>
      </c>
      <c r="F3008" s="4">
        <v>48518</v>
      </c>
      <c r="G3008" t="s">
        <v>117</v>
      </c>
      <c r="H3008" t="s">
        <v>3028</v>
      </c>
      <c r="K3008" t="s">
        <v>83</v>
      </c>
      <c r="L3008" t="s">
        <v>5172</v>
      </c>
      <c r="M3008" t="s">
        <v>84</v>
      </c>
      <c r="N3008" t="s">
        <v>3122</v>
      </c>
      <c r="O3008" t="s">
        <v>32</v>
      </c>
      <c r="P3008" t="s">
        <v>1345</v>
      </c>
      <c r="Q3008">
        <v>392</v>
      </c>
      <c r="R3008">
        <v>392</v>
      </c>
      <c r="S3008" t="s">
        <v>34</v>
      </c>
      <c r="T3008" t="s">
        <v>35</v>
      </c>
      <c r="W3008">
        <v>0</v>
      </c>
      <c r="X3008">
        <v>0</v>
      </c>
      <c r="Y3008">
        <v>0</v>
      </c>
      <c r="Z3008">
        <v>0</v>
      </c>
    </row>
    <row r="3009" spans="1:26" hidden="1" x14ac:dyDescent="0.25">
      <c r="A3009" t="s">
        <v>6196</v>
      </c>
      <c r="B3009" t="s">
        <v>2153</v>
      </c>
      <c r="C3009" s="4">
        <v>45778</v>
      </c>
      <c r="F3009" s="4">
        <v>46812</v>
      </c>
      <c r="G3009" t="s">
        <v>138</v>
      </c>
      <c r="H3009" t="s">
        <v>1805</v>
      </c>
      <c r="K3009" t="s">
        <v>98</v>
      </c>
      <c r="L3009" t="s">
        <v>5172</v>
      </c>
      <c r="M3009" t="s">
        <v>84</v>
      </c>
      <c r="N3009" t="s">
        <v>3122</v>
      </c>
      <c r="O3009" t="s">
        <v>32</v>
      </c>
      <c r="P3009" t="s">
        <v>5079</v>
      </c>
      <c r="Q3009">
        <v>500</v>
      </c>
      <c r="R3009">
        <v>500</v>
      </c>
      <c r="S3009" t="s">
        <v>389</v>
      </c>
      <c r="T3009" t="s">
        <v>390</v>
      </c>
      <c r="W3009">
        <v>500</v>
      </c>
      <c r="X3009">
        <v>500</v>
      </c>
      <c r="Y3009">
        <v>0</v>
      </c>
      <c r="Z3009">
        <v>0</v>
      </c>
    </row>
    <row r="3010" spans="1:26" hidden="1" x14ac:dyDescent="0.25">
      <c r="A3010" t="s">
        <v>6197</v>
      </c>
      <c r="B3010" t="s">
        <v>2153</v>
      </c>
      <c r="C3010" s="4">
        <v>45784</v>
      </c>
      <c r="F3010" s="4">
        <v>47728</v>
      </c>
      <c r="G3010" t="s">
        <v>1368</v>
      </c>
      <c r="H3010" t="s">
        <v>6198</v>
      </c>
      <c r="K3010" t="s">
        <v>209</v>
      </c>
      <c r="L3010" t="s">
        <v>5172</v>
      </c>
      <c r="M3010" t="s">
        <v>42</v>
      </c>
      <c r="N3010" t="s">
        <v>3122</v>
      </c>
      <c r="O3010" t="s">
        <v>122</v>
      </c>
      <c r="P3010" t="s">
        <v>6199</v>
      </c>
      <c r="Q3010">
        <v>289.8</v>
      </c>
      <c r="R3010">
        <v>289.8</v>
      </c>
      <c r="S3010" t="s">
        <v>56</v>
      </c>
      <c r="T3010" t="s">
        <v>57</v>
      </c>
      <c r="W3010">
        <v>289.8</v>
      </c>
      <c r="X3010">
        <v>289.8</v>
      </c>
      <c r="Y3010">
        <v>0</v>
      </c>
      <c r="Z3010">
        <v>0</v>
      </c>
    </row>
    <row r="3011" spans="1:26" hidden="1" x14ac:dyDescent="0.25">
      <c r="A3011" t="s">
        <v>6200</v>
      </c>
      <c r="B3011" t="s">
        <v>2153</v>
      </c>
      <c r="C3011" s="4">
        <v>45792</v>
      </c>
      <c r="F3011" s="4">
        <v>46692</v>
      </c>
      <c r="G3011" t="s">
        <v>132</v>
      </c>
      <c r="H3011" t="s">
        <v>3028</v>
      </c>
      <c r="K3011" t="s">
        <v>83</v>
      </c>
      <c r="L3011" t="s">
        <v>5172</v>
      </c>
      <c r="M3011" t="s">
        <v>84</v>
      </c>
      <c r="N3011" t="s">
        <v>3122</v>
      </c>
      <c r="O3011" t="s">
        <v>32</v>
      </c>
      <c r="P3011" t="s">
        <v>4495</v>
      </c>
      <c r="Q3011">
        <v>150</v>
      </c>
      <c r="R3011">
        <v>150</v>
      </c>
      <c r="S3011" t="s">
        <v>56</v>
      </c>
      <c r="T3011" t="s">
        <v>57</v>
      </c>
      <c r="W3011">
        <v>150</v>
      </c>
      <c r="X3011">
        <v>150</v>
      </c>
      <c r="Y3011">
        <v>0</v>
      </c>
      <c r="Z3011">
        <v>0</v>
      </c>
    </row>
    <row r="3012" spans="1:26" hidden="1" x14ac:dyDescent="0.25">
      <c r="A3012" t="s">
        <v>6201</v>
      </c>
      <c r="B3012" t="s">
        <v>38</v>
      </c>
      <c r="C3012" s="4">
        <v>45779</v>
      </c>
      <c r="D3012" s="4">
        <v>46027</v>
      </c>
      <c r="F3012" s="4">
        <v>46600</v>
      </c>
      <c r="G3012" t="s">
        <v>101</v>
      </c>
      <c r="H3012" t="s">
        <v>1800</v>
      </c>
      <c r="K3012" t="s">
        <v>98</v>
      </c>
      <c r="L3012" t="s">
        <v>5172</v>
      </c>
      <c r="M3012" t="s">
        <v>84</v>
      </c>
      <c r="N3012" t="s">
        <v>3122</v>
      </c>
      <c r="O3012" t="s">
        <v>32</v>
      </c>
      <c r="P3012" t="s">
        <v>6202</v>
      </c>
      <c r="Q3012">
        <v>150</v>
      </c>
      <c r="R3012">
        <v>150</v>
      </c>
      <c r="S3012" t="s">
        <v>34</v>
      </c>
      <c r="T3012" t="s">
        <v>35</v>
      </c>
      <c r="W3012">
        <v>0</v>
      </c>
      <c r="X3012">
        <v>0</v>
      </c>
      <c r="Y3012">
        <v>0</v>
      </c>
      <c r="Z3012">
        <v>0</v>
      </c>
    </row>
    <row r="3013" spans="1:26" hidden="1" x14ac:dyDescent="0.25">
      <c r="A3013" t="s">
        <v>6203</v>
      </c>
      <c r="B3013" t="s">
        <v>2153</v>
      </c>
      <c r="C3013" s="4">
        <v>45772</v>
      </c>
      <c r="F3013" s="4">
        <v>47725</v>
      </c>
      <c r="G3013" t="s">
        <v>1499</v>
      </c>
      <c r="H3013" t="s">
        <v>1500</v>
      </c>
      <c r="K3013" t="s">
        <v>41</v>
      </c>
      <c r="L3013" t="s">
        <v>5172</v>
      </c>
      <c r="M3013" t="s">
        <v>42</v>
      </c>
      <c r="N3013" t="s">
        <v>3122</v>
      </c>
      <c r="O3013" t="s">
        <v>32</v>
      </c>
      <c r="P3013" t="s">
        <v>6204</v>
      </c>
      <c r="Q3013">
        <v>80</v>
      </c>
      <c r="R3013">
        <v>80</v>
      </c>
      <c r="S3013" t="s">
        <v>34</v>
      </c>
      <c r="T3013" t="s">
        <v>35</v>
      </c>
      <c r="W3013">
        <v>80</v>
      </c>
      <c r="X3013">
        <v>80</v>
      </c>
      <c r="Y3013">
        <v>0</v>
      </c>
      <c r="Z3013">
        <v>0</v>
      </c>
    </row>
    <row r="3014" spans="1:26" hidden="1" x14ac:dyDescent="0.25">
      <c r="A3014" t="s">
        <v>6205</v>
      </c>
      <c r="B3014" t="s">
        <v>2153</v>
      </c>
      <c r="C3014" s="4">
        <v>45777</v>
      </c>
      <c r="F3014" s="4">
        <v>46660</v>
      </c>
      <c r="G3014" t="s">
        <v>117</v>
      </c>
      <c r="H3014" t="s">
        <v>2145</v>
      </c>
      <c r="K3014" t="s">
        <v>83</v>
      </c>
      <c r="L3014" t="s">
        <v>5172</v>
      </c>
      <c r="M3014" t="s">
        <v>84</v>
      </c>
      <c r="N3014" t="s">
        <v>3122</v>
      </c>
      <c r="O3014" t="s">
        <v>32</v>
      </c>
      <c r="P3014" t="s">
        <v>6206</v>
      </c>
      <c r="Q3014">
        <v>21</v>
      </c>
      <c r="R3014">
        <v>21</v>
      </c>
      <c r="S3014" t="s">
        <v>5900</v>
      </c>
      <c r="T3014" t="s">
        <v>5900</v>
      </c>
      <c r="W3014">
        <v>21</v>
      </c>
      <c r="X3014">
        <v>21</v>
      </c>
      <c r="Y3014">
        <v>0</v>
      </c>
      <c r="Z3014">
        <v>0</v>
      </c>
    </row>
    <row r="3015" spans="1:26" hidden="1" x14ac:dyDescent="0.25">
      <c r="A3015" t="s">
        <v>6207</v>
      </c>
      <c r="B3015" t="s">
        <v>38</v>
      </c>
      <c r="C3015" s="4">
        <v>45792</v>
      </c>
      <c r="D3015" s="4">
        <v>46127</v>
      </c>
      <c r="F3015" s="4">
        <v>47331</v>
      </c>
      <c r="G3015" t="s">
        <v>65</v>
      </c>
      <c r="H3015" t="s">
        <v>6208</v>
      </c>
      <c r="K3015" t="s">
        <v>67</v>
      </c>
      <c r="L3015" t="s">
        <v>5172</v>
      </c>
      <c r="M3015" t="s">
        <v>68</v>
      </c>
      <c r="N3015" t="s">
        <v>3122</v>
      </c>
      <c r="O3015" t="s">
        <v>32</v>
      </c>
      <c r="P3015" t="s">
        <v>6209</v>
      </c>
      <c r="Q3015">
        <v>200</v>
      </c>
      <c r="R3015">
        <v>200</v>
      </c>
      <c r="S3015" t="s">
        <v>597</v>
      </c>
      <c r="T3015" t="s">
        <v>598</v>
      </c>
      <c r="W3015">
        <v>0</v>
      </c>
      <c r="X3015">
        <v>0</v>
      </c>
      <c r="Y3015">
        <v>0</v>
      </c>
      <c r="Z3015">
        <v>0</v>
      </c>
    </row>
    <row r="3016" spans="1:26" hidden="1" x14ac:dyDescent="0.25">
      <c r="A3016" t="s">
        <v>6210</v>
      </c>
      <c r="B3016" t="s">
        <v>38</v>
      </c>
      <c r="C3016" s="4">
        <v>45792</v>
      </c>
      <c r="D3016" s="4">
        <v>46127</v>
      </c>
      <c r="F3016" s="4">
        <v>47365</v>
      </c>
      <c r="G3016" t="s">
        <v>65</v>
      </c>
      <c r="H3016" t="s">
        <v>2526</v>
      </c>
      <c r="K3016" t="s">
        <v>67</v>
      </c>
      <c r="L3016" t="s">
        <v>5172</v>
      </c>
      <c r="M3016" t="s">
        <v>68</v>
      </c>
      <c r="N3016" t="s">
        <v>3122</v>
      </c>
      <c r="O3016" t="s">
        <v>32</v>
      </c>
      <c r="P3016" t="s">
        <v>5303</v>
      </c>
      <c r="Q3016">
        <v>300</v>
      </c>
      <c r="R3016">
        <v>300</v>
      </c>
      <c r="S3016" t="s">
        <v>597</v>
      </c>
      <c r="T3016" t="s">
        <v>598</v>
      </c>
      <c r="W3016">
        <v>0</v>
      </c>
      <c r="X3016">
        <v>0</v>
      </c>
      <c r="Y3016">
        <v>0</v>
      </c>
      <c r="Z3016">
        <v>0</v>
      </c>
    </row>
    <row r="3017" spans="1:26" hidden="1" x14ac:dyDescent="0.25">
      <c r="A3017" t="s">
        <v>6211</v>
      </c>
      <c r="B3017" t="s">
        <v>2232</v>
      </c>
      <c r="C3017" s="4">
        <v>45798</v>
      </c>
      <c r="F3017" s="4">
        <v>47604</v>
      </c>
      <c r="G3017" t="s">
        <v>1278</v>
      </c>
      <c r="H3017" t="s">
        <v>1999</v>
      </c>
      <c r="K3017" t="s">
        <v>28</v>
      </c>
      <c r="L3017" t="s">
        <v>5172</v>
      </c>
      <c r="M3017" t="s">
        <v>30</v>
      </c>
      <c r="N3017" t="s">
        <v>3122</v>
      </c>
      <c r="O3017" t="s">
        <v>32</v>
      </c>
      <c r="P3017" t="s">
        <v>6212</v>
      </c>
      <c r="Q3017">
        <v>650</v>
      </c>
      <c r="R3017">
        <v>650</v>
      </c>
      <c r="S3017" t="s">
        <v>389</v>
      </c>
      <c r="T3017" t="s">
        <v>584</v>
      </c>
      <c r="W3017">
        <v>650</v>
      </c>
      <c r="X3017">
        <v>650</v>
      </c>
      <c r="Y3017">
        <v>0</v>
      </c>
      <c r="Z3017">
        <v>0</v>
      </c>
    </row>
    <row r="3018" spans="1:26" hidden="1" x14ac:dyDescent="0.25">
      <c r="A3018" t="s">
        <v>6213</v>
      </c>
      <c r="B3018" t="s">
        <v>38</v>
      </c>
      <c r="C3018" s="4">
        <v>45786</v>
      </c>
      <c r="D3018" s="4">
        <v>46024</v>
      </c>
      <c r="F3018" s="4">
        <v>47604</v>
      </c>
      <c r="G3018" t="s">
        <v>117</v>
      </c>
      <c r="H3018" t="s">
        <v>3260</v>
      </c>
      <c r="K3018" t="s">
        <v>83</v>
      </c>
      <c r="L3018" t="s">
        <v>5172</v>
      </c>
      <c r="M3018" t="s">
        <v>84</v>
      </c>
      <c r="N3018" t="s">
        <v>3122</v>
      </c>
      <c r="O3018" t="s">
        <v>32</v>
      </c>
      <c r="P3018" t="s">
        <v>5397</v>
      </c>
      <c r="Q3018">
        <v>136</v>
      </c>
      <c r="R3018">
        <v>136</v>
      </c>
      <c r="S3018" t="s">
        <v>34</v>
      </c>
      <c r="T3018" t="s">
        <v>35</v>
      </c>
      <c r="W3018">
        <v>0</v>
      </c>
      <c r="X3018">
        <v>0</v>
      </c>
      <c r="Y3018">
        <v>0</v>
      </c>
      <c r="Z3018">
        <v>0</v>
      </c>
    </row>
    <row r="3019" spans="1:26" hidden="1" x14ac:dyDescent="0.25">
      <c r="A3019" t="s">
        <v>6214</v>
      </c>
      <c r="B3019" t="s">
        <v>2153</v>
      </c>
      <c r="C3019" s="4">
        <v>45797</v>
      </c>
      <c r="F3019" s="4">
        <v>47482</v>
      </c>
      <c r="G3019" t="s">
        <v>907</v>
      </c>
      <c r="H3019" t="s">
        <v>3441</v>
      </c>
      <c r="K3019" t="s">
        <v>53</v>
      </c>
      <c r="L3019" t="s">
        <v>6052</v>
      </c>
      <c r="M3019" t="s">
        <v>54</v>
      </c>
      <c r="O3019" t="s">
        <v>32</v>
      </c>
      <c r="P3019" t="s">
        <v>6215</v>
      </c>
      <c r="Q3019">
        <v>300</v>
      </c>
      <c r="R3019">
        <v>300</v>
      </c>
      <c r="S3019" t="s">
        <v>159</v>
      </c>
      <c r="T3019" t="s">
        <v>159</v>
      </c>
      <c r="W3019">
        <v>0</v>
      </c>
      <c r="X3019">
        <v>0</v>
      </c>
      <c r="Y3019">
        <v>0</v>
      </c>
      <c r="Z3019">
        <v>0</v>
      </c>
    </row>
    <row r="3020" spans="1:26" hidden="1" x14ac:dyDescent="0.25">
      <c r="A3020" t="s">
        <v>6216</v>
      </c>
      <c r="B3020" t="s">
        <v>2153</v>
      </c>
      <c r="C3020" s="4">
        <v>45792</v>
      </c>
      <c r="F3020" s="4">
        <v>47604</v>
      </c>
      <c r="G3020" t="s">
        <v>39</v>
      </c>
      <c r="H3020" t="s">
        <v>6217</v>
      </c>
      <c r="K3020" t="s">
        <v>41</v>
      </c>
      <c r="L3020" t="s">
        <v>5172</v>
      </c>
      <c r="M3020" t="s">
        <v>42</v>
      </c>
      <c r="N3020" t="s">
        <v>3122</v>
      </c>
      <c r="O3020" t="s">
        <v>32</v>
      </c>
      <c r="P3020" t="s">
        <v>6218</v>
      </c>
      <c r="Q3020">
        <v>299</v>
      </c>
      <c r="R3020">
        <v>299</v>
      </c>
      <c r="S3020" t="s">
        <v>34</v>
      </c>
      <c r="T3020" t="s">
        <v>35</v>
      </c>
      <c r="W3020">
        <v>250</v>
      </c>
      <c r="X3020">
        <v>250</v>
      </c>
      <c r="Y3020">
        <v>0</v>
      </c>
      <c r="Z3020">
        <v>0</v>
      </c>
    </row>
    <row r="3021" spans="1:26" hidden="1" x14ac:dyDescent="0.25">
      <c r="A3021" t="s">
        <v>6219</v>
      </c>
      <c r="B3021" t="s">
        <v>2153</v>
      </c>
      <c r="C3021" s="4">
        <v>45779</v>
      </c>
      <c r="F3021" s="4">
        <v>47270</v>
      </c>
      <c r="G3021" t="s">
        <v>117</v>
      </c>
      <c r="H3021" t="s">
        <v>4619</v>
      </c>
      <c r="K3021" t="s">
        <v>83</v>
      </c>
      <c r="L3021" t="s">
        <v>5172</v>
      </c>
      <c r="M3021" t="s">
        <v>84</v>
      </c>
      <c r="N3021" t="s">
        <v>3122</v>
      </c>
      <c r="O3021" t="s">
        <v>32</v>
      </c>
      <c r="P3021" t="s">
        <v>1345</v>
      </c>
      <c r="Q3021">
        <v>250</v>
      </c>
      <c r="R3021">
        <v>250</v>
      </c>
      <c r="S3021" t="s">
        <v>56</v>
      </c>
      <c r="T3021" t="s">
        <v>57</v>
      </c>
      <c r="W3021">
        <v>250</v>
      </c>
      <c r="X3021">
        <v>250</v>
      </c>
      <c r="Y3021">
        <v>0</v>
      </c>
      <c r="Z3021">
        <v>0</v>
      </c>
    </row>
    <row r="3022" spans="1:26" hidden="1" x14ac:dyDescent="0.25">
      <c r="A3022" t="s">
        <v>6220</v>
      </c>
      <c r="B3022" t="s">
        <v>2153</v>
      </c>
      <c r="C3022" s="4">
        <v>45784</v>
      </c>
      <c r="F3022" s="4">
        <v>47665</v>
      </c>
      <c r="G3022" t="s">
        <v>52</v>
      </c>
      <c r="H3022" t="s">
        <v>1530</v>
      </c>
      <c r="K3022" t="s">
        <v>53</v>
      </c>
      <c r="L3022" t="s">
        <v>6052</v>
      </c>
      <c r="M3022" t="s">
        <v>54</v>
      </c>
      <c r="O3022" t="s">
        <v>32</v>
      </c>
      <c r="P3022" t="s">
        <v>2673</v>
      </c>
      <c r="Q3022">
        <v>200</v>
      </c>
      <c r="R3022">
        <v>200</v>
      </c>
      <c r="S3022" t="s">
        <v>159</v>
      </c>
      <c r="T3022" t="s">
        <v>159</v>
      </c>
      <c r="W3022">
        <v>0</v>
      </c>
      <c r="X3022">
        <v>0</v>
      </c>
      <c r="Y3022">
        <v>0</v>
      </c>
      <c r="Z3022">
        <v>0</v>
      </c>
    </row>
    <row r="3023" spans="1:26" hidden="1" x14ac:dyDescent="0.25">
      <c r="A3023" t="s">
        <v>6221</v>
      </c>
      <c r="B3023" t="s">
        <v>38</v>
      </c>
      <c r="C3023" s="4">
        <v>45789</v>
      </c>
      <c r="D3023" s="4">
        <v>45911</v>
      </c>
      <c r="F3023" s="4">
        <v>47604</v>
      </c>
      <c r="G3023" t="s">
        <v>1278</v>
      </c>
      <c r="H3023" t="s">
        <v>2007</v>
      </c>
      <c r="K3023" t="s">
        <v>28</v>
      </c>
      <c r="L3023" t="s">
        <v>5172</v>
      </c>
      <c r="M3023" t="s">
        <v>30</v>
      </c>
      <c r="N3023" t="s">
        <v>3122</v>
      </c>
      <c r="O3023" t="s">
        <v>32</v>
      </c>
      <c r="P3023" t="s">
        <v>5077</v>
      </c>
      <c r="Q3023">
        <v>481</v>
      </c>
      <c r="R3023">
        <v>481</v>
      </c>
      <c r="S3023" t="s">
        <v>389</v>
      </c>
      <c r="T3023" t="s">
        <v>584</v>
      </c>
      <c r="W3023">
        <v>0</v>
      </c>
      <c r="X3023">
        <v>0</v>
      </c>
      <c r="Y3023">
        <v>0</v>
      </c>
      <c r="Z3023">
        <v>0</v>
      </c>
    </row>
    <row r="3024" spans="1:26" hidden="1" x14ac:dyDescent="0.25">
      <c r="A3024" t="s">
        <v>6222</v>
      </c>
      <c r="B3024" t="s">
        <v>2153</v>
      </c>
      <c r="C3024" s="4">
        <v>45804</v>
      </c>
      <c r="F3024" s="4">
        <v>47118</v>
      </c>
      <c r="G3024" t="s">
        <v>1257</v>
      </c>
      <c r="H3024" t="s">
        <v>1805</v>
      </c>
      <c r="K3024" t="s">
        <v>98</v>
      </c>
      <c r="L3024" t="s">
        <v>6052</v>
      </c>
      <c r="M3024" t="s">
        <v>84</v>
      </c>
      <c r="O3024" t="s">
        <v>32</v>
      </c>
      <c r="P3024" t="s">
        <v>5079</v>
      </c>
      <c r="Q3024">
        <v>470</v>
      </c>
      <c r="R3024">
        <v>470</v>
      </c>
      <c r="S3024" t="s">
        <v>389</v>
      </c>
      <c r="T3024" t="s">
        <v>584</v>
      </c>
      <c r="W3024">
        <v>0</v>
      </c>
      <c r="X3024">
        <v>0</v>
      </c>
      <c r="Y3024">
        <v>0</v>
      </c>
      <c r="Z3024">
        <v>0</v>
      </c>
    </row>
    <row r="3025" spans="1:26" hidden="1" x14ac:dyDescent="0.25">
      <c r="A3025" t="s">
        <v>6223</v>
      </c>
      <c r="B3025" t="s">
        <v>38</v>
      </c>
      <c r="C3025" s="4">
        <v>45799</v>
      </c>
      <c r="D3025" s="4">
        <v>46027</v>
      </c>
      <c r="F3025" s="4">
        <v>47485</v>
      </c>
      <c r="G3025" t="s">
        <v>144</v>
      </c>
      <c r="H3025" t="s">
        <v>1571</v>
      </c>
      <c r="K3025" t="s">
        <v>146</v>
      </c>
      <c r="L3025" t="s">
        <v>5172</v>
      </c>
      <c r="M3025" t="s">
        <v>68</v>
      </c>
      <c r="N3025" t="s">
        <v>3122</v>
      </c>
      <c r="O3025" t="s">
        <v>32</v>
      </c>
      <c r="P3025" t="s">
        <v>6224</v>
      </c>
      <c r="Q3025">
        <v>1509</v>
      </c>
      <c r="R3025">
        <v>1509</v>
      </c>
      <c r="S3025" t="s">
        <v>389</v>
      </c>
      <c r="T3025" t="s">
        <v>390</v>
      </c>
      <c r="W3025">
        <v>0</v>
      </c>
      <c r="X3025">
        <v>0</v>
      </c>
      <c r="Y3025">
        <v>0</v>
      </c>
      <c r="Z3025">
        <v>0</v>
      </c>
    </row>
    <row r="3026" spans="1:26" hidden="1" x14ac:dyDescent="0.25">
      <c r="A3026" t="s">
        <v>6225</v>
      </c>
      <c r="B3026" t="s">
        <v>38</v>
      </c>
      <c r="C3026" s="4">
        <v>45691</v>
      </c>
      <c r="D3026" s="4">
        <v>46126</v>
      </c>
      <c r="F3026" s="4">
        <v>47270</v>
      </c>
      <c r="G3026" t="s">
        <v>101</v>
      </c>
      <c r="H3026" t="s">
        <v>1542</v>
      </c>
      <c r="K3026" t="s">
        <v>98</v>
      </c>
      <c r="L3026" t="s">
        <v>5172</v>
      </c>
      <c r="M3026" t="s">
        <v>84</v>
      </c>
      <c r="N3026" t="s">
        <v>3122</v>
      </c>
      <c r="O3026" t="s">
        <v>32</v>
      </c>
      <c r="P3026" t="s">
        <v>5525</v>
      </c>
      <c r="Q3026">
        <v>185</v>
      </c>
      <c r="R3026">
        <v>185</v>
      </c>
      <c r="S3026" t="s">
        <v>34</v>
      </c>
      <c r="T3026" t="s">
        <v>35</v>
      </c>
      <c r="W3026">
        <v>0</v>
      </c>
      <c r="X3026">
        <v>0</v>
      </c>
      <c r="Y3026">
        <v>0</v>
      </c>
      <c r="Z3026">
        <v>0</v>
      </c>
    </row>
    <row r="3027" spans="1:26" hidden="1" x14ac:dyDescent="0.25">
      <c r="A3027" t="s">
        <v>6226</v>
      </c>
      <c r="B3027" t="s">
        <v>2153</v>
      </c>
      <c r="C3027" s="4">
        <v>45782</v>
      </c>
      <c r="F3027" s="4">
        <v>47756</v>
      </c>
      <c r="G3027" t="s">
        <v>907</v>
      </c>
      <c r="H3027" t="s">
        <v>1421</v>
      </c>
      <c r="K3027" t="s">
        <v>53</v>
      </c>
      <c r="L3027" t="s">
        <v>6052</v>
      </c>
      <c r="M3027" t="s">
        <v>54</v>
      </c>
      <c r="O3027" t="s">
        <v>32</v>
      </c>
      <c r="P3027" t="s">
        <v>1345</v>
      </c>
      <c r="Q3027">
        <v>1499</v>
      </c>
      <c r="R3027">
        <v>1499</v>
      </c>
      <c r="S3027" t="s">
        <v>389</v>
      </c>
      <c r="T3027" t="s">
        <v>390</v>
      </c>
      <c r="W3027">
        <v>0</v>
      </c>
      <c r="X3027">
        <v>0</v>
      </c>
      <c r="Y3027">
        <v>0</v>
      </c>
      <c r="Z3027">
        <v>0</v>
      </c>
    </row>
    <row r="3028" spans="1:26" hidden="1" x14ac:dyDescent="0.25">
      <c r="A3028" t="s">
        <v>6227</v>
      </c>
      <c r="B3028" t="s">
        <v>2153</v>
      </c>
      <c r="C3028" s="4">
        <v>45782</v>
      </c>
      <c r="F3028" s="4">
        <v>47756</v>
      </c>
      <c r="G3028" t="s">
        <v>907</v>
      </c>
      <c r="H3028" t="s">
        <v>1421</v>
      </c>
      <c r="K3028" t="s">
        <v>53</v>
      </c>
      <c r="L3028" t="s">
        <v>6052</v>
      </c>
      <c r="M3028" t="s">
        <v>54</v>
      </c>
      <c r="O3028" t="s">
        <v>32</v>
      </c>
      <c r="P3028" t="s">
        <v>1345</v>
      </c>
      <c r="Q3028">
        <v>1499</v>
      </c>
      <c r="R3028">
        <v>1499</v>
      </c>
      <c r="S3028" t="s">
        <v>389</v>
      </c>
      <c r="T3028" t="s">
        <v>390</v>
      </c>
      <c r="W3028">
        <v>0</v>
      </c>
      <c r="X3028">
        <v>0</v>
      </c>
      <c r="Y3028">
        <v>0</v>
      </c>
      <c r="Z3028">
        <v>0</v>
      </c>
    </row>
    <row r="3029" spans="1:26" hidden="1" x14ac:dyDescent="0.25">
      <c r="A3029" t="s">
        <v>6228</v>
      </c>
      <c r="B3029" t="s">
        <v>2153</v>
      </c>
      <c r="C3029" s="4">
        <v>45798</v>
      </c>
      <c r="F3029" s="4">
        <v>47119</v>
      </c>
      <c r="G3029" t="s">
        <v>907</v>
      </c>
      <c r="H3029" t="s">
        <v>1488</v>
      </c>
      <c r="K3029" t="s">
        <v>53</v>
      </c>
      <c r="L3029" t="s">
        <v>6052</v>
      </c>
      <c r="M3029" t="s">
        <v>54</v>
      </c>
      <c r="O3029" t="s">
        <v>32</v>
      </c>
      <c r="P3029" t="s">
        <v>5617</v>
      </c>
      <c r="Q3029">
        <v>250</v>
      </c>
      <c r="R3029">
        <v>250</v>
      </c>
      <c r="S3029" t="s">
        <v>159</v>
      </c>
      <c r="T3029" t="s">
        <v>159</v>
      </c>
      <c r="W3029">
        <v>0</v>
      </c>
      <c r="X3029">
        <v>0</v>
      </c>
      <c r="Y3029">
        <v>0</v>
      </c>
      <c r="Z3029">
        <v>0</v>
      </c>
    </row>
    <row r="3030" spans="1:26" hidden="1" x14ac:dyDescent="0.25">
      <c r="A3030" t="s">
        <v>6229</v>
      </c>
      <c r="B3030" t="s">
        <v>38</v>
      </c>
      <c r="C3030" s="4">
        <v>45805</v>
      </c>
      <c r="D3030" s="4">
        <v>46029</v>
      </c>
      <c r="F3030" s="4">
        <v>47574</v>
      </c>
      <c r="G3030" t="s">
        <v>65</v>
      </c>
      <c r="H3030" t="s">
        <v>1542</v>
      </c>
      <c r="K3030" t="s">
        <v>67</v>
      </c>
      <c r="L3030" t="s">
        <v>5172</v>
      </c>
      <c r="M3030" t="s">
        <v>68</v>
      </c>
      <c r="N3030" t="s">
        <v>3122</v>
      </c>
      <c r="O3030" t="s">
        <v>32</v>
      </c>
      <c r="P3030" t="s">
        <v>6230</v>
      </c>
      <c r="Q3030">
        <v>250</v>
      </c>
      <c r="R3030">
        <v>250</v>
      </c>
      <c r="S3030" t="s">
        <v>56</v>
      </c>
      <c r="T3030" t="s">
        <v>57</v>
      </c>
      <c r="W3030">
        <v>0</v>
      </c>
      <c r="X3030">
        <v>0</v>
      </c>
      <c r="Y3030">
        <v>0</v>
      </c>
      <c r="Z3030">
        <v>0</v>
      </c>
    </row>
    <row r="3031" spans="1:26" hidden="1" x14ac:dyDescent="0.25">
      <c r="A3031" t="s">
        <v>6231</v>
      </c>
      <c r="B3031" t="s">
        <v>2153</v>
      </c>
      <c r="C3031" s="4">
        <v>45778</v>
      </c>
      <c r="F3031" s="4">
        <v>46508</v>
      </c>
      <c r="G3031" t="s">
        <v>1278</v>
      </c>
      <c r="H3031" t="s">
        <v>1916</v>
      </c>
      <c r="K3031" t="s">
        <v>28</v>
      </c>
      <c r="L3031" t="s">
        <v>5172</v>
      </c>
      <c r="M3031" t="s">
        <v>30</v>
      </c>
      <c r="N3031" t="s">
        <v>3122</v>
      </c>
      <c r="O3031" t="s">
        <v>32</v>
      </c>
      <c r="P3031" t="s">
        <v>6232</v>
      </c>
      <c r="Q3031">
        <v>324</v>
      </c>
      <c r="R3031">
        <v>324</v>
      </c>
      <c r="S3031" t="s">
        <v>389</v>
      </c>
      <c r="T3031" t="s">
        <v>584</v>
      </c>
      <c r="W3031">
        <v>324</v>
      </c>
      <c r="X3031">
        <v>163</v>
      </c>
      <c r="Y3031">
        <v>0</v>
      </c>
      <c r="Z3031">
        <v>0</v>
      </c>
    </row>
    <row r="3032" spans="1:26" hidden="1" x14ac:dyDescent="0.25">
      <c r="A3032" t="s">
        <v>6233</v>
      </c>
      <c r="B3032" t="s">
        <v>2153</v>
      </c>
      <c r="C3032" s="4">
        <v>45811</v>
      </c>
      <c r="F3032" s="4">
        <v>45900</v>
      </c>
      <c r="G3032" t="s">
        <v>3846</v>
      </c>
      <c r="H3032" t="s">
        <v>1327</v>
      </c>
      <c r="K3032" t="s">
        <v>67</v>
      </c>
      <c r="L3032" t="s">
        <v>5172</v>
      </c>
      <c r="M3032" t="s">
        <v>68</v>
      </c>
      <c r="N3032" t="s">
        <v>3122</v>
      </c>
      <c r="O3032" t="s">
        <v>32</v>
      </c>
      <c r="P3032" t="s">
        <v>6234</v>
      </c>
      <c r="Q3032">
        <v>85</v>
      </c>
      <c r="R3032">
        <v>85</v>
      </c>
      <c r="S3032" t="s">
        <v>597</v>
      </c>
      <c r="T3032" t="s">
        <v>598</v>
      </c>
      <c r="W3032">
        <v>85</v>
      </c>
      <c r="X3032">
        <v>85</v>
      </c>
      <c r="Y3032">
        <v>0</v>
      </c>
      <c r="Z3032">
        <v>0</v>
      </c>
    </row>
    <row r="3033" spans="1:26" hidden="1" x14ac:dyDescent="0.25">
      <c r="A3033" t="s">
        <v>6235</v>
      </c>
      <c r="B3033" t="s">
        <v>38</v>
      </c>
      <c r="C3033" s="4">
        <v>45806</v>
      </c>
      <c r="D3033" s="4">
        <v>46127</v>
      </c>
      <c r="F3033" s="4">
        <v>47392</v>
      </c>
      <c r="G3033" t="s">
        <v>65</v>
      </c>
      <c r="H3033" t="s">
        <v>3363</v>
      </c>
      <c r="K3033" t="s">
        <v>67</v>
      </c>
      <c r="L3033" t="s">
        <v>5172</v>
      </c>
      <c r="M3033" t="s">
        <v>68</v>
      </c>
      <c r="N3033" t="s">
        <v>3122</v>
      </c>
      <c r="O3033" t="s">
        <v>32</v>
      </c>
      <c r="P3033" t="s">
        <v>6236</v>
      </c>
      <c r="Q3033">
        <v>200</v>
      </c>
      <c r="R3033">
        <v>200</v>
      </c>
      <c r="S3033" t="s">
        <v>159</v>
      </c>
      <c r="T3033" t="s">
        <v>159</v>
      </c>
      <c r="W3033">
        <v>0</v>
      </c>
      <c r="X3033">
        <v>0</v>
      </c>
      <c r="Y3033">
        <v>0</v>
      </c>
      <c r="Z3033">
        <v>0</v>
      </c>
    </row>
    <row r="3034" spans="1:26" hidden="1" x14ac:dyDescent="0.25">
      <c r="A3034" t="s">
        <v>6237</v>
      </c>
      <c r="B3034" t="s">
        <v>2153</v>
      </c>
      <c r="C3034" s="4">
        <v>45789</v>
      </c>
      <c r="F3034" s="4">
        <v>47514</v>
      </c>
      <c r="G3034" t="s">
        <v>132</v>
      </c>
      <c r="H3034" t="s">
        <v>2878</v>
      </c>
      <c r="K3034" t="s">
        <v>83</v>
      </c>
      <c r="L3034" t="s">
        <v>5172</v>
      </c>
      <c r="M3034" t="s">
        <v>84</v>
      </c>
      <c r="N3034" t="s">
        <v>3122</v>
      </c>
      <c r="O3034" t="s">
        <v>32</v>
      </c>
      <c r="P3034" t="s">
        <v>6112</v>
      </c>
      <c r="Q3034">
        <v>245</v>
      </c>
      <c r="R3034">
        <v>245</v>
      </c>
      <c r="S3034" t="s">
        <v>34</v>
      </c>
      <c r="T3034" t="s">
        <v>35</v>
      </c>
      <c r="W3034">
        <v>245</v>
      </c>
      <c r="X3034">
        <v>245</v>
      </c>
      <c r="Y3034">
        <v>0</v>
      </c>
      <c r="Z3034">
        <v>0</v>
      </c>
    </row>
    <row r="3035" spans="1:26" hidden="1" x14ac:dyDescent="0.25">
      <c r="A3035" t="s">
        <v>6238</v>
      </c>
      <c r="B3035" t="s">
        <v>38</v>
      </c>
      <c r="C3035" s="4">
        <v>45807</v>
      </c>
      <c r="D3035" s="4">
        <v>46017</v>
      </c>
      <c r="F3035" s="4">
        <v>47818</v>
      </c>
      <c r="G3035" t="s">
        <v>39</v>
      </c>
      <c r="H3035" t="s">
        <v>2477</v>
      </c>
      <c r="K3035" t="s">
        <v>62</v>
      </c>
      <c r="L3035" t="s">
        <v>5172</v>
      </c>
      <c r="M3035" t="s">
        <v>42</v>
      </c>
      <c r="N3035" t="s">
        <v>3122</v>
      </c>
      <c r="O3035" t="s">
        <v>32</v>
      </c>
      <c r="P3035" t="s">
        <v>6239</v>
      </c>
      <c r="Q3035">
        <v>442</v>
      </c>
      <c r="R3035">
        <v>442</v>
      </c>
      <c r="S3035" t="s">
        <v>389</v>
      </c>
      <c r="T3035" t="s">
        <v>584</v>
      </c>
      <c r="W3035">
        <v>0</v>
      </c>
      <c r="X3035">
        <v>0</v>
      </c>
      <c r="Y3035">
        <v>0</v>
      </c>
      <c r="Z3035">
        <v>0</v>
      </c>
    </row>
    <row r="3036" spans="1:26" hidden="1" x14ac:dyDescent="0.25">
      <c r="A3036" t="s">
        <v>6240</v>
      </c>
      <c r="B3036" t="s">
        <v>38</v>
      </c>
      <c r="C3036" s="4">
        <v>45821</v>
      </c>
      <c r="D3036" s="4">
        <v>46013</v>
      </c>
      <c r="F3036" s="4">
        <v>47513</v>
      </c>
      <c r="G3036" t="s">
        <v>117</v>
      </c>
      <c r="H3036" t="s">
        <v>3392</v>
      </c>
      <c r="K3036" t="s">
        <v>83</v>
      </c>
      <c r="L3036" t="s">
        <v>6052</v>
      </c>
      <c r="M3036" t="s">
        <v>84</v>
      </c>
      <c r="O3036" t="s">
        <v>32</v>
      </c>
      <c r="P3036" t="s">
        <v>6138</v>
      </c>
      <c r="Q3036">
        <v>156.80000000000001</v>
      </c>
      <c r="R3036">
        <v>156.80000000000001</v>
      </c>
      <c r="S3036" t="s">
        <v>34</v>
      </c>
      <c r="T3036" t="s">
        <v>35</v>
      </c>
      <c r="W3036">
        <v>0</v>
      </c>
      <c r="X3036">
        <v>0</v>
      </c>
      <c r="Y3036">
        <v>0</v>
      </c>
      <c r="Z3036">
        <v>0</v>
      </c>
    </row>
    <row r="3037" spans="1:26" hidden="1" x14ac:dyDescent="0.25">
      <c r="A3037" t="s">
        <v>6241</v>
      </c>
      <c r="B3037" t="s">
        <v>2153</v>
      </c>
      <c r="C3037" s="4">
        <v>45821</v>
      </c>
      <c r="F3037" s="4">
        <v>47635</v>
      </c>
      <c r="G3037" t="s">
        <v>691</v>
      </c>
      <c r="H3037" t="s">
        <v>1873</v>
      </c>
      <c r="K3037" t="s">
        <v>98</v>
      </c>
      <c r="L3037" t="s">
        <v>6052</v>
      </c>
      <c r="M3037" t="s">
        <v>84</v>
      </c>
      <c r="O3037" t="s">
        <v>32</v>
      </c>
      <c r="P3037" t="s">
        <v>6242</v>
      </c>
      <c r="Q3037">
        <v>70</v>
      </c>
      <c r="R3037">
        <v>70</v>
      </c>
      <c r="S3037" t="s">
        <v>34</v>
      </c>
      <c r="T3037" t="s">
        <v>35</v>
      </c>
      <c r="W3037">
        <v>0</v>
      </c>
      <c r="X3037">
        <v>0</v>
      </c>
      <c r="Y3037">
        <v>0</v>
      </c>
      <c r="Z3037">
        <v>0</v>
      </c>
    </row>
    <row r="3038" spans="1:26" hidden="1" x14ac:dyDescent="0.25">
      <c r="A3038" t="s">
        <v>6243</v>
      </c>
      <c r="B3038" t="s">
        <v>38</v>
      </c>
      <c r="C3038" s="4">
        <v>45817</v>
      </c>
      <c r="D3038" s="4">
        <v>46027</v>
      </c>
      <c r="F3038" s="4">
        <v>47362</v>
      </c>
      <c r="G3038" t="s">
        <v>65</v>
      </c>
      <c r="H3038" t="s">
        <v>1676</v>
      </c>
      <c r="K3038" t="s">
        <v>67</v>
      </c>
      <c r="L3038" t="s">
        <v>5172</v>
      </c>
      <c r="M3038" t="s">
        <v>68</v>
      </c>
      <c r="N3038" t="s">
        <v>3122</v>
      </c>
      <c r="O3038" t="s">
        <v>32</v>
      </c>
      <c r="P3038" t="s">
        <v>5657</v>
      </c>
      <c r="Q3038">
        <v>113</v>
      </c>
      <c r="R3038">
        <v>113</v>
      </c>
      <c r="S3038" t="s">
        <v>34</v>
      </c>
      <c r="T3038" t="s">
        <v>35</v>
      </c>
      <c r="W3038">
        <v>0</v>
      </c>
      <c r="X3038">
        <v>0</v>
      </c>
      <c r="Y3038">
        <v>0</v>
      </c>
      <c r="Z3038">
        <v>0</v>
      </c>
    </row>
    <row r="3039" spans="1:26" hidden="1" x14ac:dyDescent="0.25">
      <c r="A3039" t="s">
        <v>6244</v>
      </c>
      <c r="B3039" t="s">
        <v>38</v>
      </c>
      <c r="C3039" s="4">
        <v>45839</v>
      </c>
      <c r="D3039" s="4">
        <v>46022</v>
      </c>
      <c r="F3039" s="4">
        <v>47367</v>
      </c>
      <c r="G3039" t="s">
        <v>65</v>
      </c>
      <c r="H3039" t="s">
        <v>1879</v>
      </c>
      <c r="K3039" t="s">
        <v>67</v>
      </c>
      <c r="L3039" t="s">
        <v>5172</v>
      </c>
      <c r="M3039" t="s">
        <v>68</v>
      </c>
      <c r="N3039" t="s">
        <v>3122</v>
      </c>
      <c r="O3039" t="s">
        <v>32</v>
      </c>
      <c r="P3039" t="s">
        <v>6245</v>
      </c>
      <c r="Q3039">
        <v>160</v>
      </c>
      <c r="R3039">
        <v>160</v>
      </c>
      <c r="S3039" t="s">
        <v>34</v>
      </c>
      <c r="T3039" t="s">
        <v>35</v>
      </c>
      <c r="W3039">
        <v>0</v>
      </c>
      <c r="X3039">
        <v>0</v>
      </c>
      <c r="Y3039">
        <v>0</v>
      </c>
      <c r="Z3039">
        <v>0</v>
      </c>
    </row>
    <row r="3040" spans="1:26" hidden="1" x14ac:dyDescent="0.25">
      <c r="A3040" t="s">
        <v>6246</v>
      </c>
      <c r="B3040" t="s">
        <v>38</v>
      </c>
      <c r="C3040" s="4">
        <v>45838</v>
      </c>
      <c r="D3040" s="4">
        <v>46127</v>
      </c>
      <c r="F3040" s="4">
        <v>47757</v>
      </c>
      <c r="G3040" t="s">
        <v>1381</v>
      </c>
      <c r="H3040" t="s">
        <v>1424</v>
      </c>
      <c r="K3040" t="s">
        <v>209</v>
      </c>
      <c r="L3040" t="s">
        <v>5172</v>
      </c>
      <c r="M3040" t="s">
        <v>42</v>
      </c>
      <c r="N3040" t="s">
        <v>3122</v>
      </c>
      <c r="O3040" t="s">
        <v>32</v>
      </c>
      <c r="P3040" t="s">
        <v>6247</v>
      </c>
      <c r="Q3040">
        <v>100</v>
      </c>
      <c r="R3040">
        <v>100</v>
      </c>
      <c r="S3040" t="s">
        <v>34</v>
      </c>
      <c r="T3040" t="s">
        <v>35</v>
      </c>
      <c r="W3040">
        <v>0</v>
      </c>
      <c r="X3040">
        <v>0</v>
      </c>
      <c r="Y3040">
        <v>0</v>
      </c>
      <c r="Z3040">
        <v>0</v>
      </c>
    </row>
    <row r="3041" spans="1:26" hidden="1" x14ac:dyDescent="0.25">
      <c r="A3041" t="s">
        <v>6248</v>
      </c>
      <c r="B3041" t="s">
        <v>2153</v>
      </c>
      <c r="C3041" s="4">
        <v>45826</v>
      </c>
      <c r="F3041" s="4">
        <v>47484</v>
      </c>
      <c r="G3041" t="s">
        <v>1326</v>
      </c>
      <c r="H3041" t="s">
        <v>3330</v>
      </c>
      <c r="K3041" t="s">
        <v>67</v>
      </c>
      <c r="L3041" t="s">
        <v>5172</v>
      </c>
      <c r="M3041" t="s">
        <v>68</v>
      </c>
      <c r="N3041" t="s">
        <v>3122</v>
      </c>
      <c r="O3041" t="s">
        <v>32</v>
      </c>
      <c r="P3041" t="s">
        <v>6249</v>
      </c>
      <c r="Q3041">
        <v>80</v>
      </c>
      <c r="R3041">
        <v>80</v>
      </c>
      <c r="S3041" t="s">
        <v>597</v>
      </c>
      <c r="T3041" t="s">
        <v>598</v>
      </c>
      <c r="W3041">
        <v>80</v>
      </c>
      <c r="X3041">
        <v>80</v>
      </c>
      <c r="Y3041">
        <v>0</v>
      </c>
      <c r="Z3041">
        <v>0</v>
      </c>
    </row>
    <row r="3042" spans="1:26" hidden="1" x14ac:dyDescent="0.25">
      <c r="A3042" t="s">
        <v>6250</v>
      </c>
      <c r="B3042" t="s">
        <v>38</v>
      </c>
      <c r="C3042" s="4">
        <v>45821</v>
      </c>
      <c r="D3042" s="4">
        <v>46225</v>
      </c>
      <c r="F3042" s="4">
        <v>47635</v>
      </c>
      <c r="G3042" t="s">
        <v>101</v>
      </c>
      <c r="H3042" t="s">
        <v>2013</v>
      </c>
      <c r="K3042" t="s">
        <v>98</v>
      </c>
      <c r="L3042" t="s">
        <v>6052</v>
      </c>
      <c r="M3042" t="s">
        <v>84</v>
      </c>
      <c r="O3042" t="s">
        <v>32</v>
      </c>
      <c r="P3042" t="s">
        <v>2405</v>
      </c>
      <c r="Q3042">
        <v>200</v>
      </c>
      <c r="R3042">
        <v>200</v>
      </c>
      <c r="S3042" t="s">
        <v>34</v>
      </c>
      <c r="T3042" t="s">
        <v>35</v>
      </c>
      <c r="W3042">
        <v>0</v>
      </c>
      <c r="X3042">
        <v>0</v>
      </c>
      <c r="Y3042">
        <v>0</v>
      </c>
      <c r="Z3042">
        <v>0</v>
      </c>
    </row>
    <row r="3043" spans="1:26" hidden="1" x14ac:dyDescent="0.25">
      <c r="A3043" t="s">
        <v>6251</v>
      </c>
      <c r="B3043" t="s">
        <v>2153</v>
      </c>
      <c r="C3043" s="4">
        <v>45863</v>
      </c>
      <c r="F3043" s="4">
        <v>47392</v>
      </c>
      <c r="G3043" t="s">
        <v>52</v>
      </c>
      <c r="H3043" t="s">
        <v>2165</v>
      </c>
      <c r="K3043" t="s">
        <v>53</v>
      </c>
      <c r="L3043" t="s">
        <v>6052</v>
      </c>
      <c r="M3043" t="s">
        <v>54</v>
      </c>
      <c r="O3043" t="s">
        <v>32</v>
      </c>
      <c r="P3043" t="s">
        <v>6252</v>
      </c>
      <c r="Q3043">
        <v>735</v>
      </c>
      <c r="R3043">
        <v>735</v>
      </c>
      <c r="S3043" t="s">
        <v>5900</v>
      </c>
      <c r="T3043" t="s">
        <v>5900</v>
      </c>
      <c r="W3043">
        <v>0</v>
      </c>
      <c r="X3043">
        <v>0</v>
      </c>
      <c r="Y3043">
        <v>0</v>
      </c>
      <c r="Z3043">
        <v>0</v>
      </c>
    </row>
    <row r="3044" spans="1:26" hidden="1" x14ac:dyDescent="0.25">
      <c r="A3044" t="s">
        <v>6253</v>
      </c>
      <c r="B3044" t="s">
        <v>2153</v>
      </c>
      <c r="C3044" s="4">
        <v>45820</v>
      </c>
      <c r="F3044" s="4">
        <v>47788</v>
      </c>
      <c r="H3044" t="s">
        <v>2122</v>
      </c>
      <c r="K3044" t="s">
        <v>83</v>
      </c>
      <c r="L3044" t="s">
        <v>6052</v>
      </c>
      <c r="M3044" t="s">
        <v>84</v>
      </c>
      <c r="O3044" t="s">
        <v>32</v>
      </c>
      <c r="P3044" t="s">
        <v>4604</v>
      </c>
      <c r="Q3044">
        <v>220</v>
      </c>
      <c r="R3044">
        <v>220</v>
      </c>
      <c r="S3044" t="s">
        <v>34</v>
      </c>
      <c r="T3044" t="s">
        <v>35</v>
      </c>
      <c r="W3044">
        <v>0</v>
      </c>
      <c r="X3044">
        <v>0</v>
      </c>
      <c r="Y3044">
        <v>0</v>
      </c>
      <c r="Z3044">
        <v>0</v>
      </c>
    </row>
    <row r="3045" spans="1:26" hidden="1" x14ac:dyDescent="0.25">
      <c r="A3045" t="s">
        <v>6254</v>
      </c>
      <c r="B3045" t="s">
        <v>2153</v>
      </c>
      <c r="C3045" s="4">
        <v>45882</v>
      </c>
      <c r="F3045" s="4">
        <v>46844</v>
      </c>
      <c r="G3045" t="s">
        <v>52</v>
      </c>
      <c r="H3045" t="s">
        <v>3615</v>
      </c>
      <c r="K3045" t="s">
        <v>53</v>
      </c>
      <c r="L3045" t="s">
        <v>6052</v>
      </c>
      <c r="M3045" t="s">
        <v>54</v>
      </c>
      <c r="O3045" t="s">
        <v>32</v>
      </c>
      <c r="P3045" t="s">
        <v>6255</v>
      </c>
      <c r="Q3045">
        <v>178</v>
      </c>
      <c r="R3045">
        <v>178</v>
      </c>
      <c r="S3045" t="s">
        <v>34</v>
      </c>
      <c r="T3045" t="s">
        <v>35</v>
      </c>
      <c r="W3045">
        <v>0</v>
      </c>
      <c r="X3045">
        <v>0</v>
      </c>
      <c r="Y3045">
        <v>0</v>
      </c>
      <c r="Z3045">
        <v>0</v>
      </c>
    </row>
    <row r="3046" spans="1:26" hidden="1" x14ac:dyDescent="0.25">
      <c r="A3046" t="s">
        <v>6256</v>
      </c>
      <c r="B3046" t="s">
        <v>2153</v>
      </c>
      <c r="C3046" s="4">
        <v>45882</v>
      </c>
      <c r="F3046" s="4">
        <v>46844</v>
      </c>
      <c r="G3046" t="s">
        <v>52</v>
      </c>
      <c r="H3046" t="s">
        <v>1488</v>
      </c>
      <c r="K3046" t="s">
        <v>53</v>
      </c>
      <c r="L3046" t="s">
        <v>6052</v>
      </c>
      <c r="M3046" t="s">
        <v>54</v>
      </c>
      <c r="O3046" t="s">
        <v>32</v>
      </c>
      <c r="P3046" t="s">
        <v>6257</v>
      </c>
      <c r="Q3046">
        <v>190</v>
      </c>
      <c r="R3046">
        <v>190</v>
      </c>
      <c r="S3046" t="s">
        <v>34</v>
      </c>
      <c r="T3046" t="s">
        <v>35</v>
      </c>
      <c r="W3046">
        <v>0</v>
      </c>
      <c r="X3046">
        <v>0</v>
      </c>
      <c r="Y3046">
        <v>0</v>
      </c>
      <c r="Z3046">
        <v>0</v>
      </c>
    </row>
    <row r="3047" spans="1:26" hidden="1" x14ac:dyDescent="0.25">
      <c r="A3047" t="s">
        <v>6258</v>
      </c>
      <c r="B3047" t="s">
        <v>38</v>
      </c>
      <c r="C3047" s="4">
        <v>45855</v>
      </c>
      <c r="D3047" s="4">
        <v>46128</v>
      </c>
      <c r="F3047" s="4">
        <v>47484</v>
      </c>
      <c r="G3047" t="s">
        <v>1311</v>
      </c>
      <c r="H3047" t="s">
        <v>2251</v>
      </c>
      <c r="K3047" t="s">
        <v>114</v>
      </c>
      <c r="L3047" t="s">
        <v>5172</v>
      </c>
      <c r="M3047" t="s">
        <v>68</v>
      </c>
      <c r="N3047" t="s">
        <v>3122</v>
      </c>
      <c r="O3047" t="s">
        <v>32</v>
      </c>
      <c r="P3047" t="s">
        <v>6259</v>
      </c>
      <c r="Q3047">
        <v>100</v>
      </c>
      <c r="R3047">
        <v>100</v>
      </c>
      <c r="S3047" t="s">
        <v>34</v>
      </c>
      <c r="T3047" t="s">
        <v>35</v>
      </c>
      <c r="W3047">
        <v>0</v>
      </c>
      <c r="X3047">
        <v>0</v>
      </c>
      <c r="Y3047">
        <v>0</v>
      </c>
      <c r="Z3047">
        <v>0</v>
      </c>
    </row>
    <row r="3048" spans="1:26" hidden="1" x14ac:dyDescent="0.25">
      <c r="A3048" t="s">
        <v>6260</v>
      </c>
      <c r="B3048" t="s">
        <v>2153</v>
      </c>
      <c r="C3048" s="4">
        <v>45882</v>
      </c>
      <c r="F3048" s="4">
        <v>46844</v>
      </c>
      <c r="G3048" t="s">
        <v>52</v>
      </c>
      <c r="H3048" t="s">
        <v>3441</v>
      </c>
      <c r="K3048" t="s">
        <v>53</v>
      </c>
      <c r="L3048" t="s">
        <v>6052</v>
      </c>
      <c r="M3048" t="s">
        <v>54</v>
      </c>
      <c r="O3048" t="s">
        <v>32</v>
      </c>
      <c r="P3048" t="s">
        <v>3606</v>
      </c>
      <c r="Q3048">
        <v>160</v>
      </c>
      <c r="R3048">
        <v>160</v>
      </c>
      <c r="S3048" t="s">
        <v>34</v>
      </c>
      <c r="T3048" t="s">
        <v>35</v>
      </c>
      <c r="W3048">
        <v>0</v>
      </c>
      <c r="X3048">
        <v>0</v>
      </c>
      <c r="Y3048">
        <v>0</v>
      </c>
      <c r="Z3048">
        <v>0</v>
      </c>
    </row>
    <row r="3049" spans="1:26" hidden="1" x14ac:dyDescent="0.25">
      <c r="A3049" t="s">
        <v>6261</v>
      </c>
      <c r="B3049" t="s">
        <v>2153</v>
      </c>
      <c r="C3049" s="4">
        <v>45888</v>
      </c>
      <c r="F3049" s="4">
        <v>46844</v>
      </c>
      <c r="G3049" t="s">
        <v>52</v>
      </c>
      <c r="H3049" t="s">
        <v>3583</v>
      </c>
      <c r="K3049" t="s">
        <v>53</v>
      </c>
      <c r="L3049" t="s">
        <v>6052</v>
      </c>
      <c r="M3049" t="s">
        <v>54</v>
      </c>
      <c r="O3049" t="s">
        <v>32</v>
      </c>
      <c r="P3049" t="s">
        <v>6262</v>
      </c>
      <c r="Q3049">
        <v>110</v>
      </c>
      <c r="R3049">
        <v>110</v>
      </c>
      <c r="S3049" t="s">
        <v>34</v>
      </c>
      <c r="T3049" t="s">
        <v>35</v>
      </c>
      <c r="W3049">
        <v>0</v>
      </c>
      <c r="X3049">
        <v>0</v>
      </c>
      <c r="Y3049">
        <v>0</v>
      </c>
      <c r="Z3049">
        <v>0</v>
      </c>
    </row>
    <row r="3050" spans="1:26" hidden="1" x14ac:dyDescent="0.25">
      <c r="A3050" t="s">
        <v>6263</v>
      </c>
      <c r="B3050" t="s">
        <v>38</v>
      </c>
      <c r="C3050" s="4">
        <v>45897</v>
      </c>
      <c r="D3050" s="4">
        <v>46129</v>
      </c>
      <c r="F3050" s="4">
        <v>47270</v>
      </c>
      <c r="G3050" t="s">
        <v>144</v>
      </c>
      <c r="H3050" t="s">
        <v>1571</v>
      </c>
      <c r="K3050" t="s">
        <v>146</v>
      </c>
      <c r="L3050" t="s">
        <v>5172</v>
      </c>
      <c r="M3050" t="s">
        <v>68</v>
      </c>
      <c r="N3050" t="s">
        <v>3122</v>
      </c>
      <c r="O3050" t="s">
        <v>32</v>
      </c>
      <c r="P3050" t="s">
        <v>6264</v>
      </c>
      <c r="Q3050">
        <v>75</v>
      </c>
      <c r="R3050">
        <v>75</v>
      </c>
      <c r="S3050" t="s">
        <v>34</v>
      </c>
      <c r="T3050" t="s">
        <v>35</v>
      </c>
      <c r="W3050">
        <v>0</v>
      </c>
      <c r="X3050">
        <v>0</v>
      </c>
      <c r="Y3050">
        <v>0</v>
      </c>
      <c r="Z3050">
        <v>0</v>
      </c>
    </row>
    <row r="3051" spans="1:26" hidden="1" x14ac:dyDescent="0.25">
      <c r="A3051" t="s">
        <v>6265</v>
      </c>
      <c r="B3051" t="s">
        <v>2338</v>
      </c>
      <c r="C3051" s="4">
        <v>45902</v>
      </c>
      <c r="F3051" s="4">
        <v>47635</v>
      </c>
      <c r="G3051" t="s">
        <v>144</v>
      </c>
      <c r="H3051" t="s">
        <v>1744</v>
      </c>
      <c r="K3051" t="s">
        <v>146</v>
      </c>
      <c r="L3051" t="s">
        <v>5172</v>
      </c>
      <c r="M3051" t="s">
        <v>68</v>
      </c>
      <c r="N3051" t="s">
        <v>3122</v>
      </c>
      <c r="O3051" t="s">
        <v>32</v>
      </c>
      <c r="P3051" t="s">
        <v>5063</v>
      </c>
      <c r="Q3051">
        <v>220</v>
      </c>
      <c r="R3051">
        <v>220</v>
      </c>
      <c r="S3051" t="s">
        <v>34</v>
      </c>
      <c r="T3051" t="s">
        <v>35</v>
      </c>
      <c r="W3051">
        <v>220</v>
      </c>
      <c r="X3051">
        <v>0</v>
      </c>
      <c r="Y3051">
        <v>0</v>
      </c>
      <c r="Z3051">
        <v>0</v>
      </c>
    </row>
    <row r="3052" spans="1:26" hidden="1" x14ac:dyDescent="0.25">
      <c r="A3052" t="s">
        <v>6266</v>
      </c>
      <c r="B3052" t="s">
        <v>2338</v>
      </c>
      <c r="C3052" s="4">
        <v>45902</v>
      </c>
      <c r="F3052" s="4">
        <v>47635</v>
      </c>
      <c r="G3052" t="s">
        <v>144</v>
      </c>
      <c r="H3052" t="s">
        <v>1744</v>
      </c>
      <c r="K3052" t="s">
        <v>146</v>
      </c>
      <c r="L3052" t="s">
        <v>5172</v>
      </c>
      <c r="M3052" t="s">
        <v>68</v>
      </c>
      <c r="N3052" t="s">
        <v>3122</v>
      </c>
      <c r="O3052" t="s">
        <v>32</v>
      </c>
      <c r="P3052" t="s">
        <v>5063</v>
      </c>
      <c r="Q3052">
        <v>220</v>
      </c>
      <c r="R3052">
        <v>220</v>
      </c>
      <c r="S3052" t="s">
        <v>34</v>
      </c>
      <c r="T3052" t="s">
        <v>35</v>
      </c>
      <c r="W3052">
        <v>220</v>
      </c>
      <c r="X3052">
        <v>0</v>
      </c>
      <c r="Y3052">
        <v>0</v>
      </c>
      <c r="Z3052">
        <v>0</v>
      </c>
    </row>
    <row r="3053" spans="1:26" hidden="1" x14ac:dyDescent="0.25">
      <c r="A3053" t="s">
        <v>6267</v>
      </c>
      <c r="B3053" t="s">
        <v>38</v>
      </c>
      <c r="C3053" s="4">
        <v>45902</v>
      </c>
      <c r="D3053" s="4">
        <v>46129</v>
      </c>
      <c r="F3053" s="4">
        <v>47635</v>
      </c>
      <c r="G3053" t="s">
        <v>144</v>
      </c>
      <c r="H3053" t="s">
        <v>1744</v>
      </c>
      <c r="K3053" t="s">
        <v>146</v>
      </c>
      <c r="L3053" t="s">
        <v>5172</v>
      </c>
      <c r="M3053" t="s">
        <v>68</v>
      </c>
      <c r="N3053" t="s">
        <v>3122</v>
      </c>
      <c r="O3053" t="s">
        <v>32</v>
      </c>
      <c r="P3053" t="s">
        <v>5063</v>
      </c>
      <c r="Q3053">
        <v>100</v>
      </c>
      <c r="R3053">
        <v>100</v>
      </c>
      <c r="S3053" t="s">
        <v>159</v>
      </c>
      <c r="T3053" t="s">
        <v>159</v>
      </c>
      <c r="W3053">
        <v>0</v>
      </c>
      <c r="X3053">
        <v>0</v>
      </c>
      <c r="Y3053">
        <v>0</v>
      </c>
      <c r="Z3053">
        <v>0</v>
      </c>
    </row>
    <row r="3054" spans="1:26" hidden="1" x14ac:dyDescent="0.25">
      <c r="A3054" t="s">
        <v>6268</v>
      </c>
      <c r="B3054" t="s">
        <v>2153</v>
      </c>
      <c r="C3054" s="4">
        <v>45866</v>
      </c>
      <c r="F3054" s="4">
        <v>46905</v>
      </c>
      <c r="G3054" t="s">
        <v>52</v>
      </c>
      <c r="H3054" t="s">
        <v>1412</v>
      </c>
      <c r="K3054" t="s">
        <v>53</v>
      </c>
      <c r="L3054" t="s">
        <v>6052</v>
      </c>
      <c r="M3054" t="s">
        <v>54</v>
      </c>
      <c r="O3054" t="s">
        <v>32</v>
      </c>
      <c r="P3054" t="s">
        <v>4994</v>
      </c>
      <c r="Q3054">
        <v>200</v>
      </c>
      <c r="R3054">
        <v>200</v>
      </c>
      <c r="S3054" t="s">
        <v>159</v>
      </c>
      <c r="T3054" t="s">
        <v>159</v>
      </c>
      <c r="W3054">
        <v>0</v>
      </c>
      <c r="X3054">
        <v>0</v>
      </c>
      <c r="Y3054">
        <v>0</v>
      </c>
      <c r="Z3054">
        <v>0</v>
      </c>
    </row>
    <row r="3055" spans="1:26" hidden="1" x14ac:dyDescent="0.25">
      <c r="A3055" t="s">
        <v>6269</v>
      </c>
      <c r="B3055" t="s">
        <v>2153</v>
      </c>
      <c r="C3055" s="4">
        <v>45918</v>
      </c>
      <c r="F3055" s="4">
        <v>47786</v>
      </c>
      <c r="G3055" t="s">
        <v>52</v>
      </c>
      <c r="H3055" t="s">
        <v>2351</v>
      </c>
      <c r="K3055" t="s">
        <v>53</v>
      </c>
      <c r="L3055" t="s">
        <v>6052</v>
      </c>
      <c r="M3055" t="s">
        <v>54</v>
      </c>
      <c r="O3055" t="s">
        <v>32</v>
      </c>
      <c r="P3055" t="s">
        <v>6270</v>
      </c>
      <c r="Q3055">
        <v>146</v>
      </c>
      <c r="R3055">
        <v>146</v>
      </c>
      <c r="S3055" t="s">
        <v>56</v>
      </c>
      <c r="T3055" t="s">
        <v>57</v>
      </c>
      <c r="W3055">
        <v>0</v>
      </c>
      <c r="X3055">
        <v>0</v>
      </c>
      <c r="Y3055">
        <v>0</v>
      </c>
      <c r="Z3055">
        <v>0</v>
      </c>
    </row>
    <row r="3056" spans="1:26" hidden="1" x14ac:dyDescent="0.25">
      <c r="A3056" t="s">
        <v>6271</v>
      </c>
      <c r="B3056" t="s">
        <v>2153</v>
      </c>
      <c r="C3056" s="4">
        <v>45898</v>
      </c>
      <c r="F3056" s="4">
        <v>46631</v>
      </c>
      <c r="G3056" t="s">
        <v>907</v>
      </c>
      <c r="H3056" t="s">
        <v>1442</v>
      </c>
      <c r="K3056" t="s">
        <v>53</v>
      </c>
      <c r="L3056" t="s">
        <v>6052</v>
      </c>
      <c r="M3056" t="s">
        <v>54</v>
      </c>
      <c r="O3056" t="s">
        <v>1110</v>
      </c>
      <c r="P3056" t="s">
        <v>4865</v>
      </c>
      <c r="Q3056">
        <v>198</v>
      </c>
      <c r="R3056">
        <v>198</v>
      </c>
      <c r="S3056" t="s">
        <v>56</v>
      </c>
      <c r="T3056" t="s">
        <v>57</v>
      </c>
      <c r="W3056">
        <v>0</v>
      </c>
      <c r="X3056">
        <v>0</v>
      </c>
      <c r="Y3056">
        <v>0</v>
      </c>
      <c r="Z3056">
        <v>0</v>
      </c>
    </row>
    <row r="3057" spans="1:26" hidden="1" x14ac:dyDescent="0.25">
      <c r="A3057" t="s">
        <v>6272</v>
      </c>
      <c r="B3057" t="s">
        <v>2153</v>
      </c>
      <c r="C3057" s="4">
        <v>45896</v>
      </c>
      <c r="F3057" s="4">
        <v>47696</v>
      </c>
      <c r="G3057" t="s">
        <v>6273</v>
      </c>
      <c r="H3057" t="s">
        <v>1500</v>
      </c>
      <c r="K3057" t="s">
        <v>209</v>
      </c>
      <c r="L3057" t="s">
        <v>5172</v>
      </c>
      <c r="M3057" t="s">
        <v>42</v>
      </c>
      <c r="N3057" t="s">
        <v>3122</v>
      </c>
      <c r="O3057" t="s">
        <v>32</v>
      </c>
      <c r="P3057" t="s">
        <v>6274</v>
      </c>
      <c r="Q3057">
        <v>310</v>
      </c>
      <c r="R3057">
        <v>310</v>
      </c>
      <c r="S3057" t="s">
        <v>56</v>
      </c>
      <c r="T3057" t="s">
        <v>57</v>
      </c>
      <c r="W3057">
        <v>310</v>
      </c>
      <c r="X3057">
        <v>310</v>
      </c>
      <c r="Y3057">
        <v>0</v>
      </c>
      <c r="Z3057">
        <v>0</v>
      </c>
    </row>
    <row r="3058" spans="1:26" hidden="1" x14ac:dyDescent="0.25">
      <c r="A3058" t="s">
        <v>6275</v>
      </c>
      <c r="B3058" t="s">
        <v>38</v>
      </c>
      <c r="C3058" s="4">
        <v>45891</v>
      </c>
      <c r="D3058" s="4">
        <v>46127</v>
      </c>
      <c r="F3058" s="4">
        <v>47633</v>
      </c>
      <c r="G3058" t="s">
        <v>39</v>
      </c>
      <c r="H3058" t="s">
        <v>2057</v>
      </c>
      <c r="K3058" t="s">
        <v>41</v>
      </c>
      <c r="L3058" t="s">
        <v>5172</v>
      </c>
      <c r="M3058" t="s">
        <v>42</v>
      </c>
      <c r="N3058" t="s">
        <v>3122</v>
      </c>
      <c r="O3058" t="s">
        <v>32</v>
      </c>
      <c r="P3058" t="s">
        <v>6131</v>
      </c>
      <c r="Q3058">
        <v>127.4</v>
      </c>
      <c r="R3058">
        <v>127.4</v>
      </c>
      <c r="S3058" t="s">
        <v>34</v>
      </c>
      <c r="T3058" t="s">
        <v>35</v>
      </c>
      <c r="W3058">
        <v>0</v>
      </c>
      <c r="X3058">
        <v>0</v>
      </c>
      <c r="Y3058">
        <v>0</v>
      </c>
      <c r="Z3058">
        <v>0</v>
      </c>
    </row>
    <row r="3059" spans="1:26" hidden="1" x14ac:dyDescent="0.25">
      <c r="A3059" t="s">
        <v>6276</v>
      </c>
      <c r="B3059" t="s">
        <v>2153</v>
      </c>
      <c r="C3059" s="4">
        <v>45891</v>
      </c>
      <c r="F3059" s="4">
        <v>46905</v>
      </c>
      <c r="G3059" t="s">
        <v>907</v>
      </c>
      <c r="H3059" t="s">
        <v>1357</v>
      </c>
      <c r="K3059" t="s">
        <v>53</v>
      </c>
      <c r="L3059" t="s">
        <v>6052</v>
      </c>
      <c r="M3059" t="s">
        <v>54</v>
      </c>
      <c r="O3059" t="s">
        <v>32</v>
      </c>
      <c r="P3059" t="s">
        <v>6277</v>
      </c>
      <c r="Q3059">
        <v>250</v>
      </c>
      <c r="R3059">
        <v>250</v>
      </c>
      <c r="S3059" t="s">
        <v>159</v>
      </c>
      <c r="T3059" t="s">
        <v>159</v>
      </c>
      <c r="W3059">
        <v>0</v>
      </c>
      <c r="X3059">
        <v>0</v>
      </c>
      <c r="Y3059">
        <v>0</v>
      </c>
      <c r="Z3059">
        <v>0</v>
      </c>
    </row>
    <row r="3060" spans="1:26" hidden="1" x14ac:dyDescent="0.25">
      <c r="A3060" t="s">
        <v>6278</v>
      </c>
      <c r="B3060" t="s">
        <v>2153</v>
      </c>
      <c r="C3060" s="4">
        <v>45889</v>
      </c>
      <c r="F3060" s="4">
        <v>47818</v>
      </c>
      <c r="G3060" t="s">
        <v>39</v>
      </c>
      <c r="H3060" t="s">
        <v>5457</v>
      </c>
      <c r="K3060" t="s">
        <v>41</v>
      </c>
      <c r="L3060" t="s">
        <v>5172</v>
      </c>
      <c r="M3060" t="s">
        <v>42</v>
      </c>
      <c r="N3060" t="s">
        <v>3122</v>
      </c>
      <c r="O3060" t="s">
        <v>32</v>
      </c>
      <c r="P3060" t="s">
        <v>6091</v>
      </c>
      <c r="Q3060">
        <v>129</v>
      </c>
      <c r="R3060">
        <v>129</v>
      </c>
      <c r="S3060" t="s">
        <v>34</v>
      </c>
      <c r="T3060" t="s">
        <v>35</v>
      </c>
      <c r="W3060">
        <v>129</v>
      </c>
      <c r="X3060">
        <v>129</v>
      </c>
      <c r="Y3060">
        <v>0</v>
      </c>
      <c r="Z3060">
        <v>0</v>
      </c>
    </row>
    <row r="3061" spans="1:26" hidden="1" x14ac:dyDescent="0.25">
      <c r="A3061" t="s">
        <v>6279</v>
      </c>
      <c r="B3061" t="s">
        <v>38</v>
      </c>
      <c r="C3061" s="4">
        <v>45889</v>
      </c>
      <c r="D3061" s="4">
        <v>46024</v>
      </c>
      <c r="F3061" s="4">
        <v>47818</v>
      </c>
      <c r="G3061" t="s">
        <v>39</v>
      </c>
      <c r="H3061" t="s">
        <v>5457</v>
      </c>
      <c r="K3061" t="s">
        <v>41</v>
      </c>
      <c r="L3061" t="s">
        <v>5172</v>
      </c>
      <c r="M3061" t="s">
        <v>42</v>
      </c>
      <c r="N3061" t="s">
        <v>3122</v>
      </c>
      <c r="O3061" t="s">
        <v>32</v>
      </c>
      <c r="P3061" t="s">
        <v>6091</v>
      </c>
      <c r="Q3061">
        <v>129</v>
      </c>
      <c r="R3061">
        <v>129</v>
      </c>
      <c r="S3061" t="s">
        <v>159</v>
      </c>
      <c r="T3061" t="s">
        <v>159</v>
      </c>
      <c r="W3061">
        <v>0</v>
      </c>
      <c r="X3061">
        <v>0</v>
      </c>
      <c r="Y3061">
        <v>0</v>
      </c>
      <c r="Z3061">
        <v>0</v>
      </c>
    </row>
    <row r="3062" spans="1:26" hidden="1" x14ac:dyDescent="0.25">
      <c r="A3062" t="s">
        <v>6280</v>
      </c>
      <c r="B3062" t="s">
        <v>2153</v>
      </c>
      <c r="C3062" s="4">
        <v>45876</v>
      </c>
      <c r="F3062" s="4">
        <v>47058</v>
      </c>
      <c r="G3062" t="s">
        <v>907</v>
      </c>
      <c r="H3062" t="s">
        <v>1488</v>
      </c>
      <c r="K3062" t="s">
        <v>53</v>
      </c>
      <c r="L3062" t="s">
        <v>6052</v>
      </c>
      <c r="M3062" t="s">
        <v>54</v>
      </c>
      <c r="O3062" t="s">
        <v>32</v>
      </c>
      <c r="P3062" t="s">
        <v>6281</v>
      </c>
      <c r="Q3062">
        <v>150</v>
      </c>
      <c r="R3062">
        <v>150</v>
      </c>
      <c r="S3062" t="s">
        <v>34</v>
      </c>
      <c r="T3062" t="s">
        <v>35</v>
      </c>
      <c r="W3062">
        <v>0</v>
      </c>
      <c r="X3062">
        <v>0</v>
      </c>
      <c r="Y3062">
        <v>0</v>
      </c>
      <c r="Z3062">
        <v>0</v>
      </c>
    </row>
    <row r="3063" spans="1:26" hidden="1" x14ac:dyDescent="0.25">
      <c r="A3063" t="s">
        <v>6282</v>
      </c>
      <c r="B3063" t="s">
        <v>38</v>
      </c>
      <c r="C3063" s="4">
        <v>45825</v>
      </c>
      <c r="D3063" s="4">
        <v>46216</v>
      </c>
      <c r="F3063" s="4">
        <v>45789</v>
      </c>
      <c r="G3063" t="s">
        <v>149</v>
      </c>
      <c r="H3063" t="s">
        <v>1279</v>
      </c>
      <c r="K3063" t="s">
        <v>151</v>
      </c>
      <c r="L3063" t="s">
        <v>6283</v>
      </c>
      <c r="M3063" t="s">
        <v>6284</v>
      </c>
      <c r="O3063" t="s">
        <v>122</v>
      </c>
      <c r="P3063" t="s">
        <v>6285</v>
      </c>
      <c r="Q3063">
        <v>0</v>
      </c>
      <c r="R3063">
        <v>0</v>
      </c>
      <c r="S3063" t="s">
        <v>719</v>
      </c>
      <c r="T3063" t="s">
        <v>720</v>
      </c>
      <c r="W3063">
        <v>0</v>
      </c>
      <c r="X3063">
        <v>0</v>
      </c>
      <c r="Y3063">
        <v>0</v>
      </c>
      <c r="Z3063">
        <v>0</v>
      </c>
    </row>
    <row r="3064" spans="1:26" hidden="1" x14ac:dyDescent="0.25">
      <c r="A3064" t="s">
        <v>6286</v>
      </c>
      <c r="B3064" t="s">
        <v>2153</v>
      </c>
      <c r="C3064" s="4">
        <v>45904</v>
      </c>
      <c r="F3064" s="4">
        <v>47696</v>
      </c>
      <c r="G3064" t="s">
        <v>691</v>
      </c>
      <c r="H3064" t="s">
        <v>1387</v>
      </c>
      <c r="K3064" t="s">
        <v>98</v>
      </c>
      <c r="L3064" t="s">
        <v>6052</v>
      </c>
      <c r="M3064" t="s">
        <v>84</v>
      </c>
      <c r="O3064" t="s">
        <v>32</v>
      </c>
      <c r="P3064" t="s">
        <v>3581</v>
      </c>
      <c r="Q3064">
        <v>300</v>
      </c>
      <c r="R3064">
        <v>300</v>
      </c>
      <c r="S3064" t="s">
        <v>56</v>
      </c>
      <c r="T3064" t="s">
        <v>57</v>
      </c>
      <c r="W3064">
        <v>0</v>
      </c>
      <c r="X3064">
        <v>0</v>
      </c>
      <c r="Y3064">
        <v>0</v>
      </c>
      <c r="Z3064">
        <v>0</v>
      </c>
    </row>
    <row r="3065" spans="1:26" hidden="1" x14ac:dyDescent="0.25">
      <c r="A3065" t="s">
        <v>6287</v>
      </c>
      <c r="B3065" t="s">
        <v>38</v>
      </c>
      <c r="C3065" s="4">
        <v>45904</v>
      </c>
      <c r="D3065" s="4">
        <v>46013</v>
      </c>
      <c r="F3065" s="4">
        <v>47757</v>
      </c>
      <c r="G3065" t="s">
        <v>1311</v>
      </c>
      <c r="H3065" t="s">
        <v>2843</v>
      </c>
      <c r="K3065" t="s">
        <v>114</v>
      </c>
      <c r="L3065" t="s">
        <v>5172</v>
      </c>
      <c r="M3065" t="s">
        <v>68</v>
      </c>
      <c r="N3065" t="s">
        <v>3122</v>
      </c>
      <c r="O3065" t="s">
        <v>32</v>
      </c>
      <c r="P3065" t="s">
        <v>6288</v>
      </c>
      <c r="Q3065">
        <v>200</v>
      </c>
      <c r="R3065">
        <v>200</v>
      </c>
      <c r="S3065" t="s">
        <v>56</v>
      </c>
      <c r="T3065" t="s">
        <v>57</v>
      </c>
      <c r="W3065">
        <v>0</v>
      </c>
      <c r="X3065">
        <v>0</v>
      </c>
      <c r="Y3065">
        <v>0</v>
      </c>
      <c r="Z3065">
        <v>0</v>
      </c>
    </row>
    <row r="3066" spans="1:26" hidden="1" x14ac:dyDescent="0.25">
      <c r="A3066" t="s">
        <v>6289</v>
      </c>
      <c r="B3066" t="s">
        <v>2153</v>
      </c>
      <c r="C3066" s="4">
        <v>45922</v>
      </c>
      <c r="F3066" s="4">
        <v>47662</v>
      </c>
      <c r="G3066" t="s">
        <v>173</v>
      </c>
      <c r="H3066" t="s">
        <v>2111</v>
      </c>
      <c r="K3066" t="s">
        <v>41</v>
      </c>
      <c r="L3066" t="s">
        <v>5172</v>
      </c>
      <c r="M3066" t="s">
        <v>42</v>
      </c>
      <c r="N3066" t="s">
        <v>3122</v>
      </c>
      <c r="O3066" t="s">
        <v>32</v>
      </c>
      <c r="P3066" t="s">
        <v>6290</v>
      </c>
      <c r="Q3066">
        <v>200</v>
      </c>
      <c r="R3066">
        <v>200</v>
      </c>
      <c r="S3066" t="s">
        <v>159</v>
      </c>
      <c r="T3066" t="s">
        <v>159</v>
      </c>
      <c r="W3066">
        <v>200</v>
      </c>
      <c r="X3066">
        <v>200</v>
      </c>
      <c r="Y3066">
        <v>0</v>
      </c>
      <c r="Z3066">
        <v>0</v>
      </c>
    </row>
    <row r="3067" spans="1:26" hidden="1" x14ac:dyDescent="0.25">
      <c r="A3067" t="s">
        <v>6291</v>
      </c>
      <c r="B3067" t="s">
        <v>38</v>
      </c>
      <c r="C3067" s="4">
        <v>45924</v>
      </c>
      <c r="D3067" s="4">
        <v>46072</v>
      </c>
      <c r="F3067" s="4">
        <v>47489</v>
      </c>
      <c r="G3067" t="s">
        <v>907</v>
      </c>
      <c r="H3067" t="s">
        <v>1390</v>
      </c>
      <c r="K3067" t="s">
        <v>53</v>
      </c>
      <c r="L3067" t="s">
        <v>6052</v>
      </c>
      <c r="M3067" t="s">
        <v>54</v>
      </c>
      <c r="O3067" t="s">
        <v>122</v>
      </c>
      <c r="P3067" t="s">
        <v>6292</v>
      </c>
      <c r="Q3067">
        <v>250</v>
      </c>
      <c r="R3067">
        <v>250</v>
      </c>
      <c r="S3067" t="s">
        <v>34</v>
      </c>
      <c r="T3067" t="s">
        <v>35</v>
      </c>
      <c r="W3067">
        <v>0</v>
      </c>
      <c r="X3067">
        <v>0</v>
      </c>
      <c r="Y3067">
        <v>0</v>
      </c>
      <c r="Z3067">
        <v>0</v>
      </c>
    </row>
    <row r="3068" spans="1:26" hidden="1" x14ac:dyDescent="0.25">
      <c r="A3068" t="s">
        <v>6293</v>
      </c>
      <c r="B3068" t="s">
        <v>38</v>
      </c>
      <c r="C3068" s="4">
        <v>45925</v>
      </c>
      <c r="D3068" s="4">
        <v>46024</v>
      </c>
      <c r="F3068" s="4">
        <v>47150</v>
      </c>
      <c r="G3068" t="s">
        <v>1311</v>
      </c>
      <c r="H3068" t="s">
        <v>3896</v>
      </c>
      <c r="K3068" t="s">
        <v>114</v>
      </c>
      <c r="L3068" t="s">
        <v>5172</v>
      </c>
      <c r="M3068" t="s">
        <v>68</v>
      </c>
      <c r="N3068" t="s">
        <v>3122</v>
      </c>
      <c r="O3068" t="s">
        <v>32</v>
      </c>
      <c r="P3068" t="s">
        <v>6294</v>
      </c>
      <c r="Q3068">
        <v>180</v>
      </c>
      <c r="R3068">
        <v>180</v>
      </c>
      <c r="S3068" t="s">
        <v>159</v>
      </c>
      <c r="T3068" t="s">
        <v>159</v>
      </c>
      <c r="W3068">
        <v>0</v>
      </c>
      <c r="X3068">
        <v>0</v>
      </c>
      <c r="Y3068">
        <v>0</v>
      </c>
      <c r="Z3068">
        <v>0</v>
      </c>
    </row>
    <row r="3069" spans="1:26" hidden="1" x14ac:dyDescent="0.25">
      <c r="A3069" t="s">
        <v>6295</v>
      </c>
      <c r="B3069" t="s">
        <v>2153</v>
      </c>
      <c r="C3069" s="4">
        <v>45933</v>
      </c>
      <c r="F3069" s="4">
        <v>47696</v>
      </c>
      <c r="G3069" t="s">
        <v>1381</v>
      </c>
      <c r="H3069" t="s">
        <v>1500</v>
      </c>
      <c r="K3069" t="s">
        <v>209</v>
      </c>
      <c r="L3069" t="s">
        <v>5172</v>
      </c>
      <c r="M3069" t="s">
        <v>42</v>
      </c>
      <c r="N3069" t="s">
        <v>3122</v>
      </c>
      <c r="O3069" t="s">
        <v>32</v>
      </c>
      <c r="P3069" t="s">
        <v>6274</v>
      </c>
      <c r="Q3069">
        <v>232</v>
      </c>
      <c r="R3069">
        <v>232</v>
      </c>
      <c r="S3069" t="s">
        <v>56</v>
      </c>
      <c r="T3069" t="s">
        <v>57</v>
      </c>
      <c r="W3069">
        <v>232</v>
      </c>
      <c r="X3069">
        <v>232</v>
      </c>
      <c r="Y3069">
        <v>0</v>
      </c>
      <c r="Z3069">
        <v>0</v>
      </c>
    </row>
    <row r="3070" spans="1:26" hidden="1" x14ac:dyDescent="0.25">
      <c r="A3070" t="s">
        <v>6296</v>
      </c>
      <c r="B3070" t="s">
        <v>2153</v>
      </c>
      <c r="C3070" s="4">
        <v>45933</v>
      </c>
      <c r="F3070" s="4">
        <v>47514</v>
      </c>
      <c r="G3070" t="s">
        <v>1278</v>
      </c>
      <c r="H3070" t="s">
        <v>1308</v>
      </c>
      <c r="K3070" t="s">
        <v>28</v>
      </c>
      <c r="L3070" t="s">
        <v>5172</v>
      </c>
      <c r="M3070" t="s">
        <v>30</v>
      </c>
      <c r="N3070" t="s">
        <v>3122</v>
      </c>
      <c r="O3070" t="s">
        <v>32</v>
      </c>
      <c r="P3070" t="s">
        <v>6297</v>
      </c>
      <c r="Q3070">
        <v>169.93</v>
      </c>
      <c r="R3070">
        <v>169.93</v>
      </c>
      <c r="S3070" t="s">
        <v>34</v>
      </c>
      <c r="T3070" t="s">
        <v>35</v>
      </c>
      <c r="W3070">
        <v>169.93</v>
      </c>
      <c r="X3070">
        <v>169.93</v>
      </c>
      <c r="Y3070">
        <v>0</v>
      </c>
      <c r="Z3070">
        <v>0</v>
      </c>
    </row>
    <row r="3071" spans="1:26" hidden="1" x14ac:dyDescent="0.25">
      <c r="A3071" t="s">
        <v>6298</v>
      </c>
      <c r="B3071" t="s">
        <v>2153</v>
      </c>
      <c r="C3071" s="4">
        <v>45937</v>
      </c>
      <c r="F3071" s="4">
        <v>47662</v>
      </c>
      <c r="G3071" t="s">
        <v>183</v>
      </c>
      <c r="H3071" t="s">
        <v>2642</v>
      </c>
      <c r="K3071" t="s">
        <v>185</v>
      </c>
      <c r="L3071" t="s">
        <v>6052</v>
      </c>
      <c r="M3071" t="s">
        <v>42</v>
      </c>
      <c r="O3071" t="s">
        <v>32</v>
      </c>
      <c r="P3071" t="s">
        <v>6299</v>
      </c>
      <c r="Q3071">
        <v>40</v>
      </c>
      <c r="R3071">
        <v>40</v>
      </c>
      <c r="S3071" t="s">
        <v>34</v>
      </c>
      <c r="T3071" t="s">
        <v>35</v>
      </c>
      <c r="W3071">
        <v>0</v>
      </c>
      <c r="X3071">
        <v>0</v>
      </c>
      <c r="Y3071">
        <v>0</v>
      </c>
      <c r="Z3071">
        <v>0</v>
      </c>
    </row>
    <row r="3072" spans="1:26" hidden="1" x14ac:dyDescent="0.25">
      <c r="A3072" t="s">
        <v>6300</v>
      </c>
      <c r="B3072" t="s">
        <v>38</v>
      </c>
      <c r="C3072" s="4">
        <v>45937</v>
      </c>
      <c r="D3072" s="4">
        <v>46042</v>
      </c>
      <c r="F3072" s="4">
        <v>47664</v>
      </c>
      <c r="G3072" t="s">
        <v>144</v>
      </c>
      <c r="H3072" t="s">
        <v>1396</v>
      </c>
      <c r="K3072" t="s">
        <v>146</v>
      </c>
      <c r="L3072" t="s">
        <v>6052</v>
      </c>
      <c r="M3072" t="s">
        <v>68</v>
      </c>
      <c r="O3072" t="s">
        <v>32</v>
      </c>
      <c r="P3072" t="s">
        <v>6301</v>
      </c>
      <c r="Q3072">
        <v>1500</v>
      </c>
      <c r="R3072">
        <v>1500</v>
      </c>
      <c r="S3072" t="s">
        <v>389</v>
      </c>
      <c r="T3072" t="s">
        <v>390</v>
      </c>
      <c r="W3072">
        <v>0</v>
      </c>
      <c r="X3072">
        <v>0</v>
      </c>
      <c r="Y3072">
        <v>0</v>
      </c>
      <c r="Z3072">
        <v>0</v>
      </c>
    </row>
    <row r="3073" spans="1:26" hidden="1" x14ac:dyDescent="0.25">
      <c r="A3073" t="s">
        <v>6302</v>
      </c>
      <c r="B3073" t="s">
        <v>2153</v>
      </c>
      <c r="C3073" s="4">
        <v>45936</v>
      </c>
      <c r="F3073" s="4">
        <v>47756</v>
      </c>
      <c r="G3073" t="s">
        <v>6303</v>
      </c>
      <c r="H3073" t="s">
        <v>2578</v>
      </c>
      <c r="K3073" t="s">
        <v>41</v>
      </c>
      <c r="L3073" t="s">
        <v>6052</v>
      </c>
      <c r="M3073" t="s">
        <v>42</v>
      </c>
      <c r="O3073" t="s">
        <v>32</v>
      </c>
      <c r="P3073" t="s">
        <v>2579</v>
      </c>
      <c r="Q3073">
        <v>500</v>
      </c>
      <c r="R3073">
        <v>500</v>
      </c>
      <c r="S3073" t="s">
        <v>159</v>
      </c>
      <c r="T3073" t="s">
        <v>159</v>
      </c>
      <c r="W3073">
        <v>0</v>
      </c>
      <c r="X3073">
        <v>0</v>
      </c>
      <c r="Y3073">
        <v>0</v>
      </c>
      <c r="Z3073">
        <v>0</v>
      </c>
    </row>
    <row r="3074" spans="1:26" hidden="1" x14ac:dyDescent="0.25">
      <c r="A3074" t="s">
        <v>6304</v>
      </c>
      <c r="B3074" t="s">
        <v>38</v>
      </c>
      <c r="C3074" s="4">
        <v>45929</v>
      </c>
      <c r="D3074" s="4">
        <v>46127</v>
      </c>
      <c r="F3074" s="4">
        <v>47299</v>
      </c>
      <c r="G3074" t="s">
        <v>1311</v>
      </c>
      <c r="H3074" t="s">
        <v>2389</v>
      </c>
      <c r="K3074" t="s">
        <v>114</v>
      </c>
      <c r="L3074" t="s">
        <v>5172</v>
      </c>
      <c r="M3074" t="s">
        <v>68</v>
      </c>
      <c r="N3074" t="s">
        <v>3122</v>
      </c>
      <c r="O3074" t="s">
        <v>32</v>
      </c>
      <c r="P3074" t="s">
        <v>6305</v>
      </c>
      <c r="Q3074">
        <v>200</v>
      </c>
      <c r="R3074">
        <v>200</v>
      </c>
      <c r="S3074" t="s">
        <v>34</v>
      </c>
      <c r="T3074" t="s">
        <v>35</v>
      </c>
      <c r="W3074">
        <v>0</v>
      </c>
      <c r="X3074">
        <v>0</v>
      </c>
      <c r="Y3074">
        <v>0</v>
      </c>
      <c r="Z3074">
        <v>0</v>
      </c>
    </row>
    <row r="3075" spans="1:26" hidden="1" x14ac:dyDescent="0.25">
      <c r="A3075" t="s">
        <v>6306</v>
      </c>
      <c r="B3075" t="s">
        <v>38</v>
      </c>
      <c r="C3075" s="4">
        <v>45929</v>
      </c>
      <c r="D3075" s="4">
        <v>46127</v>
      </c>
      <c r="F3075" s="4">
        <v>47299</v>
      </c>
      <c r="G3075" t="s">
        <v>65</v>
      </c>
      <c r="H3075" t="s">
        <v>2526</v>
      </c>
      <c r="K3075" t="s">
        <v>67</v>
      </c>
      <c r="L3075" t="s">
        <v>5172</v>
      </c>
      <c r="M3075" t="s">
        <v>68</v>
      </c>
      <c r="N3075" t="s">
        <v>3122</v>
      </c>
      <c r="O3075" t="s">
        <v>32</v>
      </c>
      <c r="P3075" t="s">
        <v>6307</v>
      </c>
      <c r="Q3075">
        <v>300</v>
      </c>
      <c r="R3075">
        <v>300</v>
      </c>
      <c r="S3075" t="s">
        <v>34</v>
      </c>
      <c r="T3075" t="s">
        <v>35</v>
      </c>
      <c r="W3075">
        <v>0</v>
      </c>
      <c r="X3075">
        <v>0</v>
      </c>
      <c r="Y3075">
        <v>0</v>
      </c>
      <c r="Z3075">
        <v>0</v>
      </c>
    </row>
    <row r="3076" spans="1:26" hidden="1" x14ac:dyDescent="0.25">
      <c r="A3076" t="s">
        <v>6308</v>
      </c>
      <c r="B3076" t="s">
        <v>38</v>
      </c>
      <c r="C3076" s="4">
        <v>45936</v>
      </c>
      <c r="D3076" s="4">
        <v>46127</v>
      </c>
      <c r="F3076" s="4">
        <v>47664</v>
      </c>
      <c r="G3076" t="s">
        <v>616</v>
      </c>
      <c r="H3076" t="s">
        <v>1685</v>
      </c>
      <c r="K3076" t="s">
        <v>146</v>
      </c>
      <c r="L3076" t="s">
        <v>5172</v>
      </c>
      <c r="M3076" t="s">
        <v>68</v>
      </c>
      <c r="N3076" t="s">
        <v>3122</v>
      </c>
      <c r="O3076" t="s">
        <v>32</v>
      </c>
      <c r="P3076" t="s">
        <v>5145</v>
      </c>
      <c r="Q3076">
        <v>300</v>
      </c>
      <c r="R3076">
        <v>300</v>
      </c>
      <c r="S3076" t="s">
        <v>159</v>
      </c>
      <c r="T3076" t="s">
        <v>159</v>
      </c>
      <c r="W3076">
        <v>0</v>
      </c>
      <c r="X3076">
        <v>0</v>
      </c>
      <c r="Y3076">
        <v>0</v>
      </c>
      <c r="Z3076">
        <v>0</v>
      </c>
    </row>
    <row r="3077" spans="1:26" hidden="1" x14ac:dyDescent="0.25">
      <c r="A3077" t="s">
        <v>6309</v>
      </c>
      <c r="B3077" t="s">
        <v>38</v>
      </c>
      <c r="C3077" s="4">
        <v>45936</v>
      </c>
      <c r="D3077" s="4">
        <v>46127</v>
      </c>
      <c r="F3077" s="4">
        <v>47664</v>
      </c>
      <c r="G3077" t="s">
        <v>144</v>
      </c>
      <c r="H3077" t="s">
        <v>1744</v>
      </c>
      <c r="K3077" t="s">
        <v>146</v>
      </c>
      <c r="L3077" t="s">
        <v>5172</v>
      </c>
      <c r="M3077" t="s">
        <v>68</v>
      </c>
      <c r="N3077" t="s">
        <v>3122</v>
      </c>
      <c r="O3077" t="s">
        <v>32</v>
      </c>
      <c r="P3077" t="s">
        <v>5063</v>
      </c>
      <c r="Q3077">
        <v>400</v>
      </c>
      <c r="R3077">
        <v>400</v>
      </c>
      <c r="S3077" t="s">
        <v>159</v>
      </c>
      <c r="T3077" t="s">
        <v>159</v>
      </c>
      <c r="W3077">
        <v>0</v>
      </c>
      <c r="X3077">
        <v>0</v>
      </c>
      <c r="Y3077">
        <v>0</v>
      </c>
      <c r="Z3077">
        <v>0</v>
      </c>
    </row>
    <row r="3078" spans="1:26" hidden="1" x14ac:dyDescent="0.25">
      <c r="A3078" t="s">
        <v>6310</v>
      </c>
      <c r="B3078" t="s">
        <v>2153</v>
      </c>
      <c r="C3078" s="4">
        <v>45936</v>
      </c>
      <c r="F3078" s="4">
        <v>47662</v>
      </c>
      <c r="G3078" t="s">
        <v>183</v>
      </c>
      <c r="H3078" t="s">
        <v>2642</v>
      </c>
      <c r="K3078" t="s">
        <v>185</v>
      </c>
      <c r="L3078" t="s">
        <v>6052</v>
      </c>
      <c r="M3078" t="s">
        <v>42</v>
      </c>
      <c r="O3078" t="s">
        <v>32</v>
      </c>
      <c r="P3078" t="s">
        <v>6299</v>
      </c>
      <c r="Q3078">
        <v>45</v>
      </c>
      <c r="R3078">
        <v>45</v>
      </c>
      <c r="S3078" t="s">
        <v>34</v>
      </c>
      <c r="T3078" t="s">
        <v>35</v>
      </c>
      <c r="W3078">
        <v>0</v>
      </c>
      <c r="X3078">
        <v>0</v>
      </c>
      <c r="Y3078">
        <v>0</v>
      </c>
      <c r="Z3078">
        <v>0</v>
      </c>
    </row>
    <row r="3079" spans="1:26" hidden="1" x14ac:dyDescent="0.25">
      <c r="A3079" t="s">
        <v>6311</v>
      </c>
      <c r="B3079" t="s">
        <v>2153</v>
      </c>
      <c r="C3079" s="4">
        <v>45936</v>
      </c>
      <c r="F3079" s="4">
        <v>47662</v>
      </c>
      <c r="G3079" t="s">
        <v>39</v>
      </c>
      <c r="H3079" t="s">
        <v>2057</v>
      </c>
      <c r="K3079" t="s">
        <v>41</v>
      </c>
      <c r="L3079" t="s">
        <v>6052</v>
      </c>
      <c r="M3079" t="s">
        <v>42</v>
      </c>
      <c r="O3079" t="s">
        <v>32</v>
      </c>
      <c r="P3079" t="s">
        <v>5701</v>
      </c>
      <c r="Q3079">
        <v>500</v>
      </c>
      <c r="R3079">
        <v>500</v>
      </c>
      <c r="S3079" t="s">
        <v>159</v>
      </c>
      <c r="T3079" t="s">
        <v>159</v>
      </c>
      <c r="W3079">
        <v>0</v>
      </c>
      <c r="X3079">
        <v>0</v>
      </c>
      <c r="Y3079">
        <v>0</v>
      </c>
      <c r="Z3079">
        <v>0</v>
      </c>
    </row>
    <row r="3080" spans="1:26" hidden="1" x14ac:dyDescent="0.25">
      <c r="A3080" t="s">
        <v>6312</v>
      </c>
      <c r="B3080" t="s">
        <v>2153</v>
      </c>
      <c r="C3080" s="4">
        <v>45937</v>
      </c>
      <c r="F3080" s="4">
        <v>47664</v>
      </c>
      <c r="G3080" t="s">
        <v>1108</v>
      </c>
      <c r="H3080" t="s">
        <v>1405</v>
      </c>
      <c r="K3080" t="s">
        <v>146</v>
      </c>
      <c r="L3080" t="s">
        <v>6052</v>
      </c>
      <c r="M3080" t="s">
        <v>68</v>
      </c>
      <c r="O3080" t="s">
        <v>32</v>
      </c>
      <c r="P3080" t="s">
        <v>6313</v>
      </c>
      <c r="Q3080">
        <v>150</v>
      </c>
      <c r="R3080">
        <v>150</v>
      </c>
      <c r="S3080" t="s">
        <v>159</v>
      </c>
      <c r="T3080" t="s">
        <v>159</v>
      </c>
      <c r="W3080">
        <v>0</v>
      </c>
      <c r="X3080">
        <v>0</v>
      </c>
      <c r="Y3080">
        <v>0</v>
      </c>
      <c r="Z3080">
        <v>0</v>
      </c>
    </row>
    <row r="3081" spans="1:26" hidden="1" x14ac:dyDescent="0.25">
      <c r="A3081" t="s">
        <v>6314</v>
      </c>
      <c r="B3081" t="s">
        <v>38</v>
      </c>
      <c r="C3081" s="4">
        <v>45937</v>
      </c>
      <c r="D3081" s="4">
        <v>46161</v>
      </c>
      <c r="F3081" s="4">
        <v>47664</v>
      </c>
      <c r="G3081" t="s">
        <v>65</v>
      </c>
      <c r="H3081" t="s">
        <v>1279</v>
      </c>
      <c r="K3081" t="s">
        <v>67</v>
      </c>
      <c r="L3081" t="s">
        <v>6052</v>
      </c>
      <c r="M3081" t="s">
        <v>68</v>
      </c>
      <c r="O3081" t="s">
        <v>32</v>
      </c>
      <c r="P3081" t="s">
        <v>2488</v>
      </c>
      <c r="Q3081">
        <v>250</v>
      </c>
      <c r="R3081">
        <v>250</v>
      </c>
      <c r="S3081" t="s">
        <v>34</v>
      </c>
      <c r="T3081" t="s">
        <v>35</v>
      </c>
      <c r="W3081">
        <v>0</v>
      </c>
      <c r="X3081">
        <v>0</v>
      </c>
      <c r="Y3081">
        <v>0</v>
      </c>
      <c r="Z3081">
        <v>0</v>
      </c>
    </row>
    <row r="3082" spans="1:26" hidden="1" x14ac:dyDescent="0.25">
      <c r="A3082" t="s">
        <v>6315</v>
      </c>
      <c r="B3082" t="s">
        <v>2153</v>
      </c>
      <c r="C3082" s="4">
        <v>45937</v>
      </c>
      <c r="F3082" s="4">
        <v>48027</v>
      </c>
      <c r="G3082" t="s">
        <v>177</v>
      </c>
      <c r="H3082" t="s">
        <v>1505</v>
      </c>
      <c r="K3082" t="s">
        <v>62</v>
      </c>
      <c r="L3082" t="s">
        <v>6052</v>
      </c>
      <c r="M3082" t="s">
        <v>42</v>
      </c>
      <c r="O3082" t="s">
        <v>32</v>
      </c>
      <c r="P3082" t="s">
        <v>6316</v>
      </c>
      <c r="Q3082">
        <v>250</v>
      </c>
      <c r="R3082">
        <v>250</v>
      </c>
      <c r="S3082" t="s">
        <v>159</v>
      </c>
      <c r="T3082" t="s">
        <v>159</v>
      </c>
      <c r="W3082">
        <v>0</v>
      </c>
      <c r="X3082">
        <v>0</v>
      </c>
      <c r="Y3082">
        <v>0</v>
      </c>
      <c r="Z3082">
        <v>0</v>
      </c>
    </row>
    <row r="3083" spans="1:26" hidden="1" x14ac:dyDescent="0.25">
      <c r="A3083" t="s">
        <v>6317</v>
      </c>
      <c r="B3083" t="s">
        <v>2153</v>
      </c>
      <c r="C3083" s="4">
        <v>45937</v>
      </c>
      <c r="F3083" s="4">
        <v>47664</v>
      </c>
      <c r="G3083" t="s">
        <v>65</v>
      </c>
      <c r="H3083" t="s">
        <v>1279</v>
      </c>
      <c r="K3083" t="s">
        <v>67</v>
      </c>
      <c r="L3083" t="s">
        <v>6052</v>
      </c>
      <c r="M3083" t="s">
        <v>68</v>
      </c>
      <c r="O3083" t="s">
        <v>32</v>
      </c>
      <c r="P3083" t="s">
        <v>1345</v>
      </c>
      <c r="Q3083">
        <v>500</v>
      </c>
      <c r="R3083">
        <v>500</v>
      </c>
      <c r="S3083" t="s">
        <v>159</v>
      </c>
      <c r="T3083" t="s">
        <v>159</v>
      </c>
      <c r="W3083">
        <v>0</v>
      </c>
      <c r="X3083">
        <v>0</v>
      </c>
      <c r="Y3083">
        <v>0</v>
      </c>
      <c r="Z3083">
        <v>0</v>
      </c>
    </row>
    <row r="3084" spans="1:26" hidden="1" x14ac:dyDescent="0.25">
      <c r="A3084" t="s">
        <v>6318</v>
      </c>
      <c r="B3084" t="s">
        <v>2153</v>
      </c>
      <c r="C3084" s="4">
        <v>45937</v>
      </c>
      <c r="F3084" s="4">
        <v>47664</v>
      </c>
      <c r="G3084" t="s">
        <v>112</v>
      </c>
      <c r="H3084" t="s">
        <v>1813</v>
      </c>
      <c r="K3084" t="s">
        <v>114</v>
      </c>
      <c r="L3084" t="s">
        <v>6052</v>
      </c>
      <c r="M3084" t="s">
        <v>68</v>
      </c>
      <c r="O3084" t="s">
        <v>32</v>
      </c>
      <c r="P3084" t="s">
        <v>5285</v>
      </c>
      <c r="Q3084">
        <v>150</v>
      </c>
      <c r="R3084">
        <v>150</v>
      </c>
      <c r="S3084" t="s">
        <v>159</v>
      </c>
      <c r="T3084" t="s">
        <v>159</v>
      </c>
      <c r="W3084">
        <v>0</v>
      </c>
      <c r="X3084">
        <v>0</v>
      </c>
      <c r="Y3084">
        <v>0</v>
      </c>
      <c r="Z3084">
        <v>0</v>
      </c>
    </row>
    <row r="3085" spans="1:26" hidden="1" x14ac:dyDescent="0.25">
      <c r="A3085" t="s">
        <v>6319</v>
      </c>
      <c r="B3085" t="s">
        <v>2153</v>
      </c>
      <c r="C3085" s="4">
        <v>45827</v>
      </c>
      <c r="F3085" s="4">
        <v>45962</v>
      </c>
      <c r="G3085" t="s">
        <v>149</v>
      </c>
      <c r="H3085" t="s">
        <v>1279</v>
      </c>
      <c r="K3085" t="s">
        <v>151</v>
      </c>
      <c r="L3085" t="s">
        <v>6283</v>
      </c>
      <c r="M3085" t="s">
        <v>6284</v>
      </c>
      <c r="O3085" t="s">
        <v>122</v>
      </c>
      <c r="P3085" t="s">
        <v>6285</v>
      </c>
      <c r="Q3085">
        <v>0</v>
      </c>
      <c r="R3085">
        <v>0</v>
      </c>
      <c r="S3085" t="s">
        <v>719</v>
      </c>
      <c r="T3085" t="s">
        <v>720</v>
      </c>
      <c r="W3085">
        <v>0</v>
      </c>
      <c r="X3085">
        <v>0</v>
      </c>
      <c r="Y3085">
        <v>0</v>
      </c>
      <c r="Z3085">
        <v>0</v>
      </c>
    </row>
    <row r="3086" spans="1:26" hidden="1" x14ac:dyDescent="0.25">
      <c r="A3086" t="s">
        <v>6320</v>
      </c>
      <c r="B3086" t="s">
        <v>2153</v>
      </c>
      <c r="C3086" s="4">
        <v>45937</v>
      </c>
      <c r="F3086" s="4">
        <v>46675</v>
      </c>
      <c r="G3086" t="s">
        <v>1278</v>
      </c>
      <c r="H3086" t="s">
        <v>2087</v>
      </c>
      <c r="K3086" t="s">
        <v>53</v>
      </c>
      <c r="L3086" t="s">
        <v>5172</v>
      </c>
      <c r="M3086" t="s">
        <v>30</v>
      </c>
      <c r="N3086" t="s">
        <v>3122</v>
      </c>
      <c r="O3086" t="s">
        <v>32</v>
      </c>
      <c r="P3086" t="s">
        <v>2088</v>
      </c>
      <c r="Q3086">
        <v>42</v>
      </c>
      <c r="R3086">
        <v>42</v>
      </c>
      <c r="S3086" t="s">
        <v>34</v>
      </c>
      <c r="T3086" t="s">
        <v>35</v>
      </c>
      <c r="W3086">
        <v>42</v>
      </c>
      <c r="X3086">
        <v>42</v>
      </c>
      <c r="Y3086">
        <v>0</v>
      </c>
      <c r="Z3086">
        <v>0</v>
      </c>
    </row>
    <row r="3087" spans="1:26" hidden="1" x14ac:dyDescent="0.25">
      <c r="A3087" t="s">
        <v>6321</v>
      </c>
      <c r="B3087" t="s">
        <v>2153</v>
      </c>
      <c r="C3087" s="4">
        <v>45937</v>
      </c>
      <c r="F3087" s="4">
        <v>47270</v>
      </c>
      <c r="G3087" t="s">
        <v>72</v>
      </c>
      <c r="H3087" t="s">
        <v>5718</v>
      </c>
      <c r="K3087" t="s">
        <v>209</v>
      </c>
      <c r="L3087" t="s">
        <v>6052</v>
      </c>
      <c r="M3087" t="s">
        <v>42</v>
      </c>
      <c r="O3087" t="s">
        <v>32</v>
      </c>
      <c r="P3087" t="s">
        <v>6322</v>
      </c>
      <c r="Q3087">
        <v>120</v>
      </c>
      <c r="R3087">
        <v>120</v>
      </c>
      <c r="S3087" t="s">
        <v>34</v>
      </c>
      <c r="T3087" t="s">
        <v>35</v>
      </c>
      <c r="W3087">
        <v>0</v>
      </c>
      <c r="X3087">
        <v>0</v>
      </c>
      <c r="Y3087">
        <v>0</v>
      </c>
      <c r="Z3087">
        <v>0</v>
      </c>
    </row>
    <row r="3088" spans="1:26" hidden="1" x14ac:dyDescent="0.25">
      <c r="A3088" t="s">
        <v>6323</v>
      </c>
      <c r="B3088" t="s">
        <v>38</v>
      </c>
      <c r="C3088" s="4">
        <v>45937</v>
      </c>
      <c r="D3088" s="4">
        <v>46184</v>
      </c>
      <c r="F3088" s="4">
        <v>47270</v>
      </c>
      <c r="G3088" t="s">
        <v>39</v>
      </c>
      <c r="H3088" t="s">
        <v>6217</v>
      </c>
      <c r="K3088" t="s">
        <v>41</v>
      </c>
      <c r="L3088" t="s">
        <v>6052</v>
      </c>
      <c r="M3088" t="s">
        <v>42</v>
      </c>
      <c r="O3088" t="s">
        <v>32</v>
      </c>
      <c r="P3088" t="s">
        <v>6324</v>
      </c>
      <c r="Q3088">
        <v>183</v>
      </c>
      <c r="R3088">
        <v>183</v>
      </c>
      <c r="S3088" t="s">
        <v>159</v>
      </c>
      <c r="T3088" t="s">
        <v>159</v>
      </c>
      <c r="W3088">
        <v>0</v>
      </c>
      <c r="X3088">
        <v>0</v>
      </c>
      <c r="Y3088">
        <v>0</v>
      </c>
      <c r="Z3088">
        <v>0</v>
      </c>
    </row>
    <row r="3089" spans="1:26" hidden="1" x14ac:dyDescent="0.25">
      <c r="A3089" t="s">
        <v>6325</v>
      </c>
      <c r="B3089" t="s">
        <v>2153</v>
      </c>
      <c r="C3089" s="4">
        <v>45936</v>
      </c>
      <c r="F3089" s="4">
        <v>46813</v>
      </c>
      <c r="G3089" t="s">
        <v>65</v>
      </c>
      <c r="H3089" t="s">
        <v>1849</v>
      </c>
      <c r="K3089" t="s">
        <v>67</v>
      </c>
      <c r="L3089" t="s">
        <v>5172</v>
      </c>
      <c r="M3089" t="s">
        <v>68</v>
      </c>
      <c r="N3089" t="s">
        <v>3122</v>
      </c>
      <c r="O3089" t="s">
        <v>32</v>
      </c>
      <c r="P3089" t="s">
        <v>6326</v>
      </c>
      <c r="Q3089">
        <v>340</v>
      </c>
      <c r="R3089">
        <v>340</v>
      </c>
      <c r="S3089" t="s">
        <v>597</v>
      </c>
      <c r="T3089" t="s">
        <v>598</v>
      </c>
      <c r="W3089">
        <v>340</v>
      </c>
      <c r="X3089">
        <v>170</v>
      </c>
      <c r="Y3089">
        <v>0</v>
      </c>
      <c r="Z3089">
        <v>0</v>
      </c>
    </row>
    <row r="3090" spans="1:26" hidden="1" x14ac:dyDescent="0.25">
      <c r="A3090" t="s">
        <v>6327</v>
      </c>
      <c r="B3090" t="s">
        <v>38</v>
      </c>
      <c r="C3090" s="4">
        <v>45937</v>
      </c>
      <c r="D3090" s="4">
        <v>46184</v>
      </c>
      <c r="F3090" s="4">
        <v>47270</v>
      </c>
      <c r="G3090" t="s">
        <v>72</v>
      </c>
      <c r="H3090" t="s">
        <v>2581</v>
      </c>
      <c r="K3090" t="s">
        <v>41</v>
      </c>
      <c r="L3090" t="s">
        <v>6052</v>
      </c>
      <c r="M3090" t="s">
        <v>42</v>
      </c>
      <c r="O3090" t="s">
        <v>32</v>
      </c>
      <c r="P3090" t="s">
        <v>6328</v>
      </c>
      <c r="Q3090">
        <v>250</v>
      </c>
      <c r="R3090">
        <v>250</v>
      </c>
      <c r="S3090" t="s">
        <v>159</v>
      </c>
      <c r="T3090" t="s">
        <v>159</v>
      </c>
      <c r="W3090">
        <v>0</v>
      </c>
      <c r="X3090">
        <v>0</v>
      </c>
      <c r="Y3090">
        <v>0</v>
      </c>
      <c r="Z3090">
        <v>0</v>
      </c>
    </row>
    <row r="3091" spans="1:26" hidden="1" x14ac:dyDescent="0.25">
      <c r="A3091" t="s">
        <v>6329</v>
      </c>
      <c r="B3091" t="s">
        <v>38</v>
      </c>
      <c r="C3091" s="4">
        <v>45937</v>
      </c>
      <c r="D3091" s="4">
        <v>46098</v>
      </c>
      <c r="F3091" s="4">
        <v>47664</v>
      </c>
      <c r="G3091" t="s">
        <v>72</v>
      </c>
      <c r="H3091" t="s">
        <v>6330</v>
      </c>
      <c r="K3091" t="s">
        <v>109</v>
      </c>
      <c r="L3091" t="s">
        <v>6052</v>
      </c>
      <c r="M3091" t="s">
        <v>84</v>
      </c>
      <c r="O3091" t="s">
        <v>32</v>
      </c>
      <c r="P3091" t="s">
        <v>1345</v>
      </c>
      <c r="Q3091">
        <v>200</v>
      </c>
      <c r="R3091">
        <v>200</v>
      </c>
      <c r="S3091" t="s">
        <v>34</v>
      </c>
      <c r="T3091" t="s">
        <v>35</v>
      </c>
      <c r="W3091">
        <v>0</v>
      </c>
      <c r="X3091">
        <v>0</v>
      </c>
      <c r="Y3091">
        <v>0</v>
      </c>
      <c r="Z3091">
        <v>0</v>
      </c>
    </row>
    <row r="3092" spans="1:26" hidden="1" x14ac:dyDescent="0.25">
      <c r="A3092" t="s">
        <v>6331</v>
      </c>
      <c r="B3092" t="s">
        <v>38</v>
      </c>
      <c r="C3092" s="4">
        <v>45936</v>
      </c>
      <c r="D3092" s="4">
        <v>46127</v>
      </c>
      <c r="F3092" s="4">
        <v>47664</v>
      </c>
      <c r="G3092" t="s">
        <v>173</v>
      </c>
      <c r="H3092" t="s">
        <v>5772</v>
      </c>
      <c r="K3092" t="s">
        <v>41</v>
      </c>
      <c r="L3092" t="s">
        <v>5172</v>
      </c>
      <c r="M3092" t="s">
        <v>42</v>
      </c>
      <c r="N3092" t="s">
        <v>3122</v>
      </c>
      <c r="O3092" t="s">
        <v>32</v>
      </c>
      <c r="P3092" t="s">
        <v>5808</v>
      </c>
      <c r="Q3092">
        <v>295</v>
      </c>
      <c r="R3092">
        <v>295</v>
      </c>
      <c r="S3092" t="s">
        <v>34</v>
      </c>
      <c r="T3092" t="s">
        <v>35</v>
      </c>
      <c r="W3092">
        <v>0</v>
      </c>
      <c r="X3092">
        <v>0</v>
      </c>
      <c r="Y3092">
        <v>0</v>
      </c>
      <c r="Z3092">
        <v>0</v>
      </c>
    </row>
    <row r="3093" spans="1:26" hidden="1" x14ac:dyDescent="0.25">
      <c r="A3093" t="s">
        <v>6332</v>
      </c>
      <c r="B3093" t="s">
        <v>2153</v>
      </c>
      <c r="C3093" s="4">
        <v>45937</v>
      </c>
      <c r="F3093" s="4">
        <v>47484</v>
      </c>
      <c r="G3093" t="s">
        <v>616</v>
      </c>
      <c r="H3093" t="s">
        <v>1656</v>
      </c>
      <c r="K3093" t="s">
        <v>146</v>
      </c>
      <c r="L3093" t="s">
        <v>6052</v>
      </c>
      <c r="M3093" t="s">
        <v>68</v>
      </c>
      <c r="O3093" t="s">
        <v>32</v>
      </c>
      <c r="P3093" t="s">
        <v>6333</v>
      </c>
      <c r="Q3093">
        <v>200</v>
      </c>
      <c r="R3093">
        <v>200</v>
      </c>
      <c r="S3093" t="s">
        <v>34</v>
      </c>
      <c r="T3093" t="s">
        <v>35</v>
      </c>
      <c r="W3093">
        <v>0</v>
      </c>
      <c r="X3093">
        <v>0</v>
      </c>
      <c r="Y3093">
        <v>0</v>
      </c>
      <c r="Z3093">
        <v>0</v>
      </c>
    </row>
    <row r="3094" spans="1:26" hidden="1" x14ac:dyDescent="0.25">
      <c r="A3094" t="s">
        <v>6334</v>
      </c>
      <c r="B3094" t="s">
        <v>2153</v>
      </c>
      <c r="C3094" s="4">
        <v>45936</v>
      </c>
      <c r="F3094" s="4">
        <v>47664</v>
      </c>
      <c r="G3094" t="s">
        <v>52</v>
      </c>
      <c r="H3094" t="s">
        <v>3260</v>
      </c>
      <c r="K3094" t="s">
        <v>53</v>
      </c>
      <c r="L3094" t="s">
        <v>6052</v>
      </c>
      <c r="M3094" t="s">
        <v>54</v>
      </c>
      <c r="O3094" t="s">
        <v>32</v>
      </c>
      <c r="P3094" t="s">
        <v>6335</v>
      </c>
      <c r="Q3094">
        <v>400</v>
      </c>
      <c r="R3094">
        <v>400</v>
      </c>
      <c r="S3094" t="s">
        <v>159</v>
      </c>
      <c r="T3094" t="s">
        <v>159</v>
      </c>
      <c r="W3094">
        <v>0</v>
      </c>
      <c r="X3094">
        <v>0</v>
      </c>
      <c r="Y3094">
        <v>0</v>
      </c>
      <c r="Z3094">
        <v>0</v>
      </c>
    </row>
    <row r="3095" spans="1:26" hidden="1" x14ac:dyDescent="0.25">
      <c r="A3095" t="s">
        <v>6336</v>
      </c>
      <c r="B3095" t="s">
        <v>2153</v>
      </c>
      <c r="C3095" s="4">
        <v>45936</v>
      </c>
      <c r="F3095" s="4">
        <v>47664</v>
      </c>
      <c r="G3095" t="s">
        <v>907</v>
      </c>
      <c r="H3095" t="s">
        <v>1357</v>
      </c>
      <c r="K3095" t="s">
        <v>53</v>
      </c>
      <c r="L3095" t="s">
        <v>6052</v>
      </c>
      <c r="M3095" t="s">
        <v>54</v>
      </c>
      <c r="O3095" t="s">
        <v>32</v>
      </c>
      <c r="P3095" t="s">
        <v>1358</v>
      </c>
      <c r="Q3095">
        <v>300</v>
      </c>
      <c r="R3095">
        <v>300</v>
      </c>
      <c r="S3095" t="s">
        <v>159</v>
      </c>
      <c r="T3095" t="s">
        <v>159</v>
      </c>
      <c r="W3095">
        <v>0</v>
      </c>
      <c r="X3095">
        <v>0</v>
      </c>
      <c r="Y3095">
        <v>0</v>
      </c>
      <c r="Z3095">
        <v>0</v>
      </c>
    </row>
    <row r="3096" spans="1:26" hidden="1" x14ac:dyDescent="0.25">
      <c r="A3096" t="s">
        <v>6337</v>
      </c>
      <c r="B3096" t="s">
        <v>2153</v>
      </c>
      <c r="C3096" s="4">
        <v>45936</v>
      </c>
      <c r="F3096" s="4">
        <v>47664</v>
      </c>
      <c r="G3096" t="s">
        <v>907</v>
      </c>
      <c r="H3096" t="s">
        <v>1357</v>
      </c>
      <c r="K3096" t="s">
        <v>53</v>
      </c>
      <c r="L3096" t="s">
        <v>6052</v>
      </c>
      <c r="M3096" t="s">
        <v>54</v>
      </c>
      <c r="O3096" t="s">
        <v>32</v>
      </c>
      <c r="P3096" t="s">
        <v>1358</v>
      </c>
      <c r="Q3096">
        <v>300</v>
      </c>
      <c r="R3096">
        <v>300</v>
      </c>
      <c r="S3096" t="s">
        <v>159</v>
      </c>
      <c r="T3096" t="s">
        <v>159</v>
      </c>
      <c r="W3096">
        <v>0</v>
      </c>
      <c r="X3096">
        <v>0</v>
      </c>
      <c r="Y3096">
        <v>0</v>
      </c>
      <c r="Z3096">
        <v>0</v>
      </c>
    </row>
    <row r="3097" spans="1:26" hidden="1" x14ac:dyDescent="0.25">
      <c r="A3097" t="s">
        <v>6338</v>
      </c>
      <c r="B3097" t="s">
        <v>2153</v>
      </c>
      <c r="C3097" s="4">
        <v>45937</v>
      </c>
      <c r="F3097" s="4">
        <v>47513</v>
      </c>
      <c r="G3097" t="s">
        <v>39</v>
      </c>
      <c r="H3097" t="s">
        <v>1271</v>
      </c>
      <c r="K3097" t="s">
        <v>41</v>
      </c>
      <c r="L3097" t="s">
        <v>6052</v>
      </c>
      <c r="M3097" t="s">
        <v>42</v>
      </c>
      <c r="O3097" t="s">
        <v>32</v>
      </c>
      <c r="P3097" t="s">
        <v>1345</v>
      </c>
      <c r="Q3097">
        <v>120</v>
      </c>
      <c r="R3097">
        <v>120</v>
      </c>
      <c r="S3097" t="s">
        <v>56</v>
      </c>
      <c r="T3097" t="s">
        <v>57</v>
      </c>
      <c r="W3097">
        <v>0</v>
      </c>
      <c r="X3097">
        <v>0</v>
      </c>
      <c r="Y3097">
        <v>0</v>
      </c>
      <c r="Z3097">
        <v>0</v>
      </c>
    </row>
    <row r="3098" spans="1:26" hidden="1" x14ac:dyDescent="0.25">
      <c r="A3098" t="s">
        <v>6339</v>
      </c>
      <c r="B3098" t="s">
        <v>2153</v>
      </c>
      <c r="C3098" s="4">
        <v>45936</v>
      </c>
      <c r="F3098" s="4">
        <v>47484</v>
      </c>
      <c r="G3098" t="s">
        <v>1278</v>
      </c>
      <c r="H3098" t="s">
        <v>1485</v>
      </c>
      <c r="K3098" t="s">
        <v>28</v>
      </c>
      <c r="L3098" t="s">
        <v>5172</v>
      </c>
      <c r="M3098" t="s">
        <v>30</v>
      </c>
      <c r="N3098" t="s">
        <v>3122</v>
      </c>
      <c r="O3098" t="s">
        <v>32</v>
      </c>
      <c r="P3098" t="s">
        <v>6340</v>
      </c>
      <c r="Q3098">
        <v>71.5</v>
      </c>
      <c r="R3098">
        <v>71.5</v>
      </c>
      <c r="S3098" t="s">
        <v>34</v>
      </c>
      <c r="T3098" t="s">
        <v>35</v>
      </c>
      <c r="W3098">
        <v>71.5</v>
      </c>
      <c r="X3098">
        <v>71.5</v>
      </c>
      <c r="Y3098">
        <v>0</v>
      </c>
      <c r="Z3098">
        <v>0</v>
      </c>
    </row>
    <row r="3099" spans="1:26" hidden="1" x14ac:dyDescent="0.25">
      <c r="A3099" t="s">
        <v>6341</v>
      </c>
      <c r="B3099" t="s">
        <v>2153</v>
      </c>
      <c r="C3099" s="4">
        <v>45936</v>
      </c>
      <c r="F3099" s="4">
        <v>47664</v>
      </c>
      <c r="G3099" t="s">
        <v>616</v>
      </c>
      <c r="H3099" t="s">
        <v>1320</v>
      </c>
      <c r="K3099" t="s">
        <v>146</v>
      </c>
      <c r="L3099" t="s">
        <v>5172</v>
      </c>
      <c r="M3099" t="s">
        <v>68</v>
      </c>
      <c r="N3099" t="s">
        <v>3122</v>
      </c>
      <c r="O3099" t="s">
        <v>32</v>
      </c>
      <c r="P3099" t="s">
        <v>6342</v>
      </c>
      <c r="Q3099">
        <v>300</v>
      </c>
      <c r="R3099">
        <v>300</v>
      </c>
      <c r="S3099" t="s">
        <v>159</v>
      </c>
      <c r="T3099" t="s">
        <v>159</v>
      </c>
      <c r="W3099">
        <v>300</v>
      </c>
      <c r="X3099">
        <v>300</v>
      </c>
      <c r="Y3099">
        <v>0</v>
      </c>
      <c r="Z3099">
        <v>0</v>
      </c>
    </row>
    <row r="3100" spans="1:26" hidden="1" x14ac:dyDescent="0.25">
      <c r="A3100" t="s">
        <v>6343</v>
      </c>
      <c r="B3100" t="s">
        <v>2153</v>
      </c>
      <c r="C3100" s="4">
        <v>45937</v>
      </c>
      <c r="F3100" s="4">
        <v>48029</v>
      </c>
      <c r="G3100" t="s">
        <v>72</v>
      </c>
      <c r="H3100" t="s">
        <v>1437</v>
      </c>
      <c r="K3100" t="s">
        <v>41</v>
      </c>
      <c r="L3100" t="s">
        <v>6052</v>
      </c>
      <c r="M3100" t="s">
        <v>42</v>
      </c>
      <c r="O3100" t="s">
        <v>32</v>
      </c>
      <c r="P3100" t="s">
        <v>6344</v>
      </c>
      <c r="Q3100">
        <v>200</v>
      </c>
      <c r="R3100">
        <v>200</v>
      </c>
      <c r="S3100" t="s">
        <v>56</v>
      </c>
      <c r="T3100" t="s">
        <v>57</v>
      </c>
      <c r="W3100">
        <v>0</v>
      </c>
      <c r="X3100">
        <v>0</v>
      </c>
      <c r="Y3100">
        <v>0</v>
      </c>
      <c r="Z3100">
        <v>0</v>
      </c>
    </row>
    <row r="3101" spans="1:26" hidden="1" x14ac:dyDescent="0.25">
      <c r="A3101" t="s">
        <v>6345</v>
      </c>
      <c r="B3101" t="s">
        <v>38</v>
      </c>
      <c r="C3101" s="4">
        <v>45936</v>
      </c>
      <c r="D3101" s="4">
        <v>46127</v>
      </c>
      <c r="F3101" s="4">
        <v>47664</v>
      </c>
      <c r="G3101" t="s">
        <v>144</v>
      </c>
      <c r="H3101" t="s">
        <v>1396</v>
      </c>
      <c r="K3101" t="s">
        <v>146</v>
      </c>
      <c r="L3101" t="s">
        <v>5172</v>
      </c>
      <c r="M3101" t="s">
        <v>68</v>
      </c>
      <c r="N3101" t="s">
        <v>3122</v>
      </c>
      <c r="O3101" t="s">
        <v>32</v>
      </c>
      <c r="P3101" t="s">
        <v>6346</v>
      </c>
      <c r="Q3101">
        <v>500</v>
      </c>
      <c r="R3101">
        <v>500</v>
      </c>
      <c r="S3101" t="s">
        <v>159</v>
      </c>
      <c r="T3101" t="s">
        <v>159</v>
      </c>
      <c r="W3101">
        <v>0</v>
      </c>
      <c r="X3101">
        <v>0</v>
      </c>
      <c r="Y3101">
        <v>0</v>
      </c>
      <c r="Z3101">
        <v>0</v>
      </c>
    </row>
    <row r="3102" spans="1:26" hidden="1" x14ac:dyDescent="0.25">
      <c r="A3102" t="s">
        <v>6347</v>
      </c>
      <c r="B3102" t="s">
        <v>2153</v>
      </c>
      <c r="C3102" s="4">
        <v>45937</v>
      </c>
      <c r="F3102" s="4">
        <v>46843</v>
      </c>
      <c r="G3102" t="s">
        <v>1278</v>
      </c>
      <c r="H3102" t="s">
        <v>1279</v>
      </c>
      <c r="K3102" t="s">
        <v>28</v>
      </c>
      <c r="L3102" t="s">
        <v>5172</v>
      </c>
      <c r="M3102" t="s">
        <v>30</v>
      </c>
      <c r="N3102" t="s">
        <v>3122</v>
      </c>
      <c r="O3102" t="s">
        <v>32</v>
      </c>
      <c r="P3102" t="s">
        <v>6348</v>
      </c>
      <c r="Q3102">
        <v>71</v>
      </c>
      <c r="R3102">
        <v>71</v>
      </c>
      <c r="S3102" t="s">
        <v>34</v>
      </c>
      <c r="T3102" t="s">
        <v>35</v>
      </c>
      <c r="W3102">
        <v>71</v>
      </c>
      <c r="X3102">
        <v>35</v>
      </c>
      <c r="Y3102">
        <v>0</v>
      </c>
      <c r="Z3102">
        <v>0</v>
      </c>
    </row>
    <row r="3103" spans="1:26" hidden="1" x14ac:dyDescent="0.25">
      <c r="A3103" t="s">
        <v>6349</v>
      </c>
      <c r="B3103" t="s">
        <v>2153</v>
      </c>
      <c r="C3103" s="4">
        <v>45940</v>
      </c>
      <c r="F3103" s="4">
        <v>47361</v>
      </c>
      <c r="G3103" t="s">
        <v>52</v>
      </c>
      <c r="H3103" t="s">
        <v>1402</v>
      </c>
      <c r="K3103" t="s">
        <v>53</v>
      </c>
      <c r="L3103" t="s">
        <v>6052</v>
      </c>
      <c r="M3103" t="s">
        <v>54</v>
      </c>
      <c r="O3103" t="s">
        <v>32</v>
      </c>
      <c r="P3103" t="s">
        <v>6350</v>
      </c>
      <c r="Q3103">
        <v>539</v>
      </c>
      <c r="R3103">
        <v>539</v>
      </c>
      <c r="S3103" t="s">
        <v>34</v>
      </c>
      <c r="T3103" t="s">
        <v>35</v>
      </c>
      <c r="W3103">
        <v>0</v>
      </c>
      <c r="X3103">
        <v>0</v>
      </c>
      <c r="Y3103">
        <v>0</v>
      </c>
      <c r="Z3103">
        <v>0</v>
      </c>
    </row>
    <row r="3104" spans="1:26" hidden="1" x14ac:dyDescent="0.25">
      <c r="A3104" t="s">
        <v>6351</v>
      </c>
      <c r="B3104" t="s">
        <v>2338</v>
      </c>
      <c r="C3104" s="4">
        <v>45936</v>
      </c>
      <c r="F3104" s="4">
        <v>47299</v>
      </c>
      <c r="G3104" t="s">
        <v>6166</v>
      </c>
      <c r="H3104" t="s">
        <v>5297</v>
      </c>
      <c r="K3104" t="s">
        <v>151</v>
      </c>
      <c r="L3104" t="s">
        <v>5172</v>
      </c>
      <c r="M3104" t="s">
        <v>68</v>
      </c>
      <c r="N3104" t="s">
        <v>3122</v>
      </c>
      <c r="O3104" t="s">
        <v>32</v>
      </c>
      <c r="P3104" t="s">
        <v>5298</v>
      </c>
      <c r="Q3104">
        <v>150</v>
      </c>
      <c r="R3104">
        <v>150</v>
      </c>
      <c r="S3104" t="s">
        <v>159</v>
      </c>
      <c r="T3104" t="s">
        <v>159</v>
      </c>
      <c r="W3104">
        <v>150</v>
      </c>
      <c r="X3104">
        <v>150</v>
      </c>
      <c r="Y3104">
        <v>0</v>
      </c>
      <c r="Z3104">
        <v>0</v>
      </c>
    </row>
    <row r="3105" spans="1:26" hidden="1" x14ac:dyDescent="0.25">
      <c r="A3105" t="s">
        <v>6352</v>
      </c>
      <c r="B3105" t="s">
        <v>38</v>
      </c>
      <c r="C3105" s="4">
        <v>45936</v>
      </c>
      <c r="D3105" s="4">
        <v>46010</v>
      </c>
      <c r="F3105" s="4">
        <v>47664</v>
      </c>
      <c r="G3105" t="s">
        <v>149</v>
      </c>
      <c r="H3105" t="s">
        <v>5271</v>
      </c>
      <c r="K3105" t="s">
        <v>151</v>
      </c>
      <c r="L3105" t="s">
        <v>5172</v>
      </c>
      <c r="M3105" t="s">
        <v>68</v>
      </c>
      <c r="N3105" t="s">
        <v>3122</v>
      </c>
      <c r="O3105" t="s">
        <v>32</v>
      </c>
      <c r="P3105" t="s">
        <v>5272</v>
      </c>
      <c r="Q3105">
        <v>250</v>
      </c>
      <c r="R3105">
        <v>250</v>
      </c>
      <c r="S3105" t="s">
        <v>159</v>
      </c>
      <c r="T3105" t="s">
        <v>159</v>
      </c>
      <c r="W3105">
        <v>0</v>
      </c>
      <c r="X3105">
        <v>0</v>
      </c>
      <c r="Y3105">
        <v>0</v>
      </c>
      <c r="Z3105">
        <v>0</v>
      </c>
    </row>
    <row r="3106" spans="1:26" hidden="1" x14ac:dyDescent="0.25">
      <c r="A3106" t="s">
        <v>6353</v>
      </c>
      <c r="B3106" t="s">
        <v>38</v>
      </c>
      <c r="C3106" s="4">
        <v>45936</v>
      </c>
      <c r="D3106" s="4">
        <v>46128</v>
      </c>
      <c r="F3106" s="4">
        <v>46843</v>
      </c>
      <c r="G3106" t="s">
        <v>177</v>
      </c>
      <c r="H3106" t="s">
        <v>1402</v>
      </c>
      <c r="K3106" t="s">
        <v>185</v>
      </c>
      <c r="L3106" t="s">
        <v>5172</v>
      </c>
      <c r="M3106" t="s">
        <v>42</v>
      </c>
      <c r="N3106" t="s">
        <v>3122</v>
      </c>
      <c r="O3106" t="s">
        <v>32</v>
      </c>
      <c r="P3106" t="s">
        <v>6354</v>
      </c>
      <c r="Q3106">
        <v>250</v>
      </c>
      <c r="R3106">
        <v>250</v>
      </c>
      <c r="S3106" t="s">
        <v>597</v>
      </c>
      <c r="T3106" t="s">
        <v>598</v>
      </c>
      <c r="W3106">
        <v>0</v>
      </c>
      <c r="X3106">
        <v>0</v>
      </c>
      <c r="Y3106">
        <v>0</v>
      </c>
      <c r="Z3106">
        <v>0</v>
      </c>
    </row>
    <row r="3107" spans="1:26" hidden="1" x14ac:dyDescent="0.25">
      <c r="A3107" t="s">
        <v>6355</v>
      </c>
      <c r="B3107" t="s">
        <v>38</v>
      </c>
      <c r="C3107" s="4">
        <v>45936</v>
      </c>
      <c r="D3107" s="4">
        <v>46128</v>
      </c>
      <c r="F3107" s="4">
        <v>46433</v>
      </c>
      <c r="G3107" t="s">
        <v>177</v>
      </c>
      <c r="H3107" t="s">
        <v>1402</v>
      </c>
      <c r="K3107" t="s">
        <v>185</v>
      </c>
      <c r="L3107" t="s">
        <v>5172</v>
      </c>
      <c r="M3107" t="s">
        <v>42</v>
      </c>
      <c r="N3107" t="s">
        <v>3122</v>
      </c>
      <c r="O3107" t="s">
        <v>32</v>
      </c>
      <c r="P3107" t="s">
        <v>6354</v>
      </c>
      <c r="Q3107">
        <v>250</v>
      </c>
      <c r="R3107">
        <v>250</v>
      </c>
      <c r="S3107" t="s">
        <v>597</v>
      </c>
      <c r="T3107" t="s">
        <v>598</v>
      </c>
      <c r="W3107">
        <v>0</v>
      </c>
      <c r="X3107">
        <v>0</v>
      </c>
      <c r="Y3107">
        <v>0</v>
      </c>
      <c r="Z3107">
        <v>0</v>
      </c>
    </row>
    <row r="3108" spans="1:26" hidden="1" x14ac:dyDescent="0.25">
      <c r="A3108" t="s">
        <v>6356</v>
      </c>
      <c r="B3108" t="s">
        <v>38</v>
      </c>
      <c r="C3108" s="4">
        <v>45937</v>
      </c>
      <c r="D3108" s="4">
        <v>46017</v>
      </c>
      <c r="F3108" s="4">
        <v>47771</v>
      </c>
      <c r="G3108" t="s">
        <v>112</v>
      </c>
      <c r="H3108" t="s">
        <v>4380</v>
      </c>
      <c r="K3108" t="s">
        <v>114</v>
      </c>
      <c r="L3108" t="s">
        <v>5172</v>
      </c>
      <c r="M3108" t="s">
        <v>68</v>
      </c>
      <c r="N3108" t="s">
        <v>3122</v>
      </c>
      <c r="O3108" t="s">
        <v>32</v>
      </c>
      <c r="P3108" t="s">
        <v>6357</v>
      </c>
      <c r="Q3108">
        <v>150</v>
      </c>
      <c r="R3108">
        <v>150</v>
      </c>
      <c r="S3108" t="s">
        <v>159</v>
      </c>
      <c r="T3108" t="s">
        <v>159</v>
      </c>
      <c r="W3108">
        <v>0</v>
      </c>
      <c r="X3108">
        <v>0</v>
      </c>
      <c r="Y3108">
        <v>0</v>
      </c>
      <c r="Z3108">
        <v>0</v>
      </c>
    </row>
    <row r="3109" spans="1:26" hidden="1" x14ac:dyDescent="0.25">
      <c r="A3109" t="s">
        <v>6358</v>
      </c>
      <c r="B3109" t="s">
        <v>38</v>
      </c>
      <c r="C3109" s="4">
        <v>45937</v>
      </c>
      <c r="D3109" s="4">
        <v>46049</v>
      </c>
      <c r="F3109" s="4">
        <v>47756</v>
      </c>
      <c r="G3109" t="s">
        <v>144</v>
      </c>
      <c r="H3109" t="s">
        <v>1618</v>
      </c>
      <c r="K3109" t="s">
        <v>146</v>
      </c>
      <c r="L3109" t="s">
        <v>5172</v>
      </c>
      <c r="M3109" t="s">
        <v>68</v>
      </c>
      <c r="N3109" t="s">
        <v>3122</v>
      </c>
      <c r="O3109" t="s">
        <v>32</v>
      </c>
      <c r="P3109" t="s">
        <v>6359</v>
      </c>
      <c r="Q3109">
        <v>150</v>
      </c>
      <c r="R3109">
        <v>150</v>
      </c>
      <c r="S3109" t="s">
        <v>159</v>
      </c>
      <c r="T3109" t="s">
        <v>159</v>
      </c>
      <c r="W3109">
        <v>0</v>
      </c>
      <c r="X3109">
        <v>0</v>
      </c>
      <c r="Y3109">
        <v>0</v>
      </c>
      <c r="Z3109">
        <v>0</v>
      </c>
    </row>
    <row r="3110" spans="1:26" hidden="1" x14ac:dyDescent="0.25">
      <c r="A3110" t="s">
        <v>6360</v>
      </c>
      <c r="B3110" t="s">
        <v>38</v>
      </c>
      <c r="C3110" s="4">
        <v>45937</v>
      </c>
      <c r="D3110" s="4">
        <v>46010</v>
      </c>
      <c r="F3110" s="4">
        <v>47664</v>
      </c>
      <c r="G3110" t="s">
        <v>144</v>
      </c>
      <c r="H3110" t="s">
        <v>1522</v>
      </c>
      <c r="K3110" t="s">
        <v>146</v>
      </c>
      <c r="L3110" t="s">
        <v>5172</v>
      </c>
      <c r="M3110" t="s">
        <v>68</v>
      </c>
      <c r="N3110" t="s">
        <v>3122</v>
      </c>
      <c r="O3110" t="s">
        <v>32</v>
      </c>
      <c r="P3110" t="s">
        <v>6361</v>
      </c>
      <c r="Q3110">
        <v>1300</v>
      </c>
      <c r="R3110">
        <v>1300</v>
      </c>
      <c r="S3110" t="s">
        <v>389</v>
      </c>
      <c r="T3110" t="s">
        <v>390</v>
      </c>
      <c r="W3110">
        <v>0</v>
      </c>
      <c r="X3110">
        <v>0</v>
      </c>
      <c r="Y3110">
        <v>0</v>
      </c>
      <c r="Z3110">
        <v>0</v>
      </c>
    </row>
    <row r="3111" spans="1:26" hidden="1" x14ac:dyDescent="0.25">
      <c r="A3111" t="s">
        <v>6362</v>
      </c>
      <c r="B3111" t="s">
        <v>2153</v>
      </c>
      <c r="C3111" s="4">
        <v>45937</v>
      </c>
      <c r="F3111" s="4">
        <v>47664</v>
      </c>
      <c r="G3111" t="s">
        <v>616</v>
      </c>
      <c r="H3111" t="s">
        <v>1320</v>
      </c>
      <c r="K3111" t="s">
        <v>146</v>
      </c>
      <c r="L3111" t="s">
        <v>6052</v>
      </c>
      <c r="M3111" t="s">
        <v>68</v>
      </c>
      <c r="O3111" t="s">
        <v>32</v>
      </c>
      <c r="P3111" t="s">
        <v>6342</v>
      </c>
      <c r="Q3111">
        <v>400</v>
      </c>
      <c r="R3111">
        <v>400</v>
      </c>
      <c r="S3111" t="s">
        <v>389</v>
      </c>
      <c r="T3111" t="s">
        <v>584</v>
      </c>
      <c r="W3111">
        <v>0</v>
      </c>
      <c r="X3111">
        <v>0</v>
      </c>
      <c r="Y3111">
        <v>0</v>
      </c>
      <c r="Z3111">
        <v>0</v>
      </c>
    </row>
    <row r="3112" spans="1:26" hidden="1" x14ac:dyDescent="0.25">
      <c r="A3112" t="s">
        <v>6363</v>
      </c>
      <c r="B3112" t="s">
        <v>38</v>
      </c>
      <c r="C3112" s="4">
        <v>45937</v>
      </c>
      <c r="D3112" s="4">
        <v>46010</v>
      </c>
      <c r="F3112" s="4">
        <v>47664</v>
      </c>
      <c r="G3112" t="s">
        <v>65</v>
      </c>
      <c r="H3112" t="s">
        <v>3701</v>
      </c>
      <c r="K3112" t="s">
        <v>67</v>
      </c>
      <c r="L3112" t="s">
        <v>5172</v>
      </c>
      <c r="M3112" t="s">
        <v>68</v>
      </c>
      <c r="N3112" t="s">
        <v>3122</v>
      </c>
      <c r="O3112" t="s">
        <v>32</v>
      </c>
      <c r="P3112" t="s">
        <v>5416</v>
      </c>
      <c r="Q3112">
        <v>650</v>
      </c>
      <c r="R3112">
        <v>650</v>
      </c>
      <c r="S3112" t="s">
        <v>389</v>
      </c>
      <c r="T3112" t="s">
        <v>390</v>
      </c>
      <c r="W3112">
        <v>0</v>
      </c>
      <c r="X3112">
        <v>0</v>
      </c>
      <c r="Y3112">
        <v>0</v>
      </c>
      <c r="Z3112">
        <v>0</v>
      </c>
    </row>
    <row r="3113" spans="1:26" hidden="1" x14ac:dyDescent="0.25">
      <c r="A3113" t="s">
        <v>6364</v>
      </c>
      <c r="B3113" t="s">
        <v>38</v>
      </c>
      <c r="C3113" s="4">
        <v>45937</v>
      </c>
      <c r="D3113" s="4">
        <v>46259</v>
      </c>
      <c r="F3113" s="4">
        <v>47771</v>
      </c>
      <c r="G3113" t="s">
        <v>1368</v>
      </c>
      <c r="H3113" t="s">
        <v>3555</v>
      </c>
      <c r="K3113" t="s">
        <v>83</v>
      </c>
      <c r="L3113" t="s">
        <v>6052</v>
      </c>
      <c r="M3113" t="s">
        <v>42</v>
      </c>
      <c r="O3113" t="s">
        <v>32</v>
      </c>
      <c r="P3113" t="s">
        <v>6365</v>
      </c>
      <c r="Q3113">
        <v>300</v>
      </c>
      <c r="R3113">
        <v>300</v>
      </c>
      <c r="S3113" t="s">
        <v>56</v>
      </c>
      <c r="T3113" t="s">
        <v>57</v>
      </c>
      <c r="W3113">
        <v>0</v>
      </c>
      <c r="X3113">
        <v>0</v>
      </c>
      <c r="Y3113">
        <v>0</v>
      </c>
      <c r="Z3113">
        <v>0</v>
      </c>
    </row>
    <row r="3114" spans="1:26" hidden="1" x14ac:dyDescent="0.25">
      <c r="A3114" t="s">
        <v>6366</v>
      </c>
      <c r="B3114" t="s">
        <v>2153</v>
      </c>
      <c r="C3114" s="4">
        <v>45936</v>
      </c>
      <c r="F3114" s="4">
        <v>46934</v>
      </c>
      <c r="G3114" t="s">
        <v>72</v>
      </c>
      <c r="H3114" t="s">
        <v>2201</v>
      </c>
      <c r="K3114" t="s">
        <v>209</v>
      </c>
      <c r="L3114" t="s">
        <v>5172</v>
      </c>
      <c r="M3114" t="s">
        <v>42</v>
      </c>
      <c r="N3114" t="s">
        <v>3122</v>
      </c>
      <c r="O3114" t="s">
        <v>32</v>
      </c>
      <c r="P3114" t="s">
        <v>3558</v>
      </c>
      <c r="Q3114">
        <v>787.4</v>
      </c>
      <c r="R3114">
        <v>787.4</v>
      </c>
      <c r="S3114" t="s">
        <v>389</v>
      </c>
      <c r="T3114" t="s">
        <v>584</v>
      </c>
      <c r="W3114">
        <v>525</v>
      </c>
      <c r="X3114">
        <v>525</v>
      </c>
      <c r="Y3114">
        <v>0</v>
      </c>
      <c r="Z3114">
        <v>0</v>
      </c>
    </row>
    <row r="3115" spans="1:26" hidden="1" x14ac:dyDescent="0.25">
      <c r="A3115" t="s">
        <v>6367</v>
      </c>
      <c r="B3115" t="s">
        <v>2153</v>
      </c>
      <c r="C3115" s="4">
        <v>45936</v>
      </c>
      <c r="F3115" s="4">
        <v>47695</v>
      </c>
      <c r="G3115" t="s">
        <v>1368</v>
      </c>
      <c r="H3115" t="s">
        <v>1302</v>
      </c>
      <c r="K3115" t="s">
        <v>209</v>
      </c>
      <c r="L3115" t="s">
        <v>5172</v>
      </c>
      <c r="M3115" t="s">
        <v>42</v>
      </c>
      <c r="N3115" t="s">
        <v>3122</v>
      </c>
      <c r="O3115" t="s">
        <v>32</v>
      </c>
      <c r="P3115" t="s">
        <v>2475</v>
      </c>
      <c r="Q3115">
        <v>525</v>
      </c>
      <c r="R3115">
        <v>525</v>
      </c>
      <c r="S3115" t="s">
        <v>389</v>
      </c>
      <c r="T3115" t="s">
        <v>584</v>
      </c>
      <c r="W3115">
        <v>525</v>
      </c>
      <c r="X3115">
        <v>525</v>
      </c>
      <c r="Y3115">
        <v>0</v>
      </c>
      <c r="Z3115">
        <v>0</v>
      </c>
    </row>
    <row r="3116" spans="1:26" hidden="1" x14ac:dyDescent="0.25">
      <c r="A3116" t="s">
        <v>6368</v>
      </c>
      <c r="B3116" t="s">
        <v>2153</v>
      </c>
      <c r="C3116" s="4">
        <v>45936</v>
      </c>
      <c r="F3116" s="4">
        <v>46934</v>
      </c>
      <c r="G3116" t="s">
        <v>1278</v>
      </c>
      <c r="H3116" t="s">
        <v>1862</v>
      </c>
      <c r="K3116" t="s">
        <v>28</v>
      </c>
      <c r="L3116" t="s">
        <v>5172</v>
      </c>
      <c r="M3116" t="s">
        <v>30</v>
      </c>
      <c r="N3116" t="s">
        <v>3122</v>
      </c>
      <c r="O3116" t="s">
        <v>32</v>
      </c>
      <c r="P3116" t="s">
        <v>1863</v>
      </c>
      <c r="Q3116">
        <v>525</v>
      </c>
      <c r="R3116">
        <v>525</v>
      </c>
      <c r="S3116" t="s">
        <v>389</v>
      </c>
      <c r="T3116" t="s">
        <v>584</v>
      </c>
      <c r="W3116">
        <v>525</v>
      </c>
      <c r="X3116">
        <v>0</v>
      </c>
      <c r="Y3116">
        <v>0</v>
      </c>
      <c r="Z3116">
        <v>0</v>
      </c>
    </row>
    <row r="3117" spans="1:26" hidden="1" x14ac:dyDescent="0.25">
      <c r="A3117" t="s">
        <v>6369</v>
      </c>
      <c r="B3117" t="s">
        <v>2153</v>
      </c>
      <c r="C3117" s="4">
        <v>45936</v>
      </c>
      <c r="F3117" s="4">
        <v>47848</v>
      </c>
      <c r="G3117" t="s">
        <v>1278</v>
      </c>
      <c r="H3117" t="s">
        <v>1916</v>
      </c>
      <c r="K3117" t="s">
        <v>28</v>
      </c>
      <c r="L3117" t="s">
        <v>5172</v>
      </c>
      <c r="M3117" t="s">
        <v>30</v>
      </c>
      <c r="N3117" t="s">
        <v>3122</v>
      </c>
      <c r="O3117" t="s">
        <v>32</v>
      </c>
      <c r="P3117" t="s">
        <v>6370</v>
      </c>
      <c r="Q3117">
        <v>950</v>
      </c>
      <c r="R3117">
        <v>950</v>
      </c>
      <c r="S3117" t="s">
        <v>389</v>
      </c>
      <c r="T3117" t="s">
        <v>390</v>
      </c>
      <c r="W3117">
        <v>950</v>
      </c>
      <c r="X3117">
        <v>950</v>
      </c>
      <c r="Y3117">
        <v>0</v>
      </c>
      <c r="Z3117">
        <v>0</v>
      </c>
    </row>
    <row r="3118" spans="1:26" hidden="1" x14ac:dyDescent="0.25">
      <c r="A3118" t="s">
        <v>6371</v>
      </c>
      <c r="B3118" t="s">
        <v>2153</v>
      </c>
      <c r="C3118" s="4">
        <v>45926</v>
      </c>
      <c r="F3118" s="4">
        <v>47727</v>
      </c>
      <c r="G3118" t="s">
        <v>39</v>
      </c>
      <c r="H3118" t="s">
        <v>1271</v>
      </c>
      <c r="K3118" t="s">
        <v>41</v>
      </c>
      <c r="L3118" t="s">
        <v>5172</v>
      </c>
      <c r="M3118" t="s">
        <v>42</v>
      </c>
      <c r="N3118" t="s">
        <v>3122</v>
      </c>
      <c r="O3118" t="s">
        <v>32</v>
      </c>
      <c r="P3118" t="s">
        <v>6372</v>
      </c>
      <c r="Q3118">
        <v>240</v>
      </c>
      <c r="R3118">
        <v>240</v>
      </c>
      <c r="S3118" t="s">
        <v>159</v>
      </c>
      <c r="T3118" t="s">
        <v>159</v>
      </c>
      <c r="W3118">
        <v>240</v>
      </c>
      <c r="X3118">
        <v>240</v>
      </c>
      <c r="Y3118">
        <v>0</v>
      </c>
      <c r="Z3118">
        <v>0</v>
      </c>
    </row>
    <row r="3119" spans="1:26" hidden="1" x14ac:dyDescent="0.25">
      <c r="A3119" t="s">
        <v>6373</v>
      </c>
      <c r="B3119" t="s">
        <v>2153</v>
      </c>
      <c r="C3119" s="4">
        <v>45924</v>
      </c>
      <c r="F3119" s="4">
        <v>47756</v>
      </c>
      <c r="G3119" t="s">
        <v>117</v>
      </c>
      <c r="H3119" t="s">
        <v>1765</v>
      </c>
      <c r="K3119" t="s">
        <v>83</v>
      </c>
      <c r="L3119" t="s">
        <v>6052</v>
      </c>
      <c r="M3119" t="s">
        <v>84</v>
      </c>
      <c r="O3119" t="s">
        <v>32</v>
      </c>
      <c r="P3119" t="s">
        <v>6374</v>
      </c>
      <c r="Q3119">
        <v>250</v>
      </c>
      <c r="R3119">
        <v>250</v>
      </c>
      <c r="S3119" t="s">
        <v>159</v>
      </c>
      <c r="T3119" t="s">
        <v>159</v>
      </c>
      <c r="W3119">
        <v>0</v>
      </c>
      <c r="X3119">
        <v>0</v>
      </c>
      <c r="Y3119">
        <v>0</v>
      </c>
      <c r="Z3119">
        <v>0</v>
      </c>
    </row>
    <row r="3120" spans="1:26" hidden="1" x14ac:dyDescent="0.25">
      <c r="A3120" t="s">
        <v>6375</v>
      </c>
      <c r="B3120" t="s">
        <v>38</v>
      </c>
      <c r="C3120" s="4">
        <v>45923</v>
      </c>
      <c r="D3120" s="4">
        <v>46127</v>
      </c>
      <c r="F3120" s="4">
        <v>47392</v>
      </c>
      <c r="G3120" t="s">
        <v>1311</v>
      </c>
      <c r="H3120" t="s">
        <v>6376</v>
      </c>
      <c r="K3120" t="s">
        <v>114</v>
      </c>
      <c r="L3120" t="s">
        <v>5172</v>
      </c>
      <c r="M3120" t="s">
        <v>68</v>
      </c>
      <c r="N3120" t="s">
        <v>3122</v>
      </c>
      <c r="O3120" t="s">
        <v>32</v>
      </c>
      <c r="P3120" t="s">
        <v>6377</v>
      </c>
      <c r="Q3120">
        <v>200</v>
      </c>
      <c r="R3120">
        <v>200</v>
      </c>
      <c r="S3120" t="s">
        <v>159</v>
      </c>
      <c r="T3120" t="s">
        <v>159</v>
      </c>
      <c r="W3120">
        <v>0</v>
      </c>
      <c r="X3120">
        <v>0</v>
      </c>
      <c r="Y3120">
        <v>0</v>
      </c>
      <c r="Z3120">
        <v>0</v>
      </c>
    </row>
    <row r="3121" spans="1:26" hidden="1" x14ac:dyDescent="0.25">
      <c r="A3121" t="s">
        <v>6378</v>
      </c>
      <c r="B3121" t="s">
        <v>2153</v>
      </c>
      <c r="C3121" s="4">
        <v>45916</v>
      </c>
      <c r="F3121" s="4">
        <v>47786</v>
      </c>
      <c r="G3121" t="s">
        <v>52</v>
      </c>
      <c r="H3121" t="s">
        <v>1488</v>
      </c>
      <c r="K3121" t="s">
        <v>53</v>
      </c>
      <c r="L3121" t="s">
        <v>6052</v>
      </c>
      <c r="M3121" t="s">
        <v>54</v>
      </c>
      <c r="O3121" t="s">
        <v>32</v>
      </c>
      <c r="P3121" t="s">
        <v>1345</v>
      </c>
      <c r="Q3121">
        <v>200</v>
      </c>
      <c r="R3121">
        <v>200</v>
      </c>
      <c r="S3121" t="s">
        <v>56</v>
      </c>
      <c r="T3121" t="s">
        <v>57</v>
      </c>
      <c r="W3121">
        <v>0</v>
      </c>
      <c r="X3121">
        <v>0</v>
      </c>
      <c r="Y3121">
        <v>0</v>
      </c>
      <c r="Z3121">
        <v>0</v>
      </c>
    </row>
    <row r="3122" spans="1:26" hidden="1" x14ac:dyDescent="0.25">
      <c r="A3122" t="s">
        <v>6379</v>
      </c>
      <c r="B3122" t="s">
        <v>38</v>
      </c>
      <c r="C3122" s="4">
        <v>45919</v>
      </c>
      <c r="D3122" s="4">
        <v>46129</v>
      </c>
      <c r="F3122" s="4">
        <v>47635</v>
      </c>
      <c r="G3122" t="s">
        <v>1311</v>
      </c>
      <c r="H3122" t="s">
        <v>1302</v>
      </c>
      <c r="K3122" t="s">
        <v>114</v>
      </c>
      <c r="L3122" t="s">
        <v>5172</v>
      </c>
      <c r="M3122" t="s">
        <v>68</v>
      </c>
      <c r="N3122" t="s">
        <v>3122</v>
      </c>
      <c r="O3122" t="s">
        <v>32</v>
      </c>
      <c r="P3122" t="s">
        <v>6380</v>
      </c>
      <c r="Q3122">
        <v>300</v>
      </c>
      <c r="R3122">
        <v>300</v>
      </c>
      <c r="S3122" t="s">
        <v>34</v>
      </c>
      <c r="T3122" t="s">
        <v>35</v>
      </c>
      <c r="W3122">
        <v>0</v>
      </c>
      <c r="X3122">
        <v>0</v>
      </c>
      <c r="Y3122">
        <v>0</v>
      </c>
      <c r="Z3122">
        <v>0</v>
      </c>
    </row>
    <row r="3123" spans="1:26" hidden="1" x14ac:dyDescent="0.25">
      <c r="A3123" t="s">
        <v>6381</v>
      </c>
      <c r="B3123" t="s">
        <v>2153</v>
      </c>
      <c r="C3123" s="4">
        <v>45919</v>
      </c>
      <c r="F3123" s="4">
        <v>47710</v>
      </c>
      <c r="G3123" t="s">
        <v>52</v>
      </c>
      <c r="H3123" t="s">
        <v>3796</v>
      </c>
      <c r="K3123" t="s">
        <v>53</v>
      </c>
      <c r="L3123" t="s">
        <v>6052</v>
      </c>
      <c r="M3123" t="s">
        <v>54</v>
      </c>
      <c r="O3123" t="s">
        <v>32</v>
      </c>
      <c r="P3123" t="s">
        <v>6382</v>
      </c>
      <c r="Q3123">
        <v>150</v>
      </c>
      <c r="R3123">
        <v>150</v>
      </c>
      <c r="S3123" t="s">
        <v>159</v>
      </c>
      <c r="T3123" t="s">
        <v>159</v>
      </c>
      <c r="W3123">
        <v>0</v>
      </c>
      <c r="X3123">
        <v>0</v>
      </c>
      <c r="Y3123">
        <v>0</v>
      </c>
      <c r="Z3123">
        <v>0</v>
      </c>
    </row>
    <row r="3124" spans="1:26" hidden="1" x14ac:dyDescent="0.25">
      <c r="A3124" t="s">
        <v>6383</v>
      </c>
      <c r="B3124" t="s">
        <v>2153</v>
      </c>
      <c r="C3124" s="4">
        <v>45919</v>
      </c>
      <c r="F3124" s="4">
        <v>47710</v>
      </c>
      <c r="G3124" t="s">
        <v>52</v>
      </c>
      <c r="H3124" t="s">
        <v>1433</v>
      </c>
      <c r="K3124" t="s">
        <v>53</v>
      </c>
      <c r="L3124" t="s">
        <v>6052</v>
      </c>
      <c r="M3124" t="s">
        <v>54</v>
      </c>
      <c r="O3124" t="s">
        <v>32</v>
      </c>
      <c r="P3124" t="s">
        <v>5979</v>
      </c>
      <c r="Q3124">
        <v>200</v>
      </c>
      <c r="R3124">
        <v>200</v>
      </c>
      <c r="S3124" t="s">
        <v>159</v>
      </c>
      <c r="T3124" t="s">
        <v>159</v>
      </c>
      <c r="W3124">
        <v>0</v>
      </c>
      <c r="X3124">
        <v>0</v>
      </c>
      <c r="Y3124">
        <v>0</v>
      </c>
      <c r="Z3124">
        <v>0</v>
      </c>
    </row>
    <row r="3125" spans="1:26" hidden="1" x14ac:dyDescent="0.25">
      <c r="A3125" t="s">
        <v>6384</v>
      </c>
      <c r="B3125" t="s">
        <v>2153</v>
      </c>
      <c r="C3125" s="4">
        <v>45894</v>
      </c>
      <c r="F3125" s="4">
        <v>47270</v>
      </c>
      <c r="G3125" t="s">
        <v>149</v>
      </c>
      <c r="H3125" t="s">
        <v>5297</v>
      </c>
      <c r="K3125" t="s">
        <v>151</v>
      </c>
      <c r="L3125" t="s">
        <v>5172</v>
      </c>
      <c r="M3125" t="s">
        <v>68</v>
      </c>
      <c r="N3125" t="s">
        <v>3122</v>
      </c>
      <c r="O3125" t="s">
        <v>32</v>
      </c>
      <c r="P3125" t="s">
        <v>6385</v>
      </c>
      <c r="Q3125">
        <v>100</v>
      </c>
      <c r="R3125">
        <v>100</v>
      </c>
      <c r="S3125" t="s">
        <v>34</v>
      </c>
      <c r="T3125" t="s">
        <v>35</v>
      </c>
      <c r="W3125">
        <v>100</v>
      </c>
      <c r="X3125">
        <v>100</v>
      </c>
      <c r="Y3125">
        <v>0</v>
      </c>
      <c r="Z3125">
        <v>0</v>
      </c>
    </row>
    <row r="3126" spans="1:26" hidden="1" x14ac:dyDescent="0.25">
      <c r="A3126" t="s">
        <v>6386</v>
      </c>
      <c r="B3126" t="s">
        <v>2153</v>
      </c>
      <c r="C3126" s="4">
        <v>45916</v>
      </c>
      <c r="F3126" s="4">
        <v>47786</v>
      </c>
      <c r="G3126" t="s">
        <v>52</v>
      </c>
      <c r="H3126" t="s">
        <v>2288</v>
      </c>
      <c r="K3126" t="s">
        <v>53</v>
      </c>
      <c r="L3126" t="s">
        <v>6052</v>
      </c>
      <c r="M3126" t="s">
        <v>54</v>
      </c>
      <c r="O3126" t="s">
        <v>32</v>
      </c>
      <c r="P3126" t="s">
        <v>1345</v>
      </c>
      <c r="Q3126">
        <v>50</v>
      </c>
      <c r="R3126">
        <v>50</v>
      </c>
      <c r="S3126" t="s">
        <v>56</v>
      </c>
      <c r="T3126" t="s">
        <v>57</v>
      </c>
      <c r="W3126">
        <v>0</v>
      </c>
      <c r="X3126">
        <v>0</v>
      </c>
      <c r="Y3126">
        <v>0</v>
      </c>
      <c r="Z3126">
        <v>0</v>
      </c>
    </row>
    <row r="3127" spans="1:26" hidden="1" x14ac:dyDescent="0.25">
      <c r="A3127" t="s">
        <v>6387</v>
      </c>
      <c r="B3127" t="s">
        <v>2153</v>
      </c>
      <c r="C3127" s="4">
        <v>45916</v>
      </c>
      <c r="F3127" s="4">
        <v>47786</v>
      </c>
      <c r="G3127" t="s">
        <v>52</v>
      </c>
      <c r="H3127" t="s">
        <v>1488</v>
      </c>
      <c r="K3127" t="s">
        <v>53</v>
      </c>
      <c r="L3127" t="s">
        <v>6052</v>
      </c>
      <c r="M3127" t="s">
        <v>54</v>
      </c>
      <c r="O3127" t="s">
        <v>32</v>
      </c>
      <c r="P3127" t="s">
        <v>5046</v>
      </c>
      <c r="Q3127">
        <v>112</v>
      </c>
      <c r="R3127">
        <v>112</v>
      </c>
      <c r="S3127" t="s">
        <v>56</v>
      </c>
      <c r="T3127" t="s">
        <v>57</v>
      </c>
      <c r="W3127">
        <v>0</v>
      </c>
      <c r="X3127">
        <v>0</v>
      </c>
      <c r="Y3127">
        <v>0</v>
      </c>
      <c r="Z3127">
        <v>0</v>
      </c>
    </row>
    <row r="3128" spans="1:26" hidden="1" x14ac:dyDescent="0.25">
      <c r="A3128" t="s">
        <v>6388</v>
      </c>
      <c r="B3128" t="s">
        <v>2153</v>
      </c>
      <c r="C3128" s="4">
        <v>45918</v>
      </c>
      <c r="F3128" s="4">
        <v>47137</v>
      </c>
      <c r="G3128" t="s">
        <v>39</v>
      </c>
      <c r="H3128" t="s">
        <v>2072</v>
      </c>
      <c r="K3128" t="s">
        <v>28</v>
      </c>
      <c r="L3128" t="s">
        <v>5172</v>
      </c>
      <c r="M3128" t="s">
        <v>42</v>
      </c>
      <c r="N3128" t="s">
        <v>3122</v>
      </c>
      <c r="O3128" t="s">
        <v>32</v>
      </c>
      <c r="P3128" t="s">
        <v>6389</v>
      </c>
      <c r="Q3128">
        <v>100</v>
      </c>
      <c r="R3128">
        <v>100</v>
      </c>
      <c r="S3128" t="s">
        <v>34</v>
      </c>
      <c r="T3128" t="s">
        <v>35</v>
      </c>
      <c r="W3128">
        <v>90</v>
      </c>
      <c r="X3128">
        <v>90</v>
      </c>
      <c r="Y3128">
        <v>0</v>
      </c>
      <c r="Z3128">
        <v>0</v>
      </c>
    </row>
    <row r="3129" spans="1:26" hidden="1" x14ac:dyDescent="0.25">
      <c r="A3129" t="s">
        <v>6390</v>
      </c>
      <c r="B3129" t="s">
        <v>2153</v>
      </c>
      <c r="C3129" s="4">
        <v>45919</v>
      </c>
      <c r="F3129" s="4">
        <v>47542</v>
      </c>
      <c r="G3129" t="s">
        <v>907</v>
      </c>
      <c r="H3129" t="s">
        <v>3615</v>
      </c>
      <c r="K3129" t="s">
        <v>53</v>
      </c>
      <c r="L3129" t="s">
        <v>6052</v>
      </c>
      <c r="M3129" t="s">
        <v>54</v>
      </c>
      <c r="O3129" t="s">
        <v>32</v>
      </c>
      <c r="P3129" t="s">
        <v>6391</v>
      </c>
      <c r="Q3129">
        <v>100</v>
      </c>
      <c r="R3129">
        <v>100</v>
      </c>
      <c r="S3129" t="s">
        <v>159</v>
      </c>
      <c r="T3129" t="s">
        <v>159</v>
      </c>
      <c r="W3129">
        <v>0</v>
      </c>
      <c r="X3129">
        <v>0</v>
      </c>
      <c r="Y3129">
        <v>0</v>
      </c>
      <c r="Z3129">
        <v>0</v>
      </c>
    </row>
    <row r="3130" spans="1:26" hidden="1" x14ac:dyDescent="0.25">
      <c r="A3130" t="s">
        <v>6392</v>
      </c>
      <c r="B3130" t="s">
        <v>2153</v>
      </c>
      <c r="C3130" s="4">
        <v>45931</v>
      </c>
      <c r="F3130" s="4">
        <v>47220</v>
      </c>
      <c r="G3130" t="s">
        <v>173</v>
      </c>
      <c r="H3130" t="s">
        <v>5772</v>
      </c>
      <c r="K3130" t="s">
        <v>41</v>
      </c>
      <c r="L3130" t="s">
        <v>5172</v>
      </c>
      <c r="M3130" t="s">
        <v>42</v>
      </c>
      <c r="N3130" t="s">
        <v>3122</v>
      </c>
      <c r="O3130" t="s">
        <v>32</v>
      </c>
      <c r="P3130" t="s">
        <v>5808</v>
      </c>
      <c r="Q3130">
        <v>200</v>
      </c>
      <c r="R3130">
        <v>200</v>
      </c>
      <c r="S3130" t="s">
        <v>56</v>
      </c>
      <c r="T3130" t="s">
        <v>57</v>
      </c>
      <c r="W3130">
        <v>200</v>
      </c>
      <c r="X3130">
        <v>200</v>
      </c>
      <c r="Y3130">
        <v>0</v>
      </c>
      <c r="Z3130">
        <v>0</v>
      </c>
    </row>
    <row r="3131" spans="1:26" hidden="1" x14ac:dyDescent="0.25">
      <c r="A3131" t="s">
        <v>6393</v>
      </c>
      <c r="B3131" t="s">
        <v>2153</v>
      </c>
      <c r="C3131" s="4">
        <v>45931</v>
      </c>
      <c r="F3131" s="4">
        <v>47818</v>
      </c>
      <c r="G3131" t="s">
        <v>871</v>
      </c>
      <c r="H3131" t="s">
        <v>6394</v>
      </c>
      <c r="K3131" t="s">
        <v>28</v>
      </c>
      <c r="L3131" t="s">
        <v>5172</v>
      </c>
      <c r="M3131" t="s">
        <v>42</v>
      </c>
      <c r="N3131" t="s">
        <v>3122</v>
      </c>
      <c r="O3131" t="s">
        <v>32</v>
      </c>
      <c r="P3131" t="s">
        <v>6395</v>
      </c>
      <c r="Q3131">
        <v>110</v>
      </c>
      <c r="R3131">
        <v>110</v>
      </c>
      <c r="S3131" t="s">
        <v>34</v>
      </c>
      <c r="T3131" t="s">
        <v>35</v>
      </c>
      <c r="W3131">
        <v>110</v>
      </c>
      <c r="X3131">
        <v>110</v>
      </c>
      <c r="Y3131">
        <v>0</v>
      </c>
      <c r="Z3131">
        <v>0</v>
      </c>
    </row>
    <row r="3132" spans="1:26" hidden="1" x14ac:dyDescent="0.25">
      <c r="A3132" t="s">
        <v>6396</v>
      </c>
      <c r="B3132" t="s">
        <v>2153</v>
      </c>
      <c r="C3132" s="4">
        <v>45931</v>
      </c>
      <c r="F3132" s="4">
        <v>47635</v>
      </c>
      <c r="G3132" t="s">
        <v>1311</v>
      </c>
      <c r="H3132" t="s">
        <v>2878</v>
      </c>
      <c r="K3132" t="s">
        <v>114</v>
      </c>
      <c r="L3132" t="s">
        <v>5172</v>
      </c>
      <c r="M3132" t="s">
        <v>68</v>
      </c>
      <c r="N3132" t="s">
        <v>3122</v>
      </c>
      <c r="O3132" t="s">
        <v>32</v>
      </c>
      <c r="P3132" t="s">
        <v>6397</v>
      </c>
      <c r="Q3132">
        <v>100</v>
      </c>
      <c r="R3132">
        <v>100</v>
      </c>
      <c r="S3132" t="s">
        <v>159</v>
      </c>
      <c r="T3132" t="s">
        <v>159</v>
      </c>
      <c r="W3132">
        <v>100</v>
      </c>
      <c r="X3132">
        <v>100</v>
      </c>
      <c r="Y3132">
        <v>0</v>
      </c>
      <c r="Z3132">
        <v>0</v>
      </c>
    </row>
    <row r="3133" spans="1:26" hidden="1" x14ac:dyDescent="0.25">
      <c r="A3133" t="s">
        <v>6398</v>
      </c>
      <c r="B3133" t="s">
        <v>38</v>
      </c>
      <c r="C3133" s="4">
        <v>45933</v>
      </c>
      <c r="D3133" s="4">
        <v>46127</v>
      </c>
      <c r="F3133" s="4">
        <v>47514</v>
      </c>
      <c r="G3133" t="s">
        <v>173</v>
      </c>
      <c r="H3133" t="s">
        <v>2569</v>
      </c>
      <c r="K3133" t="s">
        <v>41</v>
      </c>
      <c r="L3133" t="s">
        <v>5172</v>
      </c>
      <c r="M3133" t="s">
        <v>42</v>
      </c>
      <c r="N3133" t="s">
        <v>3122</v>
      </c>
      <c r="O3133" t="s">
        <v>32</v>
      </c>
      <c r="P3133" t="s">
        <v>4978</v>
      </c>
      <c r="Q3133">
        <v>303.8</v>
      </c>
      <c r="R3133">
        <v>303.8</v>
      </c>
      <c r="S3133" t="s">
        <v>34</v>
      </c>
      <c r="T3133" t="s">
        <v>35</v>
      </c>
      <c r="W3133">
        <v>0</v>
      </c>
      <c r="X3133">
        <v>0</v>
      </c>
      <c r="Y3133">
        <v>0</v>
      </c>
      <c r="Z3133">
        <v>0</v>
      </c>
    </row>
    <row r="3134" spans="1:26" hidden="1" x14ac:dyDescent="0.25">
      <c r="A3134" t="s">
        <v>6399</v>
      </c>
      <c r="B3134" t="s">
        <v>38</v>
      </c>
      <c r="C3134" s="4">
        <v>45933</v>
      </c>
      <c r="D3134" s="4">
        <v>46127</v>
      </c>
      <c r="F3134" s="4">
        <v>47635</v>
      </c>
      <c r="G3134" t="s">
        <v>616</v>
      </c>
      <c r="H3134" t="s">
        <v>2895</v>
      </c>
      <c r="K3134" t="s">
        <v>146</v>
      </c>
      <c r="L3134" t="s">
        <v>5172</v>
      </c>
      <c r="M3134" t="s">
        <v>68</v>
      </c>
      <c r="N3134" t="s">
        <v>3122</v>
      </c>
      <c r="O3134" t="s">
        <v>32</v>
      </c>
      <c r="P3134" t="s">
        <v>6400</v>
      </c>
      <c r="Q3134">
        <v>756</v>
      </c>
      <c r="R3134">
        <v>756</v>
      </c>
      <c r="S3134" t="s">
        <v>389</v>
      </c>
      <c r="T3134" t="s">
        <v>390</v>
      </c>
      <c r="W3134">
        <v>0</v>
      </c>
      <c r="X3134">
        <v>0</v>
      </c>
      <c r="Y3134">
        <v>0</v>
      </c>
      <c r="Z3134">
        <v>0</v>
      </c>
    </row>
    <row r="3135" spans="1:26" hidden="1" x14ac:dyDescent="0.25">
      <c r="A3135" t="s">
        <v>6401</v>
      </c>
      <c r="B3135" t="s">
        <v>38</v>
      </c>
      <c r="C3135" s="4">
        <v>45933</v>
      </c>
      <c r="D3135" s="4">
        <v>46127</v>
      </c>
      <c r="F3135" s="4">
        <v>47484</v>
      </c>
      <c r="G3135" t="s">
        <v>65</v>
      </c>
      <c r="H3135" t="s">
        <v>1571</v>
      </c>
      <c r="K3135" t="s">
        <v>67</v>
      </c>
      <c r="L3135" t="s">
        <v>5172</v>
      </c>
      <c r="M3135" t="s">
        <v>68</v>
      </c>
      <c r="N3135" t="s">
        <v>3122</v>
      </c>
      <c r="O3135" t="s">
        <v>32</v>
      </c>
      <c r="P3135" t="s">
        <v>4085</v>
      </c>
      <c r="Q3135">
        <v>200</v>
      </c>
      <c r="R3135">
        <v>200</v>
      </c>
      <c r="S3135" t="s">
        <v>597</v>
      </c>
      <c r="T3135" t="s">
        <v>598</v>
      </c>
      <c r="W3135">
        <v>0</v>
      </c>
      <c r="X3135">
        <v>0</v>
      </c>
      <c r="Y3135">
        <v>0</v>
      </c>
      <c r="Z3135">
        <v>0</v>
      </c>
    </row>
    <row r="3136" spans="1:26" hidden="1" x14ac:dyDescent="0.25">
      <c r="A3136" t="s">
        <v>6402</v>
      </c>
      <c r="B3136" t="s">
        <v>38</v>
      </c>
      <c r="C3136" s="4">
        <v>45933</v>
      </c>
      <c r="D3136" s="4">
        <v>46017</v>
      </c>
      <c r="F3136" s="4">
        <v>47603</v>
      </c>
      <c r="G3136" t="s">
        <v>177</v>
      </c>
      <c r="H3136" t="s">
        <v>1505</v>
      </c>
      <c r="K3136" t="s">
        <v>62</v>
      </c>
      <c r="L3136" t="s">
        <v>5172</v>
      </c>
      <c r="M3136" t="s">
        <v>42</v>
      </c>
      <c r="N3136" t="s">
        <v>3122</v>
      </c>
      <c r="O3136" t="s">
        <v>32</v>
      </c>
      <c r="P3136" t="s">
        <v>6316</v>
      </c>
      <c r="Q3136">
        <v>450</v>
      </c>
      <c r="R3136">
        <v>450</v>
      </c>
      <c r="S3136" t="s">
        <v>56</v>
      </c>
      <c r="T3136" t="s">
        <v>57</v>
      </c>
      <c r="W3136">
        <v>0</v>
      </c>
      <c r="X3136">
        <v>0</v>
      </c>
      <c r="Y3136">
        <v>0</v>
      </c>
      <c r="Z3136">
        <v>0</v>
      </c>
    </row>
    <row r="3137" spans="1:26" hidden="1" x14ac:dyDescent="0.25">
      <c r="A3137" t="s">
        <v>6403</v>
      </c>
      <c r="B3137" t="s">
        <v>38</v>
      </c>
      <c r="C3137" s="4">
        <v>45933</v>
      </c>
      <c r="D3137" s="4">
        <v>46014</v>
      </c>
      <c r="F3137" s="4">
        <v>47603</v>
      </c>
      <c r="G3137" t="s">
        <v>177</v>
      </c>
      <c r="H3137" t="s">
        <v>1505</v>
      </c>
      <c r="K3137" t="s">
        <v>62</v>
      </c>
      <c r="L3137" t="s">
        <v>5172</v>
      </c>
      <c r="M3137" t="s">
        <v>42</v>
      </c>
      <c r="N3137" t="s">
        <v>3122</v>
      </c>
      <c r="O3137" t="s">
        <v>32</v>
      </c>
      <c r="P3137" t="s">
        <v>6404</v>
      </c>
      <c r="Q3137">
        <v>250</v>
      </c>
      <c r="R3137">
        <v>250</v>
      </c>
      <c r="S3137" t="s">
        <v>159</v>
      </c>
      <c r="T3137" t="s">
        <v>159</v>
      </c>
      <c r="W3137">
        <v>0</v>
      </c>
      <c r="X3137">
        <v>0</v>
      </c>
      <c r="Y3137">
        <v>0</v>
      </c>
      <c r="Z3137">
        <v>0</v>
      </c>
    </row>
    <row r="3138" spans="1:26" hidden="1" x14ac:dyDescent="0.25">
      <c r="A3138" t="s">
        <v>6405</v>
      </c>
      <c r="B3138" t="s">
        <v>2153</v>
      </c>
      <c r="C3138" s="4">
        <v>45929</v>
      </c>
      <c r="F3138" s="4">
        <v>47725</v>
      </c>
      <c r="G3138" t="s">
        <v>117</v>
      </c>
      <c r="H3138" t="s">
        <v>1887</v>
      </c>
      <c r="K3138" t="s">
        <v>83</v>
      </c>
      <c r="L3138" t="s">
        <v>6052</v>
      </c>
      <c r="M3138" t="s">
        <v>84</v>
      </c>
      <c r="O3138" t="s">
        <v>32</v>
      </c>
      <c r="P3138" t="s">
        <v>1345</v>
      </c>
      <c r="Q3138">
        <v>200</v>
      </c>
      <c r="R3138">
        <v>200</v>
      </c>
      <c r="S3138" t="s">
        <v>159</v>
      </c>
      <c r="T3138" t="s">
        <v>159</v>
      </c>
      <c r="W3138">
        <v>0</v>
      </c>
      <c r="X3138">
        <v>0</v>
      </c>
      <c r="Y3138">
        <v>0</v>
      </c>
      <c r="Z3138">
        <v>0</v>
      </c>
    </row>
    <row r="3139" spans="1:26" hidden="1" x14ac:dyDescent="0.25">
      <c r="A3139" t="s">
        <v>6406</v>
      </c>
      <c r="B3139" t="s">
        <v>2153</v>
      </c>
      <c r="C3139" s="4">
        <v>45937</v>
      </c>
      <c r="F3139" s="4">
        <v>47485</v>
      </c>
      <c r="G3139" t="s">
        <v>65</v>
      </c>
      <c r="H3139" t="s">
        <v>1522</v>
      </c>
      <c r="K3139" t="s">
        <v>146</v>
      </c>
      <c r="L3139" t="s">
        <v>6052</v>
      </c>
      <c r="M3139" t="s">
        <v>68</v>
      </c>
      <c r="O3139" t="s">
        <v>32</v>
      </c>
      <c r="P3139" t="s">
        <v>6407</v>
      </c>
      <c r="Q3139">
        <v>755</v>
      </c>
      <c r="R3139">
        <v>805</v>
      </c>
      <c r="S3139" t="s">
        <v>389</v>
      </c>
      <c r="T3139" t="s">
        <v>390</v>
      </c>
      <c r="W3139">
        <v>0</v>
      </c>
      <c r="X3139">
        <v>0</v>
      </c>
      <c r="Y3139">
        <v>0</v>
      </c>
      <c r="Z3139">
        <v>0</v>
      </c>
    </row>
    <row r="3140" spans="1:26" hidden="1" x14ac:dyDescent="0.25">
      <c r="A3140" t="s">
        <v>6408</v>
      </c>
      <c r="B3140" t="s">
        <v>38</v>
      </c>
      <c r="C3140" s="4">
        <v>45925</v>
      </c>
      <c r="D3140" s="4">
        <v>46127</v>
      </c>
      <c r="F3140" s="4">
        <v>47604</v>
      </c>
      <c r="G3140" t="s">
        <v>65</v>
      </c>
      <c r="H3140" t="s">
        <v>2954</v>
      </c>
      <c r="K3140" t="s">
        <v>67</v>
      </c>
      <c r="L3140" t="s">
        <v>5172</v>
      </c>
      <c r="M3140" t="s">
        <v>68</v>
      </c>
      <c r="N3140" t="s">
        <v>3122</v>
      </c>
      <c r="O3140" t="s">
        <v>32</v>
      </c>
      <c r="P3140" t="s">
        <v>6409</v>
      </c>
      <c r="Q3140">
        <v>115</v>
      </c>
      <c r="R3140">
        <v>115</v>
      </c>
      <c r="S3140" t="s">
        <v>597</v>
      </c>
      <c r="T3140" t="s">
        <v>598</v>
      </c>
      <c r="W3140">
        <v>0</v>
      </c>
      <c r="X3140">
        <v>0</v>
      </c>
      <c r="Y3140">
        <v>0</v>
      </c>
      <c r="Z3140">
        <v>0</v>
      </c>
    </row>
    <row r="3141" spans="1:26" hidden="1" x14ac:dyDescent="0.25">
      <c r="A3141" t="s">
        <v>6410</v>
      </c>
      <c r="B3141" t="s">
        <v>38</v>
      </c>
      <c r="C3141" s="4">
        <v>45925</v>
      </c>
      <c r="D3141" s="4">
        <v>46128</v>
      </c>
      <c r="F3141" s="4">
        <v>47634</v>
      </c>
      <c r="G3141" t="s">
        <v>144</v>
      </c>
      <c r="H3141" t="s">
        <v>1571</v>
      </c>
      <c r="K3141" t="s">
        <v>146</v>
      </c>
      <c r="L3141" t="s">
        <v>5172</v>
      </c>
      <c r="M3141" t="s">
        <v>68</v>
      </c>
      <c r="N3141" t="s">
        <v>3122</v>
      </c>
      <c r="O3141" t="s">
        <v>32</v>
      </c>
      <c r="P3141" t="s">
        <v>6411</v>
      </c>
      <c r="Q3141">
        <v>100</v>
      </c>
      <c r="R3141">
        <v>100</v>
      </c>
      <c r="S3141" t="s">
        <v>159</v>
      </c>
      <c r="T3141" t="s">
        <v>159</v>
      </c>
      <c r="W3141">
        <v>0</v>
      </c>
      <c r="X3141">
        <v>0</v>
      </c>
      <c r="Y3141">
        <v>0</v>
      </c>
      <c r="Z3141">
        <v>0</v>
      </c>
    </row>
    <row r="3142" spans="1:26" hidden="1" x14ac:dyDescent="0.25">
      <c r="A3142" t="s">
        <v>6412</v>
      </c>
      <c r="B3142" t="s">
        <v>38</v>
      </c>
      <c r="C3142" s="4">
        <v>45937</v>
      </c>
      <c r="D3142" s="4">
        <v>46010</v>
      </c>
      <c r="F3142" s="4">
        <v>47664</v>
      </c>
      <c r="G3142" t="s">
        <v>144</v>
      </c>
      <c r="H3142" t="s">
        <v>1418</v>
      </c>
      <c r="K3142" t="s">
        <v>146</v>
      </c>
      <c r="L3142" t="s">
        <v>5172</v>
      </c>
      <c r="M3142" t="s">
        <v>68</v>
      </c>
      <c r="N3142" t="s">
        <v>3122</v>
      </c>
      <c r="O3142" t="s">
        <v>32</v>
      </c>
      <c r="P3142" t="s">
        <v>4974</v>
      </c>
      <c r="Q3142">
        <v>650</v>
      </c>
      <c r="R3142">
        <v>650</v>
      </c>
      <c r="S3142" t="s">
        <v>389</v>
      </c>
      <c r="T3142" t="s">
        <v>390</v>
      </c>
      <c r="W3142">
        <v>0</v>
      </c>
      <c r="X3142">
        <v>0</v>
      </c>
      <c r="Y3142">
        <v>0</v>
      </c>
      <c r="Z3142">
        <v>0</v>
      </c>
    </row>
    <row r="3143" spans="1:26" hidden="1" x14ac:dyDescent="0.25">
      <c r="A3143" t="s">
        <v>6413</v>
      </c>
      <c r="B3143" t="s">
        <v>38</v>
      </c>
      <c r="C3143" s="4">
        <v>45934</v>
      </c>
      <c r="D3143" s="4">
        <v>46092</v>
      </c>
      <c r="F3143" s="4">
        <v>47726</v>
      </c>
      <c r="G3143" t="s">
        <v>144</v>
      </c>
      <c r="H3143" t="s">
        <v>1424</v>
      </c>
      <c r="K3143" t="s">
        <v>146</v>
      </c>
      <c r="L3143" t="s">
        <v>5172</v>
      </c>
      <c r="M3143" t="s">
        <v>68</v>
      </c>
      <c r="N3143" t="s">
        <v>3122</v>
      </c>
      <c r="O3143" t="s">
        <v>32</v>
      </c>
      <c r="P3143" t="s">
        <v>6414</v>
      </c>
      <c r="Q3143">
        <v>115</v>
      </c>
      <c r="R3143">
        <v>115</v>
      </c>
      <c r="S3143" t="s">
        <v>34</v>
      </c>
      <c r="T3143" t="s">
        <v>35</v>
      </c>
      <c r="W3143">
        <v>0</v>
      </c>
      <c r="X3143">
        <v>0</v>
      </c>
      <c r="Y3143">
        <v>0</v>
      </c>
      <c r="Z3143">
        <v>0</v>
      </c>
    </row>
    <row r="3144" spans="1:26" hidden="1" x14ac:dyDescent="0.25">
      <c r="A3144" t="s">
        <v>6415</v>
      </c>
      <c r="B3144" t="s">
        <v>38</v>
      </c>
      <c r="C3144" s="4">
        <v>45934</v>
      </c>
      <c r="D3144" s="4">
        <v>46127</v>
      </c>
      <c r="F3144" s="4">
        <v>47726</v>
      </c>
      <c r="G3144" t="s">
        <v>144</v>
      </c>
      <c r="H3144" t="s">
        <v>1496</v>
      </c>
      <c r="K3144" t="s">
        <v>146</v>
      </c>
      <c r="L3144" t="s">
        <v>5172</v>
      </c>
      <c r="M3144" t="s">
        <v>68</v>
      </c>
      <c r="N3144" t="s">
        <v>3122</v>
      </c>
      <c r="O3144" t="s">
        <v>32</v>
      </c>
      <c r="P3144" t="s">
        <v>6416</v>
      </c>
      <c r="Q3144">
        <v>150</v>
      </c>
      <c r="R3144">
        <v>150</v>
      </c>
      <c r="S3144" t="s">
        <v>34</v>
      </c>
      <c r="T3144" t="s">
        <v>35</v>
      </c>
      <c r="W3144">
        <v>0</v>
      </c>
      <c r="X3144">
        <v>0</v>
      </c>
      <c r="Y3144">
        <v>0</v>
      </c>
      <c r="Z3144">
        <v>0</v>
      </c>
    </row>
    <row r="3145" spans="1:26" hidden="1" x14ac:dyDescent="0.25">
      <c r="A3145" t="s">
        <v>6417</v>
      </c>
      <c r="B3145" t="s">
        <v>38</v>
      </c>
      <c r="C3145" s="4">
        <v>45936</v>
      </c>
      <c r="D3145" s="4">
        <v>46127</v>
      </c>
      <c r="F3145" s="4">
        <v>47664</v>
      </c>
      <c r="G3145" t="s">
        <v>1278</v>
      </c>
      <c r="H3145" t="s">
        <v>1645</v>
      </c>
      <c r="K3145" t="s">
        <v>28</v>
      </c>
      <c r="L3145" t="s">
        <v>5172</v>
      </c>
      <c r="M3145" t="s">
        <v>30</v>
      </c>
      <c r="N3145" t="s">
        <v>3122</v>
      </c>
      <c r="O3145" t="s">
        <v>32</v>
      </c>
      <c r="P3145" t="s">
        <v>1645</v>
      </c>
      <c r="Q3145">
        <v>525</v>
      </c>
      <c r="R3145">
        <v>525</v>
      </c>
      <c r="S3145" t="s">
        <v>389</v>
      </c>
      <c r="T3145" t="s">
        <v>584</v>
      </c>
      <c r="W3145">
        <v>0</v>
      </c>
      <c r="X3145">
        <v>0</v>
      </c>
      <c r="Y3145">
        <v>0</v>
      </c>
      <c r="Z3145">
        <v>0</v>
      </c>
    </row>
    <row r="3146" spans="1:26" hidden="1" x14ac:dyDescent="0.25">
      <c r="A3146" t="s">
        <v>6418</v>
      </c>
      <c r="B3146" t="s">
        <v>2153</v>
      </c>
      <c r="C3146" s="4">
        <v>45936</v>
      </c>
      <c r="F3146" s="4">
        <v>46934</v>
      </c>
      <c r="G3146" t="s">
        <v>72</v>
      </c>
      <c r="H3146" t="s">
        <v>2201</v>
      </c>
      <c r="K3146" t="s">
        <v>209</v>
      </c>
      <c r="L3146" t="s">
        <v>6052</v>
      </c>
      <c r="M3146" t="s">
        <v>42</v>
      </c>
      <c r="O3146" t="s">
        <v>32</v>
      </c>
      <c r="P3146" t="s">
        <v>6419</v>
      </c>
      <c r="Q3146">
        <v>98</v>
      </c>
      <c r="R3146">
        <v>98</v>
      </c>
      <c r="S3146" t="s">
        <v>389</v>
      </c>
      <c r="T3146" t="s">
        <v>390</v>
      </c>
      <c r="W3146">
        <v>0</v>
      </c>
      <c r="X3146">
        <v>0</v>
      </c>
      <c r="Y3146">
        <v>0</v>
      </c>
      <c r="Z3146">
        <v>0</v>
      </c>
    </row>
    <row r="3147" spans="1:26" hidden="1" x14ac:dyDescent="0.25">
      <c r="A3147" t="s">
        <v>6420</v>
      </c>
      <c r="B3147" t="s">
        <v>2153</v>
      </c>
      <c r="C3147" s="4">
        <v>45906</v>
      </c>
      <c r="F3147" s="4">
        <v>46969</v>
      </c>
      <c r="G3147" t="s">
        <v>1311</v>
      </c>
      <c r="L3147" t="s">
        <v>6283</v>
      </c>
      <c r="M3147" t="s">
        <v>6284</v>
      </c>
      <c r="O3147" t="s">
        <v>32</v>
      </c>
      <c r="Q3147">
        <v>0</v>
      </c>
      <c r="R3147">
        <v>0</v>
      </c>
      <c r="U3147" t="s">
        <v>44</v>
      </c>
      <c r="V3147" s="4">
        <v>46969</v>
      </c>
      <c r="W3147">
        <v>0</v>
      </c>
      <c r="X3147">
        <v>0</v>
      </c>
      <c r="Y3147">
        <v>0</v>
      </c>
      <c r="Z3147">
        <v>0</v>
      </c>
    </row>
    <row r="3148" spans="1:26" hidden="1" x14ac:dyDescent="0.25">
      <c r="A3148" t="s">
        <v>6421</v>
      </c>
      <c r="B3148" t="s">
        <v>2153</v>
      </c>
      <c r="C3148" s="4">
        <v>45933</v>
      </c>
      <c r="F3148" s="4">
        <v>47514</v>
      </c>
      <c r="G3148" t="s">
        <v>173</v>
      </c>
      <c r="H3148" t="s">
        <v>1542</v>
      </c>
      <c r="K3148" t="s">
        <v>41</v>
      </c>
      <c r="L3148" t="s">
        <v>5172</v>
      </c>
      <c r="M3148" t="s">
        <v>42</v>
      </c>
      <c r="N3148" t="s">
        <v>3122</v>
      </c>
      <c r="O3148" t="s">
        <v>122</v>
      </c>
      <c r="P3148" t="s">
        <v>5808</v>
      </c>
      <c r="Q3148">
        <v>245</v>
      </c>
      <c r="R3148">
        <v>245</v>
      </c>
      <c r="S3148" t="s">
        <v>34</v>
      </c>
      <c r="T3148" t="s">
        <v>35</v>
      </c>
      <c r="W3148">
        <v>245</v>
      </c>
      <c r="X3148">
        <v>0</v>
      </c>
      <c r="Y3148">
        <v>0</v>
      </c>
      <c r="Z3148">
        <v>0</v>
      </c>
    </row>
    <row r="3149" spans="1:26" hidden="1" x14ac:dyDescent="0.25">
      <c r="A3149" t="s">
        <v>6422</v>
      </c>
      <c r="B3149" t="s">
        <v>2153</v>
      </c>
      <c r="C3149" s="4">
        <v>45933</v>
      </c>
      <c r="F3149" s="4">
        <v>47514</v>
      </c>
      <c r="G3149" t="s">
        <v>173</v>
      </c>
      <c r="H3149" t="s">
        <v>1542</v>
      </c>
      <c r="K3149" t="s">
        <v>41</v>
      </c>
      <c r="L3149" t="s">
        <v>5172</v>
      </c>
      <c r="M3149" t="s">
        <v>42</v>
      </c>
      <c r="N3149" t="s">
        <v>3122</v>
      </c>
      <c r="O3149" t="s">
        <v>122</v>
      </c>
      <c r="P3149" t="s">
        <v>5808</v>
      </c>
      <c r="Q3149">
        <v>245</v>
      </c>
      <c r="R3149">
        <v>245</v>
      </c>
      <c r="S3149" t="s">
        <v>34</v>
      </c>
      <c r="T3149" t="s">
        <v>35</v>
      </c>
      <c r="W3149">
        <v>245</v>
      </c>
      <c r="X3149">
        <v>0</v>
      </c>
      <c r="Y3149">
        <v>0</v>
      </c>
      <c r="Z3149">
        <v>0</v>
      </c>
    </row>
    <row r="3150" spans="1:26" hidden="1" x14ac:dyDescent="0.25">
      <c r="A3150" t="s">
        <v>6423</v>
      </c>
      <c r="B3150" t="s">
        <v>38</v>
      </c>
      <c r="C3150" s="4">
        <v>45935</v>
      </c>
      <c r="D3150" s="4">
        <v>46015</v>
      </c>
      <c r="F3150" s="4">
        <v>47603</v>
      </c>
      <c r="G3150" t="s">
        <v>177</v>
      </c>
      <c r="H3150" t="s">
        <v>1505</v>
      </c>
      <c r="K3150" t="s">
        <v>62</v>
      </c>
      <c r="L3150" t="s">
        <v>5172</v>
      </c>
      <c r="M3150" t="s">
        <v>42</v>
      </c>
      <c r="N3150" t="s">
        <v>3122</v>
      </c>
      <c r="O3150" t="s">
        <v>32</v>
      </c>
      <c r="P3150" t="s">
        <v>6316</v>
      </c>
      <c r="Q3150">
        <v>150</v>
      </c>
      <c r="R3150">
        <v>150</v>
      </c>
      <c r="S3150" t="s">
        <v>56</v>
      </c>
      <c r="T3150" t="s">
        <v>57</v>
      </c>
      <c r="W3150">
        <v>0</v>
      </c>
      <c r="X3150">
        <v>0</v>
      </c>
      <c r="Y3150">
        <v>0</v>
      </c>
      <c r="Z3150">
        <v>0</v>
      </c>
    </row>
    <row r="3151" spans="1:26" hidden="1" x14ac:dyDescent="0.25">
      <c r="A3151" t="s">
        <v>6424</v>
      </c>
      <c r="B3151" t="s">
        <v>2153</v>
      </c>
      <c r="C3151" s="4">
        <v>45936</v>
      </c>
      <c r="F3151" s="4">
        <v>46631</v>
      </c>
      <c r="G3151" t="s">
        <v>1381</v>
      </c>
      <c r="H3151" t="s">
        <v>1402</v>
      </c>
      <c r="K3151" t="s">
        <v>209</v>
      </c>
      <c r="L3151" t="s">
        <v>5172</v>
      </c>
      <c r="M3151" t="s">
        <v>42</v>
      </c>
      <c r="N3151" t="s">
        <v>3122</v>
      </c>
      <c r="O3151" t="s">
        <v>32</v>
      </c>
      <c r="P3151" t="s">
        <v>6425</v>
      </c>
      <c r="Q3151">
        <v>42.24</v>
      </c>
      <c r="R3151">
        <v>42.24</v>
      </c>
      <c r="S3151" t="s">
        <v>34</v>
      </c>
      <c r="T3151" t="s">
        <v>35</v>
      </c>
      <c r="W3151">
        <v>39</v>
      </c>
      <c r="X3151">
        <v>39</v>
      </c>
      <c r="Y3151">
        <v>0</v>
      </c>
      <c r="Z3151">
        <v>0</v>
      </c>
    </row>
    <row r="3152" spans="1:26" hidden="1" x14ac:dyDescent="0.25">
      <c r="A3152" t="s">
        <v>6426</v>
      </c>
      <c r="B3152" t="s">
        <v>2153</v>
      </c>
      <c r="C3152" s="4">
        <v>45936</v>
      </c>
      <c r="F3152" s="4">
        <v>47604</v>
      </c>
      <c r="G3152" t="s">
        <v>6427</v>
      </c>
      <c r="H3152" t="s">
        <v>2578</v>
      </c>
      <c r="K3152" t="s">
        <v>41</v>
      </c>
      <c r="L3152" t="s">
        <v>5172</v>
      </c>
      <c r="M3152" t="s">
        <v>42</v>
      </c>
      <c r="N3152" t="s">
        <v>3122</v>
      </c>
      <c r="O3152" t="s">
        <v>32</v>
      </c>
      <c r="P3152" t="s">
        <v>2579</v>
      </c>
      <c r="Q3152">
        <v>225</v>
      </c>
      <c r="R3152">
        <v>225</v>
      </c>
      <c r="S3152" t="s">
        <v>34</v>
      </c>
      <c r="T3152" t="s">
        <v>35</v>
      </c>
      <c r="W3152">
        <v>225</v>
      </c>
      <c r="X3152">
        <v>225</v>
      </c>
      <c r="Y3152">
        <v>0</v>
      </c>
      <c r="Z3152">
        <v>0</v>
      </c>
    </row>
    <row r="3153" spans="1:26" hidden="1" x14ac:dyDescent="0.25">
      <c r="A3153" t="s">
        <v>6428</v>
      </c>
      <c r="B3153" t="s">
        <v>2153</v>
      </c>
      <c r="C3153" s="4">
        <v>45936</v>
      </c>
      <c r="F3153" s="4">
        <v>47756</v>
      </c>
      <c r="G3153" t="s">
        <v>6303</v>
      </c>
      <c r="H3153" t="s">
        <v>2578</v>
      </c>
      <c r="K3153" t="s">
        <v>41</v>
      </c>
      <c r="L3153" t="s">
        <v>6052</v>
      </c>
      <c r="M3153" t="s">
        <v>42</v>
      </c>
      <c r="O3153" t="s">
        <v>32</v>
      </c>
      <c r="P3153" t="s">
        <v>2579</v>
      </c>
      <c r="Q3153">
        <v>250</v>
      </c>
      <c r="R3153">
        <v>250</v>
      </c>
      <c r="S3153" t="s">
        <v>34</v>
      </c>
      <c r="T3153" t="s">
        <v>35</v>
      </c>
      <c r="W3153">
        <v>0</v>
      </c>
      <c r="X3153">
        <v>0</v>
      </c>
      <c r="Y3153">
        <v>0</v>
      </c>
      <c r="Z3153">
        <v>0</v>
      </c>
    </row>
    <row r="3154" spans="1:26" hidden="1" x14ac:dyDescent="0.25">
      <c r="A3154" t="s">
        <v>6429</v>
      </c>
      <c r="B3154" t="s">
        <v>2153</v>
      </c>
      <c r="C3154" s="4">
        <v>45937</v>
      </c>
      <c r="F3154" s="4">
        <v>48027</v>
      </c>
      <c r="G3154" t="s">
        <v>177</v>
      </c>
      <c r="H3154" t="s">
        <v>1505</v>
      </c>
      <c r="K3154" t="s">
        <v>62</v>
      </c>
      <c r="L3154" t="s">
        <v>6052</v>
      </c>
      <c r="M3154" t="s">
        <v>42</v>
      </c>
      <c r="O3154" t="s">
        <v>32</v>
      </c>
      <c r="P3154" t="s">
        <v>6316</v>
      </c>
      <c r="Q3154">
        <v>250</v>
      </c>
      <c r="R3154">
        <v>250</v>
      </c>
      <c r="S3154" t="s">
        <v>159</v>
      </c>
      <c r="T3154" t="s">
        <v>159</v>
      </c>
      <c r="W3154">
        <v>0</v>
      </c>
      <c r="X3154">
        <v>0</v>
      </c>
      <c r="Y3154">
        <v>0</v>
      </c>
      <c r="Z3154">
        <v>0</v>
      </c>
    </row>
    <row r="3155" spans="1:26" hidden="1" x14ac:dyDescent="0.25">
      <c r="A3155" t="s">
        <v>6430</v>
      </c>
      <c r="B3155" t="s">
        <v>2153</v>
      </c>
      <c r="C3155" s="4">
        <v>45937</v>
      </c>
      <c r="F3155" s="4">
        <v>46966</v>
      </c>
      <c r="G3155" t="s">
        <v>5280</v>
      </c>
      <c r="H3155" t="s">
        <v>1648</v>
      </c>
      <c r="K3155" t="s">
        <v>114</v>
      </c>
      <c r="L3155" t="s">
        <v>6052</v>
      </c>
      <c r="M3155" t="s">
        <v>68</v>
      </c>
      <c r="O3155" t="s">
        <v>32</v>
      </c>
      <c r="P3155" t="s">
        <v>6431</v>
      </c>
      <c r="Q3155">
        <v>200</v>
      </c>
      <c r="R3155">
        <v>200</v>
      </c>
      <c r="S3155" t="s">
        <v>159</v>
      </c>
      <c r="T3155" t="s">
        <v>159</v>
      </c>
      <c r="W3155">
        <v>0</v>
      </c>
      <c r="X3155">
        <v>0</v>
      </c>
      <c r="Y3155">
        <v>0</v>
      </c>
      <c r="Z3155">
        <v>0</v>
      </c>
    </row>
    <row r="3156" spans="1:26" hidden="1" x14ac:dyDescent="0.25">
      <c r="A3156" t="s">
        <v>6432</v>
      </c>
      <c r="B3156" t="s">
        <v>2153</v>
      </c>
      <c r="C3156" s="4">
        <v>45936</v>
      </c>
      <c r="F3156" s="4">
        <v>47364</v>
      </c>
      <c r="G3156" t="s">
        <v>72</v>
      </c>
      <c r="H3156" t="s">
        <v>2246</v>
      </c>
      <c r="K3156" t="s">
        <v>209</v>
      </c>
      <c r="L3156" t="s">
        <v>6052</v>
      </c>
      <c r="M3156" t="s">
        <v>42</v>
      </c>
      <c r="O3156" t="s">
        <v>32</v>
      </c>
      <c r="P3156" t="s">
        <v>6433</v>
      </c>
      <c r="Q3156">
        <v>195</v>
      </c>
      <c r="R3156">
        <v>195</v>
      </c>
      <c r="S3156" t="s">
        <v>159</v>
      </c>
      <c r="T3156" t="s">
        <v>159</v>
      </c>
      <c r="W3156">
        <v>0</v>
      </c>
      <c r="X3156">
        <v>0</v>
      </c>
      <c r="Y3156">
        <v>0</v>
      </c>
      <c r="Z3156">
        <v>0</v>
      </c>
    </row>
    <row r="3157" spans="1:26" hidden="1" x14ac:dyDescent="0.25">
      <c r="A3157" t="s">
        <v>6434</v>
      </c>
      <c r="B3157" t="s">
        <v>38</v>
      </c>
      <c r="C3157" s="4">
        <v>45936</v>
      </c>
      <c r="D3157" s="4">
        <v>46027</v>
      </c>
      <c r="F3157" s="4">
        <v>47362</v>
      </c>
      <c r="G3157" t="s">
        <v>144</v>
      </c>
      <c r="H3157" t="s">
        <v>1571</v>
      </c>
      <c r="K3157" t="s">
        <v>146</v>
      </c>
      <c r="L3157" t="s">
        <v>5172</v>
      </c>
      <c r="M3157" t="s">
        <v>68</v>
      </c>
      <c r="N3157" t="s">
        <v>3122</v>
      </c>
      <c r="O3157" t="s">
        <v>32</v>
      </c>
      <c r="P3157" t="s">
        <v>4081</v>
      </c>
      <c r="Q3157">
        <v>93</v>
      </c>
      <c r="R3157">
        <v>93</v>
      </c>
      <c r="S3157" t="s">
        <v>34</v>
      </c>
      <c r="T3157" t="s">
        <v>35</v>
      </c>
      <c r="W3157">
        <v>0</v>
      </c>
      <c r="X3157">
        <v>0</v>
      </c>
      <c r="Y3157">
        <v>0</v>
      </c>
      <c r="Z3157">
        <v>0</v>
      </c>
    </row>
    <row r="3158" spans="1:26" hidden="1" x14ac:dyDescent="0.25">
      <c r="A3158" t="s">
        <v>6435</v>
      </c>
      <c r="B3158" t="s">
        <v>2153</v>
      </c>
      <c r="C3158" s="4">
        <v>45933</v>
      </c>
      <c r="F3158" s="4">
        <v>47728</v>
      </c>
      <c r="G3158" t="s">
        <v>1597</v>
      </c>
      <c r="H3158" t="s">
        <v>1598</v>
      </c>
      <c r="K3158" t="s">
        <v>41</v>
      </c>
      <c r="L3158" t="s">
        <v>5172</v>
      </c>
      <c r="M3158" t="s">
        <v>42</v>
      </c>
      <c r="N3158" t="s">
        <v>3122</v>
      </c>
      <c r="O3158" t="s">
        <v>32</v>
      </c>
      <c r="P3158" t="s">
        <v>6436</v>
      </c>
      <c r="Q3158">
        <v>150</v>
      </c>
      <c r="R3158">
        <v>150</v>
      </c>
      <c r="S3158" t="s">
        <v>56</v>
      </c>
      <c r="T3158" t="s">
        <v>57</v>
      </c>
      <c r="W3158">
        <v>150</v>
      </c>
      <c r="X3158">
        <v>97.5</v>
      </c>
      <c r="Y3158">
        <v>0</v>
      </c>
      <c r="Z3158">
        <v>0</v>
      </c>
    </row>
    <row r="3159" spans="1:26" hidden="1" x14ac:dyDescent="0.25">
      <c r="A3159" t="s">
        <v>6437</v>
      </c>
      <c r="B3159" t="s">
        <v>2153</v>
      </c>
      <c r="C3159" s="4">
        <v>45932</v>
      </c>
      <c r="F3159" s="4">
        <v>47484</v>
      </c>
      <c r="G3159" t="s">
        <v>117</v>
      </c>
      <c r="H3159" t="s">
        <v>2145</v>
      </c>
      <c r="K3159" t="s">
        <v>83</v>
      </c>
      <c r="L3159" t="s">
        <v>6052</v>
      </c>
      <c r="M3159" t="s">
        <v>84</v>
      </c>
      <c r="O3159" t="s">
        <v>32</v>
      </c>
      <c r="P3159" t="s">
        <v>6438</v>
      </c>
      <c r="Q3159">
        <v>100</v>
      </c>
      <c r="R3159">
        <v>100</v>
      </c>
      <c r="S3159" t="s">
        <v>34</v>
      </c>
      <c r="T3159" t="s">
        <v>35</v>
      </c>
      <c r="W3159">
        <v>0</v>
      </c>
      <c r="X3159">
        <v>0</v>
      </c>
      <c r="Y3159">
        <v>0</v>
      </c>
      <c r="Z3159">
        <v>0</v>
      </c>
    </row>
    <row r="3160" spans="1:26" hidden="1" x14ac:dyDescent="0.25">
      <c r="A3160" t="s">
        <v>6439</v>
      </c>
      <c r="B3160" t="s">
        <v>2153</v>
      </c>
      <c r="C3160" s="4">
        <v>45882</v>
      </c>
      <c r="F3160" s="4">
        <v>46934</v>
      </c>
      <c r="G3160" t="s">
        <v>52</v>
      </c>
      <c r="H3160" t="s">
        <v>1362</v>
      </c>
      <c r="K3160" t="s">
        <v>53</v>
      </c>
      <c r="L3160" t="s">
        <v>6052</v>
      </c>
      <c r="M3160" t="s">
        <v>54</v>
      </c>
      <c r="O3160" t="s">
        <v>32</v>
      </c>
      <c r="P3160" t="s">
        <v>5060</v>
      </c>
      <c r="Q3160">
        <v>616</v>
      </c>
      <c r="R3160">
        <v>664</v>
      </c>
      <c r="S3160" t="s">
        <v>389</v>
      </c>
      <c r="T3160" t="s">
        <v>390</v>
      </c>
      <c r="W3160">
        <v>0</v>
      </c>
      <c r="X3160">
        <v>0</v>
      </c>
      <c r="Y3160">
        <v>0</v>
      </c>
      <c r="Z3160">
        <v>0</v>
      </c>
    </row>
    <row r="3161" spans="1:26" hidden="1" x14ac:dyDescent="0.25">
      <c r="A3161" t="s">
        <v>6440</v>
      </c>
      <c r="B3161" t="s">
        <v>2153</v>
      </c>
      <c r="C3161" s="4">
        <v>45882</v>
      </c>
      <c r="F3161" s="4">
        <v>46173</v>
      </c>
      <c r="G3161" t="s">
        <v>52</v>
      </c>
      <c r="H3161" t="s">
        <v>1362</v>
      </c>
      <c r="K3161" t="s">
        <v>53</v>
      </c>
      <c r="L3161" t="s">
        <v>5172</v>
      </c>
      <c r="M3161" t="s">
        <v>54</v>
      </c>
      <c r="N3161" t="s">
        <v>3122</v>
      </c>
      <c r="O3161" t="s">
        <v>32</v>
      </c>
      <c r="P3161" t="s">
        <v>5060</v>
      </c>
      <c r="Q3161">
        <v>55</v>
      </c>
      <c r="R3161">
        <v>55</v>
      </c>
      <c r="S3161" t="s">
        <v>389</v>
      </c>
      <c r="T3161" t="s">
        <v>584</v>
      </c>
      <c r="V3161" s="4">
        <v>46249</v>
      </c>
      <c r="W3161">
        <v>55</v>
      </c>
      <c r="X3161">
        <v>55</v>
      </c>
      <c r="Y3161">
        <v>0</v>
      </c>
      <c r="Z3161">
        <v>0</v>
      </c>
    </row>
    <row r="3162" spans="1:26" hidden="1" x14ac:dyDescent="0.25">
      <c r="A3162" t="s">
        <v>6441</v>
      </c>
      <c r="B3162" t="s">
        <v>38</v>
      </c>
      <c r="C3162" s="4">
        <v>45926</v>
      </c>
      <c r="D3162" s="4">
        <v>46127</v>
      </c>
      <c r="F3162" s="4">
        <v>47756</v>
      </c>
      <c r="G3162" t="s">
        <v>39</v>
      </c>
      <c r="H3162" t="s">
        <v>5404</v>
      </c>
      <c r="K3162" t="s">
        <v>41</v>
      </c>
      <c r="L3162" t="s">
        <v>5172</v>
      </c>
      <c r="M3162" t="s">
        <v>42</v>
      </c>
      <c r="N3162" t="s">
        <v>3122</v>
      </c>
      <c r="O3162" t="s">
        <v>32</v>
      </c>
      <c r="P3162" t="s">
        <v>6442</v>
      </c>
      <c r="Q3162">
        <v>1000</v>
      </c>
      <c r="R3162">
        <v>1000</v>
      </c>
      <c r="S3162" t="s">
        <v>34</v>
      </c>
      <c r="T3162" t="s">
        <v>35</v>
      </c>
      <c r="W3162">
        <v>0</v>
      </c>
      <c r="X3162">
        <v>0</v>
      </c>
      <c r="Y3162">
        <v>0</v>
      </c>
      <c r="Z3162">
        <v>0</v>
      </c>
    </row>
    <row r="3163" spans="1:26" hidden="1" x14ac:dyDescent="0.25">
      <c r="A3163" t="s">
        <v>6443</v>
      </c>
      <c r="B3163" t="s">
        <v>38</v>
      </c>
      <c r="C3163" s="4">
        <v>45929</v>
      </c>
      <c r="D3163" s="4">
        <v>46027</v>
      </c>
      <c r="F3163" s="4">
        <v>46846</v>
      </c>
      <c r="G3163" t="s">
        <v>39</v>
      </c>
      <c r="H3163" t="s">
        <v>6444</v>
      </c>
      <c r="K3163" t="s">
        <v>41</v>
      </c>
      <c r="L3163" t="s">
        <v>5172</v>
      </c>
      <c r="M3163" t="s">
        <v>42</v>
      </c>
      <c r="N3163" t="s">
        <v>3122</v>
      </c>
      <c r="O3163" t="s">
        <v>32</v>
      </c>
      <c r="P3163" t="s">
        <v>6445</v>
      </c>
      <c r="Q3163">
        <v>300</v>
      </c>
      <c r="R3163">
        <v>300</v>
      </c>
      <c r="S3163" t="s">
        <v>159</v>
      </c>
      <c r="T3163" t="s">
        <v>159</v>
      </c>
      <c r="W3163">
        <v>0</v>
      </c>
      <c r="X3163">
        <v>0</v>
      </c>
      <c r="Y3163">
        <v>0</v>
      </c>
      <c r="Z3163">
        <v>0</v>
      </c>
    </row>
    <row r="3164" spans="1:26" hidden="1" x14ac:dyDescent="0.25">
      <c r="A3164" t="s">
        <v>6446</v>
      </c>
      <c r="B3164" t="s">
        <v>2153</v>
      </c>
      <c r="C3164" s="4">
        <v>45966</v>
      </c>
      <c r="F3164" s="4">
        <v>46237</v>
      </c>
      <c r="H3164" t="s">
        <v>3698</v>
      </c>
      <c r="K3164" t="s">
        <v>67</v>
      </c>
      <c r="L3164" t="s">
        <v>6283</v>
      </c>
      <c r="M3164" t="s">
        <v>6284</v>
      </c>
      <c r="O3164" t="s">
        <v>122</v>
      </c>
      <c r="P3164" t="s">
        <v>6447</v>
      </c>
      <c r="Q3164">
        <v>0</v>
      </c>
      <c r="R3164">
        <v>0</v>
      </c>
      <c r="S3164" t="s">
        <v>6448</v>
      </c>
      <c r="T3164" t="s">
        <v>720</v>
      </c>
      <c r="W3164">
        <v>0</v>
      </c>
      <c r="X3164">
        <v>0</v>
      </c>
      <c r="Y3164">
        <v>0</v>
      </c>
      <c r="Z3164">
        <v>0</v>
      </c>
    </row>
    <row r="3165" spans="1:26" hidden="1" x14ac:dyDescent="0.25">
      <c r="A3165" t="s">
        <v>6449</v>
      </c>
      <c r="B3165" t="s">
        <v>2153</v>
      </c>
      <c r="C3165" s="4">
        <v>45929</v>
      </c>
      <c r="F3165" s="4">
        <v>47604</v>
      </c>
      <c r="G3165" t="s">
        <v>1278</v>
      </c>
      <c r="H3165" t="s">
        <v>2010</v>
      </c>
      <c r="K3165" t="s">
        <v>28</v>
      </c>
      <c r="L3165" t="s">
        <v>5172</v>
      </c>
      <c r="M3165" t="s">
        <v>30</v>
      </c>
      <c r="N3165" t="s">
        <v>3122</v>
      </c>
      <c r="O3165" t="s">
        <v>32</v>
      </c>
      <c r="P3165" t="s">
        <v>6450</v>
      </c>
      <c r="Q3165">
        <v>1203</v>
      </c>
      <c r="R3165">
        <v>1203</v>
      </c>
      <c r="S3165" t="s">
        <v>389</v>
      </c>
      <c r="T3165" t="s">
        <v>584</v>
      </c>
      <c r="W3165">
        <v>1203</v>
      </c>
      <c r="X3165">
        <v>1203</v>
      </c>
      <c r="Y3165">
        <v>0</v>
      </c>
      <c r="Z3165">
        <v>0</v>
      </c>
    </row>
    <row r="3166" spans="1:26" hidden="1" x14ac:dyDescent="0.25">
      <c r="A3166" t="s">
        <v>6451</v>
      </c>
      <c r="B3166" t="s">
        <v>2153</v>
      </c>
      <c r="C3166" s="4">
        <v>45929</v>
      </c>
      <c r="F3166" s="4">
        <v>47604</v>
      </c>
      <c r="G3166" t="s">
        <v>1278</v>
      </c>
      <c r="H3166" t="s">
        <v>2007</v>
      </c>
      <c r="K3166" t="s">
        <v>28</v>
      </c>
      <c r="L3166" t="s">
        <v>5172</v>
      </c>
      <c r="M3166" t="s">
        <v>30</v>
      </c>
      <c r="N3166" t="s">
        <v>3122</v>
      </c>
      <c r="O3166" t="s">
        <v>32</v>
      </c>
      <c r="P3166" t="s">
        <v>1345</v>
      </c>
      <c r="Q3166">
        <v>1203</v>
      </c>
      <c r="R3166">
        <v>1203</v>
      </c>
      <c r="S3166" t="s">
        <v>389</v>
      </c>
      <c r="T3166" t="s">
        <v>584</v>
      </c>
      <c r="W3166">
        <v>1203</v>
      </c>
      <c r="X3166">
        <v>1203</v>
      </c>
      <c r="Y3166">
        <v>0</v>
      </c>
      <c r="Z3166">
        <v>0</v>
      </c>
    </row>
    <row r="3167" spans="1:26" hidden="1" x14ac:dyDescent="0.25">
      <c r="A3167" t="s">
        <v>6452</v>
      </c>
      <c r="B3167" t="s">
        <v>38</v>
      </c>
      <c r="C3167" s="4">
        <v>45924</v>
      </c>
      <c r="D3167" s="4">
        <v>46027</v>
      </c>
      <c r="F3167" s="4">
        <v>47437</v>
      </c>
      <c r="H3167" t="s">
        <v>1522</v>
      </c>
      <c r="K3167" t="s">
        <v>146</v>
      </c>
      <c r="L3167" t="s">
        <v>5172</v>
      </c>
      <c r="M3167" t="s">
        <v>68</v>
      </c>
      <c r="N3167" t="s">
        <v>3122</v>
      </c>
      <c r="O3167" t="s">
        <v>32</v>
      </c>
      <c r="P3167" t="s">
        <v>6453</v>
      </c>
      <c r="Q3167">
        <v>710</v>
      </c>
      <c r="R3167">
        <v>710</v>
      </c>
      <c r="S3167" t="s">
        <v>389</v>
      </c>
      <c r="T3167" t="s">
        <v>2141</v>
      </c>
      <c r="W3167">
        <v>0</v>
      </c>
      <c r="X3167">
        <v>0</v>
      </c>
      <c r="Y3167">
        <v>0</v>
      </c>
      <c r="Z3167">
        <v>0</v>
      </c>
    </row>
    <row r="3168" spans="1:26" hidden="1" x14ac:dyDescent="0.25">
      <c r="A3168" t="s">
        <v>6454</v>
      </c>
      <c r="B3168" t="s">
        <v>2153</v>
      </c>
      <c r="C3168" s="4">
        <v>45917</v>
      </c>
      <c r="F3168" s="4">
        <v>47787</v>
      </c>
      <c r="G3168" t="s">
        <v>52</v>
      </c>
      <c r="H3168" t="s">
        <v>4025</v>
      </c>
      <c r="K3168" t="s">
        <v>53</v>
      </c>
      <c r="L3168" t="s">
        <v>6052</v>
      </c>
      <c r="M3168" t="s">
        <v>54</v>
      </c>
      <c r="O3168" t="s">
        <v>32</v>
      </c>
      <c r="P3168" t="s">
        <v>6455</v>
      </c>
      <c r="Q3168">
        <v>250</v>
      </c>
      <c r="R3168">
        <v>250</v>
      </c>
      <c r="S3168" t="s">
        <v>159</v>
      </c>
      <c r="T3168" t="s">
        <v>159</v>
      </c>
      <c r="W3168">
        <v>0</v>
      </c>
      <c r="X3168">
        <v>0</v>
      </c>
      <c r="Y3168">
        <v>0</v>
      </c>
      <c r="Z3168">
        <v>0</v>
      </c>
    </row>
    <row r="3169" spans="1:26" hidden="1" x14ac:dyDescent="0.25">
      <c r="A3169" t="s">
        <v>6456</v>
      </c>
      <c r="B3169" t="s">
        <v>2153</v>
      </c>
      <c r="C3169" s="4">
        <v>45933</v>
      </c>
      <c r="F3169" s="4">
        <v>46846</v>
      </c>
      <c r="G3169" t="s">
        <v>39</v>
      </c>
      <c r="H3169" t="s">
        <v>1271</v>
      </c>
      <c r="K3169" t="s">
        <v>41</v>
      </c>
      <c r="L3169" t="s">
        <v>5172</v>
      </c>
      <c r="M3169" t="s">
        <v>42</v>
      </c>
      <c r="N3169" t="s">
        <v>3122</v>
      </c>
      <c r="O3169" t="s">
        <v>32</v>
      </c>
      <c r="P3169" t="s">
        <v>6457</v>
      </c>
      <c r="Q3169">
        <v>330</v>
      </c>
      <c r="R3169">
        <v>330</v>
      </c>
      <c r="S3169" t="s">
        <v>159</v>
      </c>
      <c r="T3169" t="s">
        <v>159</v>
      </c>
      <c r="W3169">
        <v>330</v>
      </c>
      <c r="X3169">
        <v>330</v>
      </c>
      <c r="Y3169">
        <v>0</v>
      </c>
      <c r="Z3169">
        <v>0</v>
      </c>
    </row>
    <row r="3170" spans="1:26" hidden="1" x14ac:dyDescent="0.25">
      <c r="A3170" t="s">
        <v>6458</v>
      </c>
      <c r="B3170" t="s">
        <v>2153</v>
      </c>
      <c r="C3170" s="4">
        <v>45936</v>
      </c>
      <c r="F3170" s="4">
        <v>45915</v>
      </c>
      <c r="G3170" t="s">
        <v>1278</v>
      </c>
      <c r="H3170" t="s">
        <v>2087</v>
      </c>
      <c r="K3170" t="s">
        <v>53</v>
      </c>
      <c r="L3170" t="s">
        <v>5172</v>
      </c>
      <c r="M3170" t="s">
        <v>30</v>
      </c>
      <c r="N3170" t="s">
        <v>3122</v>
      </c>
      <c r="O3170" t="s">
        <v>32</v>
      </c>
      <c r="P3170" t="s">
        <v>2088</v>
      </c>
      <c r="Q3170">
        <v>5.99</v>
      </c>
      <c r="R3170">
        <v>5.99</v>
      </c>
      <c r="S3170" t="s">
        <v>34</v>
      </c>
      <c r="T3170" t="s">
        <v>35</v>
      </c>
      <c r="W3170">
        <v>0</v>
      </c>
      <c r="X3170">
        <v>5.99</v>
      </c>
      <c r="Y3170">
        <v>0</v>
      </c>
      <c r="Z3170">
        <v>0</v>
      </c>
    </row>
    <row r="3171" spans="1:26" hidden="1" x14ac:dyDescent="0.25">
      <c r="A3171" t="s">
        <v>6459</v>
      </c>
      <c r="B3171" t="s">
        <v>2153</v>
      </c>
      <c r="C3171" s="4">
        <v>45937</v>
      </c>
      <c r="F3171" s="4">
        <v>47361</v>
      </c>
      <c r="G3171" t="s">
        <v>177</v>
      </c>
      <c r="H3171" t="s">
        <v>2457</v>
      </c>
      <c r="K3171" t="s">
        <v>185</v>
      </c>
      <c r="L3171" t="s">
        <v>6052</v>
      </c>
      <c r="M3171" t="s">
        <v>42</v>
      </c>
      <c r="O3171" t="s">
        <v>32</v>
      </c>
      <c r="P3171" t="s">
        <v>6460</v>
      </c>
      <c r="Q3171">
        <v>172</v>
      </c>
      <c r="R3171">
        <v>172</v>
      </c>
      <c r="S3171" t="s">
        <v>597</v>
      </c>
      <c r="T3171" t="s">
        <v>598</v>
      </c>
      <c r="W3171">
        <v>0</v>
      </c>
      <c r="X3171">
        <v>0</v>
      </c>
      <c r="Y3171">
        <v>0</v>
      </c>
      <c r="Z3171">
        <v>0</v>
      </c>
    </row>
    <row r="3172" spans="1:26" hidden="1" x14ac:dyDescent="0.25">
      <c r="A3172" t="s">
        <v>6461</v>
      </c>
      <c r="B3172" t="s">
        <v>38</v>
      </c>
      <c r="C3172" s="4">
        <v>45937</v>
      </c>
      <c r="D3172" s="4">
        <v>46027</v>
      </c>
      <c r="F3172" s="4">
        <v>47238</v>
      </c>
      <c r="G3172" t="s">
        <v>1278</v>
      </c>
      <c r="H3172" t="s">
        <v>6462</v>
      </c>
      <c r="K3172" t="s">
        <v>28</v>
      </c>
      <c r="L3172" t="s">
        <v>5172</v>
      </c>
      <c r="M3172" t="s">
        <v>30</v>
      </c>
      <c r="N3172" t="s">
        <v>3122</v>
      </c>
      <c r="O3172" t="s">
        <v>32</v>
      </c>
      <c r="P3172" t="s">
        <v>6463</v>
      </c>
      <c r="Q3172">
        <v>300</v>
      </c>
      <c r="R3172">
        <v>300</v>
      </c>
      <c r="S3172" t="s">
        <v>159</v>
      </c>
      <c r="T3172" t="s">
        <v>159</v>
      </c>
      <c r="W3172">
        <v>0</v>
      </c>
      <c r="X3172">
        <v>0</v>
      </c>
      <c r="Y3172">
        <v>0</v>
      </c>
      <c r="Z3172">
        <v>0</v>
      </c>
    </row>
    <row r="3173" spans="1:26" hidden="1" x14ac:dyDescent="0.25">
      <c r="A3173" t="s">
        <v>6464</v>
      </c>
      <c r="B3173" t="s">
        <v>2153</v>
      </c>
      <c r="C3173" s="4">
        <v>45937</v>
      </c>
      <c r="F3173" s="4">
        <v>47118</v>
      </c>
      <c r="G3173" t="s">
        <v>6465</v>
      </c>
      <c r="H3173" t="s">
        <v>5718</v>
      </c>
      <c r="K3173" t="s">
        <v>209</v>
      </c>
      <c r="L3173" t="s">
        <v>6052</v>
      </c>
      <c r="M3173" t="s">
        <v>42</v>
      </c>
      <c r="O3173" t="s">
        <v>32</v>
      </c>
      <c r="P3173" t="s">
        <v>6466</v>
      </c>
      <c r="Q3173">
        <v>99</v>
      </c>
      <c r="R3173">
        <v>99</v>
      </c>
      <c r="S3173" t="s">
        <v>159</v>
      </c>
      <c r="T3173" t="s">
        <v>159</v>
      </c>
      <c r="W3173">
        <v>0</v>
      </c>
      <c r="X3173">
        <v>0</v>
      </c>
      <c r="Y3173">
        <v>0</v>
      </c>
      <c r="Z3173">
        <v>0</v>
      </c>
    </row>
    <row r="3174" spans="1:26" hidden="1" x14ac:dyDescent="0.25">
      <c r="A3174" t="s">
        <v>6467</v>
      </c>
      <c r="B3174" t="s">
        <v>2153</v>
      </c>
      <c r="C3174" s="4">
        <v>45937</v>
      </c>
      <c r="F3174" s="4">
        <v>47118</v>
      </c>
      <c r="G3174" t="s">
        <v>72</v>
      </c>
      <c r="H3174" t="s">
        <v>5718</v>
      </c>
      <c r="K3174" t="s">
        <v>209</v>
      </c>
      <c r="L3174" t="s">
        <v>6052</v>
      </c>
      <c r="M3174" t="s">
        <v>42</v>
      </c>
      <c r="O3174" t="s">
        <v>32</v>
      </c>
      <c r="P3174" t="s">
        <v>6466</v>
      </c>
      <c r="Q3174">
        <v>199</v>
      </c>
      <c r="R3174">
        <v>199</v>
      </c>
      <c r="S3174" t="s">
        <v>159</v>
      </c>
      <c r="T3174" t="s">
        <v>159</v>
      </c>
      <c r="W3174">
        <v>0</v>
      </c>
      <c r="X3174">
        <v>0</v>
      </c>
      <c r="Y3174">
        <v>0</v>
      </c>
      <c r="Z3174">
        <v>0</v>
      </c>
    </row>
    <row r="3175" spans="1:26" hidden="1" x14ac:dyDescent="0.25">
      <c r="A3175" t="s">
        <v>6468</v>
      </c>
      <c r="B3175" t="s">
        <v>2153</v>
      </c>
      <c r="C3175" s="4">
        <v>45937</v>
      </c>
      <c r="F3175" s="4">
        <v>47664</v>
      </c>
      <c r="G3175" t="s">
        <v>65</v>
      </c>
      <c r="H3175" t="s">
        <v>3247</v>
      </c>
      <c r="K3175" t="s">
        <v>67</v>
      </c>
      <c r="L3175" t="s">
        <v>6052</v>
      </c>
      <c r="M3175" t="s">
        <v>68</v>
      </c>
      <c r="O3175" t="s">
        <v>32</v>
      </c>
      <c r="P3175" t="s">
        <v>6469</v>
      </c>
      <c r="Q3175">
        <v>140</v>
      </c>
      <c r="R3175">
        <v>140</v>
      </c>
      <c r="S3175" t="s">
        <v>159</v>
      </c>
      <c r="T3175" t="s">
        <v>159</v>
      </c>
      <c r="W3175">
        <v>0</v>
      </c>
      <c r="X3175">
        <v>0</v>
      </c>
      <c r="Y3175">
        <v>0</v>
      </c>
      <c r="Z3175">
        <v>0</v>
      </c>
    </row>
    <row r="3176" spans="1:26" hidden="1" x14ac:dyDescent="0.25">
      <c r="A3176" t="s">
        <v>6470</v>
      </c>
      <c r="B3176" t="s">
        <v>2153</v>
      </c>
      <c r="C3176" s="4">
        <v>45937</v>
      </c>
      <c r="F3176" s="4">
        <v>47362</v>
      </c>
      <c r="G3176" t="s">
        <v>144</v>
      </c>
      <c r="L3176" t="s">
        <v>6052</v>
      </c>
      <c r="M3176" t="s">
        <v>68</v>
      </c>
      <c r="O3176" t="s">
        <v>32</v>
      </c>
      <c r="Q3176">
        <v>770</v>
      </c>
      <c r="R3176">
        <v>770</v>
      </c>
      <c r="W3176">
        <v>0</v>
      </c>
      <c r="X3176">
        <v>0</v>
      </c>
      <c r="Y3176">
        <v>0</v>
      </c>
      <c r="Z3176">
        <v>0</v>
      </c>
    </row>
    <row r="3177" spans="1:26" hidden="1" x14ac:dyDescent="0.25">
      <c r="A3177" t="s">
        <v>6471</v>
      </c>
      <c r="B3177" t="s">
        <v>38</v>
      </c>
      <c r="C3177" s="4">
        <v>45936</v>
      </c>
      <c r="D3177" s="4">
        <v>46024</v>
      </c>
      <c r="F3177" s="4">
        <v>46997</v>
      </c>
      <c r="G3177" t="s">
        <v>1311</v>
      </c>
      <c r="L3177" t="s">
        <v>5172</v>
      </c>
      <c r="M3177" t="s">
        <v>68</v>
      </c>
      <c r="N3177" t="s">
        <v>3122</v>
      </c>
      <c r="O3177" t="s">
        <v>32</v>
      </c>
      <c r="Q3177">
        <v>1750</v>
      </c>
      <c r="R3177">
        <v>1750</v>
      </c>
      <c r="W3177">
        <v>0</v>
      </c>
      <c r="X3177">
        <v>0</v>
      </c>
      <c r="Y3177">
        <v>0</v>
      </c>
      <c r="Z3177">
        <v>0</v>
      </c>
    </row>
    <row r="3178" spans="1:26" hidden="1" x14ac:dyDescent="0.25">
      <c r="A3178" t="s">
        <v>6472</v>
      </c>
      <c r="B3178" t="s">
        <v>2153</v>
      </c>
      <c r="C3178" s="4">
        <v>45937</v>
      </c>
      <c r="F3178" s="4">
        <v>47485</v>
      </c>
      <c r="G3178" t="s">
        <v>1278</v>
      </c>
      <c r="L3178" t="s">
        <v>6052</v>
      </c>
      <c r="M3178" t="s">
        <v>30</v>
      </c>
      <c r="O3178" t="s">
        <v>32</v>
      </c>
      <c r="Q3178">
        <v>735</v>
      </c>
      <c r="R3178">
        <v>735</v>
      </c>
      <c r="W3178">
        <v>0</v>
      </c>
      <c r="X3178">
        <v>0</v>
      </c>
      <c r="Y3178">
        <v>0</v>
      </c>
      <c r="Z3178">
        <v>0</v>
      </c>
    </row>
    <row r="3179" spans="1:26" hidden="1" x14ac:dyDescent="0.25">
      <c r="A3179" t="s">
        <v>6473</v>
      </c>
      <c r="B3179" t="s">
        <v>2153</v>
      </c>
      <c r="C3179" s="4">
        <v>45937</v>
      </c>
      <c r="F3179" s="4">
        <v>47485</v>
      </c>
      <c r="G3179" t="s">
        <v>144</v>
      </c>
      <c r="L3179" t="s">
        <v>6052</v>
      </c>
      <c r="M3179" t="s">
        <v>68</v>
      </c>
      <c r="O3179" t="s">
        <v>32</v>
      </c>
      <c r="Q3179">
        <v>755</v>
      </c>
      <c r="R3179">
        <v>755</v>
      </c>
      <c r="W3179">
        <v>0</v>
      </c>
      <c r="X3179">
        <v>0</v>
      </c>
      <c r="Y3179">
        <v>0</v>
      </c>
      <c r="Z3179">
        <v>0</v>
      </c>
    </row>
    <row r="3180" spans="1:26" hidden="1" x14ac:dyDescent="0.25">
      <c r="A3180" t="s">
        <v>6474</v>
      </c>
      <c r="B3180" t="s">
        <v>2153</v>
      </c>
      <c r="C3180" s="4">
        <v>45937</v>
      </c>
      <c r="F3180" s="4">
        <v>47485</v>
      </c>
      <c r="G3180" t="s">
        <v>1278</v>
      </c>
      <c r="L3180" t="s">
        <v>6052</v>
      </c>
      <c r="M3180" t="s">
        <v>30</v>
      </c>
      <c r="O3180" t="s">
        <v>32</v>
      </c>
      <c r="Q3180">
        <v>735</v>
      </c>
      <c r="R3180">
        <v>735</v>
      </c>
      <c r="W3180">
        <v>0</v>
      </c>
      <c r="X3180">
        <v>0</v>
      </c>
      <c r="Y3180">
        <v>0</v>
      </c>
      <c r="Z3180">
        <v>0</v>
      </c>
    </row>
    <row r="3181" spans="1:26" hidden="1" x14ac:dyDescent="0.25">
      <c r="A3181" t="s">
        <v>6475</v>
      </c>
      <c r="B3181" t="s">
        <v>38</v>
      </c>
      <c r="C3181" s="4">
        <v>42902</v>
      </c>
      <c r="D3181" s="4">
        <v>43472</v>
      </c>
      <c r="F3181" s="4">
        <v>42675</v>
      </c>
      <c r="G3181" t="s">
        <v>6476</v>
      </c>
      <c r="H3181" t="s">
        <v>150</v>
      </c>
      <c r="K3181" t="s">
        <v>151</v>
      </c>
      <c r="L3181" t="s">
        <v>2531</v>
      </c>
      <c r="M3181" t="s">
        <v>68</v>
      </c>
      <c r="N3181" t="s">
        <v>31</v>
      </c>
      <c r="O3181" t="s">
        <v>32</v>
      </c>
      <c r="P3181" t="s">
        <v>6477</v>
      </c>
      <c r="Q3181">
        <v>100</v>
      </c>
      <c r="R3181">
        <v>100</v>
      </c>
      <c r="S3181" t="s">
        <v>34</v>
      </c>
      <c r="T3181" t="s">
        <v>35</v>
      </c>
      <c r="U3181" t="s">
        <v>44</v>
      </c>
      <c r="W3181">
        <v>0</v>
      </c>
      <c r="X3181">
        <v>0</v>
      </c>
      <c r="Y3181">
        <v>0</v>
      </c>
      <c r="Z3181">
        <v>0</v>
      </c>
    </row>
    <row r="3182" spans="1:26" hidden="1" x14ac:dyDescent="0.25">
      <c r="A3182" t="s">
        <v>6478</v>
      </c>
      <c r="B3182" t="s">
        <v>2153</v>
      </c>
      <c r="C3182" s="4">
        <v>45937</v>
      </c>
      <c r="F3182" s="4">
        <v>47485</v>
      </c>
      <c r="G3182" t="s">
        <v>39</v>
      </c>
      <c r="L3182" t="s">
        <v>6052</v>
      </c>
      <c r="M3182" t="s">
        <v>42</v>
      </c>
      <c r="O3182" t="s">
        <v>32</v>
      </c>
      <c r="Q3182">
        <v>755</v>
      </c>
      <c r="R3182">
        <v>755</v>
      </c>
      <c r="W3182">
        <v>0</v>
      </c>
      <c r="X3182">
        <v>0</v>
      </c>
      <c r="Y3182">
        <v>0</v>
      </c>
      <c r="Z3182">
        <v>0</v>
      </c>
    </row>
    <row r="3183" spans="1:26" hidden="1" x14ac:dyDescent="0.25">
      <c r="A3183" t="s">
        <v>6479</v>
      </c>
      <c r="B3183" t="s">
        <v>38</v>
      </c>
      <c r="C3183" s="4">
        <v>45937</v>
      </c>
      <c r="D3183" s="4">
        <v>46140</v>
      </c>
      <c r="F3183" s="4">
        <v>47515</v>
      </c>
      <c r="G3183" t="s">
        <v>1597</v>
      </c>
      <c r="L3183" t="s">
        <v>6052</v>
      </c>
      <c r="M3183" t="s">
        <v>42</v>
      </c>
      <c r="O3183" t="s">
        <v>32</v>
      </c>
      <c r="Q3183">
        <v>755</v>
      </c>
      <c r="R3183">
        <v>755</v>
      </c>
      <c r="W3183">
        <v>0</v>
      </c>
      <c r="X3183">
        <v>0</v>
      </c>
      <c r="Y3183">
        <v>0</v>
      </c>
      <c r="Z3183">
        <v>0</v>
      </c>
    </row>
    <row r="3184" spans="1:26" hidden="1" x14ac:dyDescent="0.25">
      <c r="A3184" t="s">
        <v>6480</v>
      </c>
      <c r="B3184" t="s">
        <v>2153</v>
      </c>
      <c r="C3184" s="4">
        <v>45938</v>
      </c>
      <c r="F3184" s="4">
        <v>47058</v>
      </c>
      <c r="G3184" t="s">
        <v>65</v>
      </c>
      <c r="L3184" t="s">
        <v>6481</v>
      </c>
      <c r="M3184" t="s">
        <v>68</v>
      </c>
      <c r="O3184" t="s">
        <v>32</v>
      </c>
      <c r="Q3184">
        <v>0</v>
      </c>
      <c r="R3184">
        <v>0</v>
      </c>
      <c r="W3184">
        <v>0</v>
      </c>
      <c r="X3184">
        <v>0</v>
      </c>
      <c r="Y3184">
        <v>0</v>
      </c>
      <c r="Z3184">
        <v>0</v>
      </c>
    </row>
    <row r="3185" spans="1:26" hidden="1" x14ac:dyDescent="0.25">
      <c r="A3185" t="s">
        <v>6482</v>
      </c>
      <c r="B3185" t="s">
        <v>2153</v>
      </c>
      <c r="C3185" s="4">
        <v>45937</v>
      </c>
      <c r="F3185" s="4">
        <v>46505</v>
      </c>
      <c r="G3185" t="s">
        <v>1311</v>
      </c>
      <c r="L3185" t="s">
        <v>5172</v>
      </c>
      <c r="M3185" t="s">
        <v>68</v>
      </c>
      <c r="N3185" t="s">
        <v>3122</v>
      </c>
      <c r="O3185" t="s">
        <v>32</v>
      </c>
      <c r="Q3185">
        <v>99.9</v>
      </c>
      <c r="R3185">
        <v>99.9</v>
      </c>
      <c r="W3185">
        <v>23</v>
      </c>
      <c r="X3185">
        <v>23</v>
      </c>
      <c r="Y3185">
        <v>0</v>
      </c>
      <c r="Z3185">
        <v>0</v>
      </c>
    </row>
    <row r="3186" spans="1:26" hidden="1" x14ac:dyDescent="0.25">
      <c r="A3186" t="s">
        <v>6483</v>
      </c>
      <c r="B3186" t="s">
        <v>2153</v>
      </c>
      <c r="C3186" s="4">
        <v>45937</v>
      </c>
      <c r="F3186" s="4">
        <v>47515</v>
      </c>
      <c r="G3186" t="s">
        <v>1278</v>
      </c>
      <c r="L3186" t="s">
        <v>6052</v>
      </c>
      <c r="M3186" t="s">
        <v>30</v>
      </c>
      <c r="O3186" t="s">
        <v>32</v>
      </c>
      <c r="Q3186">
        <v>755</v>
      </c>
      <c r="R3186">
        <v>755</v>
      </c>
      <c r="W3186">
        <v>0</v>
      </c>
      <c r="X3186">
        <v>0</v>
      </c>
      <c r="Y3186">
        <v>0</v>
      </c>
      <c r="Z3186">
        <v>0</v>
      </c>
    </row>
    <row r="3187" spans="1:26" hidden="1" x14ac:dyDescent="0.25">
      <c r="A3187" t="s">
        <v>6484</v>
      </c>
      <c r="B3187" t="s">
        <v>2153</v>
      </c>
      <c r="C3187" s="4">
        <v>45937</v>
      </c>
      <c r="F3187" s="4">
        <v>47485</v>
      </c>
      <c r="G3187" t="s">
        <v>144</v>
      </c>
      <c r="L3187" t="s">
        <v>6052</v>
      </c>
      <c r="M3187" t="s">
        <v>68</v>
      </c>
      <c r="O3187" t="s">
        <v>32</v>
      </c>
      <c r="Q3187">
        <v>755</v>
      </c>
      <c r="R3187">
        <v>755</v>
      </c>
      <c r="W3187">
        <v>0</v>
      </c>
      <c r="X3187">
        <v>0</v>
      </c>
      <c r="Y3187">
        <v>0</v>
      </c>
      <c r="Z3187">
        <v>0</v>
      </c>
    </row>
    <row r="3188" spans="1:26" hidden="1" x14ac:dyDescent="0.25">
      <c r="A3188" t="s">
        <v>6485</v>
      </c>
      <c r="B3188" t="s">
        <v>38</v>
      </c>
      <c r="C3188" s="4">
        <v>45937</v>
      </c>
      <c r="D3188" s="4">
        <v>46204</v>
      </c>
      <c r="F3188" s="4">
        <v>47362</v>
      </c>
      <c r="G3188" t="s">
        <v>144</v>
      </c>
      <c r="L3188" t="s">
        <v>6052</v>
      </c>
      <c r="M3188" t="s">
        <v>68</v>
      </c>
      <c r="O3188" t="s">
        <v>32</v>
      </c>
      <c r="Q3188">
        <v>1540</v>
      </c>
      <c r="R3188">
        <v>1540</v>
      </c>
      <c r="W3188">
        <v>0</v>
      </c>
      <c r="X3188">
        <v>0</v>
      </c>
      <c r="Y3188">
        <v>0</v>
      </c>
      <c r="Z3188">
        <v>0</v>
      </c>
    </row>
    <row r="3189" spans="1:26" hidden="1" x14ac:dyDescent="0.25">
      <c r="A3189" t="s">
        <v>6486</v>
      </c>
      <c r="B3189" t="s">
        <v>2153</v>
      </c>
      <c r="C3189" s="4">
        <v>45937</v>
      </c>
      <c r="F3189" s="4">
        <v>47485</v>
      </c>
      <c r="G3189" t="s">
        <v>39</v>
      </c>
      <c r="L3189" t="s">
        <v>6052</v>
      </c>
      <c r="M3189" t="s">
        <v>42</v>
      </c>
      <c r="O3189" t="s">
        <v>32</v>
      </c>
      <c r="Q3189">
        <v>755</v>
      </c>
      <c r="R3189">
        <v>755</v>
      </c>
      <c r="W3189">
        <v>0</v>
      </c>
      <c r="X3189">
        <v>0</v>
      </c>
      <c r="Y3189">
        <v>0</v>
      </c>
      <c r="Z3189">
        <v>0</v>
      </c>
    </row>
    <row r="3190" spans="1:26" hidden="1" x14ac:dyDescent="0.25">
      <c r="A3190" t="s">
        <v>6487</v>
      </c>
      <c r="B3190" t="s">
        <v>2153</v>
      </c>
      <c r="C3190" s="4">
        <v>45933</v>
      </c>
      <c r="F3190" s="4">
        <v>47367</v>
      </c>
      <c r="G3190" t="s">
        <v>616</v>
      </c>
      <c r="H3190" t="s">
        <v>1656</v>
      </c>
      <c r="K3190" t="s">
        <v>146</v>
      </c>
      <c r="L3190" t="s">
        <v>5172</v>
      </c>
      <c r="M3190" t="s">
        <v>68</v>
      </c>
      <c r="N3190" t="s">
        <v>3122</v>
      </c>
      <c r="O3190" t="s">
        <v>32</v>
      </c>
      <c r="P3190" t="s">
        <v>6488</v>
      </c>
      <c r="Q3190">
        <v>140</v>
      </c>
      <c r="R3190">
        <v>140</v>
      </c>
      <c r="S3190" t="s">
        <v>34</v>
      </c>
      <c r="T3190" t="s">
        <v>35</v>
      </c>
      <c r="W3190">
        <v>140</v>
      </c>
      <c r="X3190">
        <v>140</v>
      </c>
      <c r="Y3190">
        <v>0</v>
      </c>
      <c r="Z3190">
        <v>0</v>
      </c>
    </row>
    <row r="3191" spans="1:26" hidden="1" x14ac:dyDescent="0.25">
      <c r="A3191" t="s">
        <v>6489</v>
      </c>
      <c r="B3191" t="s">
        <v>38</v>
      </c>
      <c r="C3191" s="4">
        <v>45936</v>
      </c>
      <c r="D3191" s="4">
        <v>46128</v>
      </c>
      <c r="F3191" s="4">
        <v>47574</v>
      </c>
      <c r="G3191" t="s">
        <v>1311</v>
      </c>
      <c r="H3191" t="s">
        <v>3060</v>
      </c>
      <c r="K3191" t="s">
        <v>114</v>
      </c>
      <c r="L3191" t="s">
        <v>5172</v>
      </c>
      <c r="M3191" t="s">
        <v>68</v>
      </c>
      <c r="N3191" t="s">
        <v>3122</v>
      </c>
      <c r="O3191" t="s">
        <v>32</v>
      </c>
      <c r="P3191" t="s">
        <v>6490</v>
      </c>
      <c r="Q3191">
        <v>200</v>
      </c>
      <c r="R3191">
        <v>200</v>
      </c>
      <c r="S3191" t="s">
        <v>34</v>
      </c>
      <c r="T3191" t="s">
        <v>35</v>
      </c>
      <c r="W3191">
        <v>0</v>
      </c>
      <c r="X3191">
        <v>0</v>
      </c>
      <c r="Y3191">
        <v>0</v>
      </c>
      <c r="Z3191">
        <v>0</v>
      </c>
    </row>
    <row r="3192" spans="1:26" hidden="1" x14ac:dyDescent="0.25">
      <c r="A3192" t="s">
        <v>6491</v>
      </c>
      <c r="B3192" t="s">
        <v>38</v>
      </c>
      <c r="C3192" s="4">
        <v>45936</v>
      </c>
      <c r="D3192" s="4">
        <v>46126</v>
      </c>
      <c r="F3192" s="4">
        <v>47648</v>
      </c>
      <c r="G3192" t="s">
        <v>144</v>
      </c>
      <c r="H3192" t="s">
        <v>1522</v>
      </c>
      <c r="K3192" t="s">
        <v>146</v>
      </c>
      <c r="L3192" t="s">
        <v>5172</v>
      </c>
      <c r="M3192" t="s">
        <v>68</v>
      </c>
      <c r="N3192" t="s">
        <v>3122</v>
      </c>
      <c r="O3192" t="s">
        <v>32</v>
      </c>
      <c r="P3192" t="s">
        <v>6492</v>
      </c>
      <c r="Q3192">
        <v>707</v>
      </c>
      <c r="R3192">
        <v>707</v>
      </c>
      <c r="S3192" t="s">
        <v>389</v>
      </c>
      <c r="T3192" t="s">
        <v>390</v>
      </c>
      <c r="W3192">
        <v>0</v>
      </c>
      <c r="X3192">
        <v>0</v>
      </c>
      <c r="Y3192">
        <v>0</v>
      </c>
      <c r="Z3192">
        <v>0</v>
      </c>
    </row>
    <row r="3193" spans="1:26" hidden="1" x14ac:dyDescent="0.25">
      <c r="A3193" t="s">
        <v>6493</v>
      </c>
      <c r="B3193" t="s">
        <v>2153</v>
      </c>
      <c r="C3193" s="4">
        <v>45937</v>
      </c>
      <c r="F3193" s="4">
        <v>47485</v>
      </c>
      <c r="G3193" t="s">
        <v>1326</v>
      </c>
      <c r="H3193" t="s">
        <v>1522</v>
      </c>
      <c r="K3193" t="s">
        <v>146</v>
      </c>
      <c r="L3193" t="s">
        <v>6052</v>
      </c>
      <c r="M3193" t="s">
        <v>68</v>
      </c>
      <c r="O3193" t="s">
        <v>32</v>
      </c>
      <c r="P3193" t="s">
        <v>6407</v>
      </c>
      <c r="Q3193">
        <v>755</v>
      </c>
      <c r="R3193">
        <v>805</v>
      </c>
      <c r="S3193" t="s">
        <v>389</v>
      </c>
      <c r="T3193" t="s">
        <v>390</v>
      </c>
      <c r="W3193">
        <v>0</v>
      </c>
      <c r="X3193">
        <v>0</v>
      </c>
      <c r="Y3193">
        <v>0</v>
      </c>
      <c r="Z3193">
        <v>0</v>
      </c>
    </row>
    <row r="3194" spans="1:26" hidden="1" x14ac:dyDescent="0.25">
      <c r="A3194" t="s">
        <v>6494</v>
      </c>
      <c r="B3194" t="s">
        <v>38</v>
      </c>
      <c r="C3194" s="4">
        <v>45937</v>
      </c>
      <c r="D3194" s="4">
        <v>46027</v>
      </c>
      <c r="F3194" s="4">
        <v>47238</v>
      </c>
      <c r="G3194" t="s">
        <v>1278</v>
      </c>
      <c r="H3194" t="s">
        <v>6462</v>
      </c>
      <c r="K3194" t="s">
        <v>28</v>
      </c>
      <c r="L3194" t="s">
        <v>5172</v>
      </c>
      <c r="M3194" t="s">
        <v>30</v>
      </c>
      <c r="N3194" t="s">
        <v>3122</v>
      </c>
      <c r="O3194" t="s">
        <v>32</v>
      </c>
      <c r="P3194" t="s">
        <v>6495</v>
      </c>
      <c r="Q3194">
        <v>200</v>
      </c>
      <c r="R3194">
        <v>200</v>
      </c>
      <c r="S3194" t="s">
        <v>159</v>
      </c>
      <c r="T3194" t="s">
        <v>159</v>
      </c>
      <c r="W3194">
        <v>0</v>
      </c>
      <c r="X3194">
        <v>0</v>
      </c>
      <c r="Y3194">
        <v>0</v>
      </c>
      <c r="Z3194">
        <v>0</v>
      </c>
    </row>
    <row r="3195" spans="1:26" hidden="1" x14ac:dyDescent="0.25">
      <c r="A3195" t="s">
        <v>6496</v>
      </c>
      <c r="B3195" t="s">
        <v>2153</v>
      </c>
      <c r="C3195" s="4">
        <v>45937</v>
      </c>
      <c r="F3195" s="4">
        <v>47848</v>
      </c>
      <c r="G3195" t="s">
        <v>39</v>
      </c>
      <c r="H3195" t="s">
        <v>6497</v>
      </c>
      <c r="K3195" t="s">
        <v>41</v>
      </c>
      <c r="L3195" t="s">
        <v>6052</v>
      </c>
      <c r="M3195" t="s">
        <v>42</v>
      </c>
      <c r="O3195" t="s">
        <v>32</v>
      </c>
      <c r="P3195" t="s">
        <v>1581</v>
      </c>
      <c r="Q3195">
        <v>200</v>
      </c>
      <c r="R3195">
        <v>200</v>
      </c>
      <c r="S3195" t="s">
        <v>56</v>
      </c>
      <c r="T3195" t="s">
        <v>57</v>
      </c>
      <c r="W3195">
        <v>0</v>
      </c>
      <c r="X3195">
        <v>0</v>
      </c>
      <c r="Y3195">
        <v>0</v>
      </c>
      <c r="Z3195">
        <v>0</v>
      </c>
    </row>
    <row r="3196" spans="1:26" hidden="1" x14ac:dyDescent="0.25">
      <c r="A3196" t="s">
        <v>6498</v>
      </c>
      <c r="B3196" t="s">
        <v>2153</v>
      </c>
      <c r="C3196" s="4">
        <v>45937</v>
      </c>
      <c r="D3196" s="4">
        <v>46184</v>
      </c>
      <c r="F3196" s="4">
        <v>47118</v>
      </c>
      <c r="G3196" t="s">
        <v>39</v>
      </c>
      <c r="H3196" t="s">
        <v>6497</v>
      </c>
      <c r="K3196" t="s">
        <v>41</v>
      </c>
      <c r="L3196" t="s">
        <v>6052</v>
      </c>
      <c r="M3196" t="s">
        <v>42</v>
      </c>
      <c r="O3196" t="s">
        <v>32</v>
      </c>
      <c r="P3196" t="s">
        <v>1581</v>
      </c>
      <c r="Q3196">
        <v>500</v>
      </c>
      <c r="R3196">
        <v>500</v>
      </c>
      <c r="S3196" t="s">
        <v>159</v>
      </c>
      <c r="T3196" t="s">
        <v>159</v>
      </c>
      <c r="W3196">
        <v>0</v>
      </c>
      <c r="X3196">
        <v>0</v>
      </c>
      <c r="Y3196">
        <v>0</v>
      </c>
      <c r="Z3196">
        <v>0</v>
      </c>
    </row>
    <row r="3197" spans="1:26" hidden="1" x14ac:dyDescent="0.25">
      <c r="A3197" t="s">
        <v>6499</v>
      </c>
      <c r="B3197" t="s">
        <v>2338</v>
      </c>
      <c r="C3197" s="4">
        <v>45939</v>
      </c>
      <c r="F3197" s="4">
        <v>47575</v>
      </c>
      <c r="G3197" t="s">
        <v>907</v>
      </c>
      <c r="H3197" t="s">
        <v>1430</v>
      </c>
      <c r="K3197" t="s">
        <v>53</v>
      </c>
      <c r="L3197" t="s">
        <v>6052</v>
      </c>
      <c r="M3197" t="s">
        <v>54</v>
      </c>
      <c r="O3197" t="s">
        <v>122</v>
      </c>
      <c r="P3197" t="s">
        <v>3787</v>
      </c>
      <c r="Q3197">
        <v>300</v>
      </c>
      <c r="R3197">
        <v>300</v>
      </c>
      <c r="S3197" t="s">
        <v>56</v>
      </c>
      <c r="T3197" t="s">
        <v>57</v>
      </c>
      <c r="W3197">
        <v>0</v>
      </c>
      <c r="X3197">
        <v>0</v>
      </c>
      <c r="Y3197">
        <v>0</v>
      </c>
      <c r="Z3197">
        <v>0</v>
      </c>
    </row>
    <row r="3198" spans="1:26" hidden="1" x14ac:dyDescent="0.25">
      <c r="A3198" t="s">
        <v>6500</v>
      </c>
      <c r="B3198" t="s">
        <v>38</v>
      </c>
      <c r="C3198" s="4">
        <v>45929</v>
      </c>
      <c r="D3198" s="4">
        <v>46127</v>
      </c>
      <c r="F3198" s="4">
        <v>47299</v>
      </c>
      <c r="G3198" t="s">
        <v>65</v>
      </c>
      <c r="H3198" t="s">
        <v>3380</v>
      </c>
      <c r="K3198" t="s">
        <v>67</v>
      </c>
      <c r="L3198" t="s">
        <v>5172</v>
      </c>
      <c r="M3198" t="s">
        <v>68</v>
      </c>
      <c r="N3198" t="s">
        <v>3122</v>
      </c>
      <c r="O3198" t="s">
        <v>32</v>
      </c>
      <c r="P3198" t="s">
        <v>6501</v>
      </c>
      <c r="Q3198">
        <v>300</v>
      </c>
      <c r="R3198">
        <v>300</v>
      </c>
      <c r="S3198" t="s">
        <v>34</v>
      </c>
      <c r="T3198" t="s">
        <v>35</v>
      </c>
      <c r="W3198">
        <v>0</v>
      </c>
      <c r="X3198">
        <v>0</v>
      </c>
      <c r="Y3198">
        <v>0</v>
      </c>
      <c r="Z3198">
        <v>0</v>
      </c>
    </row>
    <row r="3199" spans="1:26" hidden="1" x14ac:dyDescent="0.25">
      <c r="A3199" t="s">
        <v>6502</v>
      </c>
      <c r="B3199" t="s">
        <v>38</v>
      </c>
      <c r="C3199" s="4">
        <v>45905</v>
      </c>
      <c r="D3199" s="4">
        <v>46079</v>
      </c>
      <c r="F3199" s="4">
        <v>47786</v>
      </c>
      <c r="G3199" t="s">
        <v>65</v>
      </c>
      <c r="H3199" t="s">
        <v>3698</v>
      </c>
      <c r="K3199" t="s">
        <v>67</v>
      </c>
      <c r="L3199" t="s">
        <v>5172</v>
      </c>
      <c r="M3199" t="s">
        <v>68</v>
      </c>
      <c r="N3199" t="s">
        <v>3122</v>
      </c>
      <c r="O3199" t="s">
        <v>32</v>
      </c>
      <c r="P3199" t="s">
        <v>5829</v>
      </c>
      <c r="Q3199">
        <v>200</v>
      </c>
      <c r="R3199">
        <v>200</v>
      </c>
      <c r="S3199" t="s">
        <v>597</v>
      </c>
      <c r="T3199" t="s">
        <v>35</v>
      </c>
      <c r="W3199">
        <v>0</v>
      </c>
      <c r="X3199">
        <v>0</v>
      </c>
      <c r="Y3199">
        <v>0</v>
      </c>
      <c r="Z3199">
        <v>0</v>
      </c>
    </row>
    <row r="3200" spans="1:26" hidden="1" x14ac:dyDescent="0.25">
      <c r="A3200" t="s">
        <v>6503</v>
      </c>
      <c r="B3200" t="s">
        <v>2153</v>
      </c>
      <c r="C3200" s="4">
        <v>45903</v>
      </c>
      <c r="F3200" s="4">
        <v>47484</v>
      </c>
      <c r="G3200" t="s">
        <v>132</v>
      </c>
      <c r="H3200" t="s">
        <v>3392</v>
      </c>
      <c r="K3200" t="s">
        <v>83</v>
      </c>
      <c r="L3200" t="s">
        <v>6052</v>
      </c>
      <c r="M3200" t="s">
        <v>84</v>
      </c>
      <c r="O3200" t="s">
        <v>32</v>
      </c>
      <c r="P3200" t="s">
        <v>3393</v>
      </c>
      <c r="Q3200">
        <v>250</v>
      </c>
      <c r="R3200">
        <v>250</v>
      </c>
      <c r="S3200" t="s">
        <v>159</v>
      </c>
      <c r="T3200" t="s">
        <v>159</v>
      </c>
      <c r="W3200">
        <v>0</v>
      </c>
      <c r="X3200">
        <v>0</v>
      </c>
      <c r="Y3200">
        <v>0</v>
      </c>
      <c r="Z3200">
        <v>0</v>
      </c>
    </row>
    <row r="3201" spans="1:26" hidden="1" x14ac:dyDescent="0.25">
      <c r="A3201" t="s">
        <v>6504</v>
      </c>
      <c r="B3201" t="s">
        <v>2153</v>
      </c>
      <c r="C3201" s="4">
        <v>45929</v>
      </c>
      <c r="F3201" s="4">
        <v>47299</v>
      </c>
      <c r="G3201" t="s">
        <v>117</v>
      </c>
      <c r="H3201" t="s">
        <v>2800</v>
      </c>
      <c r="K3201" t="s">
        <v>83</v>
      </c>
      <c r="L3201" t="s">
        <v>6052</v>
      </c>
      <c r="M3201" t="s">
        <v>84</v>
      </c>
      <c r="O3201" t="s">
        <v>32</v>
      </c>
      <c r="P3201" t="s">
        <v>6505</v>
      </c>
      <c r="Q3201">
        <v>200</v>
      </c>
      <c r="R3201">
        <v>200</v>
      </c>
      <c r="S3201" t="s">
        <v>159</v>
      </c>
      <c r="T3201" t="s">
        <v>159</v>
      </c>
      <c r="W3201">
        <v>0</v>
      </c>
      <c r="X3201">
        <v>0</v>
      </c>
      <c r="Y3201">
        <v>0</v>
      </c>
      <c r="Z3201">
        <v>0</v>
      </c>
    </row>
    <row r="3202" spans="1:26" hidden="1" x14ac:dyDescent="0.25">
      <c r="A3202" t="s">
        <v>6506</v>
      </c>
      <c r="B3202" t="s">
        <v>38</v>
      </c>
      <c r="C3202" s="4">
        <v>45930</v>
      </c>
      <c r="D3202" s="4">
        <v>46126</v>
      </c>
      <c r="F3202" s="4">
        <v>39538</v>
      </c>
      <c r="G3202" t="s">
        <v>39</v>
      </c>
      <c r="H3202" t="s">
        <v>6507</v>
      </c>
      <c r="K3202" t="s">
        <v>41</v>
      </c>
      <c r="L3202" t="s">
        <v>5172</v>
      </c>
      <c r="M3202" t="s">
        <v>42</v>
      </c>
      <c r="N3202" t="s">
        <v>3122</v>
      </c>
      <c r="O3202" t="s">
        <v>251</v>
      </c>
      <c r="P3202" t="s">
        <v>6508</v>
      </c>
      <c r="Q3202">
        <v>16</v>
      </c>
      <c r="R3202">
        <v>16</v>
      </c>
      <c r="S3202" t="s">
        <v>637</v>
      </c>
      <c r="T3202" t="s">
        <v>638</v>
      </c>
      <c r="W3202">
        <v>0</v>
      </c>
      <c r="X3202">
        <v>0</v>
      </c>
      <c r="Y3202">
        <v>0</v>
      </c>
      <c r="Z3202">
        <v>0</v>
      </c>
    </row>
    <row r="3203" spans="1:26" hidden="1" x14ac:dyDescent="0.25">
      <c r="A3203" t="s">
        <v>6509</v>
      </c>
      <c r="B3203" t="s">
        <v>38</v>
      </c>
      <c r="C3203" s="4">
        <v>45930</v>
      </c>
      <c r="D3203" s="4">
        <v>46128</v>
      </c>
      <c r="F3203" s="4">
        <v>47354</v>
      </c>
      <c r="G3203" t="s">
        <v>616</v>
      </c>
      <c r="H3203" t="s">
        <v>1656</v>
      </c>
      <c r="K3203" t="s">
        <v>146</v>
      </c>
      <c r="L3203" t="s">
        <v>5172</v>
      </c>
      <c r="M3203" t="s">
        <v>68</v>
      </c>
      <c r="N3203" t="s">
        <v>3122</v>
      </c>
      <c r="O3203" t="s">
        <v>32</v>
      </c>
      <c r="P3203" t="s">
        <v>6510</v>
      </c>
      <c r="Q3203">
        <v>250</v>
      </c>
      <c r="R3203">
        <v>250</v>
      </c>
      <c r="S3203" t="s">
        <v>597</v>
      </c>
      <c r="T3203" t="s">
        <v>598</v>
      </c>
      <c r="W3203">
        <v>0</v>
      </c>
      <c r="X3203">
        <v>0</v>
      </c>
      <c r="Y3203">
        <v>0</v>
      </c>
      <c r="Z3203">
        <v>0</v>
      </c>
    </row>
    <row r="3204" spans="1:26" hidden="1" x14ac:dyDescent="0.25">
      <c r="A3204" t="s">
        <v>6511</v>
      </c>
      <c r="B3204" t="s">
        <v>2153</v>
      </c>
      <c r="C3204" s="4">
        <v>45814</v>
      </c>
      <c r="F3204" s="4">
        <v>47058</v>
      </c>
      <c r="G3204" t="s">
        <v>907</v>
      </c>
      <c r="H3204" t="s">
        <v>1357</v>
      </c>
      <c r="K3204" t="s">
        <v>53</v>
      </c>
      <c r="L3204" t="s">
        <v>6052</v>
      </c>
      <c r="M3204" t="s">
        <v>54</v>
      </c>
      <c r="O3204" t="s">
        <v>32</v>
      </c>
      <c r="P3204" t="s">
        <v>3806</v>
      </c>
      <c r="Q3204">
        <v>350</v>
      </c>
      <c r="R3204">
        <v>350</v>
      </c>
      <c r="S3204" t="s">
        <v>56</v>
      </c>
      <c r="T3204" t="s">
        <v>57</v>
      </c>
      <c r="W3204">
        <v>0</v>
      </c>
      <c r="X3204">
        <v>0</v>
      </c>
      <c r="Y3204">
        <v>0</v>
      </c>
      <c r="Z3204">
        <v>0</v>
      </c>
    </row>
    <row r="3205" spans="1:26" hidden="1" x14ac:dyDescent="0.25">
      <c r="A3205" t="s">
        <v>6512</v>
      </c>
      <c r="B3205" t="s">
        <v>2153</v>
      </c>
      <c r="C3205" s="4">
        <v>45994</v>
      </c>
      <c r="F3205" s="4">
        <v>48000</v>
      </c>
      <c r="G3205" t="s">
        <v>117</v>
      </c>
      <c r="H3205" t="s">
        <v>1258</v>
      </c>
      <c r="K3205" t="s">
        <v>83</v>
      </c>
      <c r="L3205" t="s">
        <v>6052</v>
      </c>
      <c r="M3205" t="s">
        <v>84</v>
      </c>
      <c r="O3205" t="s">
        <v>32</v>
      </c>
      <c r="P3205" t="s">
        <v>6513</v>
      </c>
      <c r="Q3205">
        <v>200</v>
      </c>
      <c r="R3205">
        <v>200</v>
      </c>
      <c r="S3205" t="s">
        <v>159</v>
      </c>
      <c r="T3205" t="s">
        <v>159</v>
      </c>
      <c r="W3205">
        <v>0</v>
      </c>
      <c r="X3205">
        <v>0</v>
      </c>
      <c r="Y3205">
        <v>0</v>
      </c>
      <c r="Z3205">
        <v>0</v>
      </c>
    </row>
    <row r="3206" spans="1:26" hidden="1" x14ac:dyDescent="0.25">
      <c r="A3206" t="s">
        <v>6514</v>
      </c>
      <c r="B3206" t="s">
        <v>2153</v>
      </c>
      <c r="C3206" s="4">
        <v>45978</v>
      </c>
      <c r="F3206" s="4">
        <v>45824</v>
      </c>
      <c r="G3206" t="s">
        <v>6515</v>
      </c>
      <c r="H3206" t="s">
        <v>3384</v>
      </c>
      <c r="K3206" t="s">
        <v>146</v>
      </c>
      <c r="L3206" t="s">
        <v>6283</v>
      </c>
      <c r="M3206" t="s">
        <v>6284</v>
      </c>
      <c r="O3206" t="s">
        <v>122</v>
      </c>
      <c r="P3206" t="s">
        <v>6516</v>
      </c>
      <c r="Q3206">
        <v>0</v>
      </c>
      <c r="R3206">
        <v>0</v>
      </c>
      <c r="S3206" t="s">
        <v>597</v>
      </c>
      <c r="T3206" t="s">
        <v>584</v>
      </c>
      <c r="W3206">
        <v>0</v>
      </c>
      <c r="X3206">
        <v>0</v>
      </c>
      <c r="Y3206">
        <v>0</v>
      </c>
      <c r="Z3206">
        <v>0</v>
      </c>
    </row>
    <row r="3207" spans="1:26" hidden="1" x14ac:dyDescent="0.25">
      <c r="A3207" t="s">
        <v>6517</v>
      </c>
      <c r="B3207" t="s">
        <v>2153</v>
      </c>
      <c r="C3207" s="4">
        <v>46011</v>
      </c>
      <c r="F3207" s="4">
        <v>47664</v>
      </c>
      <c r="G3207" t="s">
        <v>52</v>
      </c>
      <c r="L3207" t="s">
        <v>6052</v>
      </c>
      <c r="M3207" t="s">
        <v>54</v>
      </c>
      <c r="O3207" t="s">
        <v>32</v>
      </c>
      <c r="Q3207">
        <v>100</v>
      </c>
      <c r="R3207">
        <v>100</v>
      </c>
      <c r="W3207">
        <v>0</v>
      </c>
      <c r="X3207">
        <v>0</v>
      </c>
      <c r="Y3207">
        <v>0</v>
      </c>
      <c r="Z3207">
        <v>0</v>
      </c>
    </row>
    <row r="3208" spans="1:26" hidden="1" x14ac:dyDescent="0.25">
      <c r="A3208" t="s">
        <v>6518</v>
      </c>
      <c r="B3208" t="s">
        <v>2153</v>
      </c>
      <c r="C3208" s="4">
        <v>46011</v>
      </c>
      <c r="F3208" s="4">
        <v>47664</v>
      </c>
      <c r="G3208" t="s">
        <v>52</v>
      </c>
      <c r="L3208" t="s">
        <v>6052</v>
      </c>
      <c r="M3208" t="s">
        <v>54</v>
      </c>
      <c r="O3208" t="s">
        <v>32</v>
      </c>
      <c r="Q3208">
        <v>100</v>
      </c>
      <c r="R3208">
        <v>100</v>
      </c>
      <c r="W3208">
        <v>0</v>
      </c>
      <c r="X3208">
        <v>0</v>
      </c>
      <c r="Y3208">
        <v>0</v>
      </c>
      <c r="Z3208">
        <v>0</v>
      </c>
    </row>
    <row r="3209" spans="1:26" hidden="1" x14ac:dyDescent="0.25">
      <c r="A3209" t="s">
        <v>6519</v>
      </c>
      <c r="B3209" t="s">
        <v>2153</v>
      </c>
      <c r="C3209" s="4">
        <v>46011</v>
      </c>
      <c r="F3209" s="4">
        <v>47239</v>
      </c>
      <c r="G3209" t="s">
        <v>52</v>
      </c>
      <c r="L3209" t="s">
        <v>6052</v>
      </c>
      <c r="M3209" t="s">
        <v>54</v>
      </c>
      <c r="O3209" t="s">
        <v>32</v>
      </c>
      <c r="Q3209">
        <v>100</v>
      </c>
      <c r="R3209">
        <v>100</v>
      </c>
      <c r="W3209">
        <v>0</v>
      </c>
      <c r="X3209">
        <v>0</v>
      </c>
      <c r="Y3209">
        <v>0</v>
      </c>
      <c r="Z3209">
        <v>0</v>
      </c>
    </row>
    <row r="3210" spans="1:26" hidden="1" x14ac:dyDescent="0.25">
      <c r="A3210" t="s">
        <v>6520</v>
      </c>
      <c r="B3210" t="s">
        <v>2232</v>
      </c>
      <c r="C3210" s="4">
        <v>46011</v>
      </c>
      <c r="F3210" s="4">
        <v>47664</v>
      </c>
      <c r="G3210" t="s">
        <v>52</v>
      </c>
      <c r="L3210" t="s">
        <v>6052</v>
      </c>
      <c r="M3210" t="s">
        <v>54</v>
      </c>
      <c r="O3210" t="s">
        <v>32</v>
      </c>
      <c r="Q3210">
        <v>100</v>
      </c>
      <c r="R3210">
        <v>100</v>
      </c>
      <c r="W3210">
        <v>0</v>
      </c>
      <c r="X3210">
        <v>0</v>
      </c>
      <c r="Y3210">
        <v>0</v>
      </c>
      <c r="Z3210">
        <v>0</v>
      </c>
    </row>
    <row r="3211" spans="1:26" hidden="1" x14ac:dyDescent="0.25">
      <c r="A3211" t="s">
        <v>6521</v>
      </c>
      <c r="B3211" t="s">
        <v>2153</v>
      </c>
      <c r="C3211" s="4">
        <v>46059</v>
      </c>
      <c r="F3211" s="4">
        <v>47489</v>
      </c>
      <c r="G3211" t="s">
        <v>907</v>
      </c>
      <c r="L3211" t="s">
        <v>6052</v>
      </c>
      <c r="M3211" t="s">
        <v>54</v>
      </c>
      <c r="O3211" t="s">
        <v>32</v>
      </c>
      <c r="Q3211">
        <v>250</v>
      </c>
      <c r="R3211">
        <v>250</v>
      </c>
      <c r="W3211">
        <v>0</v>
      </c>
      <c r="X3211">
        <v>0</v>
      </c>
      <c r="Y3211">
        <v>0</v>
      </c>
      <c r="Z3211">
        <v>0</v>
      </c>
    </row>
    <row r="3212" spans="1:26" hidden="1" x14ac:dyDescent="0.25">
      <c r="A3212" t="s">
        <v>6522</v>
      </c>
      <c r="B3212" t="s">
        <v>2153</v>
      </c>
      <c r="C3212" s="4">
        <v>45976</v>
      </c>
      <c r="F3212" s="4">
        <v>46600</v>
      </c>
      <c r="G3212" t="s">
        <v>65</v>
      </c>
      <c r="L3212" t="s">
        <v>6283</v>
      </c>
      <c r="M3212" t="s">
        <v>6284</v>
      </c>
      <c r="O3212" t="s">
        <v>122</v>
      </c>
      <c r="Q3212">
        <v>0</v>
      </c>
      <c r="R3212">
        <v>0</v>
      </c>
      <c r="W3212">
        <v>0</v>
      </c>
      <c r="X3212">
        <v>0</v>
      </c>
      <c r="Y3212">
        <v>0</v>
      </c>
      <c r="Z3212">
        <v>0</v>
      </c>
    </row>
    <row r="3213" spans="1:26" hidden="1" x14ac:dyDescent="0.25">
      <c r="A3213" t="s">
        <v>6523</v>
      </c>
      <c r="B3213" t="s">
        <v>2153</v>
      </c>
      <c r="C3213" s="4">
        <v>46071</v>
      </c>
      <c r="F3213" s="4">
        <v>47489</v>
      </c>
      <c r="G3213" t="s">
        <v>907</v>
      </c>
      <c r="L3213" t="s">
        <v>6052</v>
      </c>
      <c r="M3213" t="s">
        <v>54</v>
      </c>
      <c r="O3213" t="s">
        <v>32</v>
      </c>
      <c r="Q3213">
        <v>150</v>
      </c>
      <c r="R3213">
        <v>150</v>
      </c>
      <c r="W3213">
        <v>0</v>
      </c>
      <c r="X3213">
        <v>0</v>
      </c>
      <c r="Y3213">
        <v>0</v>
      </c>
      <c r="Z3213">
        <v>0</v>
      </c>
    </row>
    <row r="3214" spans="1:26" hidden="1" x14ac:dyDescent="0.25">
      <c r="A3214" t="s">
        <v>6524</v>
      </c>
      <c r="B3214" t="s">
        <v>2153</v>
      </c>
      <c r="C3214" s="4">
        <v>46071</v>
      </c>
      <c r="F3214" s="4">
        <v>48029</v>
      </c>
      <c r="G3214" t="s">
        <v>65</v>
      </c>
      <c r="L3214" t="s">
        <v>6052</v>
      </c>
      <c r="M3214" t="s">
        <v>68</v>
      </c>
      <c r="O3214" t="s">
        <v>32</v>
      </c>
      <c r="Q3214">
        <v>350</v>
      </c>
      <c r="R3214">
        <v>350</v>
      </c>
      <c r="W3214">
        <v>0</v>
      </c>
      <c r="X3214">
        <v>0</v>
      </c>
      <c r="Y3214">
        <v>0</v>
      </c>
      <c r="Z3214">
        <v>0</v>
      </c>
    </row>
    <row r="3215" spans="1:26" hidden="1" x14ac:dyDescent="0.25">
      <c r="A3215" t="s">
        <v>6525</v>
      </c>
      <c r="B3215" t="s">
        <v>2153</v>
      </c>
      <c r="C3215" s="4">
        <v>46071</v>
      </c>
      <c r="F3215" s="4">
        <v>48029</v>
      </c>
      <c r="G3215" t="s">
        <v>65</v>
      </c>
      <c r="L3215" t="s">
        <v>6052</v>
      </c>
      <c r="M3215" t="s">
        <v>68</v>
      </c>
      <c r="O3215" t="s">
        <v>32</v>
      </c>
      <c r="Q3215">
        <v>500</v>
      </c>
      <c r="R3215">
        <v>500</v>
      </c>
      <c r="W3215">
        <v>0</v>
      </c>
      <c r="X3215">
        <v>0</v>
      </c>
      <c r="Y3215">
        <v>0</v>
      </c>
      <c r="Z3215">
        <v>0</v>
      </c>
    </row>
    <row r="3216" spans="1:26" hidden="1" x14ac:dyDescent="0.25">
      <c r="A3216" t="s">
        <v>6526</v>
      </c>
      <c r="B3216" t="s">
        <v>2153</v>
      </c>
      <c r="C3216" s="4">
        <v>46071</v>
      </c>
      <c r="F3216" s="4">
        <v>48029</v>
      </c>
      <c r="G3216" t="s">
        <v>65</v>
      </c>
      <c r="L3216" t="s">
        <v>6052</v>
      </c>
      <c r="M3216" t="s">
        <v>68</v>
      </c>
      <c r="O3216" t="s">
        <v>32</v>
      </c>
      <c r="Q3216">
        <v>500</v>
      </c>
      <c r="R3216">
        <v>500</v>
      </c>
      <c r="W3216">
        <v>0</v>
      </c>
      <c r="X3216">
        <v>0</v>
      </c>
      <c r="Y3216">
        <v>0</v>
      </c>
      <c r="Z3216">
        <v>0</v>
      </c>
    </row>
    <row r="3217" spans="1:26" hidden="1" x14ac:dyDescent="0.25">
      <c r="A3217" t="s">
        <v>6527</v>
      </c>
      <c r="B3217" t="s">
        <v>2153</v>
      </c>
      <c r="C3217" s="4">
        <v>46076</v>
      </c>
      <c r="F3217" s="4">
        <v>48029</v>
      </c>
      <c r="G3217" t="s">
        <v>6528</v>
      </c>
      <c r="L3217" t="s">
        <v>6052</v>
      </c>
      <c r="M3217" t="s">
        <v>68</v>
      </c>
      <c r="O3217" t="s">
        <v>32</v>
      </c>
      <c r="Q3217">
        <v>1500</v>
      </c>
      <c r="R3217">
        <v>1500</v>
      </c>
      <c r="W3217">
        <v>0</v>
      </c>
      <c r="X3217">
        <v>0</v>
      </c>
      <c r="Y3217">
        <v>0</v>
      </c>
      <c r="Z3217">
        <v>0</v>
      </c>
    </row>
    <row r="3218" spans="1:26" hidden="1" x14ac:dyDescent="0.25">
      <c r="A3218" t="s">
        <v>6529</v>
      </c>
      <c r="B3218" t="s">
        <v>2153</v>
      </c>
      <c r="C3218" s="4">
        <v>46076</v>
      </c>
      <c r="F3218" s="4">
        <v>48000</v>
      </c>
      <c r="G3218" t="s">
        <v>6528</v>
      </c>
      <c r="L3218" t="s">
        <v>6052</v>
      </c>
      <c r="M3218" t="s">
        <v>68</v>
      </c>
      <c r="O3218" t="s">
        <v>32</v>
      </c>
      <c r="Q3218">
        <v>800</v>
      </c>
      <c r="R3218">
        <v>800</v>
      </c>
      <c r="W3218">
        <v>0</v>
      </c>
      <c r="X3218">
        <v>0</v>
      </c>
      <c r="Y3218">
        <v>0</v>
      </c>
      <c r="Z3218">
        <v>0</v>
      </c>
    </row>
    <row r="3219" spans="1:26" hidden="1" x14ac:dyDescent="0.25">
      <c r="A3219" t="s">
        <v>6530</v>
      </c>
      <c r="B3219" t="s">
        <v>2153</v>
      </c>
      <c r="C3219" s="4">
        <v>46077</v>
      </c>
      <c r="F3219" s="4">
        <v>48000</v>
      </c>
      <c r="G3219" t="s">
        <v>6528</v>
      </c>
      <c r="L3219" t="s">
        <v>6052</v>
      </c>
      <c r="M3219" t="s">
        <v>68</v>
      </c>
      <c r="O3219" t="s">
        <v>32</v>
      </c>
      <c r="Q3219">
        <v>800</v>
      </c>
      <c r="R3219">
        <v>800</v>
      </c>
      <c r="W3219">
        <v>0</v>
      </c>
      <c r="X3219">
        <v>0</v>
      </c>
      <c r="Y3219">
        <v>0</v>
      </c>
      <c r="Z3219">
        <v>0</v>
      </c>
    </row>
    <row r="3220" spans="1:26" hidden="1" x14ac:dyDescent="0.25">
      <c r="A3220" t="s">
        <v>6531</v>
      </c>
      <c r="B3220" t="s">
        <v>2153</v>
      </c>
      <c r="C3220" s="4">
        <v>46077</v>
      </c>
      <c r="F3220" s="4">
        <v>48029</v>
      </c>
      <c r="G3220" t="s">
        <v>144</v>
      </c>
      <c r="L3220" t="s">
        <v>6052</v>
      </c>
      <c r="M3220" t="s">
        <v>68</v>
      </c>
      <c r="O3220" t="s">
        <v>32</v>
      </c>
      <c r="Q3220">
        <v>1500</v>
      </c>
      <c r="R3220">
        <v>1500</v>
      </c>
      <c r="W3220">
        <v>0</v>
      </c>
      <c r="X3220">
        <v>0</v>
      </c>
      <c r="Y3220">
        <v>0</v>
      </c>
      <c r="Z3220">
        <v>0</v>
      </c>
    </row>
    <row r="3221" spans="1:26" hidden="1" x14ac:dyDescent="0.25">
      <c r="A3221" t="s">
        <v>6532</v>
      </c>
      <c r="B3221" t="s">
        <v>38</v>
      </c>
      <c r="C3221" s="4">
        <v>46079</v>
      </c>
      <c r="D3221" s="4">
        <v>46170</v>
      </c>
      <c r="F3221" s="4">
        <v>48029</v>
      </c>
      <c r="G3221" t="s">
        <v>616</v>
      </c>
      <c r="L3221" t="s">
        <v>6052</v>
      </c>
      <c r="M3221" t="s">
        <v>68</v>
      </c>
      <c r="O3221" t="s">
        <v>32</v>
      </c>
      <c r="Q3221">
        <v>1500</v>
      </c>
      <c r="R3221">
        <v>1500</v>
      </c>
      <c r="W3221">
        <v>0</v>
      </c>
      <c r="X3221">
        <v>0</v>
      </c>
      <c r="Y3221">
        <v>0</v>
      </c>
      <c r="Z3221">
        <v>0</v>
      </c>
    </row>
    <row r="3222" spans="1:26" hidden="1" x14ac:dyDescent="0.25">
      <c r="A3222" t="s">
        <v>6533</v>
      </c>
      <c r="B3222" t="s">
        <v>2153</v>
      </c>
      <c r="C3222" s="4">
        <v>46079</v>
      </c>
      <c r="F3222" s="4">
        <v>48029</v>
      </c>
      <c r="G3222" t="s">
        <v>65</v>
      </c>
      <c r="L3222" t="s">
        <v>6052</v>
      </c>
      <c r="M3222" t="s">
        <v>68</v>
      </c>
      <c r="O3222" t="s">
        <v>32</v>
      </c>
      <c r="Q3222">
        <v>1500</v>
      </c>
      <c r="R3222">
        <v>1500</v>
      </c>
      <c r="W3222">
        <v>0</v>
      </c>
      <c r="X3222">
        <v>0</v>
      </c>
      <c r="Y3222">
        <v>0</v>
      </c>
      <c r="Z3222">
        <v>0</v>
      </c>
    </row>
    <row r="3223" spans="1:26" hidden="1" x14ac:dyDescent="0.25">
      <c r="A3223" t="s">
        <v>6534</v>
      </c>
      <c r="B3223" t="s">
        <v>2153</v>
      </c>
      <c r="C3223" s="4">
        <v>46092</v>
      </c>
      <c r="F3223" s="4">
        <v>47211</v>
      </c>
      <c r="G3223" t="s">
        <v>101</v>
      </c>
      <c r="L3223" t="s">
        <v>6052</v>
      </c>
      <c r="M3223" t="s">
        <v>84</v>
      </c>
      <c r="O3223" t="s">
        <v>32</v>
      </c>
      <c r="Q3223">
        <v>300</v>
      </c>
      <c r="R3223">
        <v>300</v>
      </c>
      <c r="W3223">
        <v>0</v>
      </c>
      <c r="X3223">
        <v>0</v>
      </c>
      <c r="Y3223">
        <v>0</v>
      </c>
      <c r="Z3223">
        <v>0</v>
      </c>
    </row>
    <row r="3224" spans="1:26" hidden="1" x14ac:dyDescent="0.25">
      <c r="A3224" t="s">
        <v>6535</v>
      </c>
      <c r="B3224" t="s">
        <v>2153</v>
      </c>
      <c r="C3224" s="4">
        <v>46092</v>
      </c>
      <c r="F3224" s="4">
        <v>47211</v>
      </c>
      <c r="G3224" t="s">
        <v>39</v>
      </c>
      <c r="L3224" t="s">
        <v>6052</v>
      </c>
      <c r="M3224" t="s">
        <v>54</v>
      </c>
      <c r="O3224" t="s">
        <v>32</v>
      </c>
      <c r="Q3224">
        <v>250</v>
      </c>
      <c r="R3224">
        <v>250</v>
      </c>
      <c r="W3224">
        <v>0</v>
      </c>
      <c r="X3224">
        <v>0</v>
      </c>
      <c r="Y3224">
        <v>0</v>
      </c>
      <c r="Z3224">
        <v>0</v>
      </c>
    </row>
    <row r="3225" spans="1:26" hidden="1" x14ac:dyDescent="0.25">
      <c r="A3225" t="s">
        <v>6536</v>
      </c>
      <c r="B3225" t="s">
        <v>2153</v>
      </c>
      <c r="C3225" s="4">
        <v>46101</v>
      </c>
      <c r="F3225" s="4">
        <v>48029</v>
      </c>
      <c r="G3225" t="s">
        <v>39</v>
      </c>
      <c r="L3225" t="s">
        <v>6052</v>
      </c>
      <c r="M3225" t="s">
        <v>42</v>
      </c>
      <c r="O3225" t="s">
        <v>32</v>
      </c>
      <c r="Q3225">
        <v>250</v>
      </c>
      <c r="R3225">
        <v>250</v>
      </c>
      <c r="W3225">
        <v>0</v>
      </c>
      <c r="X3225">
        <v>0</v>
      </c>
      <c r="Y3225">
        <v>0</v>
      </c>
      <c r="Z3225">
        <v>0</v>
      </c>
    </row>
    <row r="3226" spans="1:26" hidden="1" x14ac:dyDescent="0.25">
      <c r="A3226" t="s">
        <v>6537</v>
      </c>
      <c r="B3226" t="s">
        <v>2153</v>
      </c>
      <c r="C3226" s="4">
        <v>46101</v>
      </c>
      <c r="F3226" s="4">
        <v>48029</v>
      </c>
      <c r="G3226" t="s">
        <v>39</v>
      </c>
      <c r="L3226" t="s">
        <v>6052</v>
      </c>
      <c r="M3226" t="s">
        <v>42</v>
      </c>
      <c r="O3226" t="s">
        <v>32</v>
      </c>
      <c r="Q3226">
        <v>250</v>
      </c>
      <c r="R3226">
        <v>250</v>
      </c>
      <c r="W3226">
        <v>0</v>
      </c>
      <c r="X3226">
        <v>0</v>
      </c>
      <c r="Y3226">
        <v>0</v>
      </c>
      <c r="Z3226">
        <v>0</v>
      </c>
    </row>
    <row r="3227" spans="1:26" hidden="1" x14ac:dyDescent="0.25">
      <c r="A3227" t="s">
        <v>6538</v>
      </c>
      <c r="B3227" t="s">
        <v>2153</v>
      </c>
      <c r="C3227" s="4">
        <v>46102</v>
      </c>
      <c r="F3227" s="4">
        <v>48029</v>
      </c>
      <c r="G3227" t="s">
        <v>1278</v>
      </c>
      <c r="H3227" t="s">
        <v>1892</v>
      </c>
      <c r="L3227" t="s">
        <v>6052</v>
      </c>
      <c r="M3227" t="s">
        <v>30</v>
      </c>
      <c r="O3227" t="s">
        <v>32</v>
      </c>
      <c r="P3227" t="s">
        <v>889</v>
      </c>
      <c r="Q3227">
        <v>150</v>
      </c>
      <c r="R3227">
        <v>150</v>
      </c>
      <c r="W3227">
        <v>0</v>
      </c>
      <c r="X3227">
        <v>0</v>
      </c>
      <c r="Y3227">
        <v>0</v>
      </c>
      <c r="Z3227">
        <v>0</v>
      </c>
    </row>
    <row r="3228" spans="1:26" hidden="1" x14ac:dyDescent="0.25">
      <c r="A3228" t="s">
        <v>6539</v>
      </c>
      <c r="B3228" t="s">
        <v>2153</v>
      </c>
      <c r="C3228" s="4">
        <v>46102</v>
      </c>
      <c r="F3228" s="4">
        <v>48029</v>
      </c>
      <c r="G3228" t="s">
        <v>1278</v>
      </c>
      <c r="H3228" t="s">
        <v>1892</v>
      </c>
      <c r="L3228" t="s">
        <v>6052</v>
      </c>
      <c r="M3228" t="s">
        <v>30</v>
      </c>
      <c r="O3228" t="s">
        <v>32</v>
      </c>
      <c r="P3228" t="s">
        <v>889</v>
      </c>
      <c r="Q3228">
        <v>150</v>
      </c>
      <c r="R3228">
        <v>150</v>
      </c>
      <c r="W3228">
        <v>0</v>
      </c>
      <c r="X3228">
        <v>0</v>
      </c>
      <c r="Y3228">
        <v>0</v>
      </c>
      <c r="Z3228">
        <v>0</v>
      </c>
    </row>
    <row r="3229" spans="1:26" hidden="1" x14ac:dyDescent="0.25">
      <c r="A3229" t="s">
        <v>6540</v>
      </c>
      <c r="B3229" t="s">
        <v>2153</v>
      </c>
      <c r="C3229" s="4">
        <v>46100</v>
      </c>
      <c r="F3229" s="4">
        <v>47173</v>
      </c>
      <c r="G3229" t="s">
        <v>52</v>
      </c>
      <c r="L3229" t="s">
        <v>6052</v>
      </c>
      <c r="M3229" t="s">
        <v>54</v>
      </c>
      <c r="O3229" t="s">
        <v>32</v>
      </c>
      <c r="Q3229">
        <v>100</v>
      </c>
      <c r="R3229">
        <v>100</v>
      </c>
      <c r="W3229">
        <v>0</v>
      </c>
      <c r="X3229">
        <v>0</v>
      </c>
      <c r="Y3229">
        <v>0</v>
      </c>
      <c r="Z3229">
        <v>0</v>
      </c>
    </row>
    <row r="3230" spans="1:26" hidden="1" x14ac:dyDescent="0.25">
      <c r="A3230" t="s">
        <v>6541</v>
      </c>
      <c r="B3230" t="s">
        <v>2153</v>
      </c>
      <c r="C3230" s="4">
        <v>46101</v>
      </c>
      <c r="F3230" s="4">
        <v>48029</v>
      </c>
      <c r="G3230" t="s">
        <v>871</v>
      </c>
      <c r="L3230" t="s">
        <v>6052</v>
      </c>
      <c r="M3230" t="s">
        <v>42</v>
      </c>
      <c r="O3230" t="s">
        <v>32</v>
      </c>
      <c r="Q3230">
        <v>350</v>
      </c>
      <c r="R3230">
        <v>350</v>
      </c>
      <c r="W3230">
        <v>0</v>
      </c>
      <c r="X3230">
        <v>0</v>
      </c>
      <c r="Y3230">
        <v>0</v>
      </c>
      <c r="Z3230">
        <v>0</v>
      </c>
    </row>
    <row r="3231" spans="1:26" hidden="1" x14ac:dyDescent="0.25">
      <c r="A3231" t="s">
        <v>6542</v>
      </c>
      <c r="B3231" t="s">
        <v>2153</v>
      </c>
      <c r="C3231" s="4">
        <v>46101</v>
      </c>
      <c r="F3231" s="4">
        <v>48029</v>
      </c>
      <c r="G3231" t="s">
        <v>39</v>
      </c>
      <c r="L3231" t="s">
        <v>6052</v>
      </c>
      <c r="M3231" t="s">
        <v>42</v>
      </c>
      <c r="O3231" t="s">
        <v>32</v>
      </c>
      <c r="Q3231">
        <v>250</v>
      </c>
      <c r="R3231">
        <v>250</v>
      </c>
      <c r="W3231">
        <v>0</v>
      </c>
      <c r="X3231">
        <v>0</v>
      </c>
      <c r="Y3231">
        <v>0</v>
      </c>
      <c r="Z3231">
        <v>0</v>
      </c>
    </row>
    <row r="3232" spans="1:26" hidden="1" x14ac:dyDescent="0.25">
      <c r="A3232" t="s">
        <v>6543</v>
      </c>
      <c r="B3232" t="s">
        <v>2153</v>
      </c>
      <c r="C3232" s="4">
        <v>46101</v>
      </c>
      <c r="F3232" s="4">
        <v>48029</v>
      </c>
      <c r="G3232" t="s">
        <v>1257</v>
      </c>
      <c r="H3232" t="s">
        <v>1663</v>
      </c>
      <c r="L3232" t="s">
        <v>6052</v>
      </c>
      <c r="M3232" t="s">
        <v>84</v>
      </c>
      <c r="O3232" t="s">
        <v>32</v>
      </c>
      <c r="Q3232">
        <v>400</v>
      </c>
      <c r="R3232">
        <v>400</v>
      </c>
      <c r="W3232">
        <v>0</v>
      </c>
      <c r="X3232">
        <v>0</v>
      </c>
      <c r="Y3232">
        <v>0</v>
      </c>
      <c r="Z3232">
        <v>0</v>
      </c>
    </row>
    <row r="3233" spans="1:26" hidden="1" x14ac:dyDescent="0.25">
      <c r="A3233" t="s">
        <v>6544</v>
      </c>
      <c r="B3233" t="s">
        <v>2153</v>
      </c>
      <c r="C3233" s="4">
        <v>46101</v>
      </c>
      <c r="F3233" s="4">
        <v>48029</v>
      </c>
      <c r="G3233" t="s">
        <v>117</v>
      </c>
      <c r="L3233" t="s">
        <v>6052</v>
      </c>
      <c r="M3233" t="s">
        <v>84</v>
      </c>
      <c r="O3233" t="s">
        <v>32</v>
      </c>
      <c r="Q3233">
        <v>200</v>
      </c>
      <c r="R3233">
        <v>200</v>
      </c>
      <c r="W3233">
        <v>0</v>
      </c>
      <c r="X3233">
        <v>0</v>
      </c>
      <c r="Y3233">
        <v>0</v>
      </c>
      <c r="Z3233">
        <v>0</v>
      </c>
    </row>
    <row r="3234" spans="1:26" hidden="1" x14ac:dyDescent="0.25">
      <c r="A3234" t="s">
        <v>6545</v>
      </c>
      <c r="B3234" t="s">
        <v>2153</v>
      </c>
      <c r="C3234" s="4">
        <v>46102</v>
      </c>
      <c r="F3234" s="4">
        <v>48029</v>
      </c>
      <c r="G3234" t="s">
        <v>907</v>
      </c>
      <c r="L3234" t="s">
        <v>6052</v>
      </c>
      <c r="M3234" t="s">
        <v>54</v>
      </c>
      <c r="O3234" t="s">
        <v>32</v>
      </c>
      <c r="Q3234">
        <v>300</v>
      </c>
      <c r="R3234">
        <v>300</v>
      </c>
      <c r="W3234">
        <v>0</v>
      </c>
      <c r="X3234">
        <v>0</v>
      </c>
      <c r="Y3234">
        <v>0</v>
      </c>
      <c r="Z3234">
        <v>0</v>
      </c>
    </row>
    <row r="3235" spans="1:26" hidden="1" x14ac:dyDescent="0.25">
      <c r="A3235" t="s">
        <v>6546</v>
      </c>
      <c r="B3235" t="s">
        <v>2153</v>
      </c>
      <c r="C3235" s="4">
        <v>46102</v>
      </c>
      <c r="F3235" s="4">
        <v>48029</v>
      </c>
      <c r="G3235" t="s">
        <v>907</v>
      </c>
      <c r="L3235" t="s">
        <v>6052</v>
      </c>
      <c r="M3235" t="s">
        <v>54</v>
      </c>
      <c r="O3235" t="s">
        <v>32</v>
      </c>
      <c r="Q3235">
        <v>300</v>
      </c>
      <c r="R3235">
        <v>300</v>
      </c>
      <c r="W3235">
        <v>0</v>
      </c>
      <c r="X3235">
        <v>0</v>
      </c>
      <c r="Y3235">
        <v>0</v>
      </c>
      <c r="Z3235">
        <v>0</v>
      </c>
    </row>
    <row r="3236" spans="1:26" hidden="1" x14ac:dyDescent="0.25">
      <c r="A3236" t="s">
        <v>6547</v>
      </c>
      <c r="B3236" t="s">
        <v>2153</v>
      </c>
      <c r="C3236" s="4">
        <v>46102</v>
      </c>
      <c r="F3236" s="4">
        <v>48029</v>
      </c>
      <c r="G3236" t="s">
        <v>72</v>
      </c>
      <c r="H3236" t="s">
        <v>2246</v>
      </c>
      <c r="L3236" t="s">
        <v>6052</v>
      </c>
      <c r="M3236" t="s">
        <v>42</v>
      </c>
      <c r="O3236" t="s">
        <v>32</v>
      </c>
      <c r="P3236" t="s">
        <v>3014</v>
      </c>
      <c r="Q3236">
        <v>400</v>
      </c>
      <c r="R3236">
        <v>400</v>
      </c>
      <c r="W3236">
        <v>0</v>
      </c>
      <c r="X3236">
        <v>0</v>
      </c>
      <c r="Y3236">
        <v>0</v>
      </c>
      <c r="Z3236">
        <v>0</v>
      </c>
    </row>
    <row r="3237" spans="1:26" hidden="1" x14ac:dyDescent="0.25">
      <c r="A3237" t="s">
        <v>6548</v>
      </c>
      <c r="B3237" t="s">
        <v>2153</v>
      </c>
      <c r="C3237" s="4">
        <v>46101</v>
      </c>
      <c r="F3237" s="4">
        <v>48029</v>
      </c>
      <c r="G3237" t="s">
        <v>616</v>
      </c>
      <c r="L3237" t="s">
        <v>6052</v>
      </c>
      <c r="M3237" t="s">
        <v>68</v>
      </c>
      <c r="O3237" t="s">
        <v>32</v>
      </c>
      <c r="Q3237">
        <v>400</v>
      </c>
      <c r="R3237">
        <v>400</v>
      </c>
      <c r="W3237">
        <v>0</v>
      </c>
      <c r="X3237">
        <v>0</v>
      </c>
      <c r="Y3237">
        <v>0</v>
      </c>
      <c r="Z3237">
        <v>0</v>
      </c>
    </row>
    <row r="3238" spans="1:26" hidden="1" x14ac:dyDescent="0.25">
      <c r="A3238" t="s">
        <v>6549</v>
      </c>
      <c r="B3238" t="s">
        <v>2153</v>
      </c>
      <c r="C3238" s="4">
        <v>46105</v>
      </c>
      <c r="F3238" s="4">
        <v>48029</v>
      </c>
      <c r="G3238" t="s">
        <v>52</v>
      </c>
      <c r="L3238" t="s">
        <v>6052</v>
      </c>
      <c r="M3238" t="s">
        <v>54</v>
      </c>
      <c r="O3238" t="s">
        <v>32</v>
      </c>
      <c r="Q3238">
        <v>200</v>
      </c>
      <c r="R3238">
        <v>200</v>
      </c>
      <c r="W3238">
        <v>0</v>
      </c>
      <c r="X3238">
        <v>0</v>
      </c>
      <c r="Y3238">
        <v>0</v>
      </c>
      <c r="Z3238">
        <v>0</v>
      </c>
    </row>
    <row r="3239" spans="1:26" hidden="1" x14ac:dyDescent="0.25">
      <c r="A3239" t="s">
        <v>6550</v>
      </c>
      <c r="B3239" t="s">
        <v>2153</v>
      </c>
      <c r="C3239" s="4">
        <v>46122</v>
      </c>
      <c r="F3239" s="4">
        <v>47482</v>
      </c>
      <c r="G3239" t="s">
        <v>117</v>
      </c>
      <c r="L3239" t="s">
        <v>6052</v>
      </c>
      <c r="M3239" t="s">
        <v>84</v>
      </c>
      <c r="O3239" t="s">
        <v>32</v>
      </c>
      <c r="Q3239">
        <v>125</v>
      </c>
      <c r="R3239">
        <v>125</v>
      </c>
      <c r="W3239">
        <v>0</v>
      </c>
      <c r="X3239">
        <v>0</v>
      </c>
      <c r="Y3239">
        <v>0</v>
      </c>
      <c r="Z3239">
        <v>0</v>
      </c>
    </row>
    <row r="3240" spans="1:26" hidden="1" x14ac:dyDescent="0.25">
      <c r="A3240" t="s">
        <v>6551</v>
      </c>
      <c r="B3240" t="s">
        <v>2153</v>
      </c>
      <c r="C3240" s="4">
        <v>46135</v>
      </c>
      <c r="F3240" s="4">
        <v>47362</v>
      </c>
      <c r="G3240" t="s">
        <v>149</v>
      </c>
      <c r="L3240" t="s">
        <v>6052</v>
      </c>
      <c r="M3240" t="s">
        <v>68</v>
      </c>
      <c r="O3240" t="s">
        <v>32</v>
      </c>
      <c r="Q3240">
        <v>770</v>
      </c>
      <c r="R3240">
        <v>770</v>
      </c>
      <c r="W3240">
        <v>0</v>
      </c>
      <c r="X3240">
        <v>0</v>
      </c>
      <c r="Y3240">
        <v>0</v>
      </c>
      <c r="Z3240">
        <v>0</v>
      </c>
    </row>
    <row r="3241" spans="1:26" hidden="1" x14ac:dyDescent="0.25">
      <c r="A3241" t="s">
        <v>6552</v>
      </c>
      <c r="B3241" t="s">
        <v>2153</v>
      </c>
      <c r="C3241" s="4">
        <v>46155</v>
      </c>
      <c r="F3241" s="4">
        <v>48027</v>
      </c>
      <c r="G3241" t="s">
        <v>177</v>
      </c>
      <c r="H3241" t="s">
        <v>1505</v>
      </c>
      <c r="L3241" t="s">
        <v>6052</v>
      </c>
      <c r="M3241" t="s">
        <v>42</v>
      </c>
      <c r="O3241" t="s">
        <v>32</v>
      </c>
      <c r="P3241" t="s">
        <v>6316</v>
      </c>
      <c r="Q3241">
        <v>250</v>
      </c>
      <c r="R3241">
        <v>250</v>
      </c>
      <c r="W3241">
        <v>0</v>
      </c>
      <c r="X3241">
        <v>0</v>
      </c>
      <c r="Y3241">
        <v>0</v>
      </c>
      <c r="Z3241">
        <v>0</v>
      </c>
    </row>
    <row r="3242" spans="1:26" hidden="1" x14ac:dyDescent="0.25">
      <c r="A3242" t="s">
        <v>6553</v>
      </c>
      <c r="B3242" t="s">
        <v>2153</v>
      </c>
      <c r="C3242" s="4">
        <v>46170</v>
      </c>
      <c r="F3242" s="4">
        <v>47818</v>
      </c>
      <c r="G3242" t="s">
        <v>1251</v>
      </c>
      <c r="H3242" t="s">
        <v>2437</v>
      </c>
      <c r="L3242" t="s">
        <v>6052</v>
      </c>
      <c r="M3242" t="s">
        <v>84</v>
      </c>
      <c r="O3242" t="s">
        <v>32</v>
      </c>
      <c r="P3242" t="s">
        <v>6184</v>
      </c>
      <c r="Q3242">
        <v>2220</v>
      </c>
      <c r="R3242">
        <v>2220</v>
      </c>
      <c r="W3242">
        <v>0</v>
      </c>
      <c r="X3242">
        <v>0</v>
      </c>
      <c r="Y3242">
        <v>0</v>
      </c>
      <c r="Z3242">
        <v>0</v>
      </c>
    </row>
    <row r="3243" spans="1:26" hidden="1" x14ac:dyDescent="0.25">
      <c r="A3243" t="s">
        <v>6554</v>
      </c>
      <c r="B3243" t="s">
        <v>2153</v>
      </c>
      <c r="C3243" s="4">
        <v>46164</v>
      </c>
      <c r="F3243" s="4">
        <v>47969</v>
      </c>
      <c r="G3243" t="s">
        <v>65</v>
      </c>
      <c r="L3243" t="s">
        <v>6052</v>
      </c>
      <c r="M3243" t="s">
        <v>68</v>
      </c>
      <c r="O3243" t="s">
        <v>32</v>
      </c>
      <c r="Q3243">
        <v>115</v>
      </c>
      <c r="R3243">
        <v>115</v>
      </c>
      <c r="W3243">
        <v>0</v>
      </c>
      <c r="X3243">
        <v>0</v>
      </c>
      <c r="Y3243">
        <v>0</v>
      </c>
      <c r="Z3243">
        <v>0</v>
      </c>
    </row>
    <row r="3244" spans="1:26" hidden="1" x14ac:dyDescent="0.25">
      <c r="A3244" t="s">
        <v>6555</v>
      </c>
      <c r="B3244" t="s">
        <v>2153</v>
      </c>
      <c r="C3244" s="4">
        <v>46181</v>
      </c>
      <c r="F3244" s="4">
        <v>48122</v>
      </c>
      <c r="G3244" t="s">
        <v>1753</v>
      </c>
      <c r="L3244" t="s">
        <v>6052</v>
      </c>
      <c r="M3244" t="s">
        <v>68</v>
      </c>
      <c r="O3244" t="s">
        <v>32</v>
      </c>
      <c r="Q3244">
        <v>100</v>
      </c>
      <c r="R3244">
        <v>100</v>
      </c>
      <c r="W3244">
        <v>0</v>
      </c>
      <c r="X3244">
        <v>0</v>
      </c>
      <c r="Y3244">
        <v>0</v>
      </c>
      <c r="Z3244">
        <v>0</v>
      </c>
    </row>
    <row r="3245" spans="1:26" hidden="1" x14ac:dyDescent="0.25">
      <c r="A3245" t="s">
        <v>6556</v>
      </c>
      <c r="B3245" t="s">
        <v>2153</v>
      </c>
      <c r="C3245" s="4">
        <v>46179</v>
      </c>
      <c r="F3245" s="4">
        <v>48122</v>
      </c>
      <c r="G3245" t="s">
        <v>1311</v>
      </c>
      <c r="L3245" t="s">
        <v>6052</v>
      </c>
      <c r="M3245" t="s">
        <v>68</v>
      </c>
      <c r="O3245" t="s">
        <v>32</v>
      </c>
      <c r="Q3245">
        <v>100</v>
      </c>
      <c r="R3245">
        <v>100</v>
      </c>
      <c r="W3245">
        <v>0</v>
      </c>
      <c r="X3245">
        <v>0</v>
      </c>
      <c r="Y3245">
        <v>0</v>
      </c>
      <c r="Z3245">
        <v>0</v>
      </c>
    </row>
    <row r="3246" spans="1:26" hidden="1" x14ac:dyDescent="0.25">
      <c r="A3246" t="s">
        <v>6557</v>
      </c>
      <c r="B3246" t="s">
        <v>2153</v>
      </c>
      <c r="C3246" s="4">
        <v>46198</v>
      </c>
      <c r="F3246" s="4">
        <v>48060</v>
      </c>
      <c r="G3246" t="s">
        <v>1311</v>
      </c>
      <c r="L3246" t="s">
        <v>6052</v>
      </c>
      <c r="M3246" t="s">
        <v>68</v>
      </c>
      <c r="O3246" t="s">
        <v>32</v>
      </c>
      <c r="Q3246">
        <v>770</v>
      </c>
      <c r="R3246">
        <v>770</v>
      </c>
      <c r="W3246">
        <v>0</v>
      </c>
      <c r="X3246">
        <v>0</v>
      </c>
      <c r="Y3246">
        <v>0</v>
      </c>
      <c r="Z3246">
        <v>0</v>
      </c>
    </row>
    <row r="3247" spans="1:26" hidden="1" x14ac:dyDescent="0.25">
      <c r="A3247" t="s">
        <v>6558</v>
      </c>
      <c r="B3247" t="s">
        <v>2153</v>
      </c>
      <c r="C3247" s="4">
        <v>46198</v>
      </c>
      <c r="F3247" s="4">
        <v>47604</v>
      </c>
      <c r="G3247" t="s">
        <v>1749</v>
      </c>
      <c r="L3247" t="s">
        <v>6052</v>
      </c>
      <c r="M3247" t="s">
        <v>68</v>
      </c>
      <c r="O3247" t="s">
        <v>32</v>
      </c>
      <c r="Q3247">
        <v>560</v>
      </c>
      <c r="R3247">
        <v>560</v>
      </c>
      <c r="W3247">
        <v>0</v>
      </c>
      <c r="X3247">
        <v>0</v>
      </c>
      <c r="Y3247">
        <v>0</v>
      </c>
      <c r="Z3247">
        <v>0</v>
      </c>
    </row>
    <row r="3248" spans="1:26" hidden="1" x14ac:dyDescent="0.25">
      <c r="A3248" t="s">
        <v>6559</v>
      </c>
      <c r="B3248" t="s">
        <v>2153</v>
      </c>
      <c r="C3248" s="4">
        <v>46197</v>
      </c>
      <c r="F3248" s="4">
        <v>48122</v>
      </c>
      <c r="G3248" t="s">
        <v>117</v>
      </c>
      <c r="L3248" t="s">
        <v>6052</v>
      </c>
      <c r="M3248" t="s">
        <v>84</v>
      </c>
      <c r="O3248" t="s">
        <v>32</v>
      </c>
      <c r="Q3248">
        <v>120</v>
      </c>
      <c r="R3248">
        <v>120</v>
      </c>
      <c r="W3248">
        <v>0</v>
      </c>
      <c r="X3248">
        <v>0</v>
      </c>
      <c r="Y3248">
        <v>0</v>
      </c>
      <c r="Z3248">
        <v>0</v>
      </c>
    </row>
    <row r="3249" spans="1:26" hidden="1" x14ac:dyDescent="0.25">
      <c r="A3249" t="s">
        <v>6560</v>
      </c>
      <c r="B3249" t="s">
        <v>2153</v>
      </c>
      <c r="C3249" s="4">
        <v>46198</v>
      </c>
      <c r="F3249" s="4">
        <v>48182</v>
      </c>
      <c r="G3249" t="s">
        <v>65</v>
      </c>
      <c r="L3249" t="s">
        <v>6052</v>
      </c>
      <c r="M3249" t="s">
        <v>68</v>
      </c>
      <c r="O3249" t="s">
        <v>32</v>
      </c>
      <c r="Q3249">
        <v>770</v>
      </c>
      <c r="R3249">
        <v>770</v>
      </c>
      <c r="W3249">
        <v>0</v>
      </c>
      <c r="X3249">
        <v>0</v>
      </c>
      <c r="Y3249">
        <v>0</v>
      </c>
      <c r="Z3249">
        <v>0</v>
      </c>
    </row>
    <row r="3250" spans="1:26" hidden="1" x14ac:dyDescent="0.25">
      <c r="A3250" t="s">
        <v>6561</v>
      </c>
      <c r="B3250" t="s">
        <v>2153</v>
      </c>
      <c r="C3250" s="4">
        <v>46176</v>
      </c>
      <c r="F3250" s="4">
        <v>47969</v>
      </c>
      <c r="G3250" t="s">
        <v>1278</v>
      </c>
      <c r="L3250" t="s">
        <v>6052</v>
      </c>
      <c r="M3250" t="s">
        <v>30</v>
      </c>
      <c r="O3250" t="s">
        <v>32</v>
      </c>
      <c r="Q3250">
        <v>100</v>
      </c>
      <c r="R3250">
        <v>100</v>
      </c>
      <c r="W3250">
        <v>0</v>
      </c>
      <c r="X3250">
        <v>0</v>
      </c>
      <c r="Y3250">
        <v>0</v>
      </c>
      <c r="Z3250">
        <v>0</v>
      </c>
    </row>
    <row r="3251" spans="1:26" hidden="1" x14ac:dyDescent="0.25">
      <c r="A3251" t="s">
        <v>6562</v>
      </c>
      <c r="B3251" t="s">
        <v>2153</v>
      </c>
      <c r="C3251" s="4">
        <v>46218</v>
      </c>
      <c r="F3251" s="4">
        <v>47483</v>
      </c>
      <c r="G3251" t="s">
        <v>173</v>
      </c>
      <c r="L3251" t="s">
        <v>6052</v>
      </c>
      <c r="M3251" t="s">
        <v>42</v>
      </c>
      <c r="O3251" t="s">
        <v>32</v>
      </c>
      <c r="Q3251">
        <v>200</v>
      </c>
      <c r="R3251">
        <v>200</v>
      </c>
      <c r="W3251">
        <v>0</v>
      </c>
      <c r="X3251">
        <v>0</v>
      </c>
      <c r="Y3251">
        <v>0</v>
      </c>
      <c r="Z3251">
        <v>0</v>
      </c>
    </row>
    <row r="3252" spans="1:26" hidden="1" x14ac:dyDescent="0.25">
      <c r="A3252" t="s">
        <v>6563</v>
      </c>
      <c r="B3252" t="s">
        <v>2153</v>
      </c>
      <c r="C3252" s="4">
        <v>46218</v>
      </c>
      <c r="F3252" s="4">
        <v>47483</v>
      </c>
      <c r="G3252" t="s">
        <v>1274</v>
      </c>
      <c r="L3252" t="s">
        <v>6052</v>
      </c>
      <c r="M3252" t="s">
        <v>42</v>
      </c>
      <c r="O3252" t="s">
        <v>32</v>
      </c>
      <c r="Q3252">
        <v>200</v>
      </c>
      <c r="R3252">
        <v>200</v>
      </c>
      <c r="W3252">
        <v>0</v>
      </c>
      <c r="X3252">
        <v>0</v>
      </c>
      <c r="Y3252">
        <v>0</v>
      </c>
      <c r="Z3252">
        <v>0</v>
      </c>
    </row>
    <row r="3253" spans="1:26" hidden="1" x14ac:dyDescent="0.25">
      <c r="A3253" t="s">
        <v>6564</v>
      </c>
      <c r="B3253" t="s">
        <v>2153</v>
      </c>
      <c r="C3253" s="4">
        <v>46218</v>
      </c>
      <c r="F3253" s="4">
        <v>47483</v>
      </c>
      <c r="G3253" t="s">
        <v>173</v>
      </c>
      <c r="L3253" t="s">
        <v>6052</v>
      </c>
      <c r="M3253" t="s">
        <v>42</v>
      </c>
      <c r="O3253" t="s">
        <v>32</v>
      </c>
      <c r="Q3253">
        <v>250</v>
      </c>
      <c r="R3253">
        <v>250</v>
      </c>
      <c r="W3253">
        <v>0</v>
      </c>
      <c r="X3253">
        <v>0</v>
      </c>
      <c r="Y3253">
        <v>0</v>
      </c>
      <c r="Z3253">
        <v>0</v>
      </c>
    </row>
    <row r="3254" spans="1:26" hidden="1" x14ac:dyDescent="0.25">
      <c r="A3254" t="s">
        <v>6565</v>
      </c>
      <c r="B3254" t="s">
        <v>2153</v>
      </c>
      <c r="C3254" s="4">
        <v>46233</v>
      </c>
      <c r="F3254" s="4">
        <v>47209</v>
      </c>
      <c r="G3254" t="s">
        <v>1251</v>
      </c>
      <c r="L3254" t="s">
        <v>6052</v>
      </c>
      <c r="M3254" t="s">
        <v>84</v>
      </c>
      <c r="O3254" t="s">
        <v>32</v>
      </c>
      <c r="Q3254">
        <v>86</v>
      </c>
      <c r="R3254">
        <v>86</v>
      </c>
      <c r="W3254">
        <v>0</v>
      </c>
      <c r="X3254">
        <v>0</v>
      </c>
      <c r="Y3254">
        <v>0</v>
      </c>
      <c r="Z3254">
        <v>0</v>
      </c>
    </row>
    <row r="3255" spans="1:26" hidden="1" x14ac:dyDescent="0.25">
      <c r="A3255" t="s">
        <v>6566</v>
      </c>
      <c r="B3255" t="s">
        <v>2153</v>
      </c>
      <c r="C3255" s="4">
        <v>46242</v>
      </c>
      <c r="F3255" s="4">
        <v>47939</v>
      </c>
      <c r="G3255" t="s">
        <v>117</v>
      </c>
      <c r="L3255" t="s">
        <v>6052</v>
      </c>
      <c r="M3255" t="s">
        <v>84</v>
      </c>
      <c r="O3255" t="s">
        <v>32</v>
      </c>
      <c r="Q3255">
        <v>250</v>
      </c>
      <c r="R3255">
        <v>250</v>
      </c>
      <c r="W3255">
        <v>0</v>
      </c>
      <c r="X3255">
        <v>0</v>
      </c>
      <c r="Y3255">
        <v>0</v>
      </c>
      <c r="Z3255">
        <v>0</v>
      </c>
    </row>
    <row r="3256" spans="1:26" hidden="1" x14ac:dyDescent="0.25">
      <c r="A3256" t="s">
        <v>6567</v>
      </c>
      <c r="B3256" t="s">
        <v>2153</v>
      </c>
      <c r="C3256" s="4">
        <v>46227</v>
      </c>
      <c r="F3256" s="4">
        <v>47862</v>
      </c>
      <c r="G3256" t="s">
        <v>691</v>
      </c>
      <c r="L3256" t="s">
        <v>6052</v>
      </c>
      <c r="M3256" t="s">
        <v>84</v>
      </c>
      <c r="O3256" t="s">
        <v>32</v>
      </c>
      <c r="Q3256">
        <v>300</v>
      </c>
      <c r="R3256">
        <v>300</v>
      </c>
      <c r="W3256">
        <v>0</v>
      </c>
      <c r="X3256">
        <v>0</v>
      </c>
      <c r="Y3256">
        <v>0</v>
      </c>
      <c r="Z3256">
        <v>0</v>
      </c>
    </row>
    <row r="3257" spans="1:26" hidden="1" x14ac:dyDescent="0.25">
      <c r="A3257" t="s">
        <v>6568</v>
      </c>
      <c r="B3257" t="s">
        <v>2153</v>
      </c>
      <c r="C3257" s="4">
        <v>46244</v>
      </c>
      <c r="F3257" s="4">
        <v>48029</v>
      </c>
      <c r="L3257" t="s">
        <v>6052</v>
      </c>
      <c r="M3257" t="s">
        <v>84</v>
      </c>
      <c r="O3257" t="s">
        <v>32</v>
      </c>
      <c r="Q3257">
        <v>2015</v>
      </c>
      <c r="R3257">
        <v>2015</v>
      </c>
      <c r="W3257">
        <v>0</v>
      </c>
      <c r="X3257">
        <v>0</v>
      </c>
      <c r="Y3257">
        <v>0</v>
      </c>
      <c r="Z3257">
        <v>0</v>
      </c>
    </row>
    <row r="3258" spans="1:26" hidden="1" x14ac:dyDescent="0.25">
      <c r="A3258" t="s">
        <v>6569</v>
      </c>
      <c r="B3258" t="s">
        <v>2153</v>
      </c>
      <c r="C3258" s="4">
        <v>46251</v>
      </c>
      <c r="F3258" s="4">
        <v>48122</v>
      </c>
      <c r="G3258" t="s">
        <v>117</v>
      </c>
      <c r="L3258" t="s">
        <v>6052</v>
      </c>
      <c r="M3258" t="s">
        <v>84</v>
      </c>
      <c r="O3258" t="s">
        <v>32</v>
      </c>
      <c r="Q3258">
        <v>80</v>
      </c>
      <c r="R3258">
        <v>80</v>
      </c>
      <c r="W3258">
        <v>0</v>
      </c>
      <c r="X3258">
        <v>0</v>
      </c>
      <c r="Y3258">
        <v>0</v>
      </c>
      <c r="Z3258">
        <v>0</v>
      </c>
    </row>
    <row r="3259" spans="1:26" hidden="1" x14ac:dyDescent="0.25">
      <c r="A3259" t="s">
        <v>6570</v>
      </c>
      <c r="B3259" t="s">
        <v>2153</v>
      </c>
      <c r="C3259" s="4">
        <v>46240</v>
      </c>
      <c r="F3259" s="4">
        <v>47901</v>
      </c>
      <c r="G3259" t="s">
        <v>1749</v>
      </c>
      <c r="L3259" t="s">
        <v>6052</v>
      </c>
      <c r="M3259" t="s">
        <v>68</v>
      </c>
      <c r="O3259" t="s">
        <v>32</v>
      </c>
      <c r="Q3259">
        <v>787.3</v>
      </c>
      <c r="R3259">
        <v>787.3</v>
      </c>
      <c r="W3259">
        <v>0</v>
      </c>
      <c r="X3259">
        <v>0</v>
      </c>
      <c r="Y3259">
        <v>0</v>
      </c>
      <c r="Z3259">
        <v>0</v>
      </c>
    </row>
    <row r="3260" spans="1:26" hidden="1" x14ac:dyDescent="0.25">
      <c r="A3260" t="s">
        <v>6571</v>
      </c>
      <c r="B3260" t="s">
        <v>38</v>
      </c>
      <c r="C3260" s="4">
        <v>42109</v>
      </c>
      <c r="D3260" s="4">
        <v>43686</v>
      </c>
      <c r="F3260" s="4">
        <v>43344</v>
      </c>
      <c r="G3260" t="s">
        <v>39</v>
      </c>
      <c r="H3260" t="s">
        <v>49</v>
      </c>
      <c r="K3260" t="s">
        <v>41</v>
      </c>
      <c r="L3260" t="s">
        <v>6572</v>
      </c>
      <c r="M3260" t="s">
        <v>42</v>
      </c>
      <c r="N3260" t="s">
        <v>31</v>
      </c>
      <c r="O3260" t="s">
        <v>32</v>
      </c>
      <c r="P3260" t="s">
        <v>2547</v>
      </c>
      <c r="Q3260">
        <v>170</v>
      </c>
      <c r="R3260">
        <v>170</v>
      </c>
      <c r="S3260" t="s">
        <v>56</v>
      </c>
      <c r="T3260" t="s">
        <v>57</v>
      </c>
      <c r="U3260" t="s">
        <v>38</v>
      </c>
      <c r="V3260" s="4">
        <v>43726</v>
      </c>
      <c r="W3260">
        <v>170</v>
      </c>
      <c r="X3260">
        <v>170</v>
      </c>
      <c r="Y3260">
        <v>170</v>
      </c>
      <c r="Z3260">
        <v>170</v>
      </c>
    </row>
    <row r="3261" spans="1:26" hidden="1" x14ac:dyDescent="0.25">
      <c r="A3261" t="s">
        <v>6573</v>
      </c>
      <c r="B3261" t="s">
        <v>38</v>
      </c>
      <c r="C3261" s="4">
        <v>42131</v>
      </c>
      <c r="D3261" s="4">
        <v>43202</v>
      </c>
      <c r="F3261" s="4">
        <v>42766</v>
      </c>
      <c r="G3261" t="s">
        <v>72</v>
      </c>
      <c r="H3261" t="s">
        <v>752</v>
      </c>
      <c r="K3261" t="s">
        <v>53</v>
      </c>
      <c r="L3261" t="s">
        <v>6572</v>
      </c>
      <c r="M3261" t="s">
        <v>54</v>
      </c>
      <c r="N3261" t="s">
        <v>31</v>
      </c>
      <c r="O3261" t="s">
        <v>32</v>
      </c>
      <c r="P3261" t="s">
        <v>6574</v>
      </c>
      <c r="Q3261">
        <v>235</v>
      </c>
      <c r="R3261">
        <v>235</v>
      </c>
      <c r="S3261" t="s">
        <v>389</v>
      </c>
      <c r="T3261" t="s">
        <v>390</v>
      </c>
      <c r="U3261" t="s">
        <v>44</v>
      </c>
      <c r="W3261">
        <v>0</v>
      </c>
      <c r="X3261">
        <v>0</v>
      </c>
      <c r="Y3261">
        <v>0</v>
      </c>
      <c r="Z3261">
        <v>0</v>
      </c>
    </row>
    <row r="3262" spans="1:26" hidden="1" x14ac:dyDescent="0.25">
      <c r="A3262" t="s">
        <v>6575</v>
      </c>
      <c r="B3262" t="s">
        <v>38</v>
      </c>
      <c r="D3262" s="4">
        <v>44978</v>
      </c>
      <c r="K3262" t="s">
        <v>98</v>
      </c>
      <c r="Q3262">
        <v>0</v>
      </c>
      <c r="R3262">
        <v>0</v>
      </c>
      <c r="W3262">
        <v>0</v>
      </c>
      <c r="X3262">
        <v>0</v>
      </c>
      <c r="Y3262">
        <v>0</v>
      </c>
      <c r="Z3262">
        <v>0</v>
      </c>
    </row>
    <row r="3263" spans="1:26" hidden="1" x14ac:dyDescent="0.25">
      <c r="A3263" t="s">
        <v>6576</v>
      </c>
      <c r="B3263" t="s">
        <v>38</v>
      </c>
      <c r="C3263" s="4">
        <v>42902</v>
      </c>
      <c r="D3263" s="4">
        <v>43762</v>
      </c>
      <c r="F3263" s="4">
        <v>44378</v>
      </c>
      <c r="G3263" t="s">
        <v>72</v>
      </c>
      <c r="H3263" t="s">
        <v>930</v>
      </c>
      <c r="K3263" t="s">
        <v>209</v>
      </c>
      <c r="L3263" t="s">
        <v>2531</v>
      </c>
      <c r="M3263" t="s">
        <v>42</v>
      </c>
      <c r="N3263" t="s">
        <v>31</v>
      </c>
      <c r="O3263" t="s">
        <v>32</v>
      </c>
      <c r="P3263" t="s">
        <v>6577</v>
      </c>
      <c r="Q3263">
        <v>150</v>
      </c>
      <c r="R3263">
        <v>150</v>
      </c>
      <c r="S3263" t="s">
        <v>56</v>
      </c>
      <c r="T3263" t="s">
        <v>57</v>
      </c>
      <c r="U3263" t="s">
        <v>44</v>
      </c>
      <c r="W3263">
        <v>0</v>
      </c>
      <c r="X3263">
        <v>0</v>
      </c>
      <c r="Y3263">
        <v>0</v>
      </c>
      <c r="Z3263">
        <v>0</v>
      </c>
    </row>
    <row r="3264" spans="1:26" hidden="1" x14ac:dyDescent="0.25">
      <c r="A3264" t="s">
        <v>6578</v>
      </c>
      <c r="B3264" t="s">
        <v>38</v>
      </c>
      <c r="C3264" s="4">
        <v>42142</v>
      </c>
      <c r="D3264" s="4">
        <v>43564</v>
      </c>
      <c r="F3264" s="4">
        <v>43738</v>
      </c>
      <c r="G3264" t="s">
        <v>177</v>
      </c>
      <c r="H3264" t="s">
        <v>546</v>
      </c>
      <c r="K3264" t="s">
        <v>62</v>
      </c>
      <c r="L3264" t="s">
        <v>6572</v>
      </c>
      <c r="M3264" t="s">
        <v>42</v>
      </c>
      <c r="N3264" t="s">
        <v>31</v>
      </c>
      <c r="O3264" t="s">
        <v>32</v>
      </c>
      <c r="P3264" t="s">
        <v>6579</v>
      </c>
      <c r="Q3264">
        <v>200</v>
      </c>
      <c r="R3264">
        <v>200</v>
      </c>
      <c r="S3264" t="s">
        <v>56</v>
      </c>
      <c r="T3264" t="s">
        <v>57</v>
      </c>
      <c r="U3264" t="s">
        <v>44</v>
      </c>
      <c r="W3264">
        <v>0</v>
      </c>
      <c r="X3264">
        <v>0</v>
      </c>
      <c r="Y3264">
        <v>0</v>
      </c>
      <c r="Z3264">
        <v>0</v>
      </c>
    </row>
    <row r="3265" spans="1:26" hidden="1" x14ac:dyDescent="0.25">
      <c r="A3265" t="s">
        <v>6580</v>
      </c>
      <c r="B3265" t="s">
        <v>38</v>
      </c>
      <c r="C3265" s="4">
        <v>42902</v>
      </c>
      <c r="D3265" s="4">
        <v>43473</v>
      </c>
      <c r="F3265" s="4">
        <v>43054</v>
      </c>
      <c r="G3265" t="s">
        <v>117</v>
      </c>
      <c r="H3265" t="s">
        <v>357</v>
      </c>
      <c r="K3265" t="s">
        <v>83</v>
      </c>
      <c r="L3265" t="s">
        <v>2531</v>
      </c>
      <c r="M3265" t="s">
        <v>84</v>
      </c>
      <c r="N3265" t="s">
        <v>31</v>
      </c>
      <c r="O3265" t="s">
        <v>32</v>
      </c>
      <c r="P3265" t="s">
        <v>6581</v>
      </c>
      <c r="Q3265">
        <v>102</v>
      </c>
      <c r="R3265">
        <v>102</v>
      </c>
      <c r="S3265" t="s">
        <v>56</v>
      </c>
      <c r="T3265" t="s">
        <v>57</v>
      </c>
      <c r="U3265" t="s">
        <v>44</v>
      </c>
      <c r="W3265">
        <v>0</v>
      </c>
      <c r="X3265">
        <v>0</v>
      </c>
      <c r="Y3265">
        <v>0</v>
      </c>
      <c r="Z3265">
        <v>0</v>
      </c>
    </row>
    <row r="3266" spans="1:26" hidden="1" x14ac:dyDescent="0.25">
      <c r="A3266" t="s">
        <v>6582</v>
      </c>
      <c r="B3266" t="s">
        <v>38</v>
      </c>
      <c r="C3266" s="4">
        <v>42902</v>
      </c>
      <c r="D3266" s="4">
        <v>43572</v>
      </c>
      <c r="F3266" s="4">
        <v>43282</v>
      </c>
      <c r="G3266" t="s">
        <v>380</v>
      </c>
      <c r="H3266" t="s">
        <v>242</v>
      </c>
      <c r="K3266" t="s">
        <v>98</v>
      </c>
      <c r="L3266" t="s">
        <v>2531</v>
      </c>
      <c r="M3266" t="s">
        <v>84</v>
      </c>
      <c r="N3266" t="s">
        <v>31</v>
      </c>
      <c r="O3266" t="s">
        <v>32</v>
      </c>
      <c r="P3266" t="s">
        <v>6583</v>
      </c>
      <c r="Q3266">
        <v>200</v>
      </c>
      <c r="R3266">
        <v>200</v>
      </c>
      <c r="S3266" t="s">
        <v>56</v>
      </c>
      <c r="T3266" t="s">
        <v>57</v>
      </c>
      <c r="U3266" t="s">
        <v>44</v>
      </c>
      <c r="W3266">
        <v>200</v>
      </c>
      <c r="X3266">
        <v>200</v>
      </c>
      <c r="Y3266">
        <v>0</v>
      </c>
      <c r="Z3266">
        <v>0</v>
      </c>
    </row>
    <row r="3267" spans="1:26" hidden="1" x14ac:dyDescent="0.25">
      <c r="A3267" t="s">
        <v>6584</v>
      </c>
      <c r="B3267" t="s">
        <v>38</v>
      </c>
      <c r="C3267" s="4">
        <v>42902</v>
      </c>
      <c r="D3267" s="4">
        <v>43472</v>
      </c>
      <c r="F3267" s="4">
        <v>43709</v>
      </c>
      <c r="G3267" t="s">
        <v>6476</v>
      </c>
      <c r="H3267" t="s">
        <v>6585</v>
      </c>
      <c r="K3267" t="s">
        <v>151</v>
      </c>
      <c r="L3267" t="s">
        <v>2531</v>
      </c>
      <c r="M3267" t="s">
        <v>68</v>
      </c>
      <c r="N3267" t="s">
        <v>31</v>
      </c>
      <c r="O3267" t="s">
        <v>32</v>
      </c>
      <c r="P3267" t="s">
        <v>6586</v>
      </c>
      <c r="Q3267">
        <v>100</v>
      </c>
      <c r="R3267">
        <v>100</v>
      </c>
      <c r="S3267" t="s">
        <v>34</v>
      </c>
      <c r="T3267" t="s">
        <v>35</v>
      </c>
      <c r="U3267" t="s">
        <v>44</v>
      </c>
      <c r="W3267">
        <v>0</v>
      </c>
      <c r="X3267">
        <v>0</v>
      </c>
      <c r="Y3267">
        <v>0</v>
      </c>
      <c r="Z3267">
        <v>0</v>
      </c>
    </row>
    <row r="3268" spans="1:26" hidden="1" x14ac:dyDescent="0.25">
      <c r="A3268" t="s">
        <v>6587</v>
      </c>
      <c r="B3268" t="s">
        <v>38</v>
      </c>
      <c r="C3268" s="4">
        <v>42324</v>
      </c>
      <c r="D3268" s="4">
        <v>42933</v>
      </c>
      <c r="F3268" s="4">
        <v>42826</v>
      </c>
      <c r="G3268" t="s">
        <v>6476</v>
      </c>
      <c r="H3268" t="s">
        <v>546</v>
      </c>
      <c r="K3268" t="s">
        <v>67</v>
      </c>
      <c r="L3268" t="s">
        <v>6572</v>
      </c>
      <c r="M3268" t="s">
        <v>68</v>
      </c>
      <c r="N3268" t="s">
        <v>31</v>
      </c>
      <c r="O3268" t="s">
        <v>32</v>
      </c>
      <c r="P3268" t="s">
        <v>6588</v>
      </c>
      <c r="Q3268">
        <v>42.7</v>
      </c>
      <c r="R3268">
        <v>42.7</v>
      </c>
      <c r="S3268" t="s">
        <v>389</v>
      </c>
      <c r="T3268" t="s">
        <v>390</v>
      </c>
      <c r="U3268" t="s">
        <v>44</v>
      </c>
      <c r="W3268">
        <v>0</v>
      </c>
      <c r="X3268">
        <v>0</v>
      </c>
      <c r="Y3268">
        <v>0</v>
      </c>
      <c r="Z3268">
        <v>0</v>
      </c>
    </row>
    <row r="3269" spans="1:26" hidden="1" x14ac:dyDescent="0.25">
      <c r="A3269" t="s">
        <v>6589</v>
      </c>
      <c r="B3269" t="s">
        <v>38</v>
      </c>
      <c r="C3269" s="4">
        <v>42324</v>
      </c>
      <c r="D3269" s="4">
        <v>43564</v>
      </c>
      <c r="F3269" s="4">
        <v>43723</v>
      </c>
      <c r="G3269" t="s">
        <v>72</v>
      </c>
      <c r="H3269" t="s">
        <v>267</v>
      </c>
      <c r="K3269" t="s">
        <v>41</v>
      </c>
      <c r="L3269" t="s">
        <v>6572</v>
      </c>
      <c r="M3269" t="s">
        <v>42</v>
      </c>
      <c r="N3269" t="s">
        <v>31</v>
      </c>
      <c r="O3269" t="s">
        <v>32</v>
      </c>
      <c r="P3269" t="s">
        <v>6590</v>
      </c>
      <c r="Q3269">
        <v>20</v>
      </c>
      <c r="R3269">
        <v>20</v>
      </c>
      <c r="S3269" t="s">
        <v>159</v>
      </c>
      <c r="T3269" t="s">
        <v>159</v>
      </c>
      <c r="U3269" t="s">
        <v>44</v>
      </c>
      <c r="W3269">
        <v>0</v>
      </c>
      <c r="X3269">
        <v>0</v>
      </c>
      <c r="Y3269">
        <v>0</v>
      </c>
      <c r="Z3269">
        <v>0</v>
      </c>
    </row>
    <row r="3270" spans="1:26" hidden="1" x14ac:dyDescent="0.25">
      <c r="A3270" t="s">
        <v>6591</v>
      </c>
      <c r="B3270" t="s">
        <v>25</v>
      </c>
      <c r="F3270" s="4">
        <v>43344</v>
      </c>
      <c r="K3270" t="s">
        <v>146</v>
      </c>
      <c r="Q3270">
        <v>0</v>
      </c>
      <c r="R3270">
        <v>0</v>
      </c>
      <c r="U3270" t="s">
        <v>36</v>
      </c>
      <c r="V3270" s="4">
        <v>44454</v>
      </c>
      <c r="W3270">
        <v>98.1</v>
      </c>
      <c r="X3270">
        <v>98.1</v>
      </c>
      <c r="Y3270">
        <v>98.1</v>
      </c>
      <c r="Z3270">
        <v>98.1</v>
      </c>
    </row>
    <row r="3271" spans="1:26" hidden="1" x14ac:dyDescent="0.25">
      <c r="A3271" t="s">
        <v>6592</v>
      </c>
      <c r="B3271" t="s">
        <v>25</v>
      </c>
      <c r="C3271" s="4">
        <v>42902</v>
      </c>
      <c r="E3271" s="4">
        <v>44335</v>
      </c>
      <c r="F3271" s="4">
        <v>44074</v>
      </c>
      <c r="G3271" t="s">
        <v>39</v>
      </c>
      <c r="H3271" t="s">
        <v>40</v>
      </c>
      <c r="K3271" t="s">
        <v>41</v>
      </c>
      <c r="L3271" t="s">
        <v>2531</v>
      </c>
      <c r="M3271" t="s">
        <v>42</v>
      </c>
      <c r="N3271" t="s">
        <v>31</v>
      </c>
      <c r="O3271" t="s">
        <v>122</v>
      </c>
      <c r="P3271" t="s">
        <v>6593</v>
      </c>
      <c r="Q3271">
        <v>110</v>
      </c>
      <c r="R3271">
        <v>110</v>
      </c>
      <c r="S3271" t="s">
        <v>56</v>
      </c>
      <c r="T3271" t="s">
        <v>57</v>
      </c>
      <c r="U3271" t="s">
        <v>36</v>
      </c>
      <c r="V3271" s="4">
        <v>44910</v>
      </c>
      <c r="W3271">
        <v>110</v>
      </c>
      <c r="X3271">
        <v>0</v>
      </c>
      <c r="Y3271">
        <v>110</v>
      </c>
      <c r="Z3271">
        <v>0</v>
      </c>
    </row>
    <row r="3272" spans="1:26" hidden="1" x14ac:dyDescent="0.25">
      <c r="A3272" t="s">
        <v>6594</v>
      </c>
      <c r="B3272" t="s">
        <v>38</v>
      </c>
      <c r="C3272" s="4">
        <v>42464</v>
      </c>
      <c r="D3272" s="4">
        <v>43564</v>
      </c>
      <c r="F3272" s="4">
        <v>43830</v>
      </c>
      <c r="G3272" t="s">
        <v>173</v>
      </c>
      <c r="H3272" t="s">
        <v>6595</v>
      </c>
      <c r="K3272" t="s">
        <v>41</v>
      </c>
      <c r="L3272" t="s">
        <v>6572</v>
      </c>
      <c r="M3272" t="s">
        <v>42</v>
      </c>
      <c r="N3272" t="s">
        <v>31</v>
      </c>
      <c r="O3272" t="s">
        <v>32</v>
      </c>
      <c r="P3272" t="s">
        <v>1688</v>
      </c>
      <c r="Q3272">
        <v>102</v>
      </c>
      <c r="R3272">
        <v>102</v>
      </c>
      <c r="S3272" t="s">
        <v>56</v>
      </c>
      <c r="T3272" t="s">
        <v>57</v>
      </c>
      <c r="U3272" t="s">
        <v>44</v>
      </c>
      <c r="W3272">
        <v>0</v>
      </c>
      <c r="X3272">
        <v>0</v>
      </c>
      <c r="Y3272">
        <v>0</v>
      </c>
      <c r="Z3272">
        <v>0</v>
      </c>
    </row>
    <row r="3273" spans="1:26" hidden="1" x14ac:dyDescent="0.25">
      <c r="A3273" t="s">
        <v>6596</v>
      </c>
      <c r="B3273" t="s">
        <v>38</v>
      </c>
      <c r="C3273" s="4">
        <v>42496</v>
      </c>
      <c r="D3273" s="4">
        <v>43682</v>
      </c>
      <c r="F3273" s="4">
        <v>43358</v>
      </c>
      <c r="G3273" t="s">
        <v>128</v>
      </c>
      <c r="H3273" t="s">
        <v>6597</v>
      </c>
      <c r="K3273" t="s">
        <v>109</v>
      </c>
      <c r="L3273" t="s">
        <v>6572</v>
      </c>
      <c r="M3273" t="s">
        <v>42</v>
      </c>
      <c r="N3273" t="s">
        <v>31</v>
      </c>
      <c r="O3273" t="s">
        <v>32</v>
      </c>
      <c r="P3273" t="s">
        <v>6598</v>
      </c>
      <c r="Q3273">
        <v>150</v>
      </c>
      <c r="R3273">
        <v>150</v>
      </c>
      <c r="S3273" t="s">
        <v>56</v>
      </c>
      <c r="T3273" t="s">
        <v>57</v>
      </c>
      <c r="U3273" t="s">
        <v>44</v>
      </c>
      <c r="W3273">
        <v>150</v>
      </c>
      <c r="X3273">
        <v>150</v>
      </c>
      <c r="Y3273">
        <v>0</v>
      </c>
      <c r="Z3273">
        <v>0</v>
      </c>
    </row>
    <row r="3274" spans="1:26" hidden="1" x14ac:dyDescent="0.25">
      <c r="A3274" t="s">
        <v>6599</v>
      </c>
      <c r="B3274" t="s">
        <v>38</v>
      </c>
      <c r="C3274" s="4">
        <v>42902</v>
      </c>
      <c r="D3274" s="4">
        <v>43474</v>
      </c>
      <c r="F3274" s="4">
        <v>43374</v>
      </c>
      <c r="G3274" t="s">
        <v>52</v>
      </c>
      <c r="H3274" t="s">
        <v>6600</v>
      </c>
      <c r="K3274" t="s">
        <v>53</v>
      </c>
      <c r="L3274" t="s">
        <v>2531</v>
      </c>
      <c r="M3274" t="s">
        <v>54</v>
      </c>
      <c r="N3274" t="s">
        <v>31</v>
      </c>
      <c r="O3274" t="s">
        <v>32</v>
      </c>
      <c r="P3274" t="s">
        <v>6601</v>
      </c>
      <c r="Q3274">
        <v>200</v>
      </c>
      <c r="R3274">
        <v>200</v>
      </c>
      <c r="S3274" t="s">
        <v>56</v>
      </c>
      <c r="T3274" t="s">
        <v>57</v>
      </c>
      <c r="U3274" t="s">
        <v>44</v>
      </c>
      <c r="W3274">
        <v>0</v>
      </c>
      <c r="X3274">
        <v>0</v>
      </c>
      <c r="Y3274">
        <v>0</v>
      </c>
      <c r="Z3274">
        <v>0</v>
      </c>
    </row>
    <row r="3275" spans="1:26" hidden="1" x14ac:dyDescent="0.25">
      <c r="A3275" t="s">
        <v>6602</v>
      </c>
      <c r="B3275" t="s">
        <v>38</v>
      </c>
      <c r="C3275" s="4">
        <v>42902</v>
      </c>
      <c r="D3275" s="4">
        <v>44225</v>
      </c>
      <c r="F3275" s="4">
        <v>44454</v>
      </c>
      <c r="G3275" t="s">
        <v>183</v>
      </c>
      <c r="H3275" t="s">
        <v>6603</v>
      </c>
      <c r="K3275" t="s">
        <v>185</v>
      </c>
      <c r="L3275" t="s">
        <v>2531</v>
      </c>
      <c r="M3275" t="s">
        <v>42</v>
      </c>
      <c r="N3275" t="s">
        <v>31</v>
      </c>
      <c r="O3275" t="s">
        <v>122</v>
      </c>
      <c r="P3275" t="s">
        <v>6604</v>
      </c>
      <c r="Q3275">
        <v>298</v>
      </c>
      <c r="R3275">
        <v>298</v>
      </c>
      <c r="S3275" t="s">
        <v>56</v>
      </c>
      <c r="T3275" t="s">
        <v>57</v>
      </c>
      <c r="U3275" t="s">
        <v>44</v>
      </c>
      <c r="W3275">
        <v>298</v>
      </c>
      <c r="X3275">
        <v>0</v>
      </c>
      <c r="Y3275">
        <v>0</v>
      </c>
      <c r="Z3275">
        <v>0</v>
      </c>
    </row>
    <row r="3276" spans="1:26" hidden="1" x14ac:dyDescent="0.25">
      <c r="A3276" t="s">
        <v>6605</v>
      </c>
      <c r="B3276" t="s">
        <v>38</v>
      </c>
      <c r="C3276" s="4">
        <v>42499</v>
      </c>
      <c r="D3276" s="4">
        <v>44103</v>
      </c>
      <c r="E3276" s="4">
        <v>43550</v>
      </c>
      <c r="F3276" s="4">
        <v>43358</v>
      </c>
      <c r="G3276" t="s">
        <v>26</v>
      </c>
      <c r="H3276" t="s">
        <v>410</v>
      </c>
      <c r="K3276" t="s">
        <v>28</v>
      </c>
      <c r="L3276" t="s">
        <v>6572</v>
      </c>
      <c r="M3276" t="s">
        <v>30</v>
      </c>
      <c r="N3276" t="s">
        <v>31</v>
      </c>
      <c r="O3276" t="s">
        <v>32</v>
      </c>
      <c r="P3276" t="s">
        <v>6606</v>
      </c>
      <c r="Q3276">
        <v>60</v>
      </c>
      <c r="R3276">
        <v>60</v>
      </c>
      <c r="S3276" t="s">
        <v>56</v>
      </c>
      <c r="T3276" t="s">
        <v>57</v>
      </c>
      <c r="U3276" t="s">
        <v>38</v>
      </c>
      <c r="V3276" s="4">
        <v>44331</v>
      </c>
      <c r="W3276">
        <v>60</v>
      </c>
      <c r="X3276">
        <v>60</v>
      </c>
      <c r="Y3276">
        <v>60</v>
      </c>
      <c r="Z3276">
        <v>60</v>
      </c>
    </row>
    <row r="3277" spans="1:26" x14ac:dyDescent="0.25">
      <c r="A3277" t="s">
        <v>6607</v>
      </c>
      <c r="B3277" t="s">
        <v>38</v>
      </c>
      <c r="C3277" s="4">
        <v>42902</v>
      </c>
      <c r="D3277" s="4">
        <v>43500</v>
      </c>
      <c r="F3277" s="4">
        <v>43723</v>
      </c>
      <c r="G3277" t="s">
        <v>39</v>
      </c>
      <c r="H3277" t="s">
        <v>7658</v>
      </c>
      <c r="I3277" t="s">
        <v>6595</v>
      </c>
      <c r="K3277" t="s">
        <v>41</v>
      </c>
      <c r="L3277" t="s">
        <v>2531</v>
      </c>
      <c r="M3277" t="s">
        <v>42</v>
      </c>
      <c r="N3277" t="s">
        <v>31</v>
      </c>
      <c r="O3277" t="s">
        <v>32</v>
      </c>
      <c r="P3277" t="s">
        <v>6608</v>
      </c>
      <c r="Q3277">
        <v>400</v>
      </c>
      <c r="R3277">
        <v>400</v>
      </c>
      <c r="S3277" t="s">
        <v>56</v>
      </c>
      <c r="T3277" t="s">
        <v>57</v>
      </c>
      <c r="U3277" t="s">
        <v>44</v>
      </c>
      <c r="W3277">
        <v>0</v>
      </c>
      <c r="X3277">
        <v>0</v>
      </c>
      <c r="Y3277">
        <v>0</v>
      </c>
      <c r="Z3277">
        <v>0</v>
      </c>
    </row>
    <row r="3278" spans="1:26" x14ac:dyDescent="0.25">
      <c r="A3278" t="s">
        <v>6609</v>
      </c>
      <c r="B3278" t="s">
        <v>38</v>
      </c>
      <c r="C3278" s="4">
        <v>42902</v>
      </c>
      <c r="D3278" s="4">
        <v>44509</v>
      </c>
      <c r="E3278" s="4">
        <v>44451</v>
      </c>
      <c r="F3278" s="4">
        <v>44743</v>
      </c>
      <c r="G3278" t="s">
        <v>173</v>
      </c>
      <c r="H3278" t="s">
        <v>6999</v>
      </c>
      <c r="I3278" t="s">
        <v>6979</v>
      </c>
      <c r="K3278" t="s">
        <v>185</v>
      </c>
      <c r="L3278" t="s">
        <v>2531</v>
      </c>
      <c r="M3278" t="s">
        <v>42</v>
      </c>
      <c r="N3278" t="s">
        <v>31</v>
      </c>
      <c r="O3278" t="s">
        <v>122</v>
      </c>
      <c r="P3278" t="s">
        <v>6610</v>
      </c>
      <c r="Q3278">
        <v>400</v>
      </c>
      <c r="R3278">
        <v>400</v>
      </c>
      <c r="S3278" t="s">
        <v>56</v>
      </c>
      <c r="T3278" t="s">
        <v>57</v>
      </c>
      <c r="U3278" t="s">
        <v>44</v>
      </c>
      <c r="W3278">
        <v>400</v>
      </c>
      <c r="X3278">
        <v>400</v>
      </c>
      <c r="Y3278">
        <v>400</v>
      </c>
      <c r="Z3278">
        <v>0</v>
      </c>
    </row>
    <row r="3279" spans="1:26" x14ac:dyDescent="0.25">
      <c r="A3279" t="s">
        <v>6611</v>
      </c>
      <c r="B3279" t="s">
        <v>38</v>
      </c>
      <c r="C3279" s="4">
        <v>42902</v>
      </c>
      <c r="D3279" s="4">
        <v>43474</v>
      </c>
      <c r="F3279" s="4">
        <v>43358</v>
      </c>
      <c r="G3279" t="s">
        <v>52</v>
      </c>
      <c r="H3279" t="s">
        <v>7659</v>
      </c>
      <c r="I3279" t="s">
        <v>6821</v>
      </c>
      <c r="K3279" t="s">
        <v>53</v>
      </c>
      <c r="L3279" t="s">
        <v>2531</v>
      </c>
      <c r="M3279" t="s">
        <v>54</v>
      </c>
      <c r="N3279" t="s">
        <v>31</v>
      </c>
      <c r="O3279" t="s">
        <v>32</v>
      </c>
      <c r="P3279" t="s">
        <v>6612</v>
      </c>
      <c r="Q3279">
        <v>200</v>
      </c>
      <c r="R3279">
        <v>200</v>
      </c>
      <c r="S3279" t="s">
        <v>56</v>
      </c>
      <c r="T3279" t="s">
        <v>57</v>
      </c>
      <c r="U3279" t="s">
        <v>44</v>
      </c>
      <c r="W3279">
        <v>0</v>
      </c>
      <c r="X3279">
        <v>0</v>
      </c>
      <c r="Y3279">
        <v>0</v>
      </c>
      <c r="Z3279">
        <v>0</v>
      </c>
    </row>
    <row r="3280" spans="1:26" hidden="1" x14ac:dyDescent="0.25">
      <c r="A3280" t="s">
        <v>6613</v>
      </c>
      <c r="B3280" t="s">
        <v>38</v>
      </c>
      <c r="C3280" s="4">
        <v>42499</v>
      </c>
      <c r="D3280" s="4">
        <v>42901</v>
      </c>
      <c r="F3280" s="4">
        <v>43159</v>
      </c>
      <c r="G3280" t="s">
        <v>6476</v>
      </c>
      <c r="H3280" t="s">
        <v>6614</v>
      </c>
      <c r="K3280" t="s">
        <v>146</v>
      </c>
      <c r="L3280" t="s">
        <v>6572</v>
      </c>
      <c r="M3280" t="s">
        <v>68</v>
      </c>
      <c r="N3280" t="s">
        <v>31</v>
      </c>
      <c r="O3280" t="s">
        <v>32</v>
      </c>
      <c r="P3280" t="s">
        <v>6615</v>
      </c>
      <c r="Q3280">
        <v>35</v>
      </c>
      <c r="R3280">
        <v>35</v>
      </c>
      <c r="S3280" t="s">
        <v>34</v>
      </c>
      <c r="T3280" t="s">
        <v>35</v>
      </c>
      <c r="U3280" t="s">
        <v>44</v>
      </c>
      <c r="W3280">
        <v>0</v>
      </c>
      <c r="X3280">
        <v>0</v>
      </c>
      <c r="Y3280">
        <v>0</v>
      </c>
      <c r="Z3280">
        <v>0</v>
      </c>
    </row>
    <row r="3281" spans="1:26" hidden="1" x14ac:dyDescent="0.25">
      <c r="A3281" t="s">
        <v>6616</v>
      </c>
      <c r="B3281" t="s">
        <v>38</v>
      </c>
      <c r="C3281" s="4">
        <v>42499</v>
      </c>
      <c r="D3281" s="4">
        <v>42906</v>
      </c>
      <c r="F3281" s="4">
        <v>42521</v>
      </c>
      <c r="G3281" t="s">
        <v>616</v>
      </c>
      <c r="H3281" t="s">
        <v>657</v>
      </c>
      <c r="K3281" t="s">
        <v>146</v>
      </c>
      <c r="L3281" t="s">
        <v>6572</v>
      </c>
      <c r="M3281" t="s">
        <v>68</v>
      </c>
      <c r="N3281" t="s">
        <v>31</v>
      </c>
      <c r="O3281" t="s">
        <v>32</v>
      </c>
      <c r="P3281" t="s">
        <v>6617</v>
      </c>
      <c r="Q3281">
        <v>52</v>
      </c>
      <c r="R3281">
        <v>52</v>
      </c>
      <c r="U3281" t="s">
        <v>44</v>
      </c>
      <c r="W3281">
        <v>0</v>
      </c>
      <c r="X3281">
        <v>0</v>
      </c>
      <c r="Y3281">
        <v>0</v>
      </c>
      <c r="Z3281">
        <v>0</v>
      </c>
    </row>
    <row r="3282" spans="1:26" hidden="1" x14ac:dyDescent="0.25">
      <c r="A3282" t="s">
        <v>6618</v>
      </c>
      <c r="B3282" t="s">
        <v>38</v>
      </c>
      <c r="C3282" s="4">
        <v>42902</v>
      </c>
      <c r="D3282" s="4">
        <v>44865</v>
      </c>
      <c r="E3282" s="4">
        <v>43801</v>
      </c>
      <c r="F3282" s="4">
        <v>43556</v>
      </c>
      <c r="G3282" t="s">
        <v>6476</v>
      </c>
      <c r="H3282" t="s">
        <v>1197</v>
      </c>
      <c r="K3282" t="s">
        <v>146</v>
      </c>
      <c r="L3282" t="s">
        <v>2531</v>
      </c>
      <c r="M3282" t="s">
        <v>68</v>
      </c>
      <c r="N3282" t="s">
        <v>31</v>
      </c>
      <c r="O3282" t="s">
        <v>32</v>
      </c>
      <c r="P3282" t="s">
        <v>6619</v>
      </c>
      <c r="Q3282">
        <v>50</v>
      </c>
      <c r="R3282">
        <v>50</v>
      </c>
      <c r="S3282" t="s">
        <v>34</v>
      </c>
      <c r="T3282" t="s">
        <v>35</v>
      </c>
      <c r="U3282" t="s">
        <v>38</v>
      </c>
      <c r="V3282" s="4">
        <v>44160</v>
      </c>
      <c r="W3282">
        <v>50</v>
      </c>
      <c r="X3282">
        <v>50</v>
      </c>
      <c r="Y3282">
        <v>50</v>
      </c>
      <c r="Z3282">
        <v>50</v>
      </c>
    </row>
    <row r="3283" spans="1:26" hidden="1" x14ac:dyDescent="0.25">
      <c r="A3283" t="s">
        <v>6620</v>
      </c>
      <c r="B3283" t="s">
        <v>38</v>
      </c>
      <c r="C3283" s="4">
        <v>42902</v>
      </c>
      <c r="D3283" s="4">
        <v>43472</v>
      </c>
      <c r="F3283" s="4">
        <v>43556</v>
      </c>
      <c r="G3283" t="s">
        <v>6476</v>
      </c>
      <c r="H3283" t="s">
        <v>6621</v>
      </c>
      <c r="K3283" t="s">
        <v>146</v>
      </c>
      <c r="L3283" t="s">
        <v>2531</v>
      </c>
      <c r="M3283" t="s">
        <v>68</v>
      </c>
      <c r="N3283" t="s">
        <v>31</v>
      </c>
      <c r="O3283" t="s">
        <v>32</v>
      </c>
      <c r="P3283" t="s">
        <v>6622</v>
      </c>
      <c r="Q3283">
        <v>50</v>
      </c>
      <c r="R3283">
        <v>50</v>
      </c>
      <c r="S3283" t="s">
        <v>34</v>
      </c>
      <c r="T3283" t="s">
        <v>35</v>
      </c>
      <c r="U3283" t="s">
        <v>44</v>
      </c>
      <c r="W3283">
        <v>0</v>
      </c>
      <c r="X3283">
        <v>0</v>
      </c>
      <c r="Y3283">
        <v>0</v>
      </c>
      <c r="Z3283">
        <v>0</v>
      </c>
    </row>
    <row r="3284" spans="1:26" hidden="1" x14ac:dyDescent="0.25">
      <c r="A3284" t="s">
        <v>6623</v>
      </c>
      <c r="B3284" t="s">
        <v>25</v>
      </c>
      <c r="C3284" s="4">
        <v>42537</v>
      </c>
      <c r="E3284" s="4">
        <v>43581</v>
      </c>
      <c r="F3284" s="4">
        <v>40360</v>
      </c>
      <c r="G3284" t="s">
        <v>72</v>
      </c>
      <c r="H3284" t="s">
        <v>6624</v>
      </c>
      <c r="K3284" t="s">
        <v>53</v>
      </c>
      <c r="L3284" t="s">
        <v>6572</v>
      </c>
      <c r="M3284" t="s">
        <v>54</v>
      </c>
      <c r="N3284" t="s">
        <v>31</v>
      </c>
      <c r="O3284" t="s">
        <v>122</v>
      </c>
      <c r="P3284" t="s">
        <v>6625</v>
      </c>
      <c r="Q3284">
        <v>1.6</v>
      </c>
      <c r="R3284">
        <v>0</v>
      </c>
      <c r="U3284" t="s">
        <v>70</v>
      </c>
      <c r="V3284" s="4">
        <v>40360</v>
      </c>
      <c r="W3284">
        <v>1.6</v>
      </c>
      <c r="X3284">
        <v>0</v>
      </c>
      <c r="Y3284">
        <v>1.6</v>
      </c>
      <c r="Z3284">
        <v>0</v>
      </c>
    </row>
    <row r="3285" spans="1:26" hidden="1" x14ac:dyDescent="0.25">
      <c r="A3285" t="s">
        <v>6626</v>
      </c>
      <c r="B3285" t="s">
        <v>38</v>
      </c>
      <c r="C3285" s="4">
        <v>42541</v>
      </c>
      <c r="D3285" s="4">
        <v>43349</v>
      </c>
      <c r="F3285" s="4">
        <v>44440</v>
      </c>
      <c r="G3285" t="s">
        <v>52</v>
      </c>
      <c r="H3285" t="s">
        <v>975</v>
      </c>
      <c r="K3285" t="s">
        <v>53</v>
      </c>
      <c r="L3285" t="s">
        <v>6572</v>
      </c>
      <c r="M3285" t="s">
        <v>54</v>
      </c>
      <c r="N3285" t="s">
        <v>31</v>
      </c>
      <c r="O3285" t="s">
        <v>32</v>
      </c>
      <c r="P3285" t="s">
        <v>6627</v>
      </c>
      <c r="Q3285">
        <v>147.4</v>
      </c>
      <c r="R3285">
        <v>147.4</v>
      </c>
      <c r="S3285" t="s">
        <v>34</v>
      </c>
      <c r="T3285" t="s">
        <v>35</v>
      </c>
      <c r="U3285" t="s">
        <v>44</v>
      </c>
      <c r="W3285">
        <v>124.95</v>
      </c>
      <c r="X3285">
        <v>124.95</v>
      </c>
      <c r="Y3285">
        <v>0</v>
      </c>
      <c r="Z3285">
        <v>0</v>
      </c>
    </row>
    <row r="3286" spans="1:26" hidden="1" x14ac:dyDescent="0.25">
      <c r="A3286" t="s">
        <v>6628</v>
      </c>
      <c r="B3286" t="s">
        <v>38</v>
      </c>
      <c r="C3286" s="4">
        <v>42559</v>
      </c>
      <c r="D3286" s="4">
        <v>43200</v>
      </c>
      <c r="F3286" s="4">
        <v>43709</v>
      </c>
      <c r="G3286" t="s">
        <v>26</v>
      </c>
      <c r="H3286" t="s">
        <v>338</v>
      </c>
      <c r="K3286" t="s">
        <v>28</v>
      </c>
      <c r="L3286" t="s">
        <v>6572</v>
      </c>
      <c r="M3286" t="s">
        <v>30</v>
      </c>
      <c r="N3286" t="s">
        <v>31</v>
      </c>
      <c r="O3286" t="s">
        <v>32</v>
      </c>
      <c r="P3286" t="s">
        <v>6629</v>
      </c>
      <c r="Q3286">
        <v>100.8</v>
      </c>
      <c r="R3286">
        <v>100.8</v>
      </c>
      <c r="S3286" t="s">
        <v>56</v>
      </c>
      <c r="T3286" t="s">
        <v>57</v>
      </c>
      <c r="U3286" t="s">
        <v>44</v>
      </c>
      <c r="W3286">
        <v>0</v>
      </c>
      <c r="X3286">
        <v>0</v>
      </c>
      <c r="Y3286">
        <v>0</v>
      </c>
      <c r="Z3286">
        <v>0</v>
      </c>
    </row>
    <row r="3287" spans="1:26" hidden="1" x14ac:dyDescent="0.25">
      <c r="A3287" t="s">
        <v>6630</v>
      </c>
      <c r="B3287" t="s">
        <v>38</v>
      </c>
      <c r="C3287" s="4">
        <v>42558</v>
      </c>
      <c r="D3287" s="4">
        <v>42907</v>
      </c>
      <c r="F3287" s="4">
        <v>43358</v>
      </c>
      <c r="G3287" t="s">
        <v>107</v>
      </c>
      <c r="H3287" t="s">
        <v>400</v>
      </c>
      <c r="K3287" t="s">
        <v>109</v>
      </c>
      <c r="L3287" t="s">
        <v>6572</v>
      </c>
      <c r="M3287" t="s">
        <v>84</v>
      </c>
      <c r="N3287" t="s">
        <v>31</v>
      </c>
      <c r="O3287" t="s">
        <v>32</v>
      </c>
      <c r="P3287" t="s">
        <v>136</v>
      </c>
      <c r="Q3287">
        <v>100.05</v>
      </c>
      <c r="R3287">
        <v>100.05</v>
      </c>
      <c r="S3287" t="s">
        <v>56</v>
      </c>
      <c r="T3287" t="s">
        <v>57</v>
      </c>
      <c r="U3287" t="s">
        <v>44</v>
      </c>
      <c r="W3287">
        <v>0</v>
      </c>
      <c r="X3287">
        <v>0</v>
      </c>
      <c r="Y3287">
        <v>0</v>
      </c>
      <c r="Z3287">
        <v>0</v>
      </c>
    </row>
    <row r="3288" spans="1:26" hidden="1" x14ac:dyDescent="0.25">
      <c r="A3288" t="s">
        <v>6631</v>
      </c>
      <c r="B3288" t="s">
        <v>38</v>
      </c>
      <c r="C3288" s="4">
        <v>42902</v>
      </c>
      <c r="D3288" s="4">
        <v>43472</v>
      </c>
      <c r="F3288" s="4">
        <v>43556</v>
      </c>
      <c r="G3288" t="s">
        <v>6476</v>
      </c>
      <c r="H3288" t="s">
        <v>6632</v>
      </c>
      <c r="K3288" t="s">
        <v>146</v>
      </c>
      <c r="L3288" t="s">
        <v>2531</v>
      </c>
      <c r="M3288" t="s">
        <v>68</v>
      </c>
      <c r="N3288" t="s">
        <v>31</v>
      </c>
      <c r="O3288" t="s">
        <v>32</v>
      </c>
      <c r="P3288" t="s">
        <v>6633</v>
      </c>
      <c r="Q3288">
        <v>50</v>
      </c>
      <c r="R3288">
        <v>50</v>
      </c>
      <c r="S3288" t="s">
        <v>34</v>
      </c>
      <c r="T3288" t="s">
        <v>35</v>
      </c>
      <c r="U3288" t="s">
        <v>44</v>
      </c>
      <c r="W3288">
        <v>0</v>
      </c>
      <c r="X3288">
        <v>0</v>
      </c>
      <c r="Y3288">
        <v>0</v>
      </c>
      <c r="Z3288">
        <v>0</v>
      </c>
    </row>
    <row r="3289" spans="1:26" hidden="1" x14ac:dyDescent="0.25">
      <c r="A3289" t="s">
        <v>6634</v>
      </c>
      <c r="B3289" t="s">
        <v>38</v>
      </c>
      <c r="C3289" s="4">
        <v>42562</v>
      </c>
      <c r="D3289" s="4">
        <v>43468</v>
      </c>
      <c r="E3289" s="4">
        <v>43382</v>
      </c>
      <c r="F3289" s="4">
        <v>43388</v>
      </c>
      <c r="G3289" t="s">
        <v>6476</v>
      </c>
      <c r="H3289" t="s">
        <v>66</v>
      </c>
      <c r="K3289" t="s">
        <v>67</v>
      </c>
      <c r="L3289" t="s">
        <v>6572</v>
      </c>
      <c r="M3289" t="s">
        <v>68</v>
      </c>
      <c r="N3289" t="s">
        <v>31</v>
      </c>
      <c r="O3289" t="s">
        <v>32</v>
      </c>
      <c r="P3289" t="s">
        <v>6635</v>
      </c>
      <c r="Q3289">
        <v>100.05</v>
      </c>
      <c r="R3289">
        <v>100.05</v>
      </c>
      <c r="S3289" t="s">
        <v>56</v>
      </c>
      <c r="T3289" t="s">
        <v>57</v>
      </c>
      <c r="U3289" t="s">
        <v>38</v>
      </c>
      <c r="V3289" s="4">
        <v>44043</v>
      </c>
      <c r="W3289">
        <v>100.05</v>
      </c>
      <c r="X3289">
        <v>100.05</v>
      </c>
      <c r="Y3289">
        <v>100.05</v>
      </c>
      <c r="Z3289">
        <v>100.05</v>
      </c>
    </row>
    <row r="3290" spans="1:26" hidden="1" x14ac:dyDescent="0.25">
      <c r="A3290" t="s">
        <v>6636</v>
      </c>
      <c r="B3290" t="s">
        <v>25</v>
      </c>
      <c r="C3290" s="4">
        <v>42902</v>
      </c>
      <c r="E3290" s="4">
        <v>43910</v>
      </c>
      <c r="F3290" s="4">
        <v>43374</v>
      </c>
      <c r="G3290" t="s">
        <v>6476</v>
      </c>
      <c r="H3290" t="s">
        <v>6637</v>
      </c>
      <c r="K3290" t="s">
        <v>67</v>
      </c>
      <c r="L3290" t="s">
        <v>2531</v>
      </c>
      <c r="M3290" t="s">
        <v>68</v>
      </c>
      <c r="N3290" t="s">
        <v>31</v>
      </c>
      <c r="O3290" t="s">
        <v>32</v>
      </c>
      <c r="P3290" t="s">
        <v>6638</v>
      </c>
      <c r="Q3290">
        <v>100</v>
      </c>
      <c r="R3290">
        <v>100</v>
      </c>
      <c r="S3290" t="s">
        <v>34</v>
      </c>
      <c r="T3290" t="s">
        <v>35</v>
      </c>
      <c r="U3290" t="s">
        <v>36</v>
      </c>
      <c r="V3290" s="4">
        <v>44682</v>
      </c>
      <c r="W3290">
        <v>100</v>
      </c>
      <c r="X3290">
        <v>100</v>
      </c>
      <c r="Y3290">
        <v>100</v>
      </c>
      <c r="Z3290">
        <v>100</v>
      </c>
    </row>
    <row r="3291" spans="1:26" hidden="1" x14ac:dyDescent="0.25">
      <c r="A3291" t="s">
        <v>6639</v>
      </c>
      <c r="B3291" t="s">
        <v>25</v>
      </c>
      <c r="C3291" s="4">
        <v>42562</v>
      </c>
      <c r="E3291" s="4">
        <v>43385</v>
      </c>
      <c r="F3291" s="4">
        <v>43235</v>
      </c>
      <c r="G3291" t="s">
        <v>6476</v>
      </c>
      <c r="H3291" t="s">
        <v>1137</v>
      </c>
      <c r="K3291" t="s">
        <v>114</v>
      </c>
      <c r="L3291" t="s">
        <v>6572</v>
      </c>
      <c r="M3291" t="s">
        <v>68</v>
      </c>
      <c r="N3291" t="s">
        <v>31</v>
      </c>
      <c r="O3291" t="s">
        <v>32</v>
      </c>
      <c r="P3291" t="s">
        <v>6640</v>
      </c>
      <c r="Q3291">
        <v>100</v>
      </c>
      <c r="R3291">
        <v>100</v>
      </c>
      <c r="S3291" t="s">
        <v>34</v>
      </c>
      <c r="T3291" t="s">
        <v>35</v>
      </c>
      <c r="U3291" t="s">
        <v>36</v>
      </c>
      <c r="V3291" s="4">
        <v>44301</v>
      </c>
      <c r="W3291">
        <v>100</v>
      </c>
      <c r="X3291">
        <v>100</v>
      </c>
      <c r="Y3291">
        <v>100</v>
      </c>
      <c r="Z3291">
        <v>100</v>
      </c>
    </row>
    <row r="3292" spans="1:26" hidden="1" x14ac:dyDescent="0.25">
      <c r="A3292" t="s">
        <v>6641</v>
      </c>
      <c r="B3292" t="s">
        <v>25</v>
      </c>
      <c r="C3292" s="4">
        <v>42562</v>
      </c>
      <c r="E3292" s="4">
        <v>43382</v>
      </c>
      <c r="F3292" s="4">
        <v>43205</v>
      </c>
      <c r="G3292" t="s">
        <v>6476</v>
      </c>
      <c r="H3292" t="s">
        <v>797</v>
      </c>
      <c r="K3292" t="s">
        <v>67</v>
      </c>
      <c r="L3292" t="s">
        <v>6572</v>
      </c>
      <c r="M3292" t="s">
        <v>68</v>
      </c>
      <c r="N3292" t="s">
        <v>31</v>
      </c>
      <c r="O3292" t="s">
        <v>32</v>
      </c>
      <c r="P3292" t="s">
        <v>6642</v>
      </c>
      <c r="Q3292">
        <v>100</v>
      </c>
      <c r="R3292">
        <v>100</v>
      </c>
      <c r="S3292" t="s">
        <v>34</v>
      </c>
      <c r="T3292" t="s">
        <v>35</v>
      </c>
      <c r="U3292" t="s">
        <v>70</v>
      </c>
      <c r="V3292" s="4">
        <v>44301</v>
      </c>
      <c r="W3292">
        <v>100</v>
      </c>
      <c r="X3292">
        <v>100</v>
      </c>
      <c r="Y3292">
        <v>100</v>
      </c>
      <c r="Z3292">
        <v>100</v>
      </c>
    </row>
    <row r="3293" spans="1:26" hidden="1" x14ac:dyDescent="0.25">
      <c r="A3293" t="s">
        <v>6643</v>
      </c>
      <c r="B3293" t="s">
        <v>25</v>
      </c>
      <c r="C3293" s="4">
        <v>42562</v>
      </c>
      <c r="E3293" s="4">
        <v>43354</v>
      </c>
      <c r="F3293" s="4">
        <v>43159</v>
      </c>
      <c r="G3293" t="s">
        <v>6476</v>
      </c>
      <c r="H3293" t="s">
        <v>1197</v>
      </c>
      <c r="K3293" t="s">
        <v>146</v>
      </c>
      <c r="L3293" t="s">
        <v>6572</v>
      </c>
      <c r="M3293" t="s">
        <v>68</v>
      </c>
      <c r="N3293" t="s">
        <v>31</v>
      </c>
      <c r="O3293" t="s">
        <v>32</v>
      </c>
      <c r="P3293" t="s">
        <v>6644</v>
      </c>
      <c r="Q3293">
        <v>50</v>
      </c>
      <c r="R3293">
        <v>50</v>
      </c>
      <c r="S3293" t="s">
        <v>34</v>
      </c>
      <c r="T3293" t="s">
        <v>35</v>
      </c>
      <c r="U3293" t="s">
        <v>36</v>
      </c>
      <c r="V3293" s="4">
        <v>43861</v>
      </c>
      <c r="W3293">
        <v>50</v>
      </c>
      <c r="X3293">
        <v>50</v>
      </c>
      <c r="Y3293">
        <v>50</v>
      </c>
      <c r="Z3293">
        <v>50</v>
      </c>
    </row>
    <row r="3294" spans="1:26" hidden="1" x14ac:dyDescent="0.25">
      <c r="A3294" t="s">
        <v>6645</v>
      </c>
      <c r="B3294" t="s">
        <v>38</v>
      </c>
      <c r="C3294" s="4">
        <v>42562</v>
      </c>
      <c r="D3294" s="4">
        <v>42783</v>
      </c>
      <c r="F3294" s="4">
        <v>43617</v>
      </c>
      <c r="G3294" t="s">
        <v>6476</v>
      </c>
      <c r="H3294" t="s">
        <v>6646</v>
      </c>
      <c r="K3294" t="s">
        <v>146</v>
      </c>
      <c r="L3294" t="s">
        <v>6572</v>
      </c>
      <c r="M3294" t="s">
        <v>68</v>
      </c>
      <c r="N3294" t="s">
        <v>31</v>
      </c>
      <c r="O3294" t="s">
        <v>32</v>
      </c>
      <c r="P3294" t="s">
        <v>6647</v>
      </c>
      <c r="Q3294">
        <v>20</v>
      </c>
      <c r="R3294">
        <v>20</v>
      </c>
      <c r="S3294" t="s">
        <v>34</v>
      </c>
      <c r="T3294" t="s">
        <v>35</v>
      </c>
      <c r="U3294" t="s">
        <v>44</v>
      </c>
      <c r="W3294">
        <v>0</v>
      </c>
      <c r="X3294">
        <v>0</v>
      </c>
      <c r="Y3294">
        <v>0</v>
      </c>
      <c r="Z3294">
        <v>0</v>
      </c>
    </row>
    <row r="3295" spans="1:26" hidden="1" x14ac:dyDescent="0.25">
      <c r="A3295" t="s">
        <v>6648</v>
      </c>
      <c r="B3295" t="s">
        <v>25</v>
      </c>
      <c r="C3295" s="4">
        <v>42902</v>
      </c>
      <c r="E3295" s="4">
        <v>43794</v>
      </c>
      <c r="F3295" s="4">
        <v>44849</v>
      </c>
      <c r="G3295" t="s">
        <v>6476</v>
      </c>
      <c r="H3295" t="s">
        <v>1133</v>
      </c>
      <c r="K3295" t="s">
        <v>146</v>
      </c>
      <c r="L3295" t="s">
        <v>2531</v>
      </c>
      <c r="M3295" t="s">
        <v>68</v>
      </c>
      <c r="N3295" t="s">
        <v>31</v>
      </c>
      <c r="O3295" t="s">
        <v>32</v>
      </c>
      <c r="P3295" t="s">
        <v>1134</v>
      </c>
      <c r="Q3295">
        <v>150</v>
      </c>
      <c r="R3295">
        <v>150</v>
      </c>
      <c r="S3295" t="s">
        <v>34</v>
      </c>
      <c r="T3295" t="s">
        <v>35</v>
      </c>
      <c r="U3295" t="s">
        <v>36</v>
      </c>
      <c r="V3295" s="4">
        <v>44849</v>
      </c>
      <c r="W3295">
        <v>150</v>
      </c>
      <c r="X3295">
        <v>150</v>
      </c>
      <c r="Y3295">
        <v>150</v>
      </c>
      <c r="Z3295">
        <v>150</v>
      </c>
    </row>
    <row r="3296" spans="1:26" hidden="1" x14ac:dyDescent="0.25">
      <c r="A3296" t="s">
        <v>6649</v>
      </c>
      <c r="B3296" t="s">
        <v>38</v>
      </c>
      <c r="C3296" s="4">
        <v>42902</v>
      </c>
      <c r="D3296" s="4">
        <v>43472</v>
      </c>
      <c r="F3296" s="4">
        <v>42309</v>
      </c>
      <c r="G3296" t="s">
        <v>6476</v>
      </c>
      <c r="H3296" t="s">
        <v>6650</v>
      </c>
      <c r="K3296" t="s">
        <v>67</v>
      </c>
      <c r="L3296" t="s">
        <v>2531</v>
      </c>
      <c r="M3296" t="s">
        <v>68</v>
      </c>
      <c r="N3296" t="s">
        <v>31</v>
      </c>
      <c r="O3296" t="s">
        <v>32</v>
      </c>
      <c r="P3296" t="s">
        <v>6651</v>
      </c>
      <c r="Q3296">
        <v>150</v>
      </c>
      <c r="R3296">
        <v>150</v>
      </c>
      <c r="S3296" t="s">
        <v>34</v>
      </c>
      <c r="T3296" t="s">
        <v>35</v>
      </c>
      <c r="U3296" t="s">
        <v>44</v>
      </c>
      <c r="W3296">
        <v>0</v>
      </c>
      <c r="X3296">
        <v>0</v>
      </c>
      <c r="Y3296">
        <v>0</v>
      </c>
      <c r="Z3296">
        <v>0</v>
      </c>
    </row>
    <row r="3297" spans="1:26" hidden="1" x14ac:dyDescent="0.25">
      <c r="A3297" t="s">
        <v>6652</v>
      </c>
      <c r="B3297" t="s">
        <v>25</v>
      </c>
      <c r="C3297" s="4">
        <v>42902</v>
      </c>
      <c r="E3297" s="4">
        <v>43957</v>
      </c>
      <c r="F3297" s="4">
        <v>42993</v>
      </c>
      <c r="G3297" t="s">
        <v>72</v>
      </c>
      <c r="H3297" t="s">
        <v>344</v>
      </c>
      <c r="K3297" t="s">
        <v>53</v>
      </c>
      <c r="L3297" t="s">
        <v>2531</v>
      </c>
      <c r="M3297" t="s">
        <v>54</v>
      </c>
      <c r="N3297" t="s">
        <v>31</v>
      </c>
      <c r="O3297" t="s">
        <v>32</v>
      </c>
      <c r="P3297" t="s">
        <v>6653</v>
      </c>
      <c r="Q3297">
        <v>49</v>
      </c>
      <c r="R3297">
        <v>49</v>
      </c>
      <c r="S3297" t="s">
        <v>56</v>
      </c>
      <c r="T3297" t="s">
        <v>57</v>
      </c>
      <c r="U3297" t="s">
        <v>36</v>
      </c>
      <c r="V3297" s="4">
        <v>43374</v>
      </c>
      <c r="W3297">
        <v>49</v>
      </c>
      <c r="X3297">
        <v>49</v>
      </c>
      <c r="Y3297">
        <v>49</v>
      </c>
      <c r="Z3297">
        <v>49</v>
      </c>
    </row>
    <row r="3298" spans="1:26" hidden="1" x14ac:dyDescent="0.25">
      <c r="A3298" t="s">
        <v>6654</v>
      </c>
      <c r="B3298" t="s">
        <v>25</v>
      </c>
      <c r="C3298" s="4">
        <v>42621</v>
      </c>
      <c r="F3298" s="4">
        <v>43525</v>
      </c>
      <c r="G3298" t="s">
        <v>26</v>
      </c>
      <c r="H3298" t="s">
        <v>731</v>
      </c>
      <c r="K3298" t="s">
        <v>53</v>
      </c>
      <c r="L3298" t="s">
        <v>6655</v>
      </c>
      <c r="M3298" t="s">
        <v>54</v>
      </c>
      <c r="N3298" t="s">
        <v>31</v>
      </c>
      <c r="O3298" t="s">
        <v>32</v>
      </c>
      <c r="P3298" t="s">
        <v>6656</v>
      </c>
      <c r="Q3298">
        <v>128.1</v>
      </c>
      <c r="R3298">
        <v>128.1</v>
      </c>
      <c r="S3298" t="s">
        <v>389</v>
      </c>
      <c r="T3298" t="s">
        <v>2129</v>
      </c>
      <c r="U3298" t="s">
        <v>36</v>
      </c>
      <c r="V3298" s="4">
        <v>43435</v>
      </c>
      <c r="W3298">
        <v>128.1</v>
      </c>
      <c r="X3298">
        <v>128.1</v>
      </c>
      <c r="Y3298">
        <v>128.1</v>
      </c>
      <c r="Z3298">
        <v>128.1</v>
      </c>
    </row>
    <row r="3299" spans="1:26" hidden="1" x14ac:dyDescent="0.25">
      <c r="A3299" t="s">
        <v>6657</v>
      </c>
      <c r="B3299" t="s">
        <v>25</v>
      </c>
      <c r="C3299" s="4">
        <v>42621</v>
      </c>
      <c r="F3299" s="4">
        <v>43525</v>
      </c>
      <c r="G3299" t="s">
        <v>26</v>
      </c>
      <c r="H3299" t="s">
        <v>440</v>
      </c>
      <c r="K3299" t="s">
        <v>53</v>
      </c>
      <c r="L3299" t="s">
        <v>6655</v>
      </c>
      <c r="M3299" t="s">
        <v>54</v>
      </c>
      <c r="N3299" t="s">
        <v>31</v>
      </c>
      <c r="O3299" t="s">
        <v>32</v>
      </c>
      <c r="P3299" t="s">
        <v>6658</v>
      </c>
      <c r="Q3299">
        <v>54.9</v>
      </c>
      <c r="R3299">
        <v>54.9</v>
      </c>
      <c r="S3299" t="s">
        <v>389</v>
      </c>
      <c r="T3299" t="s">
        <v>2129</v>
      </c>
      <c r="U3299" t="s">
        <v>36</v>
      </c>
      <c r="V3299" s="4">
        <v>43435</v>
      </c>
      <c r="W3299">
        <v>54.9</v>
      </c>
      <c r="X3299">
        <v>54.9</v>
      </c>
      <c r="Y3299">
        <v>54.9</v>
      </c>
      <c r="Z3299">
        <v>54.9</v>
      </c>
    </row>
    <row r="3300" spans="1:26" hidden="1" x14ac:dyDescent="0.25">
      <c r="A3300" t="s">
        <v>6659</v>
      </c>
      <c r="B3300" t="s">
        <v>38</v>
      </c>
      <c r="C3300" s="4">
        <v>42902</v>
      </c>
      <c r="D3300" s="4">
        <v>44225</v>
      </c>
      <c r="F3300" s="4">
        <v>44470</v>
      </c>
      <c r="G3300" t="s">
        <v>1597</v>
      </c>
      <c r="H3300" t="s">
        <v>582</v>
      </c>
      <c r="K3300" t="s">
        <v>185</v>
      </c>
      <c r="L3300" t="s">
        <v>2531</v>
      </c>
      <c r="M3300" t="s">
        <v>42</v>
      </c>
      <c r="N3300" t="s">
        <v>31</v>
      </c>
      <c r="O3300" t="s">
        <v>32</v>
      </c>
      <c r="P3300" t="s">
        <v>6660</v>
      </c>
      <c r="Q3300">
        <v>100</v>
      </c>
      <c r="R3300">
        <v>100</v>
      </c>
      <c r="S3300" t="s">
        <v>56</v>
      </c>
      <c r="T3300" t="s">
        <v>57</v>
      </c>
      <c r="U3300" t="s">
        <v>44</v>
      </c>
      <c r="W3300">
        <v>100</v>
      </c>
      <c r="X3300">
        <v>100</v>
      </c>
      <c r="Y3300">
        <v>0</v>
      </c>
      <c r="Z3300">
        <v>0</v>
      </c>
    </row>
    <row r="3301" spans="1:26" hidden="1" x14ac:dyDescent="0.25">
      <c r="A3301" t="s">
        <v>6661</v>
      </c>
      <c r="B3301" t="s">
        <v>38</v>
      </c>
      <c r="C3301" s="4">
        <v>42902</v>
      </c>
      <c r="D3301" s="4">
        <v>44225</v>
      </c>
      <c r="F3301" s="4">
        <v>44470</v>
      </c>
      <c r="G3301" t="s">
        <v>1597</v>
      </c>
      <c r="H3301" t="s">
        <v>582</v>
      </c>
      <c r="K3301" t="s">
        <v>185</v>
      </c>
      <c r="L3301" t="s">
        <v>2531</v>
      </c>
      <c r="M3301" t="s">
        <v>42</v>
      </c>
      <c r="N3301" t="s">
        <v>31</v>
      </c>
      <c r="O3301" t="s">
        <v>32</v>
      </c>
      <c r="P3301" t="s">
        <v>6662</v>
      </c>
      <c r="Q3301">
        <v>100</v>
      </c>
      <c r="R3301">
        <v>100</v>
      </c>
      <c r="S3301" t="s">
        <v>56</v>
      </c>
      <c r="T3301" t="s">
        <v>57</v>
      </c>
      <c r="U3301" t="s">
        <v>44</v>
      </c>
      <c r="W3301">
        <v>100</v>
      </c>
      <c r="X3301">
        <v>100</v>
      </c>
      <c r="Y3301">
        <v>0</v>
      </c>
      <c r="Z3301">
        <v>0</v>
      </c>
    </row>
    <row r="3302" spans="1:26" hidden="1" x14ac:dyDescent="0.25">
      <c r="A3302" t="s">
        <v>6663</v>
      </c>
      <c r="B3302" t="s">
        <v>38</v>
      </c>
      <c r="C3302" s="4">
        <v>42622</v>
      </c>
      <c r="D3302" s="4">
        <v>43564</v>
      </c>
      <c r="F3302" s="4">
        <v>44097</v>
      </c>
      <c r="G3302" t="s">
        <v>177</v>
      </c>
      <c r="H3302" t="s">
        <v>6664</v>
      </c>
      <c r="K3302" t="s">
        <v>185</v>
      </c>
      <c r="L3302" t="s">
        <v>6572</v>
      </c>
      <c r="M3302" t="s">
        <v>42</v>
      </c>
      <c r="N3302" t="s">
        <v>31</v>
      </c>
      <c r="O3302" t="s">
        <v>122</v>
      </c>
      <c r="P3302" t="s">
        <v>6665</v>
      </c>
      <c r="Q3302">
        <v>300</v>
      </c>
      <c r="R3302">
        <v>300</v>
      </c>
      <c r="S3302" t="s">
        <v>56</v>
      </c>
      <c r="T3302" t="s">
        <v>57</v>
      </c>
      <c r="U3302" t="s">
        <v>44</v>
      </c>
      <c r="W3302">
        <v>0</v>
      </c>
      <c r="X3302">
        <v>0</v>
      </c>
      <c r="Y3302">
        <v>0</v>
      </c>
      <c r="Z3302">
        <v>0</v>
      </c>
    </row>
    <row r="3303" spans="1:26" hidden="1" x14ac:dyDescent="0.25">
      <c r="A3303" t="s">
        <v>6666</v>
      </c>
      <c r="B3303" t="s">
        <v>38</v>
      </c>
      <c r="C3303" s="4">
        <v>42622</v>
      </c>
      <c r="D3303" s="4">
        <v>43587</v>
      </c>
      <c r="F3303" s="4">
        <v>44713</v>
      </c>
      <c r="G3303" t="s">
        <v>96</v>
      </c>
      <c r="H3303" t="s">
        <v>468</v>
      </c>
      <c r="K3303" t="s">
        <v>98</v>
      </c>
      <c r="L3303" t="s">
        <v>6572</v>
      </c>
      <c r="M3303" t="s">
        <v>84</v>
      </c>
      <c r="N3303" t="s">
        <v>31</v>
      </c>
      <c r="O3303" t="s">
        <v>32</v>
      </c>
      <c r="P3303" t="s">
        <v>6667</v>
      </c>
      <c r="Q3303">
        <v>847</v>
      </c>
      <c r="R3303">
        <v>847</v>
      </c>
      <c r="S3303" t="s">
        <v>390</v>
      </c>
      <c r="T3303" t="s">
        <v>390</v>
      </c>
      <c r="U3303" t="s">
        <v>44</v>
      </c>
      <c r="V3303" s="4">
        <v>43647</v>
      </c>
      <c r="W3303">
        <v>847</v>
      </c>
      <c r="X3303">
        <v>847</v>
      </c>
      <c r="Y3303">
        <v>847</v>
      </c>
      <c r="Z3303">
        <v>847</v>
      </c>
    </row>
    <row r="3304" spans="1:26" hidden="1" x14ac:dyDescent="0.25">
      <c r="A3304" t="s">
        <v>6668</v>
      </c>
      <c r="B3304" t="s">
        <v>38</v>
      </c>
      <c r="C3304" s="4">
        <v>42622</v>
      </c>
      <c r="D3304" s="4">
        <v>43476</v>
      </c>
      <c r="E3304" s="4">
        <v>43390</v>
      </c>
      <c r="F3304" s="4">
        <v>43922</v>
      </c>
      <c r="G3304" t="s">
        <v>112</v>
      </c>
      <c r="H3304" t="s">
        <v>868</v>
      </c>
      <c r="K3304" t="s">
        <v>114</v>
      </c>
      <c r="L3304" t="s">
        <v>6572</v>
      </c>
      <c r="M3304" t="s">
        <v>68</v>
      </c>
      <c r="N3304" t="s">
        <v>31</v>
      </c>
      <c r="O3304" t="s">
        <v>32</v>
      </c>
      <c r="P3304" t="s">
        <v>6669</v>
      </c>
      <c r="Q3304">
        <v>100</v>
      </c>
      <c r="R3304">
        <v>100</v>
      </c>
      <c r="S3304" t="s">
        <v>34</v>
      </c>
      <c r="T3304" t="s">
        <v>35</v>
      </c>
      <c r="U3304" t="s">
        <v>38</v>
      </c>
      <c r="V3304" s="4">
        <v>43922</v>
      </c>
      <c r="W3304">
        <v>60</v>
      </c>
      <c r="X3304">
        <v>60</v>
      </c>
      <c r="Y3304">
        <v>60</v>
      </c>
      <c r="Z3304">
        <v>60</v>
      </c>
    </row>
    <row r="3305" spans="1:26" hidden="1" x14ac:dyDescent="0.25">
      <c r="A3305" t="s">
        <v>6670</v>
      </c>
      <c r="B3305" t="s">
        <v>38</v>
      </c>
      <c r="C3305" s="4">
        <v>42622</v>
      </c>
      <c r="D3305" s="4">
        <v>43124</v>
      </c>
      <c r="E3305" s="4">
        <v>43124</v>
      </c>
      <c r="F3305" s="4">
        <v>43252</v>
      </c>
      <c r="G3305" t="s">
        <v>6476</v>
      </c>
      <c r="H3305" t="s">
        <v>6671</v>
      </c>
      <c r="K3305" t="s">
        <v>146</v>
      </c>
      <c r="L3305" t="s">
        <v>6572</v>
      </c>
      <c r="M3305" t="s">
        <v>68</v>
      </c>
      <c r="N3305" t="s">
        <v>31</v>
      </c>
      <c r="O3305" t="s">
        <v>32</v>
      </c>
      <c r="P3305" t="s">
        <v>6672</v>
      </c>
      <c r="Q3305">
        <v>20</v>
      </c>
      <c r="R3305">
        <v>20</v>
      </c>
      <c r="S3305" t="s">
        <v>34</v>
      </c>
      <c r="T3305" t="s">
        <v>35</v>
      </c>
      <c r="U3305" t="s">
        <v>44</v>
      </c>
      <c r="V3305" s="4">
        <v>43405</v>
      </c>
      <c r="W3305">
        <v>20</v>
      </c>
      <c r="X3305">
        <v>20</v>
      </c>
      <c r="Y3305">
        <v>0</v>
      </c>
      <c r="Z3305">
        <v>0</v>
      </c>
    </row>
    <row r="3306" spans="1:26" hidden="1" x14ac:dyDescent="0.25">
      <c r="A3306" t="s">
        <v>6673</v>
      </c>
      <c r="B3306" t="s">
        <v>38</v>
      </c>
      <c r="C3306" s="4">
        <v>42622</v>
      </c>
      <c r="D3306" s="4">
        <v>43444</v>
      </c>
      <c r="F3306" s="4">
        <v>44097</v>
      </c>
      <c r="G3306" t="s">
        <v>26</v>
      </c>
      <c r="H3306" t="s">
        <v>440</v>
      </c>
      <c r="K3306" t="s">
        <v>53</v>
      </c>
      <c r="L3306" t="s">
        <v>6655</v>
      </c>
      <c r="M3306" t="s">
        <v>54</v>
      </c>
      <c r="N3306" t="s">
        <v>31</v>
      </c>
      <c r="O3306" t="s">
        <v>32</v>
      </c>
      <c r="P3306" t="s">
        <v>6674</v>
      </c>
      <c r="Q3306">
        <v>130</v>
      </c>
      <c r="R3306">
        <v>130</v>
      </c>
      <c r="S3306" t="s">
        <v>56</v>
      </c>
      <c r="T3306" t="s">
        <v>57</v>
      </c>
      <c r="U3306" t="s">
        <v>38</v>
      </c>
      <c r="V3306" s="4">
        <v>44097</v>
      </c>
      <c r="W3306">
        <v>130</v>
      </c>
      <c r="X3306">
        <v>130</v>
      </c>
      <c r="Y3306">
        <v>130</v>
      </c>
      <c r="Z3306">
        <v>130</v>
      </c>
    </row>
    <row r="3307" spans="1:26" hidden="1" x14ac:dyDescent="0.25">
      <c r="A3307" t="s">
        <v>6675</v>
      </c>
      <c r="B3307" t="s">
        <v>38</v>
      </c>
      <c r="C3307" s="4">
        <v>42622</v>
      </c>
      <c r="D3307" s="4">
        <v>43200</v>
      </c>
      <c r="F3307" s="4">
        <v>44094</v>
      </c>
      <c r="G3307" t="s">
        <v>26</v>
      </c>
      <c r="H3307" t="s">
        <v>1238</v>
      </c>
      <c r="K3307" t="s">
        <v>28</v>
      </c>
      <c r="L3307" t="s">
        <v>6572</v>
      </c>
      <c r="M3307" t="s">
        <v>30</v>
      </c>
      <c r="N3307" t="s">
        <v>31</v>
      </c>
      <c r="O3307" t="s">
        <v>32</v>
      </c>
      <c r="P3307" t="s">
        <v>6676</v>
      </c>
      <c r="Q3307">
        <v>200</v>
      </c>
      <c r="R3307">
        <v>200</v>
      </c>
      <c r="S3307" t="s">
        <v>56</v>
      </c>
      <c r="T3307" t="s">
        <v>57</v>
      </c>
      <c r="U3307" t="s">
        <v>44</v>
      </c>
      <c r="W3307">
        <v>0</v>
      </c>
      <c r="X3307">
        <v>0</v>
      </c>
      <c r="Y3307">
        <v>0</v>
      </c>
      <c r="Z3307">
        <v>0</v>
      </c>
    </row>
    <row r="3308" spans="1:26" hidden="1" x14ac:dyDescent="0.25">
      <c r="A3308" t="s">
        <v>6677</v>
      </c>
      <c r="B3308" t="s">
        <v>38</v>
      </c>
      <c r="C3308" s="4">
        <v>42902</v>
      </c>
      <c r="D3308" s="4">
        <v>44225</v>
      </c>
      <c r="F3308" s="4">
        <v>44089</v>
      </c>
      <c r="G3308" t="s">
        <v>1597</v>
      </c>
      <c r="H3308" t="s">
        <v>6678</v>
      </c>
      <c r="K3308" t="s">
        <v>185</v>
      </c>
      <c r="L3308" t="s">
        <v>2531</v>
      </c>
      <c r="M3308" t="s">
        <v>42</v>
      </c>
      <c r="N3308" t="s">
        <v>31</v>
      </c>
      <c r="O3308" t="s">
        <v>32</v>
      </c>
      <c r="P3308" t="s">
        <v>6679</v>
      </c>
      <c r="Q3308">
        <v>300</v>
      </c>
      <c r="R3308">
        <v>300</v>
      </c>
      <c r="S3308" t="s">
        <v>56</v>
      </c>
      <c r="T3308" t="s">
        <v>57</v>
      </c>
      <c r="U3308" t="s">
        <v>44</v>
      </c>
      <c r="W3308">
        <v>300</v>
      </c>
      <c r="X3308">
        <v>300</v>
      </c>
      <c r="Y3308">
        <v>0</v>
      </c>
      <c r="Z3308">
        <v>0</v>
      </c>
    </row>
    <row r="3309" spans="1:26" hidden="1" x14ac:dyDescent="0.25">
      <c r="A3309" t="s">
        <v>6680</v>
      </c>
      <c r="B3309" t="s">
        <v>38</v>
      </c>
      <c r="C3309" s="4">
        <v>42902</v>
      </c>
      <c r="D3309" s="4">
        <v>43572</v>
      </c>
      <c r="F3309" s="4">
        <v>43708</v>
      </c>
      <c r="G3309" t="s">
        <v>380</v>
      </c>
      <c r="H3309" t="s">
        <v>605</v>
      </c>
      <c r="K3309" t="s">
        <v>98</v>
      </c>
      <c r="L3309" t="s">
        <v>2531</v>
      </c>
      <c r="M3309" t="s">
        <v>84</v>
      </c>
      <c r="N3309" t="s">
        <v>31</v>
      </c>
      <c r="O3309" t="s">
        <v>32</v>
      </c>
      <c r="P3309" t="s">
        <v>6681</v>
      </c>
      <c r="Q3309">
        <v>200</v>
      </c>
      <c r="R3309">
        <v>200</v>
      </c>
      <c r="S3309" t="s">
        <v>56</v>
      </c>
      <c r="T3309" t="s">
        <v>57</v>
      </c>
      <c r="U3309" t="s">
        <v>44</v>
      </c>
      <c r="W3309">
        <v>192</v>
      </c>
      <c r="X3309">
        <v>192</v>
      </c>
      <c r="Y3309">
        <v>0</v>
      </c>
      <c r="Z3309">
        <v>0</v>
      </c>
    </row>
    <row r="3310" spans="1:26" hidden="1" x14ac:dyDescent="0.25">
      <c r="A3310" t="s">
        <v>6682</v>
      </c>
      <c r="B3310" t="s">
        <v>25</v>
      </c>
      <c r="C3310" s="4">
        <v>42902</v>
      </c>
      <c r="E3310" s="4">
        <v>43808</v>
      </c>
      <c r="F3310" s="4">
        <v>43708</v>
      </c>
      <c r="G3310" t="s">
        <v>117</v>
      </c>
      <c r="H3310" t="s">
        <v>6683</v>
      </c>
      <c r="K3310" t="s">
        <v>83</v>
      </c>
      <c r="L3310" t="s">
        <v>2531</v>
      </c>
      <c r="M3310" t="s">
        <v>84</v>
      </c>
      <c r="N3310" t="s">
        <v>31</v>
      </c>
      <c r="O3310" t="s">
        <v>32</v>
      </c>
      <c r="P3310" t="s">
        <v>6684</v>
      </c>
      <c r="Q3310">
        <v>100</v>
      </c>
      <c r="R3310">
        <v>100</v>
      </c>
      <c r="S3310" t="s">
        <v>56</v>
      </c>
      <c r="T3310" t="s">
        <v>57</v>
      </c>
      <c r="U3310" t="s">
        <v>36</v>
      </c>
      <c r="V3310" s="4">
        <v>44317</v>
      </c>
      <c r="W3310">
        <v>98</v>
      </c>
      <c r="X3310">
        <v>98</v>
      </c>
      <c r="Y3310">
        <v>98</v>
      </c>
      <c r="Z3310">
        <v>98</v>
      </c>
    </row>
    <row r="3311" spans="1:26" hidden="1" x14ac:dyDescent="0.25">
      <c r="A3311" t="s">
        <v>6685</v>
      </c>
      <c r="B3311" t="s">
        <v>25</v>
      </c>
      <c r="C3311" s="4">
        <v>42625</v>
      </c>
      <c r="E3311" s="4">
        <v>43746</v>
      </c>
      <c r="F3311" s="4">
        <v>43711</v>
      </c>
      <c r="G3311" t="s">
        <v>52</v>
      </c>
      <c r="H3311" t="s">
        <v>630</v>
      </c>
      <c r="K3311" t="s">
        <v>53</v>
      </c>
      <c r="L3311" t="s">
        <v>6572</v>
      </c>
      <c r="M3311" t="s">
        <v>54</v>
      </c>
      <c r="N3311" t="s">
        <v>31</v>
      </c>
      <c r="O3311" t="s">
        <v>32</v>
      </c>
      <c r="P3311" t="s">
        <v>6686</v>
      </c>
      <c r="Q3311">
        <v>200.1</v>
      </c>
      <c r="R3311">
        <v>200.1</v>
      </c>
      <c r="S3311" t="s">
        <v>56</v>
      </c>
      <c r="T3311" t="s">
        <v>57</v>
      </c>
      <c r="U3311" t="s">
        <v>36</v>
      </c>
      <c r="V3311" s="4">
        <v>44012</v>
      </c>
      <c r="W3311">
        <v>200.1</v>
      </c>
      <c r="X3311">
        <v>200.1</v>
      </c>
      <c r="Y3311">
        <v>200.1</v>
      </c>
      <c r="Z3311">
        <v>200.1</v>
      </c>
    </row>
    <row r="3312" spans="1:26" hidden="1" x14ac:dyDescent="0.25">
      <c r="A3312" t="s">
        <v>6687</v>
      </c>
      <c r="B3312" t="s">
        <v>25</v>
      </c>
      <c r="C3312" s="4">
        <v>42626</v>
      </c>
      <c r="E3312" s="4">
        <v>43942</v>
      </c>
      <c r="F3312" s="4">
        <v>44196</v>
      </c>
      <c r="G3312" t="s">
        <v>871</v>
      </c>
      <c r="H3312" t="s">
        <v>6688</v>
      </c>
      <c r="K3312" t="s">
        <v>41</v>
      </c>
      <c r="L3312" t="s">
        <v>6572</v>
      </c>
      <c r="M3312" t="s">
        <v>42</v>
      </c>
      <c r="N3312" t="s">
        <v>31</v>
      </c>
      <c r="O3312" t="s">
        <v>32</v>
      </c>
      <c r="P3312" t="s">
        <v>6689</v>
      </c>
      <c r="Q3312">
        <v>49.98</v>
      </c>
      <c r="R3312">
        <v>49.98</v>
      </c>
      <c r="S3312" t="s">
        <v>34</v>
      </c>
      <c r="T3312" t="s">
        <v>35</v>
      </c>
      <c r="U3312" t="s">
        <v>70</v>
      </c>
      <c r="V3312" s="4">
        <v>45170</v>
      </c>
      <c r="W3312">
        <v>49.98</v>
      </c>
      <c r="X3312">
        <v>49.98</v>
      </c>
      <c r="Y3312">
        <v>45</v>
      </c>
      <c r="Z3312">
        <v>45</v>
      </c>
    </row>
    <row r="3313" spans="1:26" hidden="1" x14ac:dyDescent="0.25">
      <c r="A3313" t="s">
        <v>6690</v>
      </c>
      <c r="B3313" t="s">
        <v>38</v>
      </c>
      <c r="C3313" s="4">
        <v>42902</v>
      </c>
      <c r="D3313" s="4">
        <v>44225</v>
      </c>
      <c r="F3313" s="4">
        <v>44075</v>
      </c>
      <c r="G3313" t="s">
        <v>72</v>
      </c>
      <c r="H3313" t="s">
        <v>90</v>
      </c>
      <c r="K3313" t="s">
        <v>41</v>
      </c>
      <c r="L3313" t="s">
        <v>2531</v>
      </c>
      <c r="M3313" t="s">
        <v>42</v>
      </c>
      <c r="N3313" t="s">
        <v>31</v>
      </c>
      <c r="O3313" t="s">
        <v>32</v>
      </c>
      <c r="P3313" t="s">
        <v>6691</v>
      </c>
      <c r="Q3313">
        <v>200</v>
      </c>
      <c r="R3313">
        <v>200</v>
      </c>
      <c r="S3313" t="s">
        <v>56</v>
      </c>
      <c r="T3313" t="s">
        <v>57</v>
      </c>
      <c r="U3313" t="s">
        <v>70</v>
      </c>
      <c r="V3313" s="4">
        <v>44440</v>
      </c>
      <c r="W3313">
        <v>200</v>
      </c>
      <c r="X3313">
        <v>200</v>
      </c>
      <c r="Y3313">
        <v>0</v>
      </c>
      <c r="Z3313">
        <v>0</v>
      </c>
    </row>
    <row r="3314" spans="1:26" x14ac:dyDescent="0.25">
      <c r="A3314" t="s">
        <v>6692</v>
      </c>
      <c r="B3314" t="s">
        <v>38</v>
      </c>
      <c r="C3314" s="4">
        <v>42667</v>
      </c>
      <c r="D3314" s="4">
        <v>43686</v>
      </c>
      <c r="F3314" s="4">
        <v>43723</v>
      </c>
      <c r="G3314" t="s">
        <v>177</v>
      </c>
      <c r="H3314" t="s">
        <v>7660</v>
      </c>
      <c r="I3314" t="s">
        <v>1243</v>
      </c>
      <c r="K3314" t="s">
        <v>62</v>
      </c>
      <c r="L3314" t="s">
        <v>6572</v>
      </c>
      <c r="M3314" t="s">
        <v>42</v>
      </c>
      <c r="N3314" t="s">
        <v>31</v>
      </c>
      <c r="O3314" t="s">
        <v>32</v>
      </c>
      <c r="P3314" t="s">
        <v>6693</v>
      </c>
      <c r="Q3314">
        <v>200</v>
      </c>
      <c r="R3314">
        <v>200</v>
      </c>
      <c r="S3314" t="s">
        <v>56</v>
      </c>
      <c r="T3314" t="s">
        <v>57</v>
      </c>
      <c r="U3314" t="s">
        <v>44</v>
      </c>
      <c r="W3314">
        <v>200</v>
      </c>
      <c r="X3314">
        <v>200</v>
      </c>
      <c r="Y3314">
        <v>0</v>
      </c>
      <c r="Z3314">
        <v>0</v>
      </c>
    </row>
    <row r="3315" spans="1:26" x14ac:dyDescent="0.25">
      <c r="A3315" t="s">
        <v>6694</v>
      </c>
      <c r="B3315" t="s">
        <v>25</v>
      </c>
      <c r="C3315" s="4">
        <v>42902</v>
      </c>
      <c r="E3315" s="4">
        <v>44473</v>
      </c>
      <c r="F3315" s="4">
        <v>44454</v>
      </c>
      <c r="G3315" t="s">
        <v>177</v>
      </c>
      <c r="H3315" t="s">
        <v>7660</v>
      </c>
      <c r="I3315" t="s">
        <v>1243</v>
      </c>
      <c r="K3315" t="s">
        <v>62</v>
      </c>
      <c r="L3315" t="s">
        <v>2531</v>
      </c>
      <c r="M3315" t="s">
        <v>42</v>
      </c>
      <c r="N3315" t="s">
        <v>31</v>
      </c>
      <c r="O3315" t="s">
        <v>122</v>
      </c>
      <c r="P3315" t="s">
        <v>6695</v>
      </c>
      <c r="Q3315">
        <v>200</v>
      </c>
      <c r="R3315">
        <v>200</v>
      </c>
      <c r="S3315" t="s">
        <v>56</v>
      </c>
      <c r="T3315" t="s">
        <v>57</v>
      </c>
      <c r="U3315" t="s">
        <v>70</v>
      </c>
      <c r="V3315" s="4">
        <v>45170</v>
      </c>
      <c r="W3315">
        <v>200</v>
      </c>
      <c r="X3315">
        <v>200</v>
      </c>
      <c r="Y3315">
        <v>200</v>
      </c>
      <c r="Z3315">
        <v>0</v>
      </c>
    </row>
    <row r="3316" spans="1:26" hidden="1" x14ac:dyDescent="0.25">
      <c r="A3316" t="s">
        <v>6696</v>
      </c>
      <c r="B3316" t="s">
        <v>38</v>
      </c>
      <c r="C3316" s="4">
        <v>42902</v>
      </c>
      <c r="D3316" s="4">
        <v>43511</v>
      </c>
      <c r="F3316" s="4">
        <v>44089</v>
      </c>
      <c r="G3316" t="s">
        <v>173</v>
      </c>
      <c r="H3316" t="s">
        <v>174</v>
      </c>
      <c r="K3316" t="s">
        <v>41</v>
      </c>
      <c r="L3316" t="s">
        <v>2531</v>
      </c>
      <c r="M3316" t="s">
        <v>42</v>
      </c>
      <c r="N3316" t="s">
        <v>31</v>
      </c>
      <c r="O3316" t="s">
        <v>32</v>
      </c>
      <c r="P3316" t="s">
        <v>6697</v>
      </c>
      <c r="Q3316">
        <v>200</v>
      </c>
      <c r="R3316">
        <v>200</v>
      </c>
      <c r="S3316" t="s">
        <v>56</v>
      </c>
      <c r="T3316" t="s">
        <v>57</v>
      </c>
      <c r="U3316" t="s">
        <v>44</v>
      </c>
      <c r="W3316">
        <v>0</v>
      </c>
      <c r="X3316">
        <v>0</v>
      </c>
      <c r="Y3316">
        <v>0</v>
      </c>
      <c r="Z3316">
        <v>0</v>
      </c>
    </row>
    <row r="3317" spans="1:26" hidden="1" x14ac:dyDescent="0.25">
      <c r="A3317" t="s">
        <v>6698</v>
      </c>
      <c r="B3317" t="s">
        <v>38</v>
      </c>
      <c r="C3317" s="4">
        <v>42902</v>
      </c>
      <c r="D3317" s="4">
        <v>43423</v>
      </c>
      <c r="F3317" s="4">
        <v>43723</v>
      </c>
      <c r="G3317" t="s">
        <v>173</v>
      </c>
      <c r="H3317" t="s">
        <v>170</v>
      </c>
      <c r="K3317" t="s">
        <v>41</v>
      </c>
      <c r="L3317" t="s">
        <v>2531</v>
      </c>
      <c r="M3317" t="s">
        <v>42</v>
      </c>
      <c r="N3317" t="s">
        <v>31</v>
      </c>
      <c r="O3317" t="s">
        <v>32</v>
      </c>
      <c r="P3317" t="s">
        <v>6699</v>
      </c>
      <c r="Q3317">
        <v>200</v>
      </c>
      <c r="R3317">
        <v>200</v>
      </c>
      <c r="S3317" t="s">
        <v>56</v>
      </c>
      <c r="T3317" t="s">
        <v>57</v>
      </c>
      <c r="U3317" t="s">
        <v>44</v>
      </c>
      <c r="W3317">
        <v>0</v>
      </c>
      <c r="X3317">
        <v>0</v>
      </c>
      <c r="Y3317">
        <v>0</v>
      </c>
      <c r="Z3317">
        <v>0</v>
      </c>
    </row>
    <row r="3318" spans="1:26" hidden="1" x14ac:dyDescent="0.25">
      <c r="A3318" t="s">
        <v>6700</v>
      </c>
      <c r="B3318" t="s">
        <v>25</v>
      </c>
      <c r="C3318" s="4">
        <v>42676</v>
      </c>
      <c r="E3318" s="4">
        <v>43746</v>
      </c>
      <c r="F3318" s="4">
        <v>43711</v>
      </c>
      <c r="G3318" t="s">
        <v>52</v>
      </c>
      <c r="H3318" t="s">
        <v>630</v>
      </c>
      <c r="K3318" t="s">
        <v>53</v>
      </c>
      <c r="L3318" t="s">
        <v>6572</v>
      </c>
      <c r="M3318" t="s">
        <v>54</v>
      </c>
      <c r="N3318" t="s">
        <v>31</v>
      </c>
      <c r="O3318" t="s">
        <v>32</v>
      </c>
      <c r="P3318" t="s">
        <v>6686</v>
      </c>
      <c r="Q3318">
        <v>200.1</v>
      </c>
      <c r="R3318">
        <v>200.1</v>
      </c>
      <c r="S3318" t="s">
        <v>56</v>
      </c>
      <c r="T3318" t="s">
        <v>57</v>
      </c>
      <c r="U3318" t="s">
        <v>36</v>
      </c>
      <c r="V3318" s="4">
        <v>44012</v>
      </c>
      <c r="W3318">
        <v>200.1</v>
      </c>
      <c r="X3318">
        <v>200.1</v>
      </c>
      <c r="Y3318">
        <v>186.3</v>
      </c>
      <c r="Z3318">
        <v>186.3</v>
      </c>
    </row>
    <row r="3319" spans="1:26" hidden="1" x14ac:dyDescent="0.25">
      <c r="A3319" t="s">
        <v>6701</v>
      </c>
      <c r="B3319" t="s">
        <v>38</v>
      </c>
      <c r="C3319" s="4">
        <v>42682</v>
      </c>
      <c r="D3319" s="4">
        <v>43564</v>
      </c>
      <c r="F3319" s="4">
        <v>44097</v>
      </c>
      <c r="G3319" t="s">
        <v>128</v>
      </c>
      <c r="H3319" t="s">
        <v>773</v>
      </c>
      <c r="K3319" t="s">
        <v>209</v>
      </c>
      <c r="L3319" t="s">
        <v>6572</v>
      </c>
      <c r="M3319" t="s">
        <v>42</v>
      </c>
      <c r="N3319" t="s">
        <v>31</v>
      </c>
      <c r="O3319" t="s">
        <v>122</v>
      </c>
      <c r="P3319" t="s">
        <v>6702</v>
      </c>
      <c r="Q3319">
        <v>200</v>
      </c>
      <c r="R3319">
        <v>200</v>
      </c>
      <c r="S3319" t="s">
        <v>56</v>
      </c>
      <c r="T3319" t="s">
        <v>57</v>
      </c>
      <c r="U3319" t="s">
        <v>44</v>
      </c>
      <c r="W3319">
        <v>0</v>
      </c>
      <c r="X3319">
        <v>0</v>
      </c>
      <c r="Y3319">
        <v>0</v>
      </c>
      <c r="Z3319">
        <v>0</v>
      </c>
    </row>
    <row r="3320" spans="1:26" hidden="1" x14ac:dyDescent="0.25">
      <c r="A3320" t="s">
        <v>6703</v>
      </c>
      <c r="B3320" t="s">
        <v>25</v>
      </c>
      <c r="C3320" s="4">
        <v>42902</v>
      </c>
      <c r="E3320" s="4">
        <v>44041</v>
      </c>
      <c r="F3320" s="4">
        <v>44355</v>
      </c>
      <c r="G3320" t="s">
        <v>26</v>
      </c>
      <c r="H3320" t="s">
        <v>357</v>
      </c>
      <c r="K3320" t="s">
        <v>28</v>
      </c>
      <c r="L3320" t="s">
        <v>2531</v>
      </c>
      <c r="M3320" t="s">
        <v>30</v>
      </c>
      <c r="N3320" t="s">
        <v>31</v>
      </c>
      <c r="O3320" t="s">
        <v>32</v>
      </c>
      <c r="P3320" t="s">
        <v>6704</v>
      </c>
      <c r="Q3320">
        <v>527.79999999999995</v>
      </c>
      <c r="R3320">
        <v>561.5</v>
      </c>
      <c r="S3320" t="s">
        <v>390</v>
      </c>
      <c r="T3320" t="s">
        <v>390</v>
      </c>
      <c r="U3320" t="s">
        <v>70</v>
      </c>
      <c r="V3320" s="4">
        <v>45240</v>
      </c>
      <c r="W3320">
        <v>561.5</v>
      </c>
      <c r="X3320">
        <v>561.5</v>
      </c>
      <c r="Y3320">
        <v>561.5</v>
      </c>
      <c r="Z3320">
        <v>561.5</v>
      </c>
    </row>
    <row r="3321" spans="1:26" hidden="1" x14ac:dyDescent="0.25">
      <c r="A3321" t="s">
        <v>6705</v>
      </c>
      <c r="B3321" t="s">
        <v>38</v>
      </c>
      <c r="C3321" s="4">
        <v>42682</v>
      </c>
      <c r="D3321" s="4">
        <v>43564</v>
      </c>
      <c r="F3321" s="4">
        <v>44097</v>
      </c>
      <c r="G3321" t="s">
        <v>72</v>
      </c>
      <c r="H3321" t="s">
        <v>6706</v>
      </c>
      <c r="K3321" t="s">
        <v>209</v>
      </c>
      <c r="L3321" t="s">
        <v>6572</v>
      </c>
      <c r="M3321" t="s">
        <v>42</v>
      </c>
      <c r="N3321" t="s">
        <v>31</v>
      </c>
      <c r="O3321" t="s">
        <v>122</v>
      </c>
      <c r="P3321" t="s">
        <v>6707</v>
      </c>
      <c r="Q3321">
        <v>200</v>
      </c>
      <c r="R3321">
        <v>200</v>
      </c>
      <c r="S3321" t="s">
        <v>56</v>
      </c>
      <c r="T3321" t="s">
        <v>57</v>
      </c>
      <c r="U3321" t="s">
        <v>44</v>
      </c>
      <c r="W3321">
        <v>0</v>
      </c>
      <c r="X3321">
        <v>0</v>
      </c>
      <c r="Y3321">
        <v>0</v>
      </c>
      <c r="Z3321">
        <v>0</v>
      </c>
    </row>
    <row r="3322" spans="1:26" hidden="1" x14ac:dyDescent="0.25">
      <c r="A3322" t="s">
        <v>6708</v>
      </c>
      <c r="B3322" t="s">
        <v>25</v>
      </c>
      <c r="C3322" s="4">
        <v>42684</v>
      </c>
      <c r="E3322" s="4">
        <v>43515</v>
      </c>
      <c r="F3322" s="4">
        <v>42887</v>
      </c>
      <c r="G3322" t="s">
        <v>117</v>
      </c>
      <c r="H3322" t="s">
        <v>6709</v>
      </c>
      <c r="K3322" t="s">
        <v>83</v>
      </c>
      <c r="L3322" t="s">
        <v>6572</v>
      </c>
      <c r="M3322" t="s">
        <v>84</v>
      </c>
      <c r="N3322" t="s">
        <v>31</v>
      </c>
      <c r="O3322" t="s">
        <v>1110</v>
      </c>
      <c r="P3322" t="s">
        <v>6710</v>
      </c>
      <c r="Q3322">
        <v>57.1</v>
      </c>
      <c r="R3322">
        <v>57.1</v>
      </c>
      <c r="S3322" t="s">
        <v>389</v>
      </c>
      <c r="T3322" t="s">
        <v>584</v>
      </c>
      <c r="U3322" t="s">
        <v>36</v>
      </c>
      <c r="V3322" s="4">
        <v>42979</v>
      </c>
      <c r="W3322">
        <v>11.5</v>
      </c>
      <c r="X3322">
        <v>11.5</v>
      </c>
      <c r="Y3322">
        <v>11.5</v>
      </c>
      <c r="Z3322">
        <v>11.5</v>
      </c>
    </row>
    <row r="3323" spans="1:26" hidden="1" x14ac:dyDescent="0.25">
      <c r="A3323" t="s">
        <v>6711</v>
      </c>
      <c r="B3323" t="s">
        <v>38</v>
      </c>
      <c r="C3323" s="4">
        <v>42685</v>
      </c>
      <c r="D3323" s="4">
        <v>43686</v>
      </c>
      <c r="F3323" s="4">
        <v>44089</v>
      </c>
      <c r="G3323" t="s">
        <v>39</v>
      </c>
      <c r="H3323" t="s">
        <v>682</v>
      </c>
      <c r="K3323" t="s">
        <v>41</v>
      </c>
      <c r="L3323" t="s">
        <v>6572</v>
      </c>
      <c r="M3323" t="s">
        <v>42</v>
      </c>
      <c r="N3323" t="s">
        <v>31</v>
      </c>
      <c r="O3323" t="s">
        <v>32</v>
      </c>
      <c r="P3323" t="s">
        <v>3649</v>
      </c>
      <c r="Q3323">
        <v>200</v>
      </c>
      <c r="R3323">
        <v>200</v>
      </c>
      <c r="S3323" t="s">
        <v>56</v>
      </c>
      <c r="T3323" t="s">
        <v>57</v>
      </c>
      <c r="U3323" t="s">
        <v>44</v>
      </c>
      <c r="W3323">
        <v>200</v>
      </c>
      <c r="X3323">
        <v>200</v>
      </c>
      <c r="Y3323">
        <v>0</v>
      </c>
      <c r="Z3323">
        <v>0</v>
      </c>
    </row>
    <row r="3324" spans="1:26" x14ac:dyDescent="0.25">
      <c r="A3324" t="s">
        <v>6712</v>
      </c>
      <c r="B3324" t="s">
        <v>38</v>
      </c>
      <c r="C3324" s="4">
        <v>42685</v>
      </c>
      <c r="D3324" s="4">
        <v>44053</v>
      </c>
      <c r="E3324" s="4">
        <v>43539</v>
      </c>
      <c r="F3324" s="4">
        <v>44097</v>
      </c>
      <c r="G3324" t="s">
        <v>254</v>
      </c>
      <c r="H3324" t="s">
        <v>113</v>
      </c>
      <c r="I3324" t="s">
        <v>1092</v>
      </c>
      <c r="K3324" t="s">
        <v>98</v>
      </c>
      <c r="L3324" t="s">
        <v>6572</v>
      </c>
      <c r="M3324" t="s">
        <v>84</v>
      </c>
      <c r="N3324" t="s">
        <v>31</v>
      </c>
      <c r="O3324" t="s">
        <v>32</v>
      </c>
      <c r="P3324" t="s">
        <v>6713</v>
      </c>
      <c r="Q3324">
        <v>200</v>
      </c>
      <c r="R3324">
        <v>200</v>
      </c>
      <c r="S3324" t="s">
        <v>56</v>
      </c>
      <c r="T3324" t="s">
        <v>57</v>
      </c>
      <c r="U3324" t="s">
        <v>38</v>
      </c>
      <c r="V3324" s="4">
        <v>44119</v>
      </c>
      <c r="W3324">
        <v>200</v>
      </c>
      <c r="X3324">
        <v>200</v>
      </c>
      <c r="Y3324">
        <v>200</v>
      </c>
      <c r="Z3324">
        <v>200</v>
      </c>
    </row>
    <row r="3325" spans="1:26" x14ac:dyDescent="0.25">
      <c r="A3325" t="s">
        <v>6714</v>
      </c>
      <c r="B3325" t="s">
        <v>38</v>
      </c>
      <c r="C3325" s="4">
        <v>42688</v>
      </c>
      <c r="D3325" s="4">
        <v>43686</v>
      </c>
      <c r="F3325" s="4">
        <v>43709</v>
      </c>
      <c r="G3325" t="s">
        <v>183</v>
      </c>
      <c r="H3325" t="s">
        <v>7661</v>
      </c>
      <c r="I3325" t="s">
        <v>341</v>
      </c>
      <c r="K3325" t="s">
        <v>185</v>
      </c>
      <c r="L3325" t="s">
        <v>6572</v>
      </c>
      <c r="M3325" t="s">
        <v>42</v>
      </c>
      <c r="N3325" t="s">
        <v>31</v>
      </c>
      <c r="O3325" t="s">
        <v>32</v>
      </c>
      <c r="P3325" t="s">
        <v>6715</v>
      </c>
      <c r="Q3325">
        <v>51</v>
      </c>
      <c r="R3325">
        <v>51</v>
      </c>
      <c r="S3325" t="s">
        <v>56</v>
      </c>
      <c r="T3325" t="s">
        <v>57</v>
      </c>
      <c r="U3325" t="s">
        <v>44</v>
      </c>
      <c r="W3325">
        <v>50.4</v>
      </c>
      <c r="X3325">
        <v>50.4</v>
      </c>
      <c r="Y3325">
        <v>0</v>
      </c>
      <c r="Z3325">
        <v>0</v>
      </c>
    </row>
    <row r="3326" spans="1:26" hidden="1" x14ac:dyDescent="0.25">
      <c r="A3326" t="s">
        <v>6716</v>
      </c>
      <c r="B3326" t="s">
        <v>38</v>
      </c>
      <c r="C3326" s="4">
        <v>42902</v>
      </c>
      <c r="D3326" s="4">
        <v>43762</v>
      </c>
      <c r="F3326" s="4">
        <v>44043</v>
      </c>
      <c r="G3326" t="s">
        <v>39</v>
      </c>
      <c r="H3326" t="s">
        <v>275</v>
      </c>
      <c r="K3326" t="s">
        <v>185</v>
      </c>
      <c r="L3326" t="s">
        <v>2531</v>
      </c>
      <c r="M3326" t="s">
        <v>42</v>
      </c>
      <c r="N3326" t="s">
        <v>31</v>
      </c>
      <c r="O3326" t="s">
        <v>32</v>
      </c>
      <c r="P3326" t="s">
        <v>360</v>
      </c>
      <c r="Q3326">
        <v>200</v>
      </c>
      <c r="R3326">
        <v>200</v>
      </c>
      <c r="S3326" t="s">
        <v>56</v>
      </c>
      <c r="T3326" t="s">
        <v>57</v>
      </c>
      <c r="U3326" t="s">
        <v>44</v>
      </c>
      <c r="W3326">
        <v>0</v>
      </c>
      <c r="X3326">
        <v>0</v>
      </c>
      <c r="Y3326">
        <v>0</v>
      </c>
      <c r="Z3326">
        <v>0</v>
      </c>
    </row>
    <row r="3327" spans="1:26" hidden="1" x14ac:dyDescent="0.25">
      <c r="A3327" t="s">
        <v>6717</v>
      </c>
      <c r="B3327" t="s">
        <v>38</v>
      </c>
      <c r="C3327" s="4">
        <v>42688</v>
      </c>
      <c r="D3327" s="4">
        <v>43564</v>
      </c>
      <c r="F3327" s="4">
        <v>44348</v>
      </c>
      <c r="G3327" t="s">
        <v>39</v>
      </c>
      <c r="H3327" t="s">
        <v>300</v>
      </c>
      <c r="K3327" t="s">
        <v>41</v>
      </c>
      <c r="L3327" t="s">
        <v>6572</v>
      </c>
      <c r="M3327" t="s">
        <v>42</v>
      </c>
      <c r="N3327" t="s">
        <v>31</v>
      </c>
      <c r="O3327" t="s">
        <v>32</v>
      </c>
      <c r="P3327" t="s">
        <v>6718</v>
      </c>
      <c r="Q3327">
        <v>100</v>
      </c>
      <c r="R3327">
        <v>100</v>
      </c>
      <c r="S3327" t="s">
        <v>56</v>
      </c>
      <c r="T3327" t="s">
        <v>57</v>
      </c>
      <c r="U3327" t="s">
        <v>44</v>
      </c>
      <c r="W3327">
        <v>0</v>
      </c>
      <c r="X3327">
        <v>0</v>
      </c>
      <c r="Y3327">
        <v>0</v>
      </c>
      <c r="Z3327">
        <v>0</v>
      </c>
    </row>
    <row r="3328" spans="1:26" x14ac:dyDescent="0.25">
      <c r="A3328" t="s">
        <v>6719</v>
      </c>
      <c r="B3328" t="s">
        <v>38</v>
      </c>
      <c r="C3328" s="4">
        <v>42688</v>
      </c>
      <c r="D3328" s="4">
        <v>43686</v>
      </c>
      <c r="F3328" s="4">
        <v>44044</v>
      </c>
      <c r="G3328" t="s">
        <v>173</v>
      </c>
      <c r="H3328" t="s">
        <v>7662</v>
      </c>
      <c r="I3328" t="s">
        <v>121</v>
      </c>
      <c r="J3328" t="s">
        <v>6960</v>
      </c>
      <c r="K3328" t="s">
        <v>185</v>
      </c>
      <c r="L3328" t="s">
        <v>6572</v>
      </c>
      <c r="M3328" t="s">
        <v>42</v>
      </c>
      <c r="N3328" t="s">
        <v>31</v>
      </c>
      <c r="O3328" t="s">
        <v>32</v>
      </c>
      <c r="P3328" t="s">
        <v>6720</v>
      </c>
      <c r="Q3328">
        <v>200</v>
      </c>
      <c r="R3328">
        <v>200</v>
      </c>
      <c r="S3328" t="s">
        <v>56</v>
      </c>
      <c r="T3328" t="s">
        <v>57</v>
      </c>
      <c r="U3328" t="s">
        <v>44</v>
      </c>
      <c r="W3328">
        <v>200</v>
      </c>
      <c r="X3328">
        <v>200</v>
      </c>
      <c r="Y3328">
        <v>0</v>
      </c>
      <c r="Z3328">
        <v>0</v>
      </c>
    </row>
    <row r="3329" spans="1:26" hidden="1" x14ac:dyDescent="0.25">
      <c r="A3329" t="s">
        <v>6721</v>
      </c>
      <c r="B3329" t="s">
        <v>38</v>
      </c>
      <c r="C3329" s="4">
        <v>42688</v>
      </c>
      <c r="D3329" s="4">
        <v>43564</v>
      </c>
      <c r="F3329" s="4">
        <v>43009</v>
      </c>
      <c r="G3329" t="s">
        <v>177</v>
      </c>
      <c r="H3329" t="s">
        <v>1243</v>
      </c>
      <c r="K3329" t="s">
        <v>62</v>
      </c>
      <c r="L3329" t="s">
        <v>6572</v>
      </c>
      <c r="M3329" t="s">
        <v>42</v>
      </c>
      <c r="N3329" t="s">
        <v>31</v>
      </c>
      <c r="O3329" t="s">
        <v>32</v>
      </c>
      <c r="P3329" t="s">
        <v>6722</v>
      </c>
      <c r="Q3329">
        <v>200</v>
      </c>
      <c r="R3329">
        <v>200</v>
      </c>
      <c r="S3329" t="s">
        <v>56</v>
      </c>
      <c r="T3329" t="s">
        <v>57</v>
      </c>
      <c r="U3329" t="s">
        <v>44</v>
      </c>
      <c r="W3329">
        <v>0</v>
      </c>
      <c r="X3329">
        <v>0</v>
      </c>
      <c r="Y3329">
        <v>0</v>
      </c>
      <c r="Z3329">
        <v>0</v>
      </c>
    </row>
    <row r="3330" spans="1:26" hidden="1" x14ac:dyDescent="0.25">
      <c r="A3330" t="s">
        <v>6723</v>
      </c>
      <c r="B3330" t="s">
        <v>25</v>
      </c>
      <c r="C3330" s="4">
        <v>42688</v>
      </c>
      <c r="E3330" s="4">
        <v>43910</v>
      </c>
      <c r="F3330" s="4">
        <v>44105</v>
      </c>
      <c r="G3330" t="s">
        <v>128</v>
      </c>
      <c r="H3330" t="s">
        <v>374</v>
      </c>
      <c r="K3330" t="s">
        <v>209</v>
      </c>
      <c r="L3330" t="s">
        <v>6572</v>
      </c>
      <c r="M3330" t="s">
        <v>42</v>
      </c>
      <c r="N3330" t="s">
        <v>31</v>
      </c>
      <c r="O3330" t="s">
        <v>32</v>
      </c>
      <c r="P3330" t="s">
        <v>6724</v>
      </c>
      <c r="Q3330">
        <v>200</v>
      </c>
      <c r="R3330">
        <v>200</v>
      </c>
      <c r="S3330" t="s">
        <v>56</v>
      </c>
      <c r="T3330" t="s">
        <v>57</v>
      </c>
      <c r="U3330" t="s">
        <v>36</v>
      </c>
      <c r="V3330" s="4">
        <v>44470</v>
      </c>
      <c r="W3330">
        <v>200</v>
      </c>
      <c r="X3330">
        <v>200</v>
      </c>
      <c r="Y3330">
        <v>200</v>
      </c>
      <c r="Z3330">
        <v>175</v>
      </c>
    </row>
    <row r="3331" spans="1:26" hidden="1" x14ac:dyDescent="0.25">
      <c r="A3331" t="s">
        <v>6725</v>
      </c>
      <c r="B3331" t="s">
        <v>38</v>
      </c>
      <c r="C3331" s="4">
        <v>42688</v>
      </c>
      <c r="D3331" s="4">
        <v>43221</v>
      </c>
      <c r="F3331" s="4">
        <v>43344</v>
      </c>
      <c r="G3331" t="s">
        <v>52</v>
      </c>
      <c r="H3331" t="s">
        <v>248</v>
      </c>
      <c r="K3331" t="s">
        <v>53</v>
      </c>
      <c r="L3331" t="s">
        <v>6572</v>
      </c>
      <c r="M3331" t="s">
        <v>54</v>
      </c>
      <c r="N3331" t="s">
        <v>31</v>
      </c>
      <c r="O3331" t="s">
        <v>32</v>
      </c>
      <c r="P3331" t="s">
        <v>6726</v>
      </c>
      <c r="Q3331">
        <v>20</v>
      </c>
      <c r="R3331">
        <v>20</v>
      </c>
      <c r="S3331" t="s">
        <v>159</v>
      </c>
      <c r="U3331" t="s">
        <v>44</v>
      </c>
      <c r="W3331">
        <v>0</v>
      </c>
      <c r="X3331">
        <v>0</v>
      </c>
      <c r="Y3331">
        <v>0</v>
      </c>
      <c r="Z3331">
        <v>0</v>
      </c>
    </row>
    <row r="3332" spans="1:26" hidden="1" x14ac:dyDescent="0.25">
      <c r="A3332" t="s">
        <v>6727</v>
      </c>
      <c r="B3332" t="s">
        <v>38</v>
      </c>
      <c r="C3332" s="4">
        <v>42902</v>
      </c>
      <c r="D3332" s="4">
        <v>45845</v>
      </c>
      <c r="E3332" s="4">
        <v>43844</v>
      </c>
      <c r="F3332" s="4">
        <v>43692</v>
      </c>
      <c r="G3332" t="s">
        <v>6728</v>
      </c>
      <c r="H3332" t="s">
        <v>818</v>
      </c>
      <c r="K3332" t="s">
        <v>83</v>
      </c>
      <c r="L3332" t="s">
        <v>2531</v>
      </c>
      <c r="M3332" t="s">
        <v>84</v>
      </c>
      <c r="N3332" t="s">
        <v>31</v>
      </c>
      <c r="O3332" t="s">
        <v>32</v>
      </c>
      <c r="P3332" t="s">
        <v>6729</v>
      </c>
      <c r="Q3332">
        <v>150</v>
      </c>
      <c r="R3332">
        <v>150</v>
      </c>
      <c r="S3332" t="s">
        <v>56</v>
      </c>
      <c r="T3332" t="s">
        <v>57</v>
      </c>
      <c r="U3332" t="s">
        <v>38</v>
      </c>
      <c r="V3332" s="4">
        <v>44696</v>
      </c>
      <c r="W3332">
        <v>150</v>
      </c>
      <c r="X3332">
        <v>150</v>
      </c>
      <c r="Y3332">
        <v>150</v>
      </c>
      <c r="Z3332">
        <v>150</v>
      </c>
    </row>
    <row r="3333" spans="1:26" hidden="1" x14ac:dyDescent="0.25">
      <c r="A3333" t="s">
        <v>6730</v>
      </c>
      <c r="B3333" t="s">
        <v>25</v>
      </c>
      <c r="C3333" s="4">
        <v>42688</v>
      </c>
      <c r="E3333" s="4">
        <v>43748</v>
      </c>
      <c r="F3333" s="4">
        <v>43832</v>
      </c>
      <c r="G3333" t="s">
        <v>72</v>
      </c>
      <c r="H3333" t="s">
        <v>344</v>
      </c>
      <c r="K3333" t="s">
        <v>53</v>
      </c>
      <c r="L3333" t="s">
        <v>6572</v>
      </c>
      <c r="M3333" t="s">
        <v>54</v>
      </c>
      <c r="N3333" t="s">
        <v>31</v>
      </c>
      <c r="O3333" t="s">
        <v>32</v>
      </c>
      <c r="P3333" t="s">
        <v>6731</v>
      </c>
      <c r="Q3333">
        <v>100</v>
      </c>
      <c r="R3333">
        <v>100</v>
      </c>
      <c r="S3333" t="s">
        <v>56</v>
      </c>
      <c r="T3333" t="s">
        <v>57</v>
      </c>
      <c r="U3333" t="s">
        <v>36</v>
      </c>
      <c r="V3333" s="4">
        <v>43742</v>
      </c>
      <c r="W3333">
        <v>100</v>
      </c>
      <c r="X3333">
        <v>100</v>
      </c>
      <c r="Y3333">
        <v>100</v>
      </c>
      <c r="Z3333">
        <v>100</v>
      </c>
    </row>
    <row r="3334" spans="1:26" hidden="1" x14ac:dyDescent="0.25">
      <c r="A3334" t="s">
        <v>6732</v>
      </c>
      <c r="B3334" t="s">
        <v>38</v>
      </c>
      <c r="C3334" s="4">
        <v>42688</v>
      </c>
      <c r="D3334" s="4">
        <v>45961</v>
      </c>
      <c r="E3334" s="4">
        <v>43532</v>
      </c>
      <c r="F3334" s="4">
        <v>44287</v>
      </c>
      <c r="G3334" t="s">
        <v>681</v>
      </c>
      <c r="H3334" t="s">
        <v>6733</v>
      </c>
      <c r="K3334" t="s">
        <v>683</v>
      </c>
      <c r="L3334" t="s">
        <v>6572</v>
      </c>
      <c r="M3334" t="s">
        <v>84</v>
      </c>
      <c r="N3334" t="s">
        <v>31</v>
      </c>
      <c r="O3334" t="s">
        <v>32</v>
      </c>
      <c r="P3334" t="s">
        <v>6734</v>
      </c>
      <c r="Q3334">
        <v>100</v>
      </c>
      <c r="R3334">
        <v>100</v>
      </c>
      <c r="S3334" t="s">
        <v>34</v>
      </c>
      <c r="T3334" t="s">
        <v>35</v>
      </c>
      <c r="U3334" t="s">
        <v>70</v>
      </c>
      <c r="V3334" s="4">
        <v>44287</v>
      </c>
      <c r="W3334">
        <v>100</v>
      </c>
      <c r="X3334">
        <v>100</v>
      </c>
      <c r="Y3334">
        <v>100</v>
      </c>
      <c r="Z3334">
        <v>100</v>
      </c>
    </row>
    <row r="3335" spans="1:26" hidden="1" x14ac:dyDescent="0.25">
      <c r="A3335" t="s">
        <v>6735</v>
      </c>
      <c r="B3335" t="s">
        <v>38</v>
      </c>
      <c r="C3335" s="4">
        <v>42688</v>
      </c>
      <c r="D3335" s="4">
        <v>44104</v>
      </c>
      <c r="E3335" s="4">
        <v>43566</v>
      </c>
      <c r="F3335" s="4">
        <v>43532</v>
      </c>
      <c r="G3335" t="s">
        <v>380</v>
      </c>
      <c r="H3335" t="s">
        <v>605</v>
      </c>
      <c r="K3335" t="s">
        <v>98</v>
      </c>
      <c r="L3335" t="s">
        <v>6572</v>
      </c>
      <c r="M3335" t="s">
        <v>84</v>
      </c>
      <c r="N3335" t="s">
        <v>31</v>
      </c>
      <c r="O3335" t="s">
        <v>32</v>
      </c>
      <c r="P3335" t="s">
        <v>6736</v>
      </c>
      <c r="Q3335">
        <v>303.60000000000002</v>
      </c>
      <c r="R3335">
        <v>303.60000000000002</v>
      </c>
      <c r="S3335" t="s">
        <v>56</v>
      </c>
      <c r="T3335" t="s">
        <v>57</v>
      </c>
      <c r="U3335" t="s">
        <v>38</v>
      </c>
      <c r="V3335" s="4">
        <v>43951</v>
      </c>
      <c r="W3335">
        <v>303.60000000000002</v>
      </c>
      <c r="X3335">
        <v>303.60000000000002</v>
      </c>
      <c r="Y3335">
        <v>303.60000000000002</v>
      </c>
      <c r="Z3335">
        <v>303.60000000000002</v>
      </c>
    </row>
    <row r="3336" spans="1:26" hidden="1" x14ac:dyDescent="0.25">
      <c r="A3336" t="s">
        <v>6737</v>
      </c>
      <c r="B3336" t="s">
        <v>25</v>
      </c>
      <c r="C3336" s="4">
        <v>42688</v>
      </c>
      <c r="E3336" s="4">
        <v>43550</v>
      </c>
      <c r="F3336" s="4">
        <v>43692</v>
      </c>
      <c r="G3336" t="s">
        <v>117</v>
      </c>
      <c r="H3336" t="s">
        <v>341</v>
      </c>
      <c r="K3336" t="s">
        <v>83</v>
      </c>
      <c r="L3336" t="s">
        <v>6572</v>
      </c>
      <c r="M3336" t="s">
        <v>84</v>
      </c>
      <c r="N3336" t="s">
        <v>31</v>
      </c>
      <c r="O3336" t="s">
        <v>32</v>
      </c>
      <c r="P3336" t="s">
        <v>6738</v>
      </c>
      <c r="Q3336">
        <v>202.4</v>
      </c>
      <c r="R3336">
        <v>202.4</v>
      </c>
      <c r="S3336" t="s">
        <v>56</v>
      </c>
      <c r="T3336" t="s">
        <v>57</v>
      </c>
      <c r="U3336" t="s">
        <v>36</v>
      </c>
      <c r="V3336" s="4">
        <v>43944</v>
      </c>
      <c r="W3336">
        <v>202.4</v>
      </c>
      <c r="X3336">
        <v>202.4</v>
      </c>
      <c r="Y3336">
        <v>202.4</v>
      </c>
      <c r="Z3336">
        <v>202.4</v>
      </c>
    </row>
    <row r="3337" spans="1:26" x14ac:dyDescent="0.25">
      <c r="A3337" t="s">
        <v>6739</v>
      </c>
      <c r="B3337" t="s">
        <v>25</v>
      </c>
      <c r="C3337" s="4">
        <v>42688</v>
      </c>
      <c r="E3337" s="4">
        <v>43616</v>
      </c>
      <c r="F3337" s="4">
        <v>44057</v>
      </c>
      <c r="G3337" t="s">
        <v>132</v>
      </c>
      <c r="H3337" t="s">
        <v>818</v>
      </c>
      <c r="I3337" t="s">
        <v>7113</v>
      </c>
      <c r="K3337" t="s">
        <v>83</v>
      </c>
      <c r="L3337" t="s">
        <v>6572</v>
      </c>
      <c r="M3337" t="s">
        <v>84</v>
      </c>
      <c r="N3337" t="s">
        <v>31</v>
      </c>
      <c r="O3337" t="s">
        <v>32</v>
      </c>
      <c r="P3337" t="s">
        <v>6740</v>
      </c>
      <c r="Q3337">
        <v>303.60000000000002</v>
      </c>
      <c r="R3337">
        <v>303.60000000000002</v>
      </c>
      <c r="S3337" t="s">
        <v>56</v>
      </c>
      <c r="T3337" t="s">
        <v>57</v>
      </c>
      <c r="U3337" t="s">
        <v>36</v>
      </c>
      <c r="V3337" s="4">
        <v>44500</v>
      </c>
      <c r="W3337">
        <v>303.60000000000002</v>
      </c>
      <c r="X3337">
        <v>303.60000000000002</v>
      </c>
      <c r="Y3337">
        <v>303.60000000000002</v>
      </c>
      <c r="Z3337">
        <v>303.60000000000002</v>
      </c>
    </row>
    <row r="3338" spans="1:26" hidden="1" x14ac:dyDescent="0.25">
      <c r="A3338" t="s">
        <v>6741</v>
      </c>
      <c r="B3338" t="s">
        <v>25</v>
      </c>
      <c r="C3338" s="4">
        <v>42688</v>
      </c>
      <c r="E3338" s="4">
        <v>43763</v>
      </c>
      <c r="F3338" s="4">
        <v>43374</v>
      </c>
      <c r="G3338" t="s">
        <v>52</v>
      </c>
      <c r="H3338" t="s">
        <v>722</v>
      </c>
      <c r="K3338" t="s">
        <v>53</v>
      </c>
      <c r="L3338" t="s">
        <v>6572</v>
      </c>
      <c r="M3338" t="s">
        <v>54</v>
      </c>
      <c r="N3338" t="s">
        <v>31</v>
      </c>
      <c r="O3338" t="s">
        <v>32</v>
      </c>
      <c r="P3338" t="s">
        <v>6742</v>
      </c>
      <c r="Q3338">
        <v>200</v>
      </c>
      <c r="R3338">
        <v>200</v>
      </c>
      <c r="S3338" t="s">
        <v>34</v>
      </c>
      <c r="T3338" t="s">
        <v>35</v>
      </c>
      <c r="U3338" t="s">
        <v>36</v>
      </c>
      <c r="V3338" s="4">
        <v>44659</v>
      </c>
      <c r="W3338">
        <v>200</v>
      </c>
      <c r="X3338">
        <v>200</v>
      </c>
      <c r="Y3338">
        <v>200</v>
      </c>
      <c r="Z3338">
        <v>200</v>
      </c>
    </row>
    <row r="3339" spans="1:26" hidden="1" x14ac:dyDescent="0.25">
      <c r="A3339" t="s">
        <v>6743</v>
      </c>
      <c r="B3339" t="s">
        <v>25</v>
      </c>
      <c r="C3339" s="4">
        <v>42688</v>
      </c>
      <c r="E3339" s="4">
        <v>43511</v>
      </c>
      <c r="F3339" s="4">
        <v>44287</v>
      </c>
      <c r="G3339" t="s">
        <v>6744</v>
      </c>
      <c r="H3339" t="s">
        <v>673</v>
      </c>
      <c r="K3339" t="s">
        <v>98</v>
      </c>
      <c r="L3339" t="s">
        <v>6572</v>
      </c>
      <c r="M3339" t="s">
        <v>84</v>
      </c>
      <c r="N3339" t="s">
        <v>31</v>
      </c>
      <c r="O3339" t="s">
        <v>32</v>
      </c>
      <c r="P3339" t="s">
        <v>6745</v>
      </c>
      <c r="Q3339">
        <v>70</v>
      </c>
      <c r="R3339">
        <v>70</v>
      </c>
      <c r="S3339" t="s">
        <v>34</v>
      </c>
      <c r="T3339" t="s">
        <v>35</v>
      </c>
      <c r="U3339" t="s">
        <v>36</v>
      </c>
      <c r="V3339" s="4">
        <v>44014</v>
      </c>
      <c r="W3339">
        <v>70</v>
      </c>
      <c r="X3339">
        <v>69.900000000000006</v>
      </c>
      <c r="Y3339">
        <v>70</v>
      </c>
      <c r="Z3339">
        <v>69.900000000000006</v>
      </c>
    </row>
    <row r="3340" spans="1:26" hidden="1" x14ac:dyDescent="0.25">
      <c r="A3340" t="s">
        <v>6746</v>
      </c>
      <c r="B3340" t="s">
        <v>25</v>
      </c>
      <c r="C3340" s="4">
        <v>42688</v>
      </c>
      <c r="E3340" s="4">
        <v>43551</v>
      </c>
      <c r="F3340" s="4">
        <v>43563</v>
      </c>
      <c r="G3340" t="s">
        <v>26</v>
      </c>
      <c r="H3340" t="s">
        <v>416</v>
      </c>
      <c r="K3340" t="s">
        <v>28</v>
      </c>
      <c r="L3340" t="s">
        <v>6572</v>
      </c>
      <c r="M3340" t="s">
        <v>30</v>
      </c>
      <c r="N3340" t="s">
        <v>31</v>
      </c>
      <c r="O3340" t="s">
        <v>32</v>
      </c>
      <c r="P3340" t="s">
        <v>6747</v>
      </c>
      <c r="Q3340">
        <v>30</v>
      </c>
      <c r="R3340">
        <v>30</v>
      </c>
      <c r="S3340" t="s">
        <v>389</v>
      </c>
      <c r="T3340" t="s">
        <v>584</v>
      </c>
      <c r="U3340" t="s">
        <v>36</v>
      </c>
      <c r="V3340" s="4">
        <v>43570</v>
      </c>
      <c r="W3340">
        <v>30</v>
      </c>
      <c r="X3340">
        <v>30</v>
      </c>
      <c r="Y3340">
        <v>30</v>
      </c>
      <c r="Z3340">
        <v>30</v>
      </c>
    </row>
    <row r="3341" spans="1:26" hidden="1" x14ac:dyDescent="0.25">
      <c r="A3341" t="s">
        <v>6748</v>
      </c>
      <c r="B3341" t="s">
        <v>38</v>
      </c>
      <c r="C3341" s="4">
        <v>42688</v>
      </c>
      <c r="D3341" s="4">
        <v>43564</v>
      </c>
      <c r="F3341" s="4">
        <v>44089</v>
      </c>
      <c r="G3341" t="s">
        <v>72</v>
      </c>
      <c r="H3341" t="s">
        <v>73</v>
      </c>
      <c r="K3341" t="s">
        <v>41</v>
      </c>
      <c r="L3341" t="s">
        <v>6572</v>
      </c>
      <c r="M3341" t="s">
        <v>42</v>
      </c>
      <c r="N3341" t="s">
        <v>31</v>
      </c>
      <c r="O3341" t="s">
        <v>32</v>
      </c>
      <c r="P3341" t="s">
        <v>6749</v>
      </c>
      <c r="Q3341">
        <v>200</v>
      </c>
      <c r="R3341">
        <v>200</v>
      </c>
      <c r="S3341" t="s">
        <v>56</v>
      </c>
      <c r="T3341" t="s">
        <v>57</v>
      </c>
      <c r="U3341" t="s">
        <v>44</v>
      </c>
      <c r="W3341">
        <v>0</v>
      </c>
      <c r="X3341">
        <v>0</v>
      </c>
      <c r="Y3341">
        <v>0</v>
      </c>
      <c r="Z3341">
        <v>0</v>
      </c>
    </row>
    <row r="3342" spans="1:26" hidden="1" x14ac:dyDescent="0.25">
      <c r="A3342" t="s">
        <v>6750</v>
      </c>
      <c r="B3342" t="s">
        <v>25</v>
      </c>
      <c r="C3342" s="4">
        <v>42688</v>
      </c>
      <c r="E3342" s="4">
        <v>43532</v>
      </c>
      <c r="F3342" s="4">
        <v>44287</v>
      </c>
      <c r="G3342" t="s">
        <v>681</v>
      </c>
      <c r="H3342" t="s">
        <v>6751</v>
      </c>
      <c r="K3342" t="s">
        <v>683</v>
      </c>
      <c r="L3342" t="s">
        <v>6572</v>
      </c>
      <c r="M3342" t="s">
        <v>84</v>
      </c>
      <c r="N3342" t="s">
        <v>31</v>
      </c>
      <c r="O3342" t="s">
        <v>32</v>
      </c>
      <c r="P3342" t="s">
        <v>6752</v>
      </c>
      <c r="Q3342">
        <v>200</v>
      </c>
      <c r="R3342">
        <v>200</v>
      </c>
      <c r="S3342" t="s">
        <v>34</v>
      </c>
      <c r="T3342" t="s">
        <v>35</v>
      </c>
      <c r="U3342" t="s">
        <v>70</v>
      </c>
      <c r="V3342" s="4">
        <v>44287</v>
      </c>
      <c r="W3342">
        <v>200</v>
      </c>
      <c r="X3342">
        <v>200</v>
      </c>
      <c r="Y3342">
        <v>200</v>
      </c>
      <c r="Z3342">
        <v>200</v>
      </c>
    </row>
    <row r="3343" spans="1:26" hidden="1" x14ac:dyDescent="0.25">
      <c r="A3343" t="s">
        <v>6753</v>
      </c>
      <c r="B3343" t="s">
        <v>38</v>
      </c>
      <c r="C3343" s="4">
        <v>42688</v>
      </c>
      <c r="D3343" s="4">
        <v>43564</v>
      </c>
      <c r="F3343" s="4">
        <v>43101</v>
      </c>
      <c r="G3343" t="s">
        <v>1597</v>
      </c>
      <c r="H3343" t="s">
        <v>6678</v>
      </c>
      <c r="K3343" t="s">
        <v>185</v>
      </c>
      <c r="L3343" t="s">
        <v>6572</v>
      </c>
      <c r="M3343" t="s">
        <v>42</v>
      </c>
      <c r="N3343" t="s">
        <v>31</v>
      </c>
      <c r="O3343" t="s">
        <v>32</v>
      </c>
      <c r="P3343" t="s">
        <v>6754</v>
      </c>
      <c r="Q3343">
        <v>3.84</v>
      </c>
      <c r="R3343">
        <v>3.84</v>
      </c>
      <c r="S3343" t="s">
        <v>56</v>
      </c>
      <c r="T3343" t="s">
        <v>57</v>
      </c>
      <c r="U3343" t="s">
        <v>44</v>
      </c>
      <c r="W3343">
        <v>0</v>
      </c>
      <c r="X3343">
        <v>0</v>
      </c>
      <c r="Y3343">
        <v>0</v>
      </c>
      <c r="Z3343">
        <v>0</v>
      </c>
    </row>
    <row r="3344" spans="1:26" hidden="1" x14ac:dyDescent="0.25">
      <c r="A3344" t="s">
        <v>6755</v>
      </c>
      <c r="B3344" t="s">
        <v>38</v>
      </c>
      <c r="C3344" s="4">
        <v>42688</v>
      </c>
      <c r="D3344" s="4">
        <v>43686</v>
      </c>
      <c r="F3344" s="4">
        <v>43466</v>
      </c>
      <c r="G3344" t="s">
        <v>72</v>
      </c>
      <c r="H3344" t="s">
        <v>381</v>
      </c>
      <c r="K3344" t="s">
        <v>209</v>
      </c>
      <c r="L3344" t="s">
        <v>6572</v>
      </c>
      <c r="M3344" t="s">
        <v>42</v>
      </c>
      <c r="N3344" t="s">
        <v>31</v>
      </c>
      <c r="O3344" t="s">
        <v>32</v>
      </c>
      <c r="P3344" t="s">
        <v>6756</v>
      </c>
      <c r="Q3344">
        <v>12</v>
      </c>
      <c r="R3344">
        <v>12</v>
      </c>
      <c r="S3344" t="s">
        <v>56</v>
      </c>
      <c r="T3344" t="s">
        <v>57</v>
      </c>
      <c r="U3344" t="s">
        <v>44</v>
      </c>
      <c r="W3344">
        <v>12</v>
      </c>
      <c r="X3344">
        <v>12</v>
      </c>
      <c r="Y3344">
        <v>0</v>
      </c>
      <c r="Z3344">
        <v>0</v>
      </c>
    </row>
    <row r="3345" spans="1:26" hidden="1" x14ac:dyDescent="0.25">
      <c r="A3345" t="s">
        <v>6757</v>
      </c>
      <c r="B3345" t="s">
        <v>38</v>
      </c>
      <c r="C3345" s="4">
        <v>42688</v>
      </c>
      <c r="D3345" s="4">
        <v>43686</v>
      </c>
      <c r="F3345" s="4">
        <v>43466</v>
      </c>
      <c r="G3345" t="s">
        <v>72</v>
      </c>
      <c r="H3345" t="s">
        <v>889</v>
      </c>
      <c r="K3345" t="s">
        <v>209</v>
      </c>
      <c r="L3345" t="s">
        <v>6572</v>
      </c>
      <c r="M3345" t="s">
        <v>42</v>
      </c>
      <c r="N3345" t="s">
        <v>31</v>
      </c>
      <c r="O3345" t="s">
        <v>32</v>
      </c>
      <c r="P3345" t="s">
        <v>6758</v>
      </c>
      <c r="Q3345">
        <v>12</v>
      </c>
      <c r="R3345">
        <v>12</v>
      </c>
      <c r="S3345" t="s">
        <v>56</v>
      </c>
      <c r="T3345" t="s">
        <v>57</v>
      </c>
      <c r="U3345" t="s">
        <v>44</v>
      </c>
      <c r="W3345">
        <v>12</v>
      </c>
      <c r="X3345">
        <v>12</v>
      </c>
      <c r="Y3345">
        <v>0</v>
      </c>
      <c r="Z3345">
        <v>0</v>
      </c>
    </row>
    <row r="3346" spans="1:26" hidden="1" x14ac:dyDescent="0.25">
      <c r="A3346" t="s">
        <v>6759</v>
      </c>
      <c r="B3346" t="s">
        <v>38</v>
      </c>
      <c r="C3346" s="4">
        <v>42688</v>
      </c>
      <c r="D3346" s="4">
        <v>43564</v>
      </c>
      <c r="F3346" s="4">
        <v>43677</v>
      </c>
      <c r="G3346" t="s">
        <v>39</v>
      </c>
      <c r="H3346" t="s">
        <v>6595</v>
      </c>
      <c r="K3346" t="s">
        <v>41</v>
      </c>
      <c r="L3346" t="s">
        <v>6572</v>
      </c>
      <c r="M3346" t="s">
        <v>42</v>
      </c>
      <c r="N3346" t="s">
        <v>31</v>
      </c>
      <c r="O3346" t="s">
        <v>32</v>
      </c>
      <c r="P3346" t="s">
        <v>6760</v>
      </c>
      <c r="Q3346">
        <v>33</v>
      </c>
      <c r="R3346">
        <v>33</v>
      </c>
      <c r="S3346" t="s">
        <v>34</v>
      </c>
      <c r="T3346" t="s">
        <v>35</v>
      </c>
      <c r="U3346" t="s">
        <v>44</v>
      </c>
      <c r="W3346">
        <v>0</v>
      </c>
      <c r="X3346">
        <v>0</v>
      </c>
      <c r="Y3346">
        <v>0</v>
      </c>
      <c r="Z3346">
        <v>0</v>
      </c>
    </row>
    <row r="3347" spans="1:26" hidden="1" x14ac:dyDescent="0.25">
      <c r="A3347" t="s">
        <v>6761</v>
      </c>
      <c r="B3347" t="s">
        <v>38</v>
      </c>
      <c r="C3347" s="4">
        <v>42688</v>
      </c>
      <c r="D3347" s="4">
        <v>43564</v>
      </c>
      <c r="F3347" s="4">
        <v>43677</v>
      </c>
      <c r="G3347" t="s">
        <v>39</v>
      </c>
      <c r="H3347" t="s">
        <v>6595</v>
      </c>
      <c r="K3347" t="s">
        <v>41</v>
      </c>
      <c r="L3347" t="s">
        <v>6572</v>
      </c>
      <c r="M3347" t="s">
        <v>42</v>
      </c>
      <c r="N3347" t="s">
        <v>31</v>
      </c>
      <c r="O3347" t="s">
        <v>32</v>
      </c>
      <c r="P3347" t="s">
        <v>6762</v>
      </c>
      <c r="Q3347">
        <v>90</v>
      </c>
      <c r="R3347">
        <v>90</v>
      </c>
      <c r="S3347" t="s">
        <v>34</v>
      </c>
      <c r="T3347" t="s">
        <v>35</v>
      </c>
      <c r="U3347" t="s">
        <v>44</v>
      </c>
      <c r="W3347">
        <v>0</v>
      </c>
      <c r="X3347">
        <v>0</v>
      </c>
      <c r="Y3347">
        <v>0</v>
      </c>
      <c r="Z3347">
        <v>0</v>
      </c>
    </row>
    <row r="3348" spans="1:26" hidden="1" x14ac:dyDescent="0.25">
      <c r="A3348" t="s">
        <v>6763</v>
      </c>
      <c r="B3348" t="s">
        <v>38</v>
      </c>
      <c r="C3348" s="4">
        <v>42688</v>
      </c>
      <c r="D3348" s="4">
        <v>43564</v>
      </c>
      <c r="F3348" s="4">
        <v>43677</v>
      </c>
      <c r="G3348" t="s">
        <v>173</v>
      </c>
      <c r="H3348" t="s">
        <v>6764</v>
      </c>
      <c r="K3348" t="s">
        <v>41</v>
      </c>
      <c r="L3348" t="s">
        <v>6572</v>
      </c>
      <c r="M3348" t="s">
        <v>42</v>
      </c>
      <c r="N3348" t="s">
        <v>31</v>
      </c>
      <c r="O3348" t="s">
        <v>32</v>
      </c>
      <c r="P3348" t="s">
        <v>6765</v>
      </c>
      <c r="Q3348">
        <v>50</v>
      </c>
      <c r="R3348">
        <v>50</v>
      </c>
      <c r="S3348" t="s">
        <v>34</v>
      </c>
      <c r="T3348" t="s">
        <v>35</v>
      </c>
      <c r="U3348" t="s">
        <v>44</v>
      </c>
      <c r="W3348">
        <v>0</v>
      </c>
      <c r="X3348">
        <v>0</v>
      </c>
      <c r="Y3348">
        <v>0</v>
      </c>
      <c r="Z3348">
        <v>0</v>
      </c>
    </row>
    <row r="3349" spans="1:26" hidden="1" x14ac:dyDescent="0.25">
      <c r="A3349" t="s">
        <v>6766</v>
      </c>
      <c r="B3349" t="s">
        <v>38</v>
      </c>
      <c r="C3349" s="4">
        <v>42688</v>
      </c>
      <c r="D3349" s="4">
        <v>43564</v>
      </c>
      <c r="F3349" s="4">
        <v>43770</v>
      </c>
      <c r="G3349" t="s">
        <v>128</v>
      </c>
      <c r="H3349" t="s">
        <v>6706</v>
      </c>
      <c r="K3349" t="s">
        <v>209</v>
      </c>
      <c r="L3349" t="s">
        <v>6572</v>
      </c>
      <c r="M3349" t="s">
        <v>42</v>
      </c>
      <c r="N3349" t="s">
        <v>31</v>
      </c>
      <c r="O3349" t="s">
        <v>32</v>
      </c>
      <c r="P3349" t="s">
        <v>6767</v>
      </c>
      <c r="Q3349">
        <v>99</v>
      </c>
      <c r="R3349">
        <v>99</v>
      </c>
      <c r="S3349" t="s">
        <v>56</v>
      </c>
      <c r="T3349" t="s">
        <v>57</v>
      </c>
      <c r="U3349" t="s">
        <v>44</v>
      </c>
      <c r="W3349">
        <v>0</v>
      </c>
      <c r="X3349">
        <v>0</v>
      </c>
      <c r="Y3349">
        <v>0</v>
      </c>
      <c r="Z3349">
        <v>0</v>
      </c>
    </row>
    <row r="3350" spans="1:26" hidden="1" x14ac:dyDescent="0.25">
      <c r="A3350" t="s">
        <v>6768</v>
      </c>
      <c r="B3350" t="s">
        <v>38</v>
      </c>
      <c r="C3350" s="4">
        <v>42688</v>
      </c>
      <c r="D3350" s="4">
        <v>43686</v>
      </c>
      <c r="F3350" s="4">
        <v>43770</v>
      </c>
      <c r="G3350" t="s">
        <v>72</v>
      </c>
      <c r="H3350" t="s">
        <v>6706</v>
      </c>
      <c r="K3350" t="s">
        <v>209</v>
      </c>
      <c r="L3350" t="s">
        <v>6572</v>
      </c>
      <c r="M3350" t="s">
        <v>42</v>
      </c>
      <c r="N3350" t="s">
        <v>31</v>
      </c>
      <c r="O3350" t="s">
        <v>32</v>
      </c>
      <c r="P3350" t="s">
        <v>6769</v>
      </c>
      <c r="Q3350">
        <v>99</v>
      </c>
      <c r="R3350">
        <v>99</v>
      </c>
      <c r="S3350" t="s">
        <v>56</v>
      </c>
      <c r="T3350" t="s">
        <v>57</v>
      </c>
      <c r="U3350" t="s">
        <v>44</v>
      </c>
      <c r="W3350">
        <v>99</v>
      </c>
      <c r="X3350">
        <v>99</v>
      </c>
      <c r="Y3350">
        <v>0</v>
      </c>
      <c r="Z3350">
        <v>0</v>
      </c>
    </row>
    <row r="3351" spans="1:26" x14ac:dyDescent="0.25">
      <c r="A3351" t="s">
        <v>6770</v>
      </c>
      <c r="B3351" t="s">
        <v>38</v>
      </c>
      <c r="C3351" s="4">
        <v>42688</v>
      </c>
      <c r="D3351" s="4">
        <v>43686</v>
      </c>
      <c r="F3351" s="4">
        <v>43709</v>
      </c>
      <c r="G3351" t="s">
        <v>183</v>
      </c>
      <c r="H3351" t="s">
        <v>7661</v>
      </c>
      <c r="I3351" t="s">
        <v>341</v>
      </c>
      <c r="K3351" t="s">
        <v>185</v>
      </c>
      <c r="L3351" t="s">
        <v>6572</v>
      </c>
      <c r="M3351" t="s">
        <v>42</v>
      </c>
      <c r="N3351" t="s">
        <v>31</v>
      </c>
      <c r="O3351" t="s">
        <v>32</v>
      </c>
      <c r="P3351" t="s">
        <v>6771</v>
      </c>
      <c r="Q3351">
        <v>51</v>
      </c>
      <c r="R3351">
        <v>51</v>
      </c>
      <c r="S3351" t="s">
        <v>56</v>
      </c>
      <c r="T3351" t="s">
        <v>57</v>
      </c>
      <c r="U3351" t="s">
        <v>44</v>
      </c>
      <c r="W3351">
        <v>50.4</v>
      </c>
      <c r="X3351">
        <v>50.4</v>
      </c>
      <c r="Y3351">
        <v>0</v>
      </c>
      <c r="Z3351">
        <v>0</v>
      </c>
    </row>
    <row r="3352" spans="1:26" hidden="1" x14ac:dyDescent="0.25">
      <c r="A3352" t="s">
        <v>6772</v>
      </c>
      <c r="B3352" t="s">
        <v>38</v>
      </c>
      <c r="C3352" s="4">
        <v>42688</v>
      </c>
      <c r="D3352" s="4">
        <v>43564</v>
      </c>
      <c r="F3352" s="4">
        <v>44180</v>
      </c>
      <c r="G3352" t="s">
        <v>177</v>
      </c>
      <c r="H3352" t="s">
        <v>1181</v>
      </c>
      <c r="K3352" t="s">
        <v>185</v>
      </c>
      <c r="L3352" t="s">
        <v>6572</v>
      </c>
      <c r="M3352" t="s">
        <v>42</v>
      </c>
      <c r="N3352" t="s">
        <v>31</v>
      </c>
      <c r="O3352" t="s">
        <v>32</v>
      </c>
      <c r="P3352" t="s">
        <v>6773</v>
      </c>
      <c r="Q3352">
        <v>200</v>
      </c>
      <c r="R3352">
        <v>200</v>
      </c>
      <c r="S3352" t="s">
        <v>56</v>
      </c>
      <c r="T3352" t="s">
        <v>57</v>
      </c>
      <c r="U3352" t="s">
        <v>44</v>
      </c>
      <c r="W3352">
        <v>0</v>
      </c>
      <c r="X3352">
        <v>0</v>
      </c>
      <c r="Y3352">
        <v>0</v>
      </c>
      <c r="Z3352">
        <v>0</v>
      </c>
    </row>
    <row r="3353" spans="1:26" hidden="1" x14ac:dyDescent="0.25">
      <c r="A3353" t="s">
        <v>6774</v>
      </c>
      <c r="B3353" t="s">
        <v>38</v>
      </c>
      <c r="C3353" s="4">
        <v>42688</v>
      </c>
      <c r="D3353" s="4">
        <v>43251</v>
      </c>
      <c r="F3353" s="4">
        <v>44287</v>
      </c>
      <c r="G3353" t="s">
        <v>107</v>
      </c>
      <c r="H3353" t="s">
        <v>161</v>
      </c>
      <c r="K3353" t="s">
        <v>109</v>
      </c>
      <c r="L3353" t="s">
        <v>6572</v>
      </c>
      <c r="M3353" t="s">
        <v>84</v>
      </c>
      <c r="N3353" t="s">
        <v>31</v>
      </c>
      <c r="O3353" t="s">
        <v>32</v>
      </c>
      <c r="P3353" t="s">
        <v>6775</v>
      </c>
      <c r="Q3353">
        <v>100</v>
      </c>
      <c r="R3353">
        <v>100</v>
      </c>
      <c r="S3353" t="s">
        <v>34</v>
      </c>
      <c r="T3353" t="s">
        <v>35</v>
      </c>
      <c r="U3353" t="s">
        <v>44</v>
      </c>
      <c r="W3353">
        <v>0</v>
      </c>
      <c r="X3353">
        <v>0</v>
      </c>
      <c r="Y3353">
        <v>0</v>
      </c>
      <c r="Z3353">
        <v>0</v>
      </c>
    </row>
    <row r="3354" spans="1:26" hidden="1" x14ac:dyDescent="0.25">
      <c r="A3354" t="s">
        <v>6776</v>
      </c>
      <c r="B3354" t="s">
        <v>25</v>
      </c>
      <c r="C3354" s="4">
        <v>42688</v>
      </c>
      <c r="E3354" s="4">
        <v>43670</v>
      </c>
      <c r="F3354" s="4">
        <v>44287</v>
      </c>
      <c r="G3354" t="s">
        <v>96</v>
      </c>
      <c r="H3354" t="s">
        <v>673</v>
      </c>
      <c r="K3354" t="s">
        <v>98</v>
      </c>
      <c r="L3354" t="s">
        <v>6572</v>
      </c>
      <c r="M3354" t="s">
        <v>84</v>
      </c>
      <c r="N3354" t="s">
        <v>31</v>
      </c>
      <c r="O3354" t="s">
        <v>32</v>
      </c>
      <c r="P3354" t="s">
        <v>6777</v>
      </c>
      <c r="Q3354">
        <v>70</v>
      </c>
      <c r="R3354">
        <v>70</v>
      </c>
      <c r="S3354" t="s">
        <v>34</v>
      </c>
      <c r="T3354" t="s">
        <v>35</v>
      </c>
      <c r="U3354" t="s">
        <v>70</v>
      </c>
      <c r="V3354" s="4">
        <v>44287</v>
      </c>
      <c r="W3354">
        <v>70</v>
      </c>
      <c r="X3354">
        <v>69.900000000000006</v>
      </c>
      <c r="Y3354">
        <v>70</v>
      </c>
      <c r="Z3354">
        <v>69.900000000000006</v>
      </c>
    </row>
    <row r="3355" spans="1:26" x14ac:dyDescent="0.25">
      <c r="A3355" t="s">
        <v>6778</v>
      </c>
      <c r="B3355" t="s">
        <v>38</v>
      </c>
      <c r="C3355" s="4">
        <v>42902</v>
      </c>
      <c r="D3355" s="4">
        <v>44225</v>
      </c>
      <c r="F3355" s="4">
        <v>44454</v>
      </c>
      <c r="G3355" t="s">
        <v>72</v>
      </c>
      <c r="H3355" t="s">
        <v>90</v>
      </c>
      <c r="I3355" t="s">
        <v>962</v>
      </c>
      <c r="K3355" t="s">
        <v>41</v>
      </c>
      <c r="L3355" t="s">
        <v>2531</v>
      </c>
      <c r="M3355" t="s">
        <v>42</v>
      </c>
      <c r="N3355" t="s">
        <v>31</v>
      </c>
      <c r="O3355" t="s">
        <v>32</v>
      </c>
      <c r="P3355" t="s">
        <v>6779</v>
      </c>
      <c r="Q3355">
        <v>105</v>
      </c>
      <c r="R3355">
        <v>105</v>
      </c>
      <c r="S3355" t="s">
        <v>56</v>
      </c>
      <c r="T3355" t="s">
        <v>57</v>
      </c>
      <c r="U3355" t="s">
        <v>44</v>
      </c>
      <c r="W3355">
        <v>105</v>
      </c>
      <c r="X3355">
        <v>105</v>
      </c>
      <c r="Y3355">
        <v>0</v>
      </c>
      <c r="Z3355">
        <v>0</v>
      </c>
    </row>
    <row r="3356" spans="1:26" hidden="1" x14ac:dyDescent="0.25">
      <c r="A3356" t="s">
        <v>6780</v>
      </c>
      <c r="B3356" t="s">
        <v>25</v>
      </c>
      <c r="C3356" s="4">
        <v>42902</v>
      </c>
      <c r="E3356" s="4">
        <v>44130</v>
      </c>
      <c r="F3356" s="4">
        <v>44330</v>
      </c>
      <c r="G3356" t="s">
        <v>72</v>
      </c>
      <c r="H3356" t="s">
        <v>864</v>
      </c>
      <c r="K3356" t="s">
        <v>53</v>
      </c>
      <c r="L3356" t="s">
        <v>2531</v>
      </c>
      <c r="M3356" t="s">
        <v>54</v>
      </c>
      <c r="N3356" t="s">
        <v>31</v>
      </c>
      <c r="O3356" t="s">
        <v>32</v>
      </c>
      <c r="P3356" t="s">
        <v>6781</v>
      </c>
      <c r="Q3356">
        <v>1175</v>
      </c>
      <c r="R3356">
        <v>1175</v>
      </c>
      <c r="S3356" t="s">
        <v>390</v>
      </c>
      <c r="T3356" t="s">
        <v>390</v>
      </c>
      <c r="U3356" t="s">
        <v>36</v>
      </c>
      <c r="V3356" s="4">
        <v>44330</v>
      </c>
      <c r="W3356">
        <v>1209</v>
      </c>
      <c r="X3356">
        <v>1209</v>
      </c>
      <c r="Y3356">
        <v>1209</v>
      </c>
      <c r="Z3356">
        <v>1175</v>
      </c>
    </row>
    <row r="3357" spans="1:26" hidden="1" x14ac:dyDescent="0.25">
      <c r="A3357" t="s">
        <v>6782</v>
      </c>
      <c r="B3357" t="s">
        <v>25</v>
      </c>
      <c r="C3357" s="4">
        <v>42902</v>
      </c>
      <c r="E3357" s="4">
        <v>44000</v>
      </c>
      <c r="F3357" s="4">
        <v>43353</v>
      </c>
      <c r="G3357" t="s">
        <v>52</v>
      </c>
      <c r="H3357" t="s">
        <v>248</v>
      </c>
      <c r="K3357" t="s">
        <v>53</v>
      </c>
      <c r="L3357" t="s">
        <v>2531</v>
      </c>
      <c r="M3357" t="s">
        <v>54</v>
      </c>
      <c r="N3357" t="s">
        <v>31</v>
      </c>
      <c r="O3357" t="s">
        <v>32</v>
      </c>
      <c r="P3357" t="s">
        <v>6783</v>
      </c>
      <c r="Q3357">
        <v>12.5</v>
      </c>
      <c r="R3357">
        <v>12.5</v>
      </c>
      <c r="S3357" t="s">
        <v>56</v>
      </c>
      <c r="T3357" t="s">
        <v>57</v>
      </c>
      <c r="U3357" t="s">
        <v>36</v>
      </c>
      <c r="V3357" s="4">
        <v>43399</v>
      </c>
      <c r="W3357">
        <v>12.5</v>
      </c>
      <c r="X3357">
        <v>12.5</v>
      </c>
      <c r="Y3357">
        <v>12.5</v>
      </c>
      <c r="Z3357">
        <v>12.5</v>
      </c>
    </row>
    <row r="3358" spans="1:26" hidden="1" x14ac:dyDescent="0.25">
      <c r="A3358" t="s">
        <v>6784</v>
      </c>
      <c r="B3358" t="s">
        <v>38</v>
      </c>
      <c r="C3358" s="4">
        <v>42902</v>
      </c>
      <c r="D3358" s="4">
        <v>43473</v>
      </c>
      <c r="F3358" s="4">
        <v>43709</v>
      </c>
      <c r="G3358" t="s">
        <v>365</v>
      </c>
      <c r="H3358" t="s">
        <v>6785</v>
      </c>
      <c r="K3358" t="s">
        <v>83</v>
      </c>
      <c r="L3358" t="s">
        <v>2531</v>
      </c>
      <c r="M3358" t="s">
        <v>84</v>
      </c>
      <c r="N3358" t="s">
        <v>31</v>
      </c>
      <c r="O3358" t="s">
        <v>32</v>
      </c>
      <c r="P3358" t="s">
        <v>6786</v>
      </c>
      <c r="Q3358">
        <v>69</v>
      </c>
      <c r="R3358">
        <v>69</v>
      </c>
      <c r="S3358" t="s">
        <v>34</v>
      </c>
      <c r="T3358" t="s">
        <v>35</v>
      </c>
      <c r="U3358" t="s">
        <v>44</v>
      </c>
      <c r="W3358">
        <v>0</v>
      </c>
      <c r="X3358">
        <v>0</v>
      </c>
      <c r="Y3358">
        <v>0</v>
      </c>
      <c r="Z3358">
        <v>0</v>
      </c>
    </row>
    <row r="3359" spans="1:26" hidden="1" x14ac:dyDescent="0.25">
      <c r="A3359" t="s">
        <v>6787</v>
      </c>
      <c r="B3359" t="s">
        <v>25</v>
      </c>
      <c r="C3359" s="4">
        <v>42902</v>
      </c>
      <c r="E3359" s="4">
        <v>43994</v>
      </c>
      <c r="F3359" s="4">
        <v>43709</v>
      </c>
      <c r="G3359" t="s">
        <v>52</v>
      </c>
      <c r="H3359" t="s">
        <v>305</v>
      </c>
      <c r="K3359" t="s">
        <v>53</v>
      </c>
      <c r="L3359" t="s">
        <v>2531</v>
      </c>
      <c r="M3359" t="s">
        <v>54</v>
      </c>
      <c r="N3359" t="s">
        <v>31</v>
      </c>
      <c r="O3359" t="s">
        <v>32</v>
      </c>
      <c r="P3359" t="s">
        <v>6788</v>
      </c>
      <c r="Q3359">
        <v>239</v>
      </c>
      <c r="R3359">
        <v>239</v>
      </c>
      <c r="S3359" t="s">
        <v>34</v>
      </c>
      <c r="T3359" t="s">
        <v>35</v>
      </c>
      <c r="U3359" t="s">
        <v>36</v>
      </c>
      <c r="V3359" s="4">
        <v>44155</v>
      </c>
      <c r="W3359">
        <v>239</v>
      </c>
      <c r="X3359">
        <v>239</v>
      </c>
      <c r="Y3359">
        <v>239</v>
      </c>
      <c r="Z3359">
        <v>239</v>
      </c>
    </row>
    <row r="3360" spans="1:26" hidden="1" x14ac:dyDescent="0.25">
      <c r="A3360" t="s">
        <v>6789</v>
      </c>
      <c r="B3360" t="s">
        <v>38</v>
      </c>
      <c r="C3360" s="4">
        <v>42902</v>
      </c>
      <c r="D3360" s="4">
        <v>43250</v>
      </c>
      <c r="F3360" s="4">
        <v>43709</v>
      </c>
      <c r="G3360" t="s">
        <v>117</v>
      </c>
      <c r="H3360" t="s">
        <v>166</v>
      </c>
      <c r="K3360" t="s">
        <v>83</v>
      </c>
      <c r="L3360" t="s">
        <v>2531</v>
      </c>
      <c r="M3360" t="s">
        <v>84</v>
      </c>
      <c r="N3360" t="s">
        <v>31</v>
      </c>
      <c r="O3360" t="s">
        <v>32</v>
      </c>
      <c r="P3360" t="s">
        <v>646</v>
      </c>
      <c r="Q3360">
        <v>70</v>
      </c>
      <c r="R3360">
        <v>70</v>
      </c>
      <c r="S3360" t="s">
        <v>34</v>
      </c>
      <c r="T3360" t="s">
        <v>35</v>
      </c>
      <c r="U3360" t="s">
        <v>44</v>
      </c>
      <c r="W3360">
        <v>0</v>
      </c>
      <c r="X3360">
        <v>0</v>
      </c>
      <c r="Y3360">
        <v>0</v>
      </c>
      <c r="Z3360">
        <v>0</v>
      </c>
    </row>
    <row r="3361" spans="1:26" hidden="1" x14ac:dyDescent="0.25">
      <c r="A3361" t="s">
        <v>6790</v>
      </c>
      <c r="B3361" t="s">
        <v>38</v>
      </c>
      <c r="C3361" s="4">
        <v>42902</v>
      </c>
      <c r="D3361" s="4">
        <v>43473</v>
      </c>
      <c r="F3361" s="4">
        <v>43709</v>
      </c>
      <c r="G3361" t="s">
        <v>26</v>
      </c>
      <c r="H3361" t="s">
        <v>190</v>
      </c>
      <c r="K3361" t="s">
        <v>28</v>
      </c>
      <c r="L3361" t="s">
        <v>2531</v>
      </c>
      <c r="M3361" t="s">
        <v>30</v>
      </c>
      <c r="N3361" t="s">
        <v>31</v>
      </c>
      <c r="O3361" t="s">
        <v>32</v>
      </c>
      <c r="P3361" t="s">
        <v>6791</v>
      </c>
      <c r="Q3361">
        <v>124</v>
      </c>
      <c r="R3361">
        <v>124</v>
      </c>
      <c r="S3361" t="s">
        <v>34</v>
      </c>
      <c r="T3361" t="s">
        <v>35</v>
      </c>
      <c r="U3361" t="s">
        <v>44</v>
      </c>
      <c r="W3361">
        <v>0</v>
      </c>
      <c r="X3361">
        <v>0</v>
      </c>
      <c r="Y3361">
        <v>0</v>
      </c>
      <c r="Z3361">
        <v>0</v>
      </c>
    </row>
    <row r="3362" spans="1:26" hidden="1" x14ac:dyDescent="0.25">
      <c r="A3362" t="s">
        <v>6792</v>
      </c>
      <c r="B3362" t="s">
        <v>25</v>
      </c>
      <c r="C3362" s="4">
        <v>42902</v>
      </c>
      <c r="E3362" s="4">
        <v>43964</v>
      </c>
      <c r="F3362" s="4">
        <v>43709</v>
      </c>
      <c r="G3362" t="s">
        <v>72</v>
      </c>
      <c r="H3362" t="s">
        <v>200</v>
      </c>
      <c r="K3362" t="s">
        <v>53</v>
      </c>
      <c r="L3362" t="s">
        <v>2531</v>
      </c>
      <c r="M3362" t="s">
        <v>54</v>
      </c>
      <c r="N3362" t="s">
        <v>31</v>
      </c>
      <c r="O3362" t="s">
        <v>32</v>
      </c>
      <c r="P3362" t="s">
        <v>6793</v>
      </c>
      <c r="Q3362">
        <v>189</v>
      </c>
      <c r="R3362">
        <v>189</v>
      </c>
      <c r="S3362" t="s">
        <v>34</v>
      </c>
      <c r="T3362" t="s">
        <v>35</v>
      </c>
      <c r="U3362" t="s">
        <v>70</v>
      </c>
      <c r="V3362" s="4">
        <v>44511</v>
      </c>
      <c r="W3362">
        <v>189</v>
      </c>
      <c r="X3362">
        <v>189</v>
      </c>
      <c r="Y3362">
        <v>189</v>
      </c>
      <c r="Z3362">
        <v>189</v>
      </c>
    </row>
    <row r="3363" spans="1:26" hidden="1" x14ac:dyDescent="0.25">
      <c r="A3363" t="s">
        <v>6794</v>
      </c>
      <c r="B3363" t="s">
        <v>25</v>
      </c>
      <c r="C3363" s="4">
        <v>42902</v>
      </c>
      <c r="E3363" s="4">
        <v>43943</v>
      </c>
      <c r="F3363" s="4">
        <v>44104</v>
      </c>
      <c r="G3363" t="s">
        <v>117</v>
      </c>
      <c r="H3363" t="s">
        <v>429</v>
      </c>
      <c r="K3363" t="s">
        <v>83</v>
      </c>
      <c r="L3363" t="s">
        <v>2531</v>
      </c>
      <c r="M3363" t="s">
        <v>84</v>
      </c>
      <c r="N3363" t="s">
        <v>31</v>
      </c>
      <c r="O3363" t="s">
        <v>32</v>
      </c>
      <c r="P3363" t="s">
        <v>6795</v>
      </c>
      <c r="Q3363">
        <v>250</v>
      </c>
      <c r="R3363">
        <v>250</v>
      </c>
      <c r="S3363" t="s">
        <v>34</v>
      </c>
      <c r="T3363" t="s">
        <v>35</v>
      </c>
      <c r="U3363" t="s">
        <v>70</v>
      </c>
      <c r="V3363" s="4">
        <v>44835</v>
      </c>
      <c r="W3363">
        <v>250</v>
      </c>
      <c r="X3363">
        <v>250</v>
      </c>
      <c r="Y3363">
        <v>250</v>
      </c>
      <c r="Z3363">
        <v>250</v>
      </c>
    </row>
    <row r="3364" spans="1:26" hidden="1" x14ac:dyDescent="0.25">
      <c r="A3364" t="s">
        <v>6796</v>
      </c>
      <c r="B3364" t="s">
        <v>38</v>
      </c>
      <c r="C3364" s="4">
        <v>42902</v>
      </c>
      <c r="D3364" s="4">
        <v>45495</v>
      </c>
      <c r="E3364" s="4">
        <v>44335</v>
      </c>
      <c r="F3364" s="4">
        <v>44075</v>
      </c>
      <c r="G3364" t="s">
        <v>871</v>
      </c>
      <c r="H3364" t="s">
        <v>6797</v>
      </c>
      <c r="K3364" t="s">
        <v>28</v>
      </c>
      <c r="L3364" t="s">
        <v>2531</v>
      </c>
      <c r="M3364" t="s">
        <v>42</v>
      </c>
      <c r="N3364" t="s">
        <v>31</v>
      </c>
      <c r="O3364" t="s">
        <v>122</v>
      </c>
      <c r="P3364" t="s">
        <v>6798</v>
      </c>
      <c r="Q3364">
        <v>74</v>
      </c>
      <c r="R3364">
        <v>74</v>
      </c>
      <c r="S3364" t="s">
        <v>34</v>
      </c>
      <c r="T3364" t="s">
        <v>35</v>
      </c>
      <c r="U3364" t="s">
        <v>38</v>
      </c>
      <c r="V3364" s="4">
        <v>45240</v>
      </c>
      <c r="W3364">
        <v>74</v>
      </c>
      <c r="X3364">
        <v>74</v>
      </c>
      <c r="Y3364">
        <v>74</v>
      </c>
      <c r="Z3364">
        <v>0</v>
      </c>
    </row>
    <row r="3365" spans="1:26" hidden="1" x14ac:dyDescent="0.25">
      <c r="A3365" t="s">
        <v>6799</v>
      </c>
      <c r="B3365" t="s">
        <v>38</v>
      </c>
      <c r="C3365" s="4">
        <v>42902</v>
      </c>
      <c r="D3365" s="4">
        <v>43242</v>
      </c>
      <c r="F3365" s="4">
        <v>44075</v>
      </c>
      <c r="G3365" t="s">
        <v>380</v>
      </c>
      <c r="H3365" t="s">
        <v>815</v>
      </c>
      <c r="K3365" t="s">
        <v>98</v>
      </c>
      <c r="L3365" t="s">
        <v>2531</v>
      </c>
      <c r="M3365" t="s">
        <v>84</v>
      </c>
      <c r="N3365" t="s">
        <v>31</v>
      </c>
      <c r="O3365" t="s">
        <v>32</v>
      </c>
      <c r="P3365" t="s">
        <v>6800</v>
      </c>
      <c r="Q3365">
        <v>1244</v>
      </c>
      <c r="R3365">
        <v>1244</v>
      </c>
      <c r="S3365" t="s">
        <v>390</v>
      </c>
      <c r="T3365" t="s">
        <v>390</v>
      </c>
      <c r="U3365" t="s">
        <v>44</v>
      </c>
      <c r="W3365">
        <v>0</v>
      </c>
      <c r="X3365">
        <v>0</v>
      </c>
      <c r="Y3365">
        <v>0</v>
      </c>
      <c r="Z3365">
        <v>0</v>
      </c>
    </row>
    <row r="3366" spans="1:26" hidden="1" x14ac:dyDescent="0.25">
      <c r="A3366" t="s">
        <v>6801</v>
      </c>
      <c r="B3366" t="s">
        <v>38</v>
      </c>
      <c r="C3366" s="4">
        <v>42902</v>
      </c>
      <c r="D3366" s="4">
        <v>45041</v>
      </c>
      <c r="E3366" s="4">
        <v>44335</v>
      </c>
      <c r="F3366" s="4">
        <v>43739</v>
      </c>
      <c r="G3366" t="s">
        <v>39</v>
      </c>
      <c r="H3366" t="s">
        <v>682</v>
      </c>
      <c r="K3366" t="s">
        <v>41</v>
      </c>
      <c r="L3366" t="s">
        <v>2531</v>
      </c>
      <c r="M3366" t="s">
        <v>42</v>
      </c>
      <c r="N3366" t="s">
        <v>31</v>
      </c>
      <c r="O3366" t="s">
        <v>122</v>
      </c>
      <c r="P3366" t="s">
        <v>6802</v>
      </c>
      <c r="Q3366">
        <v>32.5</v>
      </c>
      <c r="R3366">
        <v>32.5</v>
      </c>
      <c r="S3366" t="s">
        <v>34</v>
      </c>
      <c r="T3366" t="s">
        <v>35</v>
      </c>
      <c r="U3366" t="s">
        <v>38</v>
      </c>
      <c r="V3366" s="4">
        <v>45231</v>
      </c>
      <c r="W3366">
        <v>32.5</v>
      </c>
      <c r="X3366">
        <v>0</v>
      </c>
      <c r="Y3366">
        <v>32.5</v>
      </c>
      <c r="Z3366">
        <v>0</v>
      </c>
    </row>
    <row r="3367" spans="1:26" hidden="1" x14ac:dyDescent="0.25">
      <c r="A3367" t="s">
        <v>6803</v>
      </c>
      <c r="B3367" t="s">
        <v>38</v>
      </c>
      <c r="C3367" s="4">
        <v>42902</v>
      </c>
      <c r="D3367" s="4">
        <v>43206</v>
      </c>
      <c r="F3367" s="4">
        <v>43709</v>
      </c>
      <c r="G3367" t="s">
        <v>6744</v>
      </c>
      <c r="H3367" t="s">
        <v>956</v>
      </c>
      <c r="K3367" t="s">
        <v>98</v>
      </c>
      <c r="L3367" t="s">
        <v>2531</v>
      </c>
      <c r="M3367" t="s">
        <v>84</v>
      </c>
      <c r="N3367" t="s">
        <v>31</v>
      </c>
      <c r="O3367" t="s">
        <v>32</v>
      </c>
      <c r="P3367" t="s">
        <v>6804</v>
      </c>
      <c r="Q3367">
        <v>119</v>
      </c>
      <c r="R3367">
        <v>119</v>
      </c>
      <c r="S3367" t="s">
        <v>34</v>
      </c>
      <c r="T3367" t="s">
        <v>35</v>
      </c>
      <c r="U3367" t="s">
        <v>44</v>
      </c>
      <c r="W3367">
        <v>0</v>
      </c>
      <c r="X3367">
        <v>0</v>
      </c>
      <c r="Y3367">
        <v>0</v>
      </c>
      <c r="Z3367">
        <v>0</v>
      </c>
    </row>
    <row r="3368" spans="1:26" hidden="1" x14ac:dyDescent="0.25">
      <c r="A3368" t="s">
        <v>6805</v>
      </c>
      <c r="B3368" t="s">
        <v>25</v>
      </c>
      <c r="C3368" s="4">
        <v>42902</v>
      </c>
      <c r="E3368" s="4">
        <v>43959</v>
      </c>
      <c r="F3368" s="4">
        <v>43709</v>
      </c>
      <c r="G3368" t="s">
        <v>380</v>
      </c>
      <c r="H3368" t="s">
        <v>6806</v>
      </c>
      <c r="K3368" t="s">
        <v>98</v>
      </c>
      <c r="L3368" t="s">
        <v>2531</v>
      </c>
      <c r="M3368" t="s">
        <v>84</v>
      </c>
      <c r="N3368" t="s">
        <v>31</v>
      </c>
      <c r="O3368" t="s">
        <v>32</v>
      </c>
      <c r="P3368" t="s">
        <v>1834</v>
      </c>
      <c r="Q3368">
        <v>199</v>
      </c>
      <c r="R3368">
        <v>199</v>
      </c>
      <c r="S3368" t="s">
        <v>34</v>
      </c>
      <c r="T3368" t="s">
        <v>35</v>
      </c>
      <c r="U3368" t="s">
        <v>70</v>
      </c>
      <c r="V3368" s="4">
        <v>44682</v>
      </c>
      <c r="W3368">
        <v>199</v>
      </c>
      <c r="X3368">
        <v>199</v>
      </c>
      <c r="Y3368">
        <v>199</v>
      </c>
      <c r="Z3368">
        <v>199</v>
      </c>
    </row>
    <row r="3369" spans="1:26" hidden="1" x14ac:dyDescent="0.25">
      <c r="A3369" t="s">
        <v>6807</v>
      </c>
      <c r="B3369" t="s">
        <v>25</v>
      </c>
      <c r="C3369" s="4">
        <v>42902</v>
      </c>
      <c r="E3369" s="4">
        <v>43962</v>
      </c>
      <c r="F3369" s="4">
        <v>43709</v>
      </c>
      <c r="G3369" t="s">
        <v>52</v>
      </c>
      <c r="H3369" t="s">
        <v>722</v>
      </c>
      <c r="K3369" t="s">
        <v>53</v>
      </c>
      <c r="L3369" t="s">
        <v>2531</v>
      </c>
      <c r="M3369" t="s">
        <v>54</v>
      </c>
      <c r="N3369" t="s">
        <v>31</v>
      </c>
      <c r="O3369" t="s">
        <v>32</v>
      </c>
      <c r="P3369" t="s">
        <v>6808</v>
      </c>
      <c r="Q3369">
        <v>149</v>
      </c>
      <c r="R3369">
        <v>149</v>
      </c>
      <c r="S3369" t="s">
        <v>34</v>
      </c>
      <c r="T3369" t="s">
        <v>35</v>
      </c>
      <c r="U3369" t="s">
        <v>36</v>
      </c>
      <c r="V3369" s="4">
        <v>44348</v>
      </c>
      <c r="W3369">
        <v>149</v>
      </c>
      <c r="X3369">
        <v>149</v>
      </c>
      <c r="Y3369">
        <v>149</v>
      </c>
      <c r="Z3369">
        <v>149</v>
      </c>
    </row>
    <row r="3370" spans="1:26" hidden="1" x14ac:dyDescent="0.25">
      <c r="A3370" t="s">
        <v>6809</v>
      </c>
      <c r="B3370" t="s">
        <v>38</v>
      </c>
      <c r="C3370" s="4">
        <v>42902</v>
      </c>
      <c r="D3370" s="4">
        <v>43977</v>
      </c>
      <c r="E3370" s="4">
        <v>43755</v>
      </c>
      <c r="F3370" s="4">
        <v>44089</v>
      </c>
      <c r="G3370" t="s">
        <v>26</v>
      </c>
      <c r="H3370" t="s">
        <v>6810</v>
      </c>
      <c r="K3370" t="s">
        <v>28</v>
      </c>
      <c r="L3370" t="s">
        <v>2531</v>
      </c>
      <c r="M3370" t="s">
        <v>30</v>
      </c>
      <c r="N3370" t="s">
        <v>31</v>
      </c>
      <c r="O3370" t="s">
        <v>32</v>
      </c>
      <c r="P3370" t="s">
        <v>6811</v>
      </c>
      <c r="Q3370">
        <v>41.4</v>
      </c>
      <c r="R3370">
        <v>41.4</v>
      </c>
      <c r="S3370" t="s">
        <v>56</v>
      </c>
      <c r="T3370" t="s">
        <v>57</v>
      </c>
      <c r="U3370" t="s">
        <v>38</v>
      </c>
      <c r="V3370" s="4">
        <v>44435</v>
      </c>
      <c r="W3370">
        <v>41.4</v>
      </c>
      <c r="X3370">
        <v>41.4</v>
      </c>
      <c r="Y3370">
        <v>41.4</v>
      </c>
      <c r="Z3370">
        <v>41.4</v>
      </c>
    </row>
    <row r="3371" spans="1:26" hidden="1" x14ac:dyDescent="0.25">
      <c r="A3371" t="s">
        <v>6812</v>
      </c>
      <c r="B3371" t="s">
        <v>25</v>
      </c>
      <c r="C3371" s="4">
        <v>42902</v>
      </c>
      <c r="E3371" s="4">
        <v>43957</v>
      </c>
      <c r="F3371" s="4">
        <v>43709</v>
      </c>
      <c r="G3371" t="s">
        <v>117</v>
      </c>
      <c r="H3371" t="s">
        <v>608</v>
      </c>
      <c r="K3371" t="s">
        <v>83</v>
      </c>
      <c r="L3371" t="s">
        <v>2531</v>
      </c>
      <c r="M3371" t="s">
        <v>84</v>
      </c>
      <c r="N3371" t="s">
        <v>31</v>
      </c>
      <c r="O3371" t="s">
        <v>32</v>
      </c>
      <c r="P3371" t="s">
        <v>6813</v>
      </c>
      <c r="Q3371">
        <v>99</v>
      </c>
      <c r="R3371">
        <v>99</v>
      </c>
      <c r="S3371" t="s">
        <v>34</v>
      </c>
      <c r="T3371" t="s">
        <v>35</v>
      </c>
      <c r="U3371" t="s">
        <v>36</v>
      </c>
      <c r="V3371" s="4">
        <v>44013</v>
      </c>
      <c r="W3371">
        <v>99</v>
      </c>
      <c r="X3371">
        <v>99</v>
      </c>
      <c r="Y3371">
        <v>99</v>
      </c>
      <c r="Z3371">
        <v>99</v>
      </c>
    </row>
    <row r="3372" spans="1:26" hidden="1" x14ac:dyDescent="0.25">
      <c r="A3372" t="s">
        <v>6814</v>
      </c>
      <c r="B3372" t="s">
        <v>38</v>
      </c>
      <c r="C3372" s="4">
        <v>42902</v>
      </c>
      <c r="D3372" s="4">
        <v>43474</v>
      </c>
      <c r="F3372" s="4">
        <v>43709</v>
      </c>
      <c r="G3372" t="s">
        <v>52</v>
      </c>
      <c r="H3372" t="s">
        <v>1105</v>
      </c>
      <c r="K3372" t="s">
        <v>53</v>
      </c>
      <c r="L3372" t="s">
        <v>2531</v>
      </c>
      <c r="M3372" t="s">
        <v>54</v>
      </c>
      <c r="N3372" t="s">
        <v>31</v>
      </c>
      <c r="O3372" t="s">
        <v>32</v>
      </c>
      <c r="P3372" t="s">
        <v>6815</v>
      </c>
      <c r="Q3372">
        <v>99</v>
      </c>
      <c r="R3372">
        <v>99</v>
      </c>
      <c r="S3372" t="s">
        <v>34</v>
      </c>
      <c r="T3372" t="s">
        <v>35</v>
      </c>
      <c r="U3372" t="s">
        <v>44</v>
      </c>
      <c r="W3372">
        <v>0</v>
      </c>
      <c r="X3372">
        <v>0</v>
      </c>
      <c r="Y3372">
        <v>0</v>
      </c>
      <c r="Z3372">
        <v>0</v>
      </c>
    </row>
    <row r="3373" spans="1:26" hidden="1" x14ac:dyDescent="0.25">
      <c r="A3373" t="s">
        <v>6816</v>
      </c>
      <c r="B3373" t="s">
        <v>38</v>
      </c>
      <c r="C3373" s="4">
        <v>42902</v>
      </c>
      <c r="D3373" s="4">
        <v>43343</v>
      </c>
      <c r="F3373" s="4">
        <v>45017</v>
      </c>
      <c r="G3373" t="s">
        <v>128</v>
      </c>
      <c r="H3373" t="s">
        <v>6817</v>
      </c>
      <c r="K3373" t="s">
        <v>209</v>
      </c>
      <c r="L3373" t="s">
        <v>2531</v>
      </c>
      <c r="M3373" t="s">
        <v>42</v>
      </c>
      <c r="N3373" t="s">
        <v>31</v>
      </c>
      <c r="O3373" t="s">
        <v>32</v>
      </c>
      <c r="P3373" t="s">
        <v>6818</v>
      </c>
      <c r="Q3373">
        <v>139.6</v>
      </c>
      <c r="R3373">
        <v>145.5</v>
      </c>
      <c r="S3373" t="s">
        <v>389</v>
      </c>
      <c r="T3373" t="s">
        <v>584</v>
      </c>
      <c r="U3373" t="s">
        <v>44</v>
      </c>
      <c r="W3373">
        <v>0</v>
      </c>
      <c r="X3373">
        <v>0</v>
      </c>
      <c r="Y3373">
        <v>0</v>
      </c>
      <c r="Z3373">
        <v>0</v>
      </c>
    </row>
    <row r="3374" spans="1:26" hidden="1" x14ac:dyDescent="0.25">
      <c r="A3374" t="s">
        <v>6819</v>
      </c>
      <c r="B3374" t="s">
        <v>25</v>
      </c>
      <c r="C3374" s="4">
        <v>42902</v>
      </c>
      <c r="E3374" s="4">
        <v>43915</v>
      </c>
      <c r="F3374" s="4">
        <v>43709</v>
      </c>
      <c r="G3374" t="s">
        <v>117</v>
      </c>
      <c r="H3374" t="s">
        <v>1140</v>
      </c>
      <c r="K3374" t="s">
        <v>83</v>
      </c>
      <c r="L3374" t="s">
        <v>2531</v>
      </c>
      <c r="M3374" t="s">
        <v>84</v>
      </c>
      <c r="N3374" t="s">
        <v>31</v>
      </c>
      <c r="O3374" t="s">
        <v>32</v>
      </c>
      <c r="P3374" t="s">
        <v>1858</v>
      </c>
      <c r="Q3374">
        <v>99</v>
      </c>
      <c r="R3374">
        <v>99</v>
      </c>
      <c r="S3374" t="s">
        <v>34</v>
      </c>
      <c r="T3374" t="s">
        <v>35</v>
      </c>
      <c r="U3374" t="s">
        <v>36</v>
      </c>
      <c r="V3374" s="4">
        <v>44344</v>
      </c>
      <c r="W3374">
        <v>99</v>
      </c>
      <c r="X3374">
        <v>99</v>
      </c>
      <c r="Y3374">
        <v>99</v>
      </c>
      <c r="Z3374">
        <v>99</v>
      </c>
    </row>
    <row r="3375" spans="1:26" hidden="1" x14ac:dyDescent="0.25">
      <c r="A3375" t="s">
        <v>6820</v>
      </c>
      <c r="B3375" t="s">
        <v>38</v>
      </c>
      <c r="C3375" s="4">
        <v>42902</v>
      </c>
      <c r="D3375" s="4">
        <v>43034</v>
      </c>
      <c r="F3375" s="4">
        <v>42902</v>
      </c>
      <c r="G3375" t="s">
        <v>52</v>
      </c>
      <c r="H3375" t="s">
        <v>6821</v>
      </c>
      <c r="K3375" t="s">
        <v>53</v>
      </c>
      <c r="L3375" t="s">
        <v>2531</v>
      </c>
      <c r="M3375" t="s">
        <v>54</v>
      </c>
      <c r="N3375" t="s">
        <v>31</v>
      </c>
      <c r="O3375" t="s">
        <v>32</v>
      </c>
      <c r="P3375" t="s">
        <v>6822</v>
      </c>
      <c r="Q3375">
        <v>1108</v>
      </c>
      <c r="R3375">
        <v>1217</v>
      </c>
      <c r="S3375" t="s">
        <v>390</v>
      </c>
      <c r="T3375" t="s">
        <v>390</v>
      </c>
      <c r="U3375" t="s">
        <v>44</v>
      </c>
      <c r="W3375">
        <v>0</v>
      </c>
      <c r="X3375">
        <v>0</v>
      </c>
      <c r="Y3375">
        <v>0</v>
      </c>
      <c r="Z3375">
        <v>0</v>
      </c>
    </row>
    <row r="3376" spans="1:26" hidden="1" x14ac:dyDescent="0.25">
      <c r="A3376" t="s">
        <v>6823</v>
      </c>
      <c r="B3376" t="s">
        <v>25</v>
      </c>
      <c r="C3376" s="4">
        <v>42902</v>
      </c>
      <c r="E3376" s="4">
        <v>43815</v>
      </c>
      <c r="F3376" s="4">
        <v>44104</v>
      </c>
      <c r="G3376" t="s">
        <v>117</v>
      </c>
      <c r="H3376" t="s">
        <v>728</v>
      </c>
      <c r="K3376" t="s">
        <v>83</v>
      </c>
      <c r="L3376" t="s">
        <v>2531</v>
      </c>
      <c r="M3376" t="s">
        <v>84</v>
      </c>
      <c r="N3376" t="s">
        <v>31</v>
      </c>
      <c r="O3376" t="s">
        <v>32</v>
      </c>
      <c r="P3376" t="s">
        <v>6824</v>
      </c>
      <c r="Q3376">
        <v>275</v>
      </c>
      <c r="R3376">
        <v>275</v>
      </c>
      <c r="S3376" t="s">
        <v>34</v>
      </c>
      <c r="T3376" t="s">
        <v>35</v>
      </c>
      <c r="U3376" t="s">
        <v>70</v>
      </c>
      <c r="V3376" s="4">
        <v>44498</v>
      </c>
      <c r="W3376">
        <v>250</v>
      </c>
      <c r="X3376">
        <v>250</v>
      </c>
      <c r="Y3376">
        <v>250</v>
      </c>
      <c r="Z3376">
        <v>250</v>
      </c>
    </row>
    <row r="3377" spans="1:26" hidden="1" x14ac:dyDescent="0.25">
      <c r="A3377" t="s">
        <v>6825</v>
      </c>
      <c r="B3377" t="s">
        <v>38</v>
      </c>
      <c r="C3377" s="4">
        <v>42902</v>
      </c>
      <c r="D3377" s="4">
        <v>43500</v>
      </c>
      <c r="F3377" s="4">
        <v>44089</v>
      </c>
      <c r="G3377" t="s">
        <v>39</v>
      </c>
      <c r="H3377" t="s">
        <v>546</v>
      </c>
      <c r="K3377" t="s">
        <v>28</v>
      </c>
      <c r="L3377" t="s">
        <v>2531</v>
      </c>
      <c r="M3377" t="s">
        <v>42</v>
      </c>
      <c r="N3377" t="s">
        <v>31</v>
      </c>
      <c r="O3377" t="s">
        <v>32</v>
      </c>
      <c r="P3377" t="s">
        <v>6826</v>
      </c>
      <c r="Q3377">
        <v>99.9</v>
      </c>
      <c r="R3377">
        <v>99.9</v>
      </c>
      <c r="S3377" t="s">
        <v>56</v>
      </c>
      <c r="T3377" t="s">
        <v>57</v>
      </c>
      <c r="U3377" t="s">
        <v>44</v>
      </c>
      <c r="W3377">
        <v>0</v>
      </c>
      <c r="X3377">
        <v>0</v>
      </c>
      <c r="Y3377">
        <v>0</v>
      </c>
      <c r="Z3377">
        <v>0</v>
      </c>
    </row>
    <row r="3378" spans="1:26" hidden="1" x14ac:dyDescent="0.25">
      <c r="A3378" t="s">
        <v>6827</v>
      </c>
      <c r="B3378" t="s">
        <v>38</v>
      </c>
      <c r="C3378" s="4">
        <v>42902</v>
      </c>
      <c r="D3378" s="4">
        <v>46083</v>
      </c>
      <c r="E3378" s="4">
        <v>43937</v>
      </c>
      <c r="F3378" s="4">
        <v>44104</v>
      </c>
      <c r="G3378" t="s">
        <v>117</v>
      </c>
      <c r="H3378" t="s">
        <v>6828</v>
      </c>
      <c r="K3378" t="s">
        <v>83</v>
      </c>
      <c r="L3378" t="s">
        <v>2531</v>
      </c>
      <c r="M3378" t="s">
        <v>84</v>
      </c>
      <c r="N3378" t="s">
        <v>31</v>
      </c>
      <c r="O3378" t="s">
        <v>32</v>
      </c>
      <c r="P3378" t="s">
        <v>6829</v>
      </c>
      <c r="Q3378">
        <v>250</v>
      </c>
      <c r="R3378">
        <v>250</v>
      </c>
      <c r="S3378" t="s">
        <v>34</v>
      </c>
      <c r="T3378" t="s">
        <v>35</v>
      </c>
      <c r="U3378" t="s">
        <v>70</v>
      </c>
      <c r="V3378" s="4">
        <v>44862</v>
      </c>
      <c r="W3378">
        <v>250</v>
      </c>
      <c r="X3378">
        <v>250</v>
      </c>
      <c r="Y3378">
        <v>250</v>
      </c>
      <c r="Z3378">
        <v>250</v>
      </c>
    </row>
    <row r="3379" spans="1:26" hidden="1" x14ac:dyDescent="0.25">
      <c r="A3379" t="s">
        <v>6830</v>
      </c>
      <c r="B3379" t="s">
        <v>38</v>
      </c>
      <c r="C3379" s="4">
        <v>42902</v>
      </c>
      <c r="D3379" s="4">
        <v>44225</v>
      </c>
      <c r="F3379" s="4">
        <v>44819</v>
      </c>
      <c r="G3379" t="s">
        <v>177</v>
      </c>
      <c r="H3379" t="s">
        <v>275</v>
      </c>
      <c r="K3379" t="s">
        <v>185</v>
      </c>
      <c r="L3379" t="s">
        <v>2531</v>
      </c>
      <c r="M3379" t="s">
        <v>42</v>
      </c>
      <c r="N3379" t="s">
        <v>31</v>
      </c>
      <c r="O3379" t="s">
        <v>32</v>
      </c>
      <c r="P3379" t="s">
        <v>6593</v>
      </c>
      <c r="Q3379">
        <v>60</v>
      </c>
      <c r="R3379">
        <v>60</v>
      </c>
      <c r="S3379" t="s">
        <v>34</v>
      </c>
      <c r="T3379" t="s">
        <v>35</v>
      </c>
      <c r="U3379" t="s">
        <v>44</v>
      </c>
      <c r="W3379">
        <v>60</v>
      </c>
      <c r="X3379">
        <v>60</v>
      </c>
      <c r="Y3379">
        <v>0</v>
      </c>
      <c r="Z3379">
        <v>0</v>
      </c>
    </row>
    <row r="3380" spans="1:26" hidden="1" x14ac:dyDescent="0.25">
      <c r="A3380" t="s">
        <v>6831</v>
      </c>
      <c r="B3380" t="s">
        <v>25</v>
      </c>
      <c r="C3380" s="4">
        <v>42902</v>
      </c>
      <c r="E3380" s="4">
        <v>43816</v>
      </c>
      <c r="F3380" s="4">
        <v>43709</v>
      </c>
      <c r="G3380" t="s">
        <v>107</v>
      </c>
      <c r="H3380" t="s">
        <v>180</v>
      </c>
      <c r="K3380" t="s">
        <v>109</v>
      </c>
      <c r="L3380" t="s">
        <v>2531</v>
      </c>
      <c r="M3380" t="s">
        <v>84</v>
      </c>
      <c r="N3380" t="s">
        <v>31</v>
      </c>
      <c r="O3380" t="s">
        <v>32</v>
      </c>
      <c r="P3380" t="s">
        <v>3618</v>
      </c>
      <c r="Q3380">
        <v>139</v>
      </c>
      <c r="R3380">
        <v>139</v>
      </c>
      <c r="S3380" t="s">
        <v>34</v>
      </c>
      <c r="T3380" t="s">
        <v>35</v>
      </c>
      <c r="U3380" t="s">
        <v>36</v>
      </c>
      <c r="V3380" s="4">
        <v>44498</v>
      </c>
      <c r="W3380">
        <v>139</v>
      </c>
      <c r="X3380">
        <v>139</v>
      </c>
      <c r="Y3380">
        <v>139</v>
      </c>
      <c r="Z3380">
        <v>139</v>
      </c>
    </row>
    <row r="3381" spans="1:26" hidden="1" x14ac:dyDescent="0.25">
      <c r="A3381" t="s">
        <v>6832</v>
      </c>
      <c r="B3381" t="s">
        <v>25</v>
      </c>
      <c r="C3381" s="4">
        <v>42902</v>
      </c>
      <c r="E3381" s="4">
        <v>43957</v>
      </c>
      <c r="F3381" s="4">
        <v>43709</v>
      </c>
      <c r="G3381" t="s">
        <v>26</v>
      </c>
      <c r="H3381" t="s">
        <v>212</v>
      </c>
      <c r="K3381" t="s">
        <v>28</v>
      </c>
      <c r="L3381" t="s">
        <v>2531</v>
      </c>
      <c r="M3381" t="s">
        <v>30</v>
      </c>
      <c r="N3381" t="s">
        <v>31</v>
      </c>
      <c r="O3381" t="s">
        <v>32</v>
      </c>
      <c r="P3381" t="s">
        <v>6833</v>
      </c>
      <c r="Q3381">
        <v>149</v>
      </c>
      <c r="R3381">
        <v>149</v>
      </c>
      <c r="S3381" t="s">
        <v>34</v>
      </c>
      <c r="T3381" t="s">
        <v>35</v>
      </c>
      <c r="U3381" t="s">
        <v>70</v>
      </c>
      <c r="V3381" s="4">
        <v>44652</v>
      </c>
      <c r="W3381">
        <v>149</v>
      </c>
      <c r="X3381">
        <v>149</v>
      </c>
      <c r="Y3381">
        <v>149</v>
      </c>
      <c r="Z3381">
        <v>149</v>
      </c>
    </row>
    <row r="3382" spans="1:26" hidden="1" x14ac:dyDescent="0.25">
      <c r="A3382" t="s">
        <v>6834</v>
      </c>
      <c r="B3382" t="s">
        <v>38</v>
      </c>
      <c r="C3382" s="4">
        <v>42902</v>
      </c>
      <c r="D3382" s="4">
        <v>43977</v>
      </c>
      <c r="E3382" s="4">
        <v>43971</v>
      </c>
      <c r="F3382" s="4">
        <v>44089</v>
      </c>
      <c r="G3382" t="s">
        <v>26</v>
      </c>
      <c r="H3382" t="s">
        <v>6810</v>
      </c>
      <c r="K3382" t="s">
        <v>28</v>
      </c>
      <c r="L3382" t="s">
        <v>2531</v>
      </c>
      <c r="M3382" t="s">
        <v>30</v>
      </c>
      <c r="N3382" t="s">
        <v>31</v>
      </c>
      <c r="O3382" t="s">
        <v>32</v>
      </c>
      <c r="P3382" t="s">
        <v>6835</v>
      </c>
      <c r="Q3382">
        <v>99.9</v>
      </c>
      <c r="R3382">
        <v>99.9</v>
      </c>
      <c r="S3382" t="s">
        <v>56</v>
      </c>
      <c r="T3382" t="s">
        <v>57</v>
      </c>
      <c r="U3382" t="s">
        <v>38</v>
      </c>
      <c r="V3382" s="4">
        <v>44440</v>
      </c>
      <c r="W3382">
        <v>99.9</v>
      </c>
      <c r="X3382">
        <v>99.9</v>
      </c>
      <c r="Y3382">
        <v>99.9</v>
      </c>
      <c r="Z3382">
        <v>99.9</v>
      </c>
    </row>
    <row r="3383" spans="1:26" hidden="1" x14ac:dyDescent="0.25">
      <c r="A3383" t="s">
        <v>6836</v>
      </c>
      <c r="B3383" t="s">
        <v>38</v>
      </c>
      <c r="C3383" s="4">
        <v>42902</v>
      </c>
      <c r="D3383" s="4">
        <v>42950</v>
      </c>
      <c r="F3383" s="4">
        <v>44089</v>
      </c>
      <c r="G3383" t="s">
        <v>52</v>
      </c>
      <c r="H3383" t="s">
        <v>293</v>
      </c>
      <c r="K3383" t="s">
        <v>53</v>
      </c>
      <c r="L3383" t="s">
        <v>2531</v>
      </c>
      <c r="M3383" t="s">
        <v>54</v>
      </c>
      <c r="N3383" t="s">
        <v>31</v>
      </c>
      <c r="O3383" t="s">
        <v>32</v>
      </c>
      <c r="P3383" t="s">
        <v>6837</v>
      </c>
      <c r="Q3383">
        <v>100.05</v>
      </c>
      <c r="R3383">
        <v>100.05</v>
      </c>
      <c r="S3383" t="s">
        <v>56</v>
      </c>
      <c r="T3383" t="s">
        <v>57</v>
      </c>
      <c r="U3383" t="s">
        <v>44</v>
      </c>
      <c r="W3383">
        <v>0</v>
      </c>
      <c r="X3383">
        <v>0</v>
      </c>
      <c r="Y3383">
        <v>0</v>
      </c>
      <c r="Z3383">
        <v>0</v>
      </c>
    </row>
    <row r="3384" spans="1:26" hidden="1" x14ac:dyDescent="0.25">
      <c r="A3384" t="s">
        <v>6838</v>
      </c>
      <c r="B3384" t="s">
        <v>38</v>
      </c>
      <c r="C3384" s="4">
        <v>42902</v>
      </c>
      <c r="D3384" s="4">
        <v>43977</v>
      </c>
      <c r="E3384" s="4">
        <v>43755</v>
      </c>
      <c r="F3384" s="4">
        <v>44089</v>
      </c>
      <c r="G3384" t="s">
        <v>26</v>
      </c>
      <c r="H3384" t="s">
        <v>394</v>
      </c>
      <c r="K3384" t="s">
        <v>28</v>
      </c>
      <c r="L3384" t="s">
        <v>2531</v>
      </c>
      <c r="M3384" t="s">
        <v>30</v>
      </c>
      <c r="N3384" t="s">
        <v>31</v>
      </c>
      <c r="O3384" t="s">
        <v>32</v>
      </c>
      <c r="P3384" t="s">
        <v>6839</v>
      </c>
      <c r="Q3384">
        <v>99.9</v>
      </c>
      <c r="R3384">
        <v>99.9</v>
      </c>
      <c r="S3384" t="s">
        <v>56</v>
      </c>
      <c r="T3384" t="s">
        <v>57</v>
      </c>
      <c r="U3384" t="s">
        <v>38</v>
      </c>
      <c r="V3384" s="4">
        <v>44435</v>
      </c>
      <c r="W3384">
        <v>99.9</v>
      </c>
      <c r="X3384">
        <v>99.9</v>
      </c>
      <c r="Y3384">
        <v>99.9</v>
      </c>
      <c r="Z3384">
        <v>99.9</v>
      </c>
    </row>
    <row r="3385" spans="1:26" hidden="1" x14ac:dyDescent="0.25">
      <c r="A3385" t="s">
        <v>6840</v>
      </c>
      <c r="B3385" t="s">
        <v>38</v>
      </c>
      <c r="C3385" s="4">
        <v>42902</v>
      </c>
      <c r="D3385" s="4">
        <v>43473</v>
      </c>
      <c r="F3385" s="4">
        <v>43495</v>
      </c>
      <c r="G3385" t="s">
        <v>6476</v>
      </c>
      <c r="H3385" t="s">
        <v>743</v>
      </c>
      <c r="K3385" t="s">
        <v>67</v>
      </c>
      <c r="L3385" t="s">
        <v>2531</v>
      </c>
      <c r="M3385" t="s">
        <v>68</v>
      </c>
      <c r="N3385" t="s">
        <v>31</v>
      </c>
      <c r="O3385" t="s">
        <v>32</v>
      </c>
      <c r="P3385" t="s">
        <v>6841</v>
      </c>
      <c r="Q3385">
        <v>100</v>
      </c>
      <c r="R3385">
        <v>100</v>
      </c>
      <c r="S3385" t="s">
        <v>34</v>
      </c>
      <c r="T3385" t="s">
        <v>35</v>
      </c>
      <c r="U3385" t="s">
        <v>44</v>
      </c>
      <c r="W3385">
        <v>0</v>
      </c>
      <c r="X3385">
        <v>0</v>
      </c>
      <c r="Y3385">
        <v>0</v>
      </c>
      <c r="Z3385">
        <v>0</v>
      </c>
    </row>
    <row r="3386" spans="1:26" hidden="1" x14ac:dyDescent="0.25">
      <c r="A3386" t="s">
        <v>6842</v>
      </c>
      <c r="B3386" t="s">
        <v>38</v>
      </c>
      <c r="C3386" s="4">
        <v>42902</v>
      </c>
      <c r="D3386" s="4">
        <v>43502</v>
      </c>
      <c r="F3386" s="4">
        <v>44089</v>
      </c>
      <c r="G3386" t="s">
        <v>72</v>
      </c>
      <c r="H3386" t="s">
        <v>546</v>
      </c>
      <c r="K3386" t="s">
        <v>109</v>
      </c>
      <c r="L3386" t="s">
        <v>2531</v>
      </c>
      <c r="M3386" t="s">
        <v>42</v>
      </c>
      <c r="N3386" t="s">
        <v>31</v>
      </c>
      <c r="O3386" t="s">
        <v>32</v>
      </c>
      <c r="P3386" t="s">
        <v>6843</v>
      </c>
      <c r="Q3386">
        <v>50</v>
      </c>
      <c r="R3386">
        <v>50</v>
      </c>
      <c r="S3386" t="s">
        <v>34</v>
      </c>
      <c r="T3386" t="s">
        <v>35</v>
      </c>
      <c r="U3386" t="s">
        <v>44</v>
      </c>
      <c r="W3386">
        <v>0</v>
      </c>
      <c r="X3386">
        <v>0</v>
      </c>
      <c r="Y3386">
        <v>0</v>
      </c>
      <c r="Z3386">
        <v>0</v>
      </c>
    </row>
    <row r="3387" spans="1:26" x14ac:dyDescent="0.25">
      <c r="A3387" t="s">
        <v>6844</v>
      </c>
      <c r="B3387" t="s">
        <v>38</v>
      </c>
      <c r="C3387" s="4">
        <v>42902</v>
      </c>
      <c r="D3387" s="4">
        <v>43572</v>
      </c>
      <c r="F3387" s="4">
        <v>44104</v>
      </c>
      <c r="G3387" t="s">
        <v>380</v>
      </c>
      <c r="H3387" t="s">
        <v>6854</v>
      </c>
      <c r="I3387" t="s">
        <v>7663</v>
      </c>
      <c r="K3387" t="s">
        <v>98</v>
      </c>
      <c r="L3387" t="s">
        <v>2531</v>
      </c>
      <c r="M3387" t="s">
        <v>84</v>
      </c>
      <c r="N3387" t="s">
        <v>31</v>
      </c>
      <c r="O3387" t="s">
        <v>32</v>
      </c>
      <c r="P3387" t="s">
        <v>6845</v>
      </c>
      <c r="Q3387">
        <v>245</v>
      </c>
      <c r="R3387">
        <v>245</v>
      </c>
      <c r="S3387" t="s">
        <v>34</v>
      </c>
      <c r="T3387" t="s">
        <v>35</v>
      </c>
      <c r="U3387" t="s">
        <v>44</v>
      </c>
      <c r="W3387">
        <v>150</v>
      </c>
      <c r="X3387">
        <v>150</v>
      </c>
      <c r="Y3387">
        <v>0</v>
      </c>
      <c r="Z3387">
        <v>0</v>
      </c>
    </row>
    <row r="3388" spans="1:26" hidden="1" x14ac:dyDescent="0.25">
      <c r="A3388" t="s">
        <v>6846</v>
      </c>
      <c r="B3388" t="s">
        <v>38</v>
      </c>
      <c r="C3388" s="4">
        <v>42902</v>
      </c>
      <c r="D3388" s="4">
        <v>43473</v>
      </c>
      <c r="F3388" s="4">
        <v>44089</v>
      </c>
      <c r="G3388" t="s">
        <v>26</v>
      </c>
      <c r="H3388" t="s">
        <v>410</v>
      </c>
      <c r="K3388" t="s">
        <v>28</v>
      </c>
      <c r="L3388" t="s">
        <v>2531</v>
      </c>
      <c r="M3388" t="s">
        <v>30</v>
      </c>
      <c r="N3388" t="s">
        <v>31</v>
      </c>
      <c r="O3388" t="s">
        <v>32</v>
      </c>
      <c r="P3388" t="s">
        <v>6847</v>
      </c>
      <c r="Q3388">
        <v>99.9</v>
      </c>
      <c r="R3388">
        <v>99.9</v>
      </c>
      <c r="S3388" t="s">
        <v>56</v>
      </c>
      <c r="T3388" t="s">
        <v>57</v>
      </c>
      <c r="U3388" t="s">
        <v>44</v>
      </c>
      <c r="W3388">
        <v>0</v>
      </c>
      <c r="X3388">
        <v>0</v>
      </c>
      <c r="Y3388">
        <v>0</v>
      </c>
      <c r="Z3388">
        <v>0</v>
      </c>
    </row>
    <row r="3389" spans="1:26" hidden="1" x14ac:dyDescent="0.25">
      <c r="A3389" t="s">
        <v>6848</v>
      </c>
      <c r="B3389" t="s">
        <v>25</v>
      </c>
      <c r="C3389" s="4">
        <v>42902</v>
      </c>
      <c r="E3389" s="4">
        <v>43816</v>
      </c>
      <c r="F3389" s="4">
        <v>44075</v>
      </c>
      <c r="G3389" t="s">
        <v>117</v>
      </c>
      <c r="H3389" t="s">
        <v>121</v>
      </c>
      <c r="K3389" t="s">
        <v>83</v>
      </c>
      <c r="L3389" t="s">
        <v>2531</v>
      </c>
      <c r="M3389" t="s">
        <v>84</v>
      </c>
      <c r="N3389" t="s">
        <v>31</v>
      </c>
      <c r="O3389" t="s">
        <v>32</v>
      </c>
      <c r="P3389" t="s">
        <v>123</v>
      </c>
      <c r="Q3389">
        <v>100</v>
      </c>
      <c r="R3389">
        <v>100</v>
      </c>
      <c r="S3389" t="s">
        <v>56</v>
      </c>
      <c r="T3389" t="s">
        <v>57</v>
      </c>
      <c r="U3389" t="s">
        <v>36</v>
      </c>
      <c r="V3389" s="4">
        <v>44344</v>
      </c>
      <c r="W3389">
        <v>100</v>
      </c>
      <c r="X3389">
        <v>100</v>
      </c>
      <c r="Y3389">
        <v>100</v>
      </c>
      <c r="Z3389">
        <v>100</v>
      </c>
    </row>
    <row r="3390" spans="1:26" x14ac:dyDescent="0.25">
      <c r="A3390" t="s">
        <v>6849</v>
      </c>
      <c r="B3390" t="s">
        <v>38</v>
      </c>
      <c r="C3390" s="4">
        <v>42902</v>
      </c>
      <c r="D3390" s="4">
        <v>43473</v>
      </c>
      <c r="F3390" s="4">
        <v>44104</v>
      </c>
      <c r="G3390" t="s">
        <v>380</v>
      </c>
      <c r="H3390" t="s">
        <v>1011</v>
      </c>
      <c r="I3390" t="s">
        <v>605</v>
      </c>
      <c r="J3390" t="s">
        <v>7664</v>
      </c>
      <c r="K3390" t="s">
        <v>98</v>
      </c>
      <c r="L3390" t="s">
        <v>2531</v>
      </c>
      <c r="M3390" t="s">
        <v>84</v>
      </c>
      <c r="N3390" t="s">
        <v>31</v>
      </c>
      <c r="O3390" t="s">
        <v>32</v>
      </c>
      <c r="P3390" t="s">
        <v>6850</v>
      </c>
      <c r="Q3390">
        <v>300</v>
      </c>
      <c r="R3390">
        <v>300</v>
      </c>
      <c r="S3390" t="s">
        <v>56</v>
      </c>
      <c r="T3390" t="s">
        <v>57</v>
      </c>
      <c r="U3390" t="s">
        <v>44</v>
      </c>
      <c r="W3390">
        <v>0</v>
      </c>
      <c r="X3390">
        <v>0</v>
      </c>
      <c r="Y3390">
        <v>0</v>
      </c>
      <c r="Z3390">
        <v>0</v>
      </c>
    </row>
    <row r="3391" spans="1:26" hidden="1" x14ac:dyDescent="0.25">
      <c r="A3391" t="s">
        <v>6851</v>
      </c>
      <c r="B3391" t="s">
        <v>38</v>
      </c>
      <c r="C3391" s="4">
        <v>42902</v>
      </c>
      <c r="D3391" s="4">
        <v>43138</v>
      </c>
      <c r="F3391" s="4">
        <v>44044</v>
      </c>
      <c r="G3391" t="s">
        <v>380</v>
      </c>
      <c r="H3391" t="s">
        <v>605</v>
      </c>
      <c r="K3391" t="s">
        <v>98</v>
      </c>
      <c r="L3391" t="s">
        <v>2531</v>
      </c>
      <c r="M3391" t="s">
        <v>84</v>
      </c>
      <c r="N3391" t="s">
        <v>31</v>
      </c>
      <c r="O3391" t="s">
        <v>32</v>
      </c>
      <c r="P3391" t="s">
        <v>6852</v>
      </c>
      <c r="Q3391">
        <v>151.80000000000001</v>
      </c>
      <c r="R3391">
        <v>151.80000000000001</v>
      </c>
      <c r="S3391" t="s">
        <v>56</v>
      </c>
      <c r="T3391" t="s">
        <v>57</v>
      </c>
      <c r="U3391" t="s">
        <v>44</v>
      </c>
      <c r="W3391">
        <v>0</v>
      </c>
      <c r="X3391">
        <v>0</v>
      </c>
      <c r="Y3391">
        <v>0</v>
      </c>
      <c r="Z3391">
        <v>0</v>
      </c>
    </row>
    <row r="3392" spans="1:26" hidden="1" x14ac:dyDescent="0.25">
      <c r="A3392" t="s">
        <v>6853</v>
      </c>
      <c r="B3392" t="s">
        <v>25</v>
      </c>
      <c r="C3392" s="4">
        <v>42902</v>
      </c>
      <c r="E3392" s="4">
        <v>43977</v>
      </c>
      <c r="F3392" s="4">
        <v>44104</v>
      </c>
      <c r="G3392" t="s">
        <v>380</v>
      </c>
      <c r="H3392" t="s">
        <v>6854</v>
      </c>
      <c r="K3392" t="s">
        <v>98</v>
      </c>
      <c r="L3392" t="s">
        <v>2531</v>
      </c>
      <c r="M3392" t="s">
        <v>84</v>
      </c>
      <c r="N3392" t="s">
        <v>31</v>
      </c>
      <c r="O3392" t="s">
        <v>32</v>
      </c>
      <c r="P3392" t="s">
        <v>6855</v>
      </c>
      <c r="Q3392">
        <v>250</v>
      </c>
      <c r="R3392">
        <v>250</v>
      </c>
      <c r="S3392" t="s">
        <v>34</v>
      </c>
      <c r="T3392" t="s">
        <v>35</v>
      </c>
      <c r="U3392" t="s">
        <v>70</v>
      </c>
      <c r="V3392" s="4">
        <v>44805</v>
      </c>
      <c r="W3392">
        <v>250</v>
      </c>
      <c r="X3392">
        <v>250</v>
      </c>
      <c r="Y3392">
        <v>250</v>
      </c>
      <c r="Z3392">
        <v>250</v>
      </c>
    </row>
    <row r="3393" spans="1:26" hidden="1" x14ac:dyDescent="0.25">
      <c r="A3393" t="s">
        <v>6856</v>
      </c>
      <c r="B3393" t="s">
        <v>25</v>
      </c>
      <c r="C3393" s="4">
        <v>42902</v>
      </c>
      <c r="E3393" s="4">
        <v>43895</v>
      </c>
      <c r="F3393" s="4">
        <v>43983</v>
      </c>
      <c r="G3393" t="s">
        <v>6476</v>
      </c>
      <c r="H3393" t="s">
        <v>965</v>
      </c>
      <c r="K3393" t="s">
        <v>114</v>
      </c>
      <c r="L3393" t="s">
        <v>2531</v>
      </c>
      <c r="M3393" t="s">
        <v>68</v>
      </c>
      <c r="N3393" t="s">
        <v>31</v>
      </c>
      <c r="O3393" t="s">
        <v>32</v>
      </c>
      <c r="P3393" t="s">
        <v>6857</v>
      </c>
      <c r="Q3393">
        <v>100</v>
      </c>
      <c r="R3393">
        <v>100</v>
      </c>
      <c r="S3393" t="s">
        <v>34</v>
      </c>
      <c r="T3393" t="s">
        <v>35</v>
      </c>
      <c r="U3393" t="s">
        <v>36</v>
      </c>
      <c r="V3393" s="4">
        <v>44515</v>
      </c>
      <c r="W3393">
        <v>100</v>
      </c>
      <c r="X3393">
        <v>100</v>
      </c>
      <c r="Y3393">
        <v>100</v>
      </c>
      <c r="Z3393">
        <v>100</v>
      </c>
    </row>
    <row r="3394" spans="1:26" hidden="1" x14ac:dyDescent="0.25">
      <c r="A3394" t="s">
        <v>6858</v>
      </c>
      <c r="B3394" t="s">
        <v>25</v>
      </c>
      <c r="C3394" s="4">
        <v>42902</v>
      </c>
      <c r="E3394" s="4">
        <v>43781</v>
      </c>
      <c r="F3394" s="4">
        <v>42902</v>
      </c>
      <c r="G3394" t="s">
        <v>26</v>
      </c>
      <c r="H3394" t="s">
        <v>6859</v>
      </c>
      <c r="K3394" t="s">
        <v>28</v>
      </c>
      <c r="L3394" t="s">
        <v>2531</v>
      </c>
      <c r="M3394" t="s">
        <v>30</v>
      </c>
      <c r="N3394" t="s">
        <v>31</v>
      </c>
      <c r="O3394" t="s">
        <v>32</v>
      </c>
      <c r="P3394" t="s">
        <v>6860</v>
      </c>
      <c r="Q3394">
        <v>40</v>
      </c>
      <c r="R3394">
        <v>48</v>
      </c>
      <c r="S3394" t="s">
        <v>390</v>
      </c>
      <c r="T3394" t="s">
        <v>390</v>
      </c>
      <c r="U3394" t="s">
        <v>36</v>
      </c>
      <c r="V3394" s="4">
        <v>43766</v>
      </c>
      <c r="W3394">
        <v>48</v>
      </c>
      <c r="X3394">
        <v>48</v>
      </c>
      <c r="Y3394">
        <v>48</v>
      </c>
      <c r="Z3394">
        <v>48</v>
      </c>
    </row>
    <row r="3395" spans="1:26" hidden="1" x14ac:dyDescent="0.25">
      <c r="A3395" t="s">
        <v>6861</v>
      </c>
      <c r="B3395" t="s">
        <v>38</v>
      </c>
      <c r="C3395" s="4">
        <v>42902</v>
      </c>
      <c r="D3395" s="4">
        <v>44349</v>
      </c>
      <c r="E3395" s="4">
        <v>43994</v>
      </c>
      <c r="F3395" s="4">
        <v>43922</v>
      </c>
      <c r="G3395" t="s">
        <v>52</v>
      </c>
      <c r="H3395" t="s">
        <v>6862</v>
      </c>
      <c r="K3395" t="s">
        <v>53</v>
      </c>
      <c r="L3395" t="s">
        <v>2531</v>
      </c>
      <c r="M3395" t="s">
        <v>54</v>
      </c>
      <c r="N3395" t="s">
        <v>31</v>
      </c>
      <c r="O3395" t="s">
        <v>32</v>
      </c>
      <c r="P3395" t="s">
        <v>6863</v>
      </c>
      <c r="Q3395">
        <v>100</v>
      </c>
      <c r="R3395">
        <v>100</v>
      </c>
      <c r="S3395" t="s">
        <v>34</v>
      </c>
      <c r="T3395" t="s">
        <v>35</v>
      </c>
      <c r="U3395" t="s">
        <v>38</v>
      </c>
      <c r="V3395" s="4">
        <v>44926</v>
      </c>
      <c r="W3395">
        <v>91</v>
      </c>
      <c r="X3395">
        <v>91</v>
      </c>
      <c r="Y3395">
        <v>91</v>
      </c>
      <c r="Z3395">
        <v>91</v>
      </c>
    </row>
    <row r="3396" spans="1:26" hidden="1" x14ac:dyDescent="0.25">
      <c r="A3396" t="s">
        <v>6864</v>
      </c>
      <c r="B3396" t="s">
        <v>38</v>
      </c>
      <c r="C3396" s="4">
        <v>42902</v>
      </c>
      <c r="D3396" s="4">
        <v>44491</v>
      </c>
      <c r="E3396" s="4">
        <v>43999</v>
      </c>
      <c r="F3396" s="4">
        <v>43922</v>
      </c>
      <c r="G3396" t="s">
        <v>72</v>
      </c>
      <c r="H3396" t="s">
        <v>200</v>
      </c>
      <c r="K3396" t="s">
        <v>53</v>
      </c>
      <c r="L3396" t="s">
        <v>2531</v>
      </c>
      <c r="M3396" t="s">
        <v>54</v>
      </c>
      <c r="N3396" t="s">
        <v>31</v>
      </c>
      <c r="O3396" t="s">
        <v>32</v>
      </c>
      <c r="P3396" t="s">
        <v>6865</v>
      </c>
      <c r="Q3396">
        <v>100</v>
      </c>
      <c r="R3396">
        <v>100</v>
      </c>
      <c r="S3396" t="s">
        <v>34</v>
      </c>
      <c r="T3396" t="s">
        <v>35</v>
      </c>
      <c r="U3396" t="s">
        <v>38</v>
      </c>
      <c r="V3396" s="4">
        <v>44680</v>
      </c>
      <c r="W3396">
        <v>50</v>
      </c>
      <c r="X3396">
        <v>50</v>
      </c>
      <c r="Y3396">
        <v>50</v>
      </c>
      <c r="Z3396">
        <v>50</v>
      </c>
    </row>
    <row r="3397" spans="1:26" hidden="1" x14ac:dyDescent="0.25">
      <c r="A3397" t="s">
        <v>6866</v>
      </c>
      <c r="B3397" t="s">
        <v>25</v>
      </c>
      <c r="C3397" s="4">
        <v>42902</v>
      </c>
      <c r="E3397" s="4">
        <v>43896</v>
      </c>
      <c r="F3397" s="4">
        <v>44075</v>
      </c>
      <c r="G3397" t="s">
        <v>6476</v>
      </c>
      <c r="H3397" t="s">
        <v>6637</v>
      </c>
      <c r="K3397" t="s">
        <v>67</v>
      </c>
      <c r="L3397" t="s">
        <v>2531</v>
      </c>
      <c r="M3397" t="s">
        <v>68</v>
      </c>
      <c r="N3397" t="s">
        <v>31</v>
      </c>
      <c r="O3397" t="s">
        <v>32</v>
      </c>
      <c r="P3397" t="s">
        <v>6638</v>
      </c>
      <c r="Q3397">
        <v>100</v>
      </c>
      <c r="R3397">
        <v>100</v>
      </c>
      <c r="S3397" t="s">
        <v>34</v>
      </c>
      <c r="T3397" t="s">
        <v>35</v>
      </c>
      <c r="U3397" t="s">
        <v>36</v>
      </c>
      <c r="V3397" s="4">
        <v>44515</v>
      </c>
      <c r="W3397">
        <v>100</v>
      </c>
      <c r="X3397">
        <v>100</v>
      </c>
      <c r="Y3397">
        <v>100</v>
      </c>
      <c r="Z3397">
        <v>100</v>
      </c>
    </row>
    <row r="3398" spans="1:26" hidden="1" x14ac:dyDescent="0.25">
      <c r="A3398" t="s">
        <v>6867</v>
      </c>
      <c r="B3398" t="s">
        <v>38</v>
      </c>
      <c r="C3398" s="4">
        <v>42902</v>
      </c>
      <c r="D3398" s="4">
        <v>43572</v>
      </c>
      <c r="F3398" s="4">
        <v>44013</v>
      </c>
      <c r="G3398" t="s">
        <v>117</v>
      </c>
      <c r="H3398" t="s">
        <v>818</v>
      </c>
      <c r="K3398" t="s">
        <v>83</v>
      </c>
      <c r="L3398" t="s">
        <v>2531</v>
      </c>
      <c r="M3398" t="s">
        <v>84</v>
      </c>
      <c r="N3398" t="s">
        <v>31</v>
      </c>
      <c r="O3398" t="s">
        <v>32</v>
      </c>
      <c r="P3398" t="s">
        <v>6868</v>
      </c>
      <c r="Q3398">
        <v>200</v>
      </c>
      <c r="R3398">
        <v>200</v>
      </c>
      <c r="S3398" t="s">
        <v>56</v>
      </c>
      <c r="T3398" t="s">
        <v>57</v>
      </c>
      <c r="U3398" t="s">
        <v>44</v>
      </c>
      <c r="W3398">
        <v>200</v>
      </c>
      <c r="X3398">
        <v>200</v>
      </c>
      <c r="Y3398">
        <v>0</v>
      </c>
      <c r="Z3398">
        <v>0</v>
      </c>
    </row>
    <row r="3399" spans="1:26" hidden="1" x14ac:dyDescent="0.25">
      <c r="A3399" t="s">
        <v>6869</v>
      </c>
      <c r="B3399" t="s">
        <v>25</v>
      </c>
      <c r="C3399" s="4">
        <v>42902</v>
      </c>
      <c r="E3399" s="4">
        <v>44335</v>
      </c>
      <c r="F3399" s="4">
        <v>44501</v>
      </c>
      <c r="G3399" t="s">
        <v>72</v>
      </c>
      <c r="H3399" t="s">
        <v>6870</v>
      </c>
      <c r="K3399" t="s">
        <v>209</v>
      </c>
      <c r="L3399" t="s">
        <v>2531</v>
      </c>
      <c r="M3399" t="s">
        <v>42</v>
      </c>
      <c r="N3399" t="s">
        <v>31</v>
      </c>
      <c r="O3399" t="s">
        <v>122</v>
      </c>
      <c r="P3399" t="s">
        <v>6871</v>
      </c>
      <c r="Q3399">
        <v>200</v>
      </c>
      <c r="R3399">
        <v>200</v>
      </c>
      <c r="S3399" t="s">
        <v>56</v>
      </c>
      <c r="T3399" t="s">
        <v>57</v>
      </c>
      <c r="U3399" t="s">
        <v>36</v>
      </c>
      <c r="V3399" s="4">
        <v>44834</v>
      </c>
      <c r="W3399">
        <v>200</v>
      </c>
      <c r="X3399">
        <v>0</v>
      </c>
      <c r="Y3399">
        <v>200</v>
      </c>
      <c r="Z3399">
        <v>0</v>
      </c>
    </row>
    <row r="3400" spans="1:26" hidden="1" x14ac:dyDescent="0.25">
      <c r="A3400" t="s">
        <v>6872</v>
      </c>
      <c r="B3400" t="s">
        <v>25</v>
      </c>
      <c r="C3400" s="4">
        <v>42902</v>
      </c>
      <c r="E3400" s="4">
        <v>43759</v>
      </c>
      <c r="F3400" s="4">
        <v>44044</v>
      </c>
      <c r="G3400" t="s">
        <v>254</v>
      </c>
      <c r="H3400" t="s">
        <v>429</v>
      </c>
      <c r="K3400" t="s">
        <v>98</v>
      </c>
      <c r="L3400" t="s">
        <v>2531</v>
      </c>
      <c r="M3400" t="s">
        <v>84</v>
      </c>
      <c r="N3400" t="s">
        <v>31</v>
      </c>
      <c r="O3400" t="s">
        <v>32</v>
      </c>
      <c r="P3400" t="s">
        <v>259</v>
      </c>
      <c r="Q3400">
        <v>200.1</v>
      </c>
      <c r="R3400">
        <v>200.1</v>
      </c>
      <c r="S3400" t="s">
        <v>56</v>
      </c>
      <c r="T3400" t="s">
        <v>57</v>
      </c>
      <c r="U3400" t="s">
        <v>36</v>
      </c>
      <c r="V3400" s="4">
        <v>44423</v>
      </c>
      <c r="W3400">
        <v>200.1</v>
      </c>
      <c r="X3400">
        <v>80</v>
      </c>
      <c r="Y3400">
        <v>200.1</v>
      </c>
      <c r="Z3400">
        <v>80</v>
      </c>
    </row>
    <row r="3401" spans="1:26" hidden="1" x14ac:dyDescent="0.25">
      <c r="A3401" t="s">
        <v>6873</v>
      </c>
      <c r="B3401" t="s">
        <v>25</v>
      </c>
      <c r="C3401" s="4">
        <v>42902</v>
      </c>
      <c r="E3401" s="4">
        <v>43759</v>
      </c>
      <c r="F3401" s="4">
        <v>44044</v>
      </c>
      <c r="G3401" t="s">
        <v>254</v>
      </c>
      <c r="H3401" t="s">
        <v>429</v>
      </c>
      <c r="K3401" t="s">
        <v>98</v>
      </c>
      <c r="L3401" t="s">
        <v>2531</v>
      </c>
      <c r="M3401" t="s">
        <v>84</v>
      </c>
      <c r="N3401" t="s">
        <v>31</v>
      </c>
      <c r="O3401" t="s">
        <v>32</v>
      </c>
      <c r="P3401" t="s">
        <v>259</v>
      </c>
      <c r="Q3401">
        <v>200.1</v>
      </c>
      <c r="R3401">
        <v>200.1</v>
      </c>
      <c r="S3401" t="s">
        <v>56</v>
      </c>
      <c r="T3401" t="s">
        <v>57</v>
      </c>
      <c r="U3401" t="s">
        <v>36</v>
      </c>
      <c r="V3401" s="4">
        <v>44423</v>
      </c>
      <c r="W3401">
        <v>100</v>
      </c>
      <c r="X3401">
        <v>40</v>
      </c>
      <c r="Y3401">
        <v>100</v>
      </c>
      <c r="Z3401">
        <v>40</v>
      </c>
    </row>
    <row r="3402" spans="1:26" hidden="1" x14ac:dyDescent="0.25">
      <c r="A3402" t="s">
        <v>6874</v>
      </c>
      <c r="B3402" t="s">
        <v>38</v>
      </c>
      <c r="C3402" s="4">
        <v>42902</v>
      </c>
      <c r="D3402" s="4">
        <v>43978</v>
      </c>
      <c r="F3402" s="4">
        <v>43922</v>
      </c>
      <c r="G3402" t="s">
        <v>72</v>
      </c>
      <c r="H3402" t="s">
        <v>6875</v>
      </c>
      <c r="K3402" t="s">
        <v>53</v>
      </c>
      <c r="L3402" t="s">
        <v>2531</v>
      </c>
      <c r="M3402" t="s">
        <v>54</v>
      </c>
      <c r="N3402" t="s">
        <v>31</v>
      </c>
      <c r="O3402" t="s">
        <v>32</v>
      </c>
      <c r="P3402" t="s">
        <v>6876</v>
      </c>
      <c r="Q3402">
        <v>100</v>
      </c>
      <c r="R3402">
        <v>100</v>
      </c>
      <c r="S3402" t="s">
        <v>34</v>
      </c>
      <c r="T3402" t="s">
        <v>35</v>
      </c>
      <c r="U3402" t="s">
        <v>38</v>
      </c>
      <c r="V3402" s="4">
        <v>45016</v>
      </c>
      <c r="W3402">
        <v>58</v>
      </c>
      <c r="X3402">
        <v>58</v>
      </c>
      <c r="Y3402">
        <v>58</v>
      </c>
      <c r="Z3402">
        <v>58</v>
      </c>
    </row>
    <row r="3403" spans="1:26" hidden="1" x14ac:dyDescent="0.25">
      <c r="A3403" t="s">
        <v>6877</v>
      </c>
      <c r="B3403" t="s">
        <v>38</v>
      </c>
      <c r="C3403" s="4">
        <v>42902</v>
      </c>
      <c r="D3403" s="4">
        <v>44225</v>
      </c>
      <c r="F3403" s="4">
        <v>44378</v>
      </c>
      <c r="G3403" t="s">
        <v>128</v>
      </c>
      <c r="H3403" t="s">
        <v>6878</v>
      </c>
      <c r="K3403" t="s">
        <v>209</v>
      </c>
      <c r="L3403" t="s">
        <v>2531</v>
      </c>
      <c r="M3403" t="s">
        <v>42</v>
      </c>
      <c r="N3403" t="s">
        <v>31</v>
      </c>
      <c r="O3403" t="s">
        <v>32</v>
      </c>
      <c r="P3403" t="s">
        <v>6879</v>
      </c>
      <c r="Q3403">
        <v>150</v>
      </c>
      <c r="R3403">
        <v>150</v>
      </c>
      <c r="S3403" t="s">
        <v>56</v>
      </c>
      <c r="T3403" t="s">
        <v>57</v>
      </c>
      <c r="U3403" t="s">
        <v>44</v>
      </c>
      <c r="W3403">
        <v>150</v>
      </c>
      <c r="X3403">
        <v>150</v>
      </c>
      <c r="Y3403">
        <v>0</v>
      </c>
      <c r="Z3403">
        <v>0</v>
      </c>
    </row>
    <row r="3404" spans="1:26" hidden="1" x14ac:dyDescent="0.25">
      <c r="A3404" t="s">
        <v>6880</v>
      </c>
      <c r="B3404" t="s">
        <v>38</v>
      </c>
      <c r="C3404" s="4">
        <v>42902</v>
      </c>
      <c r="D3404" s="4">
        <v>43854</v>
      </c>
      <c r="F3404" s="4">
        <v>43922</v>
      </c>
      <c r="G3404" t="s">
        <v>52</v>
      </c>
      <c r="H3404" t="s">
        <v>1036</v>
      </c>
      <c r="K3404" t="s">
        <v>53</v>
      </c>
      <c r="L3404" t="s">
        <v>2531</v>
      </c>
      <c r="M3404" t="s">
        <v>54</v>
      </c>
      <c r="N3404" t="s">
        <v>31</v>
      </c>
      <c r="O3404" t="s">
        <v>32</v>
      </c>
      <c r="P3404" t="s">
        <v>6881</v>
      </c>
      <c r="Q3404">
        <v>702</v>
      </c>
      <c r="R3404">
        <v>725</v>
      </c>
      <c r="S3404" t="s">
        <v>390</v>
      </c>
      <c r="T3404" t="s">
        <v>390</v>
      </c>
      <c r="U3404" t="s">
        <v>44</v>
      </c>
      <c r="W3404">
        <v>725</v>
      </c>
      <c r="X3404">
        <v>725</v>
      </c>
      <c r="Y3404">
        <v>725</v>
      </c>
      <c r="Z3404">
        <v>702</v>
      </c>
    </row>
    <row r="3405" spans="1:26" hidden="1" x14ac:dyDescent="0.25">
      <c r="A3405" t="s">
        <v>6882</v>
      </c>
      <c r="B3405" t="s">
        <v>38</v>
      </c>
      <c r="C3405" s="4">
        <v>42902</v>
      </c>
      <c r="D3405" s="4">
        <v>43871</v>
      </c>
      <c r="F3405" s="4">
        <v>44013</v>
      </c>
      <c r="G3405" t="s">
        <v>96</v>
      </c>
      <c r="H3405" t="s">
        <v>97</v>
      </c>
      <c r="K3405" t="s">
        <v>98</v>
      </c>
      <c r="L3405" t="s">
        <v>2531</v>
      </c>
      <c r="M3405" t="s">
        <v>84</v>
      </c>
      <c r="N3405" t="s">
        <v>31</v>
      </c>
      <c r="O3405" t="s">
        <v>32</v>
      </c>
      <c r="P3405" t="s">
        <v>6883</v>
      </c>
      <c r="Q3405">
        <v>200</v>
      </c>
      <c r="R3405">
        <v>200</v>
      </c>
      <c r="S3405" t="s">
        <v>56</v>
      </c>
      <c r="T3405" t="s">
        <v>57</v>
      </c>
      <c r="U3405" t="s">
        <v>44</v>
      </c>
      <c r="V3405" s="4">
        <v>44818</v>
      </c>
      <c r="W3405">
        <v>200</v>
      </c>
      <c r="X3405">
        <v>200</v>
      </c>
      <c r="Y3405">
        <v>200</v>
      </c>
      <c r="Z3405">
        <v>200</v>
      </c>
    </row>
    <row r="3406" spans="1:26" hidden="1" x14ac:dyDescent="0.25">
      <c r="A3406" t="s">
        <v>6884</v>
      </c>
      <c r="B3406" t="s">
        <v>38</v>
      </c>
      <c r="C3406" s="4">
        <v>42902</v>
      </c>
      <c r="D3406" s="4">
        <v>43871</v>
      </c>
      <c r="F3406" s="4">
        <v>44013</v>
      </c>
      <c r="G3406" t="s">
        <v>380</v>
      </c>
      <c r="H3406" t="s">
        <v>97</v>
      </c>
      <c r="K3406" t="s">
        <v>98</v>
      </c>
      <c r="L3406" t="s">
        <v>2531</v>
      </c>
      <c r="M3406" t="s">
        <v>84</v>
      </c>
      <c r="N3406" t="s">
        <v>31</v>
      </c>
      <c r="O3406" t="s">
        <v>32</v>
      </c>
      <c r="P3406" t="s">
        <v>832</v>
      </c>
      <c r="Q3406">
        <v>200</v>
      </c>
      <c r="R3406">
        <v>200</v>
      </c>
      <c r="S3406" t="s">
        <v>56</v>
      </c>
      <c r="T3406" t="s">
        <v>57</v>
      </c>
      <c r="U3406" t="s">
        <v>44</v>
      </c>
      <c r="V3406" s="4">
        <v>44440</v>
      </c>
      <c r="W3406">
        <v>200</v>
      </c>
      <c r="X3406">
        <v>200</v>
      </c>
      <c r="Y3406">
        <v>200</v>
      </c>
      <c r="Z3406">
        <v>200</v>
      </c>
    </row>
    <row r="3407" spans="1:26" hidden="1" x14ac:dyDescent="0.25">
      <c r="A3407" t="s">
        <v>6885</v>
      </c>
      <c r="B3407" t="s">
        <v>25</v>
      </c>
      <c r="C3407" s="4">
        <v>42902</v>
      </c>
      <c r="E3407" s="4">
        <v>43809</v>
      </c>
      <c r="F3407" s="4">
        <v>44075</v>
      </c>
      <c r="G3407" t="s">
        <v>132</v>
      </c>
      <c r="H3407" t="s">
        <v>133</v>
      </c>
      <c r="K3407" t="s">
        <v>83</v>
      </c>
      <c r="L3407" t="s">
        <v>2531</v>
      </c>
      <c r="M3407" t="s">
        <v>84</v>
      </c>
      <c r="N3407" t="s">
        <v>31</v>
      </c>
      <c r="O3407" t="s">
        <v>122</v>
      </c>
      <c r="P3407" t="s">
        <v>6886</v>
      </c>
      <c r="Q3407">
        <v>300</v>
      </c>
      <c r="R3407">
        <v>300</v>
      </c>
      <c r="S3407" t="s">
        <v>56</v>
      </c>
      <c r="T3407" t="s">
        <v>57</v>
      </c>
      <c r="U3407" t="s">
        <v>70</v>
      </c>
      <c r="V3407" s="4">
        <v>44344</v>
      </c>
      <c r="W3407">
        <v>147</v>
      </c>
      <c r="X3407">
        <v>0</v>
      </c>
      <c r="Y3407">
        <v>147</v>
      </c>
      <c r="Z3407">
        <v>0</v>
      </c>
    </row>
    <row r="3408" spans="1:26" hidden="1" x14ac:dyDescent="0.25">
      <c r="A3408" t="s">
        <v>6887</v>
      </c>
      <c r="B3408" t="s">
        <v>25</v>
      </c>
      <c r="C3408" s="4">
        <v>42902</v>
      </c>
      <c r="E3408" s="4">
        <v>43805</v>
      </c>
      <c r="F3408" s="4">
        <v>44075</v>
      </c>
      <c r="G3408" t="s">
        <v>117</v>
      </c>
      <c r="H3408" t="s">
        <v>6709</v>
      </c>
      <c r="K3408" t="s">
        <v>83</v>
      </c>
      <c r="L3408" t="s">
        <v>2531</v>
      </c>
      <c r="M3408" t="s">
        <v>84</v>
      </c>
      <c r="N3408" t="s">
        <v>31</v>
      </c>
      <c r="O3408" t="s">
        <v>32</v>
      </c>
      <c r="P3408" t="s">
        <v>6888</v>
      </c>
      <c r="Q3408">
        <v>120</v>
      </c>
      <c r="R3408">
        <v>120</v>
      </c>
      <c r="S3408" t="s">
        <v>56</v>
      </c>
      <c r="T3408" t="s">
        <v>57</v>
      </c>
      <c r="U3408" t="s">
        <v>36</v>
      </c>
      <c r="V3408" s="4">
        <v>44348</v>
      </c>
      <c r="W3408">
        <v>120</v>
      </c>
      <c r="X3408">
        <v>52</v>
      </c>
      <c r="Y3408">
        <v>120</v>
      </c>
      <c r="Z3408">
        <v>52</v>
      </c>
    </row>
    <row r="3409" spans="1:26" hidden="1" x14ac:dyDescent="0.25">
      <c r="A3409" t="s">
        <v>6889</v>
      </c>
      <c r="B3409" t="s">
        <v>38</v>
      </c>
      <c r="C3409" s="4">
        <v>42902</v>
      </c>
      <c r="D3409" s="4">
        <v>43474</v>
      </c>
      <c r="F3409" s="4">
        <v>43922</v>
      </c>
      <c r="G3409" t="s">
        <v>52</v>
      </c>
      <c r="H3409" t="s">
        <v>6890</v>
      </c>
      <c r="K3409" t="s">
        <v>53</v>
      </c>
      <c r="L3409" t="s">
        <v>2531</v>
      </c>
      <c r="M3409" t="s">
        <v>54</v>
      </c>
      <c r="N3409" t="s">
        <v>31</v>
      </c>
      <c r="O3409" t="s">
        <v>32</v>
      </c>
      <c r="P3409" t="s">
        <v>6891</v>
      </c>
      <c r="Q3409">
        <v>140</v>
      </c>
      <c r="R3409">
        <v>140</v>
      </c>
      <c r="S3409" t="s">
        <v>34</v>
      </c>
      <c r="T3409" t="s">
        <v>35</v>
      </c>
      <c r="U3409" t="s">
        <v>44</v>
      </c>
      <c r="W3409">
        <v>0</v>
      </c>
      <c r="X3409">
        <v>0</v>
      </c>
      <c r="Y3409">
        <v>0</v>
      </c>
      <c r="Z3409">
        <v>0</v>
      </c>
    </row>
    <row r="3410" spans="1:26" hidden="1" x14ac:dyDescent="0.25">
      <c r="A3410" t="s">
        <v>6892</v>
      </c>
      <c r="B3410" t="s">
        <v>25</v>
      </c>
      <c r="C3410" s="4">
        <v>42902</v>
      </c>
      <c r="E3410" s="4">
        <v>43725</v>
      </c>
      <c r="F3410" s="4">
        <v>43922</v>
      </c>
      <c r="G3410" t="s">
        <v>254</v>
      </c>
      <c r="H3410" t="s">
        <v>113</v>
      </c>
      <c r="K3410" t="s">
        <v>98</v>
      </c>
      <c r="L3410" t="s">
        <v>2531</v>
      </c>
      <c r="M3410" t="s">
        <v>84</v>
      </c>
      <c r="N3410" t="s">
        <v>31</v>
      </c>
      <c r="O3410" t="s">
        <v>32</v>
      </c>
      <c r="P3410" t="s">
        <v>6893</v>
      </c>
      <c r="Q3410">
        <v>90</v>
      </c>
      <c r="R3410">
        <v>90</v>
      </c>
      <c r="S3410" t="s">
        <v>34</v>
      </c>
      <c r="T3410" t="s">
        <v>35</v>
      </c>
      <c r="U3410" t="s">
        <v>70</v>
      </c>
      <c r="V3410" s="4">
        <v>44287</v>
      </c>
      <c r="W3410">
        <v>90</v>
      </c>
      <c r="X3410">
        <v>90</v>
      </c>
      <c r="Y3410">
        <v>90</v>
      </c>
      <c r="Z3410">
        <v>90</v>
      </c>
    </row>
    <row r="3411" spans="1:26" hidden="1" x14ac:dyDescent="0.25">
      <c r="A3411" t="s">
        <v>6894</v>
      </c>
      <c r="B3411" t="s">
        <v>38</v>
      </c>
      <c r="C3411" s="4">
        <v>42902</v>
      </c>
      <c r="D3411" s="4">
        <v>46042</v>
      </c>
      <c r="E3411" s="4">
        <v>43938</v>
      </c>
      <c r="F3411" s="4">
        <v>44104</v>
      </c>
      <c r="G3411" t="s">
        <v>132</v>
      </c>
      <c r="H3411" t="s">
        <v>6828</v>
      </c>
      <c r="K3411" t="s">
        <v>83</v>
      </c>
      <c r="L3411" t="s">
        <v>2531</v>
      </c>
      <c r="M3411" t="s">
        <v>84</v>
      </c>
      <c r="N3411" t="s">
        <v>31</v>
      </c>
      <c r="O3411" t="s">
        <v>32</v>
      </c>
      <c r="P3411" t="s">
        <v>6895</v>
      </c>
      <c r="Q3411">
        <v>250</v>
      </c>
      <c r="R3411">
        <v>250</v>
      </c>
      <c r="S3411" t="s">
        <v>56</v>
      </c>
      <c r="T3411" t="s">
        <v>57</v>
      </c>
      <c r="U3411" t="s">
        <v>70</v>
      </c>
      <c r="V3411" s="4">
        <v>44344</v>
      </c>
      <c r="W3411">
        <v>250</v>
      </c>
      <c r="X3411">
        <v>250</v>
      </c>
      <c r="Y3411">
        <v>235</v>
      </c>
      <c r="Z3411">
        <v>235</v>
      </c>
    </row>
    <row r="3412" spans="1:26" hidden="1" x14ac:dyDescent="0.25">
      <c r="A3412" t="s">
        <v>6896</v>
      </c>
      <c r="B3412" t="s">
        <v>38</v>
      </c>
      <c r="C3412" s="4">
        <v>42902</v>
      </c>
      <c r="D3412" s="4">
        <v>44670</v>
      </c>
      <c r="E3412" s="4">
        <v>43642</v>
      </c>
      <c r="F3412" s="4">
        <v>43922</v>
      </c>
      <c r="G3412" t="s">
        <v>26</v>
      </c>
      <c r="H3412" t="s">
        <v>555</v>
      </c>
      <c r="K3412" t="s">
        <v>53</v>
      </c>
      <c r="L3412" t="s">
        <v>2531</v>
      </c>
      <c r="M3412" t="s">
        <v>54</v>
      </c>
      <c r="N3412" t="s">
        <v>31</v>
      </c>
      <c r="O3412" t="s">
        <v>32</v>
      </c>
      <c r="P3412" t="s">
        <v>6897</v>
      </c>
      <c r="Q3412">
        <v>125</v>
      </c>
      <c r="R3412">
        <v>125</v>
      </c>
      <c r="S3412" t="s">
        <v>34</v>
      </c>
      <c r="T3412" t="s">
        <v>35</v>
      </c>
      <c r="U3412" t="s">
        <v>38</v>
      </c>
      <c r="V3412" s="4">
        <v>44652</v>
      </c>
      <c r="W3412">
        <v>125</v>
      </c>
      <c r="X3412">
        <v>125</v>
      </c>
      <c r="Y3412">
        <v>125</v>
      </c>
      <c r="Z3412">
        <v>125</v>
      </c>
    </row>
    <row r="3413" spans="1:26" hidden="1" x14ac:dyDescent="0.25">
      <c r="A3413" t="s">
        <v>6898</v>
      </c>
      <c r="B3413" t="s">
        <v>25</v>
      </c>
      <c r="C3413" s="4">
        <v>42902</v>
      </c>
      <c r="E3413" s="4">
        <v>43945</v>
      </c>
      <c r="F3413" s="4">
        <v>44469</v>
      </c>
      <c r="G3413" t="s">
        <v>26</v>
      </c>
      <c r="H3413" t="s">
        <v>416</v>
      </c>
      <c r="K3413" t="s">
        <v>28</v>
      </c>
      <c r="L3413" t="s">
        <v>2531</v>
      </c>
      <c r="M3413" t="s">
        <v>30</v>
      </c>
      <c r="N3413" t="s">
        <v>31</v>
      </c>
      <c r="O3413" t="s">
        <v>32</v>
      </c>
      <c r="P3413" t="s">
        <v>6899</v>
      </c>
      <c r="Q3413">
        <v>250</v>
      </c>
      <c r="R3413">
        <v>250</v>
      </c>
      <c r="S3413" t="s">
        <v>34</v>
      </c>
      <c r="T3413" t="s">
        <v>35</v>
      </c>
      <c r="U3413" t="s">
        <v>36</v>
      </c>
      <c r="V3413" s="4">
        <v>44828</v>
      </c>
      <c r="W3413">
        <v>250</v>
      </c>
      <c r="X3413">
        <v>250</v>
      </c>
      <c r="Y3413">
        <v>250</v>
      </c>
      <c r="Z3413">
        <v>250</v>
      </c>
    </row>
    <row r="3414" spans="1:26" hidden="1" x14ac:dyDescent="0.25">
      <c r="A3414" t="s">
        <v>6900</v>
      </c>
      <c r="B3414" t="s">
        <v>38</v>
      </c>
      <c r="C3414" s="4">
        <v>42902</v>
      </c>
      <c r="D3414" s="4">
        <v>43473</v>
      </c>
      <c r="F3414" s="4">
        <v>43739</v>
      </c>
      <c r="G3414" t="s">
        <v>380</v>
      </c>
      <c r="H3414" t="s">
        <v>154</v>
      </c>
      <c r="K3414" t="s">
        <v>98</v>
      </c>
      <c r="L3414" t="s">
        <v>2531</v>
      </c>
      <c r="M3414" t="s">
        <v>84</v>
      </c>
      <c r="N3414" t="s">
        <v>31</v>
      </c>
      <c r="O3414" t="s">
        <v>32</v>
      </c>
      <c r="P3414" t="s">
        <v>6901</v>
      </c>
      <c r="Q3414">
        <v>50</v>
      </c>
      <c r="R3414">
        <v>50</v>
      </c>
      <c r="S3414" t="s">
        <v>56</v>
      </c>
      <c r="T3414" t="s">
        <v>57</v>
      </c>
      <c r="U3414" t="s">
        <v>44</v>
      </c>
      <c r="W3414">
        <v>0</v>
      </c>
      <c r="X3414">
        <v>0</v>
      </c>
      <c r="Y3414">
        <v>0</v>
      </c>
      <c r="Z3414">
        <v>0</v>
      </c>
    </row>
    <row r="3415" spans="1:26" hidden="1" x14ac:dyDescent="0.25">
      <c r="A3415" t="s">
        <v>6902</v>
      </c>
      <c r="B3415" t="s">
        <v>38</v>
      </c>
      <c r="C3415" s="4">
        <v>42902</v>
      </c>
      <c r="D3415" s="4">
        <v>43472</v>
      </c>
      <c r="F3415" s="4">
        <v>43647</v>
      </c>
      <c r="G3415" t="s">
        <v>6476</v>
      </c>
      <c r="H3415" t="s">
        <v>700</v>
      </c>
      <c r="K3415" t="s">
        <v>146</v>
      </c>
      <c r="L3415" t="s">
        <v>2531</v>
      </c>
      <c r="M3415" t="s">
        <v>68</v>
      </c>
      <c r="N3415" t="s">
        <v>31</v>
      </c>
      <c r="O3415" t="s">
        <v>32</v>
      </c>
      <c r="P3415" t="s">
        <v>6903</v>
      </c>
      <c r="Q3415">
        <v>100</v>
      </c>
      <c r="R3415">
        <v>100</v>
      </c>
      <c r="S3415" t="s">
        <v>34</v>
      </c>
      <c r="T3415" t="s">
        <v>35</v>
      </c>
      <c r="U3415" t="s">
        <v>44</v>
      </c>
      <c r="W3415">
        <v>0</v>
      </c>
      <c r="X3415">
        <v>0</v>
      </c>
      <c r="Y3415">
        <v>0</v>
      </c>
      <c r="Z3415">
        <v>0</v>
      </c>
    </row>
    <row r="3416" spans="1:26" hidden="1" x14ac:dyDescent="0.25">
      <c r="A3416" t="s">
        <v>6904</v>
      </c>
      <c r="B3416" t="s">
        <v>25</v>
      </c>
      <c r="C3416" s="4">
        <v>42902</v>
      </c>
      <c r="E3416" s="4">
        <v>43819</v>
      </c>
      <c r="F3416" s="4">
        <v>43709</v>
      </c>
      <c r="G3416" t="s">
        <v>117</v>
      </c>
      <c r="H3416" t="s">
        <v>429</v>
      </c>
      <c r="K3416" t="s">
        <v>83</v>
      </c>
      <c r="L3416" t="s">
        <v>2531</v>
      </c>
      <c r="M3416" t="s">
        <v>84</v>
      </c>
      <c r="N3416" t="s">
        <v>31</v>
      </c>
      <c r="O3416" t="s">
        <v>32</v>
      </c>
      <c r="P3416" t="s">
        <v>6905</v>
      </c>
      <c r="Q3416">
        <v>149</v>
      </c>
      <c r="R3416">
        <v>149</v>
      </c>
      <c r="S3416" t="s">
        <v>34</v>
      </c>
      <c r="T3416" t="s">
        <v>35</v>
      </c>
      <c r="U3416" t="s">
        <v>36</v>
      </c>
      <c r="V3416" s="4">
        <v>44344</v>
      </c>
      <c r="W3416">
        <v>149</v>
      </c>
      <c r="X3416">
        <v>149</v>
      </c>
      <c r="Y3416">
        <v>149</v>
      </c>
      <c r="Z3416">
        <v>149</v>
      </c>
    </row>
    <row r="3417" spans="1:26" hidden="1" x14ac:dyDescent="0.25">
      <c r="A3417" t="s">
        <v>6906</v>
      </c>
      <c r="B3417" t="s">
        <v>38</v>
      </c>
      <c r="C3417" s="4">
        <v>42902</v>
      </c>
      <c r="D3417" s="4">
        <v>42955</v>
      </c>
      <c r="F3417" s="4">
        <v>43556</v>
      </c>
      <c r="G3417" t="s">
        <v>117</v>
      </c>
      <c r="H3417" t="s">
        <v>608</v>
      </c>
      <c r="K3417" t="s">
        <v>83</v>
      </c>
      <c r="L3417" t="s">
        <v>2531</v>
      </c>
      <c r="M3417" t="s">
        <v>84</v>
      </c>
      <c r="N3417" t="s">
        <v>31</v>
      </c>
      <c r="O3417" t="s">
        <v>122</v>
      </c>
      <c r="P3417" t="s">
        <v>6907</v>
      </c>
      <c r="Q3417">
        <v>30</v>
      </c>
      <c r="R3417">
        <v>30</v>
      </c>
      <c r="S3417" t="s">
        <v>34</v>
      </c>
      <c r="T3417" t="s">
        <v>35</v>
      </c>
      <c r="U3417" t="s">
        <v>44</v>
      </c>
      <c r="W3417">
        <v>0</v>
      </c>
      <c r="X3417">
        <v>0</v>
      </c>
      <c r="Y3417">
        <v>0</v>
      </c>
      <c r="Z3417">
        <v>0</v>
      </c>
    </row>
    <row r="3418" spans="1:26" x14ac:dyDescent="0.25">
      <c r="A3418" t="s">
        <v>6908</v>
      </c>
      <c r="B3418" t="s">
        <v>25</v>
      </c>
      <c r="C3418" s="4">
        <v>42902</v>
      </c>
      <c r="E3418" s="4">
        <v>43783</v>
      </c>
      <c r="F3418" s="4">
        <v>43678</v>
      </c>
      <c r="G3418" t="s">
        <v>26</v>
      </c>
      <c r="H3418" t="s">
        <v>27</v>
      </c>
      <c r="I3418" t="s">
        <v>1238</v>
      </c>
      <c r="K3418" t="s">
        <v>28</v>
      </c>
      <c r="L3418" t="s">
        <v>2531</v>
      </c>
      <c r="M3418" t="s">
        <v>30</v>
      </c>
      <c r="N3418" t="s">
        <v>31</v>
      </c>
      <c r="O3418" t="s">
        <v>32</v>
      </c>
      <c r="P3418" t="s">
        <v>6909</v>
      </c>
      <c r="Q3418">
        <v>100</v>
      </c>
      <c r="R3418">
        <v>100</v>
      </c>
      <c r="S3418" t="s">
        <v>56</v>
      </c>
      <c r="T3418" t="s">
        <v>57</v>
      </c>
      <c r="U3418" t="s">
        <v>70</v>
      </c>
      <c r="V3418" s="4">
        <v>44141</v>
      </c>
      <c r="W3418">
        <v>100</v>
      </c>
      <c r="X3418">
        <v>100</v>
      </c>
      <c r="Y3418">
        <v>99.99</v>
      </c>
      <c r="Z3418">
        <v>99.99</v>
      </c>
    </row>
    <row r="3419" spans="1:26" hidden="1" x14ac:dyDescent="0.25">
      <c r="A3419" t="s">
        <v>6910</v>
      </c>
      <c r="B3419" t="s">
        <v>38</v>
      </c>
      <c r="C3419" s="4">
        <v>42902</v>
      </c>
      <c r="D3419" s="4">
        <v>44992</v>
      </c>
      <c r="E3419" s="4">
        <v>43784</v>
      </c>
      <c r="F3419" s="4">
        <v>44287</v>
      </c>
      <c r="G3419" t="s">
        <v>96</v>
      </c>
      <c r="H3419" t="s">
        <v>776</v>
      </c>
      <c r="K3419" t="s">
        <v>98</v>
      </c>
      <c r="L3419" t="s">
        <v>2531</v>
      </c>
      <c r="M3419" t="s">
        <v>84</v>
      </c>
      <c r="N3419" t="s">
        <v>31</v>
      </c>
      <c r="O3419" t="s">
        <v>32</v>
      </c>
      <c r="P3419" t="s">
        <v>6911</v>
      </c>
      <c r="Q3419">
        <v>80</v>
      </c>
      <c r="R3419">
        <v>80</v>
      </c>
      <c r="S3419" t="s">
        <v>34</v>
      </c>
      <c r="T3419" t="s">
        <v>35</v>
      </c>
      <c r="U3419" t="s">
        <v>38</v>
      </c>
      <c r="V3419" s="4">
        <v>44270</v>
      </c>
      <c r="W3419">
        <v>80</v>
      </c>
      <c r="X3419">
        <v>80</v>
      </c>
      <c r="Y3419">
        <v>80</v>
      </c>
      <c r="Z3419">
        <v>80</v>
      </c>
    </row>
    <row r="3420" spans="1:26" hidden="1" x14ac:dyDescent="0.25">
      <c r="A3420" t="s">
        <v>6912</v>
      </c>
      <c r="B3420" t="s">
        <v>25</v>
      </c>
      <c r="C3420" s="4">
        <v>42902</v>
      </c>
      <c r="E3420" s="4">
        <v>43992</v>
      </c>
      <c r="F3420" s="4">
        <v>43709</v>
      </c>
      <c r="G3420" t="s">
        <v>52</v>
      </c>
      <c r="H3420" t="s">
        <v>722</v>
      </c>
      <c r="K3420" t="s">
        <v>53</v>
      </c>
      <c r="L3420" t="s">
        <v>2531</v>
      </c>
      <c r="M3420" t="s">
        <v>54</v>
      </c>
      <c r="N3420" t="s">
        <v>31</v>
      </c>
      <c r="O3420" t="s">
        <v>32</v>
      </c>
      <c r="P3420" t="s">
        <v>6913</v>
      </c>
      <c r="Q3420">
        <v>124.95</v>
      </c>
      <c r="R3420">
        <v>124.95</v>
      </c>
      <c r="S3420" t="s">
        <v>34</v>
      </c>
      <c r="T3420" t="s">
        <v>35</v>
      </c>
      <c r="U3420" t="s">
        <v>70</v>
      </c>
      <c r="V3420" s="4">
        <v>44599</v>
      </c>
      <c r="W3420">
        <v>124.95</v>
      </c>
      <c r="X3420">
        <v>124.95</v>
      </c>
      <c r="Y3420">
        <v>124.95</v>
      </c>
      <c r="Z3420">
        <v>124.95</v>
      </c>
    </row>
    <row r="3421" spans="1:26" hidden="1" x14ac:dyDescent="0.25">
      <c r="A3421" t="s">
        <v>6914</v>
      </c>
      <c r="B3421" t="s">
        <v>38</v>
      </c>
      <c r="C3421" s="4">
        <v>42902</v>
      </c>
      <c r="D3421" s="4">
        <v>42979</v>
      </c>
      <c r="F3421" s="4">
        <v>43737</v>
      </c>
      <c r="G3421" t="s">
        <v>6476</v>
      </c>
      <c r="H3421" t="s">
        <v>6915</v>
      </c>
      <c r="K3421" t="s">
        <v>67</v>
      </c>
      <c r="L3421" t="s">
        <v>2531</v>
      </c>
      <c r="M3421" t="s">
        <v>68</v>
      </c>
      <c r="N3421" t="s">
        <v>31</v>
      </c>
      <c r="O3421" t="s">
        <v>32</v>
      </c>
      <c r="P3421" t="s">
        <v>6916</v>
      </c>
      <c r="Q3421">
        <v>140</v>
      </c>
      <c r="R3421">
        <v>140</v>
      </c>
      <c r="S3421" t="s">
        <v>34</v>
      </c>
      <c r="T3421" t="s">
        <v>35</v>
      </c>
      <c r="U3421" t="s">
        <v>44</v>
      </c>
      <c r="W3421">
        <v>0</v>
      </c>
      <c r="X3421">
        <v>0</v>
      </c>
      <c r="Y3421">
        <v>0</v>
      </c>
      <c r="Z3421">
        <v>0</v>
      </c>
    </row>
    <row r="3422" spans="1:26" hidden="1" x14ac:dyDescent="0.25">
      <c r="A3422" t="s">
        <v>6917</v>
      </c>
      <c r="B3422" t="s">
        <v>25</v>
      </c>
      <c r="C3422" s="4">
        <v>42902</v>
      </c>
      <c r="E3422" s="4">
        <v>43853</v>
      </c>
      <c r="F3422" s="4">
        <v>43709</v>
      </c>
      <c r="G3422" t="s">
        <v>117</v>
      </c>
      <c r="H3422" t="s">
        <v>275</v>
      </c>
      <c r="K3422" t="s">
        <v>83</v>
      </c>
      <c r="L3422" t="s">
        <v>2531</v>
      </c>
      <c r="M3422" t="s">
        <v>84</v>
      </c>
      <c r="N3422" t="s">
        <v>31</v>
      </c>
      <c r="O3422" t="s">
        <v>32</v>
      </c>
      <c r="P3422" t="s">
        <v>6918</v>
      </c>
      <c r="Q3422">
        <v>149.94</v>
      </c>
      <c r="R3422">
        <v>149.94</v>
      </c>
      <c r="S3422" t="s">
        <v>34</v>
      </c>
      <c r="T3422" t="s">
        <v>35</v>
      </c>
      <c r="U3422" t="s">
        <v>70</v>
      </c>
      <c r="V3422" s="4">
        <v>44712</v>
      </c>
      <c r="W3422">
        <v>149.94</v>
      </c>
      <c r="X3422">
        <v>149.94</v>
      </c>
      <c r="Y3422">
        <v>149.94</v>
      </c>
      <c r="Z3422">
        <v>149.94</v>
      </c>
    </row>
    <row r="3423" spans="1:26" hidden="1" x14ac:dyDescent="0.25">
      <c r="A3423" t="s">
        <v>6919</v>
      </c>
      <c r="B3423" t="s">
        <v>38</v>
      </c>
      <c r="C3423" s="4">
        <v>42902</v>
      </c>
      <c r="D3423" s="4">
        <v>43472</v>
      </c>
      <c r="F3423" s="4">
        <v>43920</v>
      </c>
      <c r="G3423" t="s">
        <v>6476</v>
      </c>
      <c r="H3423" t="s">
        <v>506</v>
      </c>
      <c r="K3423" t="s">
        <v>146</v>
      </c>
      <c r="L3423" t="s">
        <v>2531</v>
      </c>
      <c r="M3423" t="s">
        <v>68</v>
      </c>
      <c r="N3423" t="s">
        <v>31</v>
      </c>
      <c r="O3423" t="s">
        <v>32</v>
      </c>
      <c r="P3423" t="s">
        <v>6920</v>
      </c>
      <c r="Q3423">
        <v>200</v>
      </c>
      <c r="R3423">
        <v>200</v>
      </c>
      <c r="S3423" t="s">
        <v>56</v>
      </c>
      <c r="T3423" t="s">
        <v>57</v>
      </c>
      <c r="U3423" t="s">
        <v>44</v>
      </c>
      <c r="W3423">
        <v>0</v>
      </c>
      <c r="X3423">
        <v>0</v>
      </c>
      <c r="Y3423">
        <v>0</v>
      </c>
      <c r="Z3423">
        <v>0</v>
      </c>
    </row>
    <row r="3424" spans="1:26" hidden="1" x14ac:dyDescent="0.25">
      <c r="A3424" t="s">
        <v>6921</v>
      </c>
      <c r="B3424" t="s">
        <v>38</v>
      </c>
      <c r="C3424" s="4">
        <v>42902</v>
      </c>
      <c r="D3424" s="4">
        <v>43242</v>
      </c>
      <c r="F3424" s="4">
        <v>44075</v>
      </c>
      <c r="G3424" t="s">
        <v>26</v>
      </c>
      <c r="H3424" t="s">
        <v>731</v>
      </c>
      <c r="K3424" t="s">
        <v>53</v>
      </c>
      <c r="L3424" t="s">
        <v>2531</v>
      </c>
      <c r="M3424" t="s">
        <v>54</v>
      </c>
      <c r="N3424" t="s">
        <v>31</v>
      </c>
      <c r="O3424" t="s">
        <v>32</v>
      </c>
      <c r="P3424" t="s">
        <v>6922</v>
      </c>
      <c r="Q3424">
        <v>99.96</v>
      </c>
      <c r="R3424">
        <v>99.96</v>
      </c>
      <c r="S3424" t="s">
        <v>34</v>
      </c>
      <c r="T3424" t="s">
        <v>35</v>
      </c>
      <c r="U3424" t="s">
        <v>44</v>
      </c>
      <c r="W3424">
        <v>0</v>
      </c>
      <c r="X3424">
        <v>0</v>
      </c>
      <c r="Y3424">
        <v>0</v>
      </c>
      <c r="Z3424">
        <v>0</v>
      </c>
    </row>
    <row r="3425" spans="1:26" hidden="1" x14ac:dyDescent="0.25">
      <c r="A3425" t="s">
        <v>6923</v>
      </c>
      <c r="B3425" t="s">
        <v>38</v>
      </c>
      <c r="C3425" s="4">
        <v>42902</v>
      </c>
      <c r="D3425" s="4">
        <v>43549</v>
      </c>
      <c r="F3425" s="4">
        <v>43616</v>
      </c>
      <c r="G3425" t="s">
        <v>6476</v>
      </c>
      <c r="H3425" t="s">
        <v>6646</v>
      </c>
      <c r="K3425" t="s">
        <v>146</v>
      </c>
      <c r="L3425" t="s">
        <v>2531</v>
      </c>
      <c r="M3425" t="s">
        <v>68</v>
      </c>
      <c r="N3425" t="s">
        <v>31</v>
      </c>
      <c r="O3425" t="s">
        <v>32</v>
      </c>
      <c r="P3425" t="s">
        <v>6924</v>
      </c>
      <c r="Q3425">
        <v>20</v>
      </c>
      <c r="R3425">
        <v>20</v>
      </c>
      <c r="S3425" t="s">
        <v>34</v>
      </c>
      <c r="T3425" t="s">
        <v>35</v>
      </c>
      <c r="U3425" t="s">
        <v>44</v>
      </c>
      <c r="W3425">
        <v>20</v>
      </c>
      <c r="X3425">
        <v>20</v>
      </c>
      <c r="Y3425">
        <v>0</v>
      </c>
      <c r="Z3425">
        <v>0</v>
      </c>
    </row>
    <row r="3426" spans="1:26" hidden="1" x14ac:dyDescent="0.25">
      <c r="A3426" t="s">
        <v>6925</v>
      </c>
      <c r="B3426" t="s">
        <v>38</v>
      </c>
      <c r="C3426" s="4">
        <v>42902</v>
      </c>
      <c r="D3426" s="4">
        <v>43452</v>
      </c>
      <c r="F3426" s="4">
        <v>44197</v>
      </c>
      <c r="G3426" t="s">
        <v>39</v>
      </c>
      <c r="H3426" t="s">
        <v>349</v>
      </c>
      <c r="K3426" t="s">
        <v>41</v>
      </c>
      <c r="L3426" t="s">
        <v>2531</v>
      </c>
      <c r="M3426" t="s">
        <v>42</v>
      </c>
      <c r="N3426" t="s">
        <v>31</v>
      </c>
      <c r="O3426" t="s">
        <v>32</v>
      </c>
      <c r="P3426" t="s">
        <v>6926</v>
      </c>
      <c r="Q3426">
        <v>220</v>
      </c>
      <c r="R3426">
        <v>220</v>
      </c>
      <c r="S3426" t="s">
        <v>389</v>
      </c>
      <c r="T3426" t="s">
        <v>584</v>
      </c>
      <c r="U3426" t="s">
        <v>44</v>
      </c>
      <c r="W3426">
        <v>0</v>
      </c>
      <c r="X3426">
        <v>0</v>
      </c>
      <c r="Y3426">
        <v>0</v>
      </c>
      <c r="Z3426">
        <v>0</v>
      </c>
    </row>
    <row r="3427" spans="1:26" hidden="1" x14ac:dyDescent="0.25">
      <c r="A3427" t="s">
        <v>6927</v>
      </c>
      <c r="B3427" t="s">
        <v>25</v>
      </c>
      <c r="C3427" s="4">
        <v>42902</v>
      </c>
      <c r="E3427" s="4">
        <v>43948</v>
      </c>
      <c r="F3427" s="4">
        <v>44440</v>
      </c>
      <c r="G3427" t="s">
        <v>26</v>
      </c>
      <c r="H3427" t="s">
        <v>6928</v>
      </c>
      <c r="K3427" t="s">
        <v>28</v>
      </c>
      <c r="L3427" t="s">
        <v>2531</v>
      </c>
      <c r="M3427" t="s">
        <v>30</v>
      </c>
      <c r="N3427" t="s">
        <v>31</v>
      </c>
      <c r="O3427" t="s">
        <v>32</v>
      </c>
      <c r="P3427" t="s">
        <v>6929</v>
      </c>
      <c r="Q3427">
        <v>49.98</v>
      </c>
      <c r="R3427">
        <v>49.98</v>
      </c>
      <c r="S3427" t="s">
        <v>34</v>
      </c>
      <c r="T3427" t="s">
        <v>35</v>
      </c>
      <c r="U3427" t="s">
        <v>36</v>
      </c>
      <c r="V3427" s="4">
        <v>44805</v>
      </c>
      <c r="W3427">
        <v>49.98</v>
      </c>
      <c r="X3427">
        <v>49.98</v>
      </c>
      <c r="Y3427">
        <v>49.98</v>
      </c>
      <c r="Z3427">
        <v>49.98</v>
      </c>
    </row>
    <row r="3428" spans="1:26" hidden="1" x14ac:dyDescent="0.25">
      <c r="A3428" t="s">
        <v>6930</v>
      </c>
      <c r="B3428" t="s">
        <v>38</v>
      </c>
      <c r="C3428" s="4">
        <v>42902</v>
      </c>
      <c r="D3428" s="4">
        <v>43474</v>
      </c>
      <c r="F3428" s="4">
        <v>44075</v>
      </c>
      <c r="G3428" t="s">
        <v>72</v>
      </c>
      <c r="H3428" t="s">
        <v>864</v>
      </c>
      <c r="K3428" t="s">
        <v>53</v>
      </c>
      <c r="L3428" t="s">
        <v>2531</v>
      </c>
      <c r="M3428" t="s">
        <v>54</v>
      </c>
      <c r="N3428" t="s">
        <v>31</v>
      </c>
      <c r="O3428" t="s">
        <v>32</v>
      </c>
      <c r="P3428" t="s">
        <v>6931</v>
      </c>
      <c r="Q3428">
        <v>79.97</v>
      </c>
      <c r="R3428">
        <v>79.97</v>
      </c>
      <c r="S3428" t="s">
        <v>34</v>
      </c>
      <c r="T3428" t="s">
        <v>35</v>
      </c>
      <c r="U3428" t="s">
        <v>44</v>
      </c>
      <c r="W3428">
        <v>0</v>
      </c>
      <c r="X3428">
        <v>0</v>
      </c>
      <c r="Y3428">
        <v>0</v>
      </c>
      <c r="Z3428">
        <v>0</v>
      </c>
    </row>
    <row r="3429" spans="1:26" hidden="1" x14ac:dyDescent="0.25">
      <c r="A3429" t="s">
        <v>6932</v>
      </c>
      <c r="B3429" t="s">
        <v>25</v>
      </c>
      <c r="C3429" s="4">
        <v>42902</v>
      </c>
      <c r="E3429" s="4">
        <v>43927</v>
      </c>
      <c r="F3429" s="4">
        <v>43920</v>
      </c>
      <c r="G3429" t="s">
        <v>6476</v>
      </c>
      <c r="H3429" t="s">
        <v>812</v>
      </c>
      <c r="K3429" t="s">
        <v>114</v>
      </c>
      <c r="L3429" t="s">
        <v>2531</v>
      </c>
      <c r="M3429" t="s">
        <v>68</v>
      </c>
      <c r="N3429" t="s">
        <v>31</v>
      </c>
      <c r="O3429" t="s">
        <v>32</v>
      </c>
      <c r="P3429" t="s">
        <v>6933</v>
      </c>
      <c r="Q3429">
        <v>200</v>
      </c>
      <c r="R3429">
        <v>200</v>
      </c>
      <c r="S3429" t="s">
        <v>56</v>
      </c>
      <c r="T3429" t="s">
        <v>57</v>
      </c>
      <c r="U3429" t="s">
        <v>70</v>
      </c>
      <c r="V3429" s="4">
        <v>44378</v>
      </c>
      <c r="W3429">
        <v>200</v>
      </c>
      <c r="X3429">
        <v>200</v>
      </c>
      <c r="Y3429">
        <v>200</v>
      </c>
      <c r="Z3429">
        <v>200</v>
      </c>
    </row>
    <row r="3430" spans="1:26" hidden="1" x14ac:dyDescent="0.25">
      <c r="A3430" t="s">
        <v>6934</v>
      </c>
      <c r="B3430" t="s">
        <v>38</v>
      </c>
      <c r="C3430" s="4">
        <v>42902</v>
      </c>
      <c r="D3430" s="4">
        <v>43472</v>
      </c>
      <c r="F3430" s="4">
        <v>43737</v>
      </c>
      <c r="G3430" t="s">
        <v>6476</v>
      </c>
      <c r="H3430" t="s">
        <v>150</v>
      </c>
      <c r="K3430" t="s">
        <v>151</v>
      </c>
      <c r="L3430" t="s">
        <v>2531</v>
      </c>
      <c r="M3430" t="s">
        <v>68</v>
      </c>
      <c r="N3430" t="s">
        <v>31</v>
      </c>
      <c r="O3430" t="s">
        <v>32</v>
      </c>
      <c r="P3430" t="s">
        <v>6935</v>
      </c>
      <c r="Q3430">
        <v>200</v>
      </c>
      <c r="R3430">
        <v>200</v>
      </c>
      <c r="S3430" t="s">
        <v>34</v>
      </c>
      <c r="T3430" t="s">
        <v>35</v>
      </c>
      <c r="U3430" t="s">
        <v>44</v>
      </c>
      <c r="W3430">
        <v>0</v>
      </c>
      <c r="X3430">
        <v>0</v>
      </c>
      <c r="Y3430">
        <v>0</v>
      </c>
      <c r="Z3430">
        <v>0</v>
      </c>
    </row>
    <row r="3431" spans="1:26" hidden="1" x14ac:dyDescent="0.25">
      <c r="A3431" t="s">
        <v>6936</v>
      </c>
      <c r="B3431" t="s">
        <v>25</v>
      </c>
      <c r="C3431" s="4">
        <v>42902</v>
      </c>
      <c r="E3431" s="4">
        <v>43895</v>
      </c>
      <c r="G3431" t="s">
        <v>6476</v>
      </c>
      <c r="H3431" t="s">
        <v>6614</v>
      </c>
      <c r="K3431" t="s">
        <v>146</v>
      </c>
      <c r="L3431" t="s">
        <v>2531</v>
      </c>
      <c r="M3431" t="s">
        <v>68</v>
      </c>
      <c r="N3431" t="s">
        <v>31</v>
      </c>
      <c r="O3431" t="s">
        <v>32</v>
      </c>
      <c r="P3431" t="s">
        <v>6937</v>
      </c>
      <c r="Q3431">
        <v>37.200000000000003</v>
      </c>
      <c r="R3431">
        <v>37.200000000000003</v>
      </c>
      <c r="U3431" t="s">
        <v>70</v>
      </c>
      <c r="V3431" s="4">
        <v>33210</v>
      </c>
      <c r="W3431">
        <v>0</v>
      </c>
      <c r="X3431">
        <v>25.33</v>
      </c>
      <c r="Y3431">
        <v>0</v>
      </c>
      <c r="Z3431">
        <v>23.5</v>
      </c>
    </row>
    <row r="3432" spans="1:26" hidden="1" x14ac:dyDescent="0.25">
      <c r="A3432" t="s">
        <v>6938</v>
      </c>
      <c r="B3432" t="s">
        <v>38</v>
      </c>
      <c r="C3432" s="4">
        <v>42902</v>
      </c>
      <c r="D3432" s="4">
        <v>43762</v>
      </c>
      <c r="F3432" s="4">
        <v>44805</v>
      </c>
      <c r="G3432" t="s">
        <v>173</v>
      </c>
      <c r="H3432" t="s">
        <v>917</v>
      </c>
      <c r="K3432" t="s">
        <v>41</v>
      </c>
      <c r="L3432" t="s">
        <v>2531</v>
      </c>
      <c r="M3432" t="s">
        <v>42</v>
      </c>
      <c r="N3432" t="s">
        <v>31</v>
      </c>
      <c r="O3432" t="s">
        <v>32</v>
      </c>
      <c r="P3432" t="s">
        <v>6939</v>
      </c>
      <c r="Q3432">
        <v>49.98</v>
      </c>
      <c r="R3432">
        <v>49.98</v>
      </c>
      <c r="S3432" t="s">
        <v>34</v>
      </c>
      <c r="T3432" t="s">
        <v>35</v>
      </c>
      <c r="U3432" t="s">
        <v>44</v>
      </c>
      <c r="W3432">
        <v>0</v>
      </c>
      <c r="X3432">
        <v>0</v>
      </c>
      <c r="Y3432">
        <v>0</v>
      </c>
      <c r="Z3432">
        <v>0</v>
      </c>
    </row>
    <row r="3433" spans="1:26" x14ac:dyDescent="0.25">
      <c r="A3433" t="s">
        <v>6940</v>
      </c>
      <c r="B3433" t="s">
        <v>25</v>
      </c>
      <c r="C3433" s="4">
        <v>42902</v>
      </c>
      <c r="E3433" s="4">
        <v>43882</v>
      </c>
      <c r="F3433" s="4">
        <v>44449</v>
      </c>
      <c r="G3433" t="s">
        <v>26</v>
      </c>
      <c r="H3433" t="s">
        <v>27</v>
      </c>
      <c r="I3433" t="s">
        <v>1238</v>
      </c>
      <c r="K3433" t="s">
        <v>28</v>
      </c>
      <c r="L3433" t="s">
        <v>2531</v>
      </c>
      <c r="M3433" t="s">
        <v>30</v>
      </c>
      <c r="N3433" t="s">
        <v>31</v>
      </c>
      <c r="O3433" t="s">
        <v>32</v>
      </c>
      <c r="P3433" t="s">
        <v>6941</v>
      </c>
      <c r="Q3433">
        <v>200</v>
      </c>
      <c r="R3433">
        <v>200</v>
      </c>
      <c r="S3433" t="s">
        <v>34</v>
      </c>
      <c r="T3433" t="s">
        <v>35</v>
      </c>
      <c r="U3433" t="s">
        <v>36</v>
      </c>
      <c r="V3433" s="4">
        <v>44044</v>
      </c>
      <c r="W3433">
        <v>200</v>
      </c>
      <c r="X3433">
        <v>200</v>
      </c>
      <c r="Y3433">
        <v>200</v>
      </c>
      <c r="Z3433">
        <v>200</v>
      </c>
    </row>
    <row r="3434" spans="1:26" x14ac:dyDescent="0.25">
      <c r="A3434" t="s">
        <v>6942</v>
      </c>
      <c r="B3434" t="s">
        <v>25</v>
      </c>
      <c r="C3434" s="4">
        <v>42902</v>
      </c>
      <c r="E3434" s="4">
        <v>43882</v>
      </c>
      <c r="F3434" s="4">
        <v>44449</v>
      </c>
      <c r="G3434" t="s">
        <v>26</v>
      </c>
      <c r="H3434" t="s">
        <v>27</v>
      </c>
      <c r="I3434" t="s">
        <v>1238</v>
      </c>
      <c r="K3434" t="s">
        <v>28</v>
      </c>
      <c r="L3434" t="s">
        <v>2531</v>
      </c>
      <c r="M3434" t="s">
        <v>30</v>
      </c>
      <c r="N3434" t="s">
        <v>31</v>
      </c>
      <c r="O3434" t="s">
        <v>32</v>
      </c>
      <c r="P3434" t="s">
        <v>6941</v>
      </c>
      <c r="Q3434">
        <v>100</v>
      </c>
      <c r="R3434">
        <v>100</v>
      </c>
      <c r="S3434" t="s">
        <v>34</v>
      </c>
      <c r="T3434" t="s">
        <v>35</v>
      </c>
      <c r="U3434" t="s">
        <v>70</v>
      </c>
      <c r="V3434" s="4">
        <v>44409</v>
      </c>
      <c r="W3434">
        <v>100</v>
      </c>
      <c r="X3434">
        <v>100</v>
      </c>
      <c r="Y3434">
        <v>100</v>
      </c>
      <c r="Z3434">
        <v>100</v>
      </c>
    </row>
    <row r="3435" spans="1:26" hidden="1" x14ac:dyDescent="0.25">
      <c r="A3435" t="s">
        <v>6943</v>
      </c>
      <c r="B3435" t="s">
        <v>38</v>
      </c>
      <c r="C3435" s="4">
        <v>42902</v>
      </c>
      <c r="D3435" s="4">
        <v>43473</v>
      </c>
      <c r="F3435" s="4">
        <v>44075</v>
      </c>
      <c r="G3435" t="s">
        <v>117</v>
      </c>
      <c r="H3435" t="s">
        <v>377</v>
      </c>
      <c r="K3435" t="s">
        <v>83</v>
      </c>
      <c r="L3435" t="s">
        <v>2531</v>
      </c>
      <c r="M3435" t="s">
        <v>84</v>
      </c>
      <c r="N3435" t="s">
        <v>31</v>
      </c>
      <c r="O3435" t="s">
        <v>32</v>
      </c>
      <c r="P3435" t="s">
        <v>6944</v>
      </c>
      <c r="Q3435">
        <v>200</v>
      </c>
      <c r="R3435">
        <v>200</v>
      </c>
      <c r="S3435" t="s">
        <v>56</v>
      </c>
      <c r="T3435" t="s">
        <v>57</v>
      </c>
      <c r="U3435" t="s">
        <v>44</v>
      </c>
      <c r="W3435">
        <v>0</v>
      </c>
      <c r="X3435">
        <v>0</v>
      </c>
      <c r="Y3435">
        <v>0</v>
      </c>
      <c r="Z3435">
        <v>0</v>
      </c>
    </row>
    <row r="3436" spans="1:26" hidden="1" x14ac:dyDescent="0.25">
      <c r="A3436" t="s">
        <v>6945</v>
      </c>
      <c r="B3436" t="s">
        <v>38</v>
      </c>
      <c r="C3436" s="4">
        <v>42902</v>
      </c>
      <c r="D3436" s="4">
        <v>44225</v>
      </c>
      <c r="F3436" s="4">
        <v>44378</v>
      </c>
      <c r="G3436" t="s">
        <v>72</v>
      </c>
      <c r="H3436" t="s">
        <v>792</v>
      </c>
      <c r="K3436" t="s">
        <v>209</v>
      </c>
      <c r="L3436" t="s">
        <v>2531</v>
      </c>
      <c r="M3436" t="s">
        <v>42</v>
      </c>
      <c r="N3436" t="s">
        <v>31</v>
      </c>
      <c r="O3436" t="s">
        <v>32</v>
      </c>
      <c r="P3436" t="s">
        <v>6946</v>
      </c>
      <c r="Q3436">
        <v>200</v>
      </c>
      <c r="R3436">
        <v>200</v>
      </c>
      <c r="S3436" t="s">
        <v>56</v>
      </c>
      <c r="T3436" t="s">
        <v>57</v>
      </c>
      <c r="U3436" t="s">
        <v>44</v>
      </c>
      <c r="W3436">
        <v>200</v>
      </c>
      <c r="X3436">
        <v>200</v>
      </c>
      <c r="Y3436">
        <v>0</v>
      </c>
      <c r="Z3436">
        <v>0</v>
      </c>
    </row>
    <row r="3437" spans="1:26" hidden="1" x14ac:dyDescent="0.25">
      <c r="A3437" t="s">
        <v>6947</v>
      </c>
      <c r="B3437" t="s">
        <v>25</v>
      </c>
      <c r="C3437" s="4">
        <v>42902</v>
      </c>
      <c r="E3437" s="4">
        <v>44335</v>
      </c>
      <c r="F3437" s="4">
        <v>44469</v>
      </c>
      <c r="G3437" t="s">
        <v>39</v>
      </c>
      <c r="H3437" t="s">
        <v>174</v>
      </c>
      <c r="K3437" t="s">
        <v>41</v>
      </c>
      <c r="L3437" t="s">
        <v>2531</v>
      </c>
      <c r="M3437" t="s">
        <v>42</v>
      </c>
      <c r="N3437" t="s">
        <v>31</v>
      </c>
      <c r="O3437" t="s">
        <v>32</v>
      </c>
      <c r="P3437" t="s">
        <v>6948</v>
      </c>
      <c r="Q3437">
        <v>150</v>
      </c>
      <c r="R3437">
        <v>150</v>
      </c>
      <c r="S3437" t="s">
        <v>34</v>
      </c>
      <c r="T3437" t="s">
        <v>35</v>
      </c>
      <c r="U3437" t="s">
        <v>70</v>
      </c>
      <c r="V3437" s="4">
        <v>45503</v>
      </c>
      <c r="W3437">
        <v>150</v>
      </c>
      <c r="X3437">
        <v>150</v>
      </c>
      <c r="Y3437">
        <v>150</v>
      </c>
      <c r="Z3437">
        <v>150</v>
      </c>
    </row>
    <row r="3438" spans="1:26" hidden="1" x14ac:dyDescent="0.25">
      <c r="A3438" t="s">
        <v>6949</v>
      </c>
      <c r="B3438" t="s">
        <v>25</v>
      </c>
      <c r="C3438" s="4">
        <v>42902</v>
      </c>
      <c r="E3438" s="4">
        <v>44049</v>
      </c>
      <c r="F3438" s="4">
        <v>44084</v>
      </c>
      <c r="G3438" t="s">
        <v>52</v>
      </c>
      <c r="H3438" t="s">
        <v>528</v>
      </c>
      <c r="K3438" t="s">
        <v>53</v>
      </c>
      <c r="L3438" t="s">
        <v>2531</v>
      </c>
      <c r="M3438" t="s">
        <v>54</v>
      </c>
      <c r="N3438" t="s">
        <v>31</v>
      </c>
      <c r="O3438" t="s">
        <v>32</v>
      </c>
      <c r="P3438" t="s">
        <v>6950</v>
      </c>
      <c r="Q3438">
        <v>150</v>
      </c>
      <c r="R3438">
        <v>150</v>
      </c>
      <c r="S3438" t="s">
        <v>34</v>
      </c>
      <c r="T3438" t="s">
        <v>35</v>
      </c>
      <c r="U3438" t="s">
        <v>70</v>
      </c>
      <c r="V3438" s="4">
        <v>44883</v>
      </c>
      <c r="W3438">
        <v>150</v>
      </c>
      <c r="X3438">
        <v>150</v>
      </c>
      <c r="Y3438">
        <v>150</v>
      </c>
      <c r="Z3438">
        <v>150</v>
      </c>
    </row>
    <row r="3439" spans="1:26" hidden="1" x14ac:dyDescent="0.25">
      <c r="A3439" t="s">
        <v>6951</v>
      </c>
      <c r="B3439" t="s">
        <v>38</v>
      </c>
      <c r="C3439" s="4">
        <v>42902</v>
      </c>
      <c r="D3439" s="4">
        <v>43669</v>
      </c>
      <c r="F3439" s="4">
        <v>44089</v>
      </c>
      <c r="G3439" t="s">
        <v>72</v>
      </c>
      <c r="H3439" t="s">
        <v>73</v>
      </c>
      <c r="K3439" t="s">
        <v>41</v>
      </c>
      <c r="L3439" t="s">
        <v>2531</v>
      </c>
      <c r="M3439" t="s">
        <v>42</v>
      </c>
      <c r="N3439" t="s">
        <v>31</v>
      </c>
      <c r="O3439" t="s">
        <v>32</v>
      </c>
      <c r="P3439" t="s">
        <v>6952</v>
      </c>
      <c r="Q3439">
        <v>200</v>
      </c>
      <c r="R3439">
        <v>200</v>
      </c>
      <c r="S3439" t="s">
        <v>56</v>
      </c>
      <c r="T3439" t="s">
        <v>57</v>
      </c>
      <c r="U3439" t="s">
        <v>44</v>
      </c>
      <c r="W3439">
        <v>0</v>
      </c>
      <c r="X3439">
        <v>0</v>
      </c>
      <c r="Y3439">
        <v>0</v>
      </c>
      <c r="Z3439">
        <v>0</v>
      </c>
    </row>
    <row r="3440" spans="1:26" hidden="1" x14ac:dyDescent="0.25">
      <c r="A3440" t="s">
        <v>6953</v>
      </c>
      <c r="B3440" t="s">
        <v>25</v>
      </c>
      <c r="C3440" s="4">
        <v>42902</v>
      </c>
      <c r="E3440" s="4">
        <v>44335</v>
      </c>
      <c r="F3440" s="4">
        <v>44469</v>
      </c>
      <c r="G3440" t="s">
        <v>128</v>
      </c>
      <c r="H3440" t="s">
        <v>773</v>
      </c>
      <c r="K3440" t="s">
        <v>209</v>
      </c>
      <c r="L3440" t="s">
        <v>2531</v>
      </c>
      <c r="M3440" t="s">
        <v>42</v>
      </c>
      <c r="N3440" t="s">
        <v>31</v>
      </c>
      <c r="O3440" t="s">
        <v>32</v>
      </c>
      <c r="P3440" t="s">
        <v>6954</v>
      </c>
      <c r="Q3440">
        <v>250</v>
      </c>
      <c r="R3440">
        <v>250</v>
      </c>
      <c r="S3440" t="s">
        <v>34</v>
      </c>
      <c r="T3440" t="s">
        <v>35</v>
      </c>
      <c r="U3440" t="s">
        <v>70</v>
      </c>
      <c r="V3440" s="4">
        <v>45108</v>
      </c>
      <c r="W3440">
        <v>250</v>
      </c>
      <c r="X3440">
        <v>250</v>
      </c>
      <c r="Y3440">
        <v>250</v>
      </c>
      <c r="Z3440">
        <v>250</v>
      </c>
    </row>
    <row r="3441" spans="1:26" hidden="1" x14ac:dyDescent="0.25">
      <c r="A3441" t="s">
        <v>6955</v>
      </c>
      <c r="B3441" t="s">
        <v>25</v>
      </c>
      <c r="C3441" s="4">
        <v>42902</v>
      </c>
      <c r="E3441" s="4">
        <v>43949</v>
      </c>
      <c r="F3441" s="4">
        <v>44449</v>
      </c>
      <c r="G3441" t="s">
        <v>26</v>
      </c>
      <c r="H3441" t="s">
        <v>876</v>
      </c>
      <c r="K3441" t="s">
        <v>28</v>
      </c>
      <c r="L3441" t="s">
        <v>2531</v>
      </c>
      <c r="M3441" t="s">
        <v>30</v>
      </c>
      <c r="N3441" t="s">
        <v>31</v>
      </c>
      <c r="O3441" t="s">
        <v>32</v>
      </c>
      <c r="P3441" t="s">
        <v>6956</v>
      </c>
      <c r="Q3441">
        <v>200</v>
      </c>
      <c r="R3441">
        <v>200</v>
      </c>
      <c r="S3441" t="s">
        <v>34</v>
      </c>
      <c r="T3441" t="s">
        <v>35</v>
      </c>
      <c r="U3441" t="s">
        <v>70</v>
      </c>
      <c r="V3441" s="4">
        <v>44805</v>
      </c>
      <c r="W3441">
        <v>200</v>
      </c>
      <c r="X3441">
        <v>200</v>
      </c>
      <c r="Y3441">
        <v>200</v>
      </c>
      <c r="Z3441">
        <v>200</v>
      </c>
    </row>
    <row r="3442" spans="1:26" hidden="1" x14ac:dyDescent="0.25">
      <c r="A3442" t="s">
        <v>6957</v>
      </c>
      <c r="B3442" t="s">
        <v>38</v>
      </c>
      <c r="C3442" s="4">
        <v>42902</v>
      </c>
      <c r="D3442" s="4">
        <v>43231</v>
      </c>
      <c r="F3442" s="4">
        <v>44097</v>
      </c>
      <c r="G3442" t="s">
        <v>26</v>
      </c>
      <c r="H3442" t="s">
        <v>440</v>
      </c>
      <c r="K3442" t="s">
        <v>53</v>
      </c>
      <c r="L3442" t="s">
        <v>2531</v>
      </c>
      <c r="M3442" t="s">
        <v>54</v>
      </c>
      <c r="N3442" t="s">
        <v>31</v>
      </c>
      <c r="O3442" t="s">
        <v>32</v>
      </c>
      <c r="P3442" t="s">
        <v>6958</v>
      </c>
      <c r="Q3442">
        <v>70</v>
      </c>
      <c r="R3442">
        <v>70</v>
      </c>
      <c r="S3442" t="s">
        <v>56</v>
      </c>
      <c r="T3442" t="s">
        <v>57</v>
      </c>
      <c r="U3442" t="s">
        <v>44</v>
      </c>
      <c r="W3442">
        <v>0</v>
      </c>
      <c r="X3442">
        <v>0</v>
      </c>
      <c r="Y3442">
        <v>0</v>
      </c>
      <c r="Z3442">
        <v>0</v>
      </c>
    </row>
    <row r="3443" spans="1:26" hidden="1" x14ac:dyDescent="0.25">
      <c r="A3443" t="s">
        <v>6959</v>
      </c>
      <c r="B3443" t="s">
        <v>38</v>
      </c>
      <c r="C3443" s="4">
        <v>42902</v>
      </c>
      <c r="D3443" s="4">
        <v>43762</v>
      </c>
      <c r="F3443" s="4">
        <v>44089</v>
      </c>
      <c r="G3443" t="s">
        <v>39</v>
      </c>
      <c r="H3443" t="s">
        <v>6960</v>
      </c>
      <c r="K3443" t="s">
        <v>185</v>
      </c>
      <c r="L3443" t="s">
        <v>2531</v>
      </c>
      <c r="M3443" t="s">
        <v>42</v>
      </c>
      <c r="N3443" t="s">
        <v>31</v>
      </c>
      <c r="O3443" t="s">
        <v>32</v>
      </c>
      <c r="P3443" t="s">
        <v>6961</v>
      </c>
      <c r="Q3443">
        <v>150</v>
      </c>
      <c r="R3443">
        <v>150</v>
      </c>
      <c r="S3443" t="s">
        <v>56</v>
      </c>
      <c r="T3443" t="s">
        <v>57</v>
      </c>
      <c r="U3443" t="s">
        <v>44</v>
      </c>
      <c r="W3443">
        <v>0</v>
      </c>
      <c r="X3443">
        <v>0</v>
      </c>
      <c r="Y3443">
        <v>0</v>
      </c>
      <c r="Z3443">
        <v>0</v>
      </c>
    </row>
    <row r="3444" spans="1:26" hidden="1" x14ac:dyDescent="0.25">
      <c r="A3444" t="s">
        <v>6962</v>
      </c>
      <c r="B3444" t="s">
        <v>38</v>
      </c>
      <c r="C3444" s="4">
        <v>42902</v>
      </c>
      <c r="D3444" s="4">
        <v>42933</v>
      </c>
      <c r="F3444" s="4">
        <v>43556</v>
      </c>
      <c r="G3444" t="s">
        <v>117</v>
      </c>
      <c r="H3444" t="s">
        <v>113</v>
      </c>
      <c r="K3444" t="s">
        <v>83</v>
      </c>
      <c r="L3444" t="s">
        <v>2531</v>
      </c>
      <c r="M3444" t="s">
        <v>84</v>
      </c>
      <c r="N3444" t="s">
        <v>31</v>
      </c>
      <c r="O3444" t="s">
        <v>122</v>
      </c>
      <c r="P3444" t="s">
        <v>620</v>
      </c>
      <c r="Q3444">
        <v>45</v>
      </c>
      <c r="R3444">
        <v>45</v>
      </c>
      <c r="S3444" t="s">
        <v>34</v>
      </c>
      <c r="T3444" t="s">
        <v>35</v>
      </c>
      <c r="U3444" t="s">
        <v>44</v>
      </c>
      <c r="W3444">
        <v>0</v>
      </c>
      <c r="X3444">
        <v>0</v>
      </c>
      <c r="Y3444">
        <v>0</v>
      </c>
      <c r="Z3444">
        <v>0</v>
      </c>
    </row>
    <row r="3445" spans="1:26" hidden="1" x14ac:dyDescent="0.25">
      <c r="A3445" t="s">
        <v>6963</v>
      </c>
      <c r="B3445" t="s">
        <v>38</v>
      </c>
      <c r="C3445" s="4">
        <v>42902</v>
      </c>
      <c r="D3445" s="4">
        <v>42955</v>
      </c>
      <c r="F3445" s="4">
        <v>43556</v>
      </c>
      <c r="G3445" t="s">
        <v>117</v>
      </c>
      <c r="H3445" t="s">
        <v>605</v>
      </c>
      <c r="K3445" t="s">
        <v>83</v>
      </c>
      <c r="L3445" t="s">
        <v>2531</v>
      </c>
      <c r="M3445" t="s">
        <v>84</v>
      </c>
      <c r="N3445" t="s">
        <v>31</v>
      </c>
      <c r="O3445" t="s">
        <v>122</v>
      </c>
      <c r="P3445" t="s">
        <v>6964</v>
      </c>
      <c r="Q3445">
        <v>15</v>
      </c>
      <c r="R3445">
        <v>15</v>
      </c>
      <c r="S3445" t="s">
        <v>34</v>
      </c>
      <c r="T3445" t="s">
        <v>35</v>
      </c>
      <c r="U3445" t="s">
        <v>44</v>
      </c>
      <c r="W3445">
        <v>0</v>
      </c>
      <c r="X3445">
        <v>0</v>
      </c>
      <c r="Y3445">
        <v>0</v>
      </c>
      <c r="Z3445">
        <v>0</v>
      </c>
    </row>
    <row r="3446" spans="1:26" hidden="1" x14ac:dyDescent="0.25">
      <c r="A3446" t="s">
        <v>6965</v>
      </c>
      <c r="B3446" t="s">
        <v>38</v>
      </c>
      <c r="C3446" s="4">
        <v>42902</v>
      </c>
      <c r="D3446" s="4">
        <v>44169</v>
      </c>
      <c r="E3446" s="4">
        <v>43803</v>
      </c>
      <c r="F3446" s="4">
        <v>44105</v>
      </c>
      <c r="G3446" t="s">
        <v>254</v>
      </c>
      <c r="H3446" t="s">
        <v>1092</v>
      </c>
      <c r="K3446" t="s">
        <v>98</v>
      </c>
      <c r="L3446" t="s">
        <v>2531</v>
      </c>
      <c r="M3446" t="s">
        <v>84</v>
      </c>
      <c r="N3446" t="s">
        <v>31</v>
      </c>
      <c r="O3446" t="s">
        <v>32</v>
      </c>
      <c r="P3446" t="s">
        <v>6966</v>
      </c>
      <c r="Q3446">
        <v>80</v>
      </c>
      <c r="R3446">
        <v>80</v>
      </c>
      <c r="S3446" t="s">
        <v>56</v>
      </c>
      <c r="T3446" t="s">
        <v>57</v>
      </c>
      <c r="U3446" t="s">
        <v>38</v>
      </c>
      <c r="V3446" s="4">
        <v>44682</v>
      </c>
      <c r="W3446">
        <v>80</v>
      </c>
      <c r="X3446">
        <v>80</v>
      </c>
      <c r="Y3446">
        <v>80</v>
      </c>
      <c r="Z3446">
        <v>80</v>
      </c>
    </row>
    <row r="3447" spans="1:26" hidden="1" x14ac:dyDescent="0.25">
      <c r="A3447" t="s">
        <v>6967</v>
      </c>
      <c r="B3447" t="s">
        <v>38</v>
      </c>
      <c r="C3447" s="4">
        <v>42902</v>
      </c>
      <c r="D3447" s="4">
        <v>43817</v>
      </c>
      <c r="F3447" s="4">
        <v>44089</v>
      </c>
      <c r="G3447" t="s">
        <v>117</v>
      </c>
      <c r="H3447" t="s">
        <v>121</v>
      </c>
      <c r="K3447" t="s">
        <v>83</v>
      </c>
      <c r="L3447" t="s">
        <v>2531</v>
      </c>
      <c r="M3447" t="s">
        <v>84</v>
      </c>
      <c r="N3447" t="s">
        <v>31</v>
      </c>
      <c r="O3447" t="s">
        <v>32</v>
      </c>
      <c r="P3447" t="s">
        <v>6968</v>
      </c>
      <c r="Q3447">
        <v>100</v>
      </c>
      <c r="R3447">
        <v>100</v>
      </c>
      <c r="S3447" t="s">
        <v>34</v>
      </c>
      <c r="T3447" t="s">
        <v>35</v>
      </c>
      <c r="U3447" t="s">
        <v>44</v>
      </c>
      <c r="V3447" s="4">
        <v>44344</v>
      </c>
      <c r="W3447">
        <v>100</v>
      </c>
      <c r="X3447">
        <v>100</v>
      </c>
      <c r="Y3447">
        <v>100</v>
      </c>
      <c r="Z3447">
        <v>100</v>
      </c>
    </row>
    <row r="3448" spans="1:26" hidden="1" x14ac:dyDescent="0.25">
      <c r="A3448" t="s">
        <v>6969</v>
      </c>
      <c r="B3448" t="s">
        <v>38</v>
      </c>
      <c r="C3448" s="4">
        <v>42902</v>
      </c>
      <c r="D3448" s="4">
        <v>44225</v>
      </c>
      <c r="F3448" s="4">
        <v>44104</v>
      </c>
      <c r="G3448" t="s">
        <v>72</v>
      </c>
      <c r="H3448" t="s">
        <v>531</v>
      </c>
      <c r="K3448" t="s">
        <v>209</v>
      </c>
      <c r="L3448" t="s">
        <v>2531</v>
      </c>
      <c r="M3448" t="s">
        <v>42</v>
      </c>
      <c r="N3448" t="s">
        <v>31</v>
      </c>
      <c r="O3448" t="s">
        <v>32</v>
      </c>
      <c r="P3448" t="s">
        <v>6970</v>
      </c>
      <c r="Q3448">
        <v>64</v>
      </c>
      <c r="R3448">
        <v>64</v>
      </c>
      <c r="S3448" t="s">
        <v>56</v>
      </c>
      <c r="T3448" t="s">
        <v>57</v>
      </c>
      <c r="U3448" t="s">
        <v>44</v>
      </c>
      <c r="W3448">
        <v>64</v>
      </c>
      <c r="X3448">
        <v>64</v>
      </c>
      <c r="Y3448">
        <v>0</v>
      </c>
      <c r="Z3448">
        <v>0</v>
      </c>
    </row>
    <row r="3449" spans="1:26" hidden="1" x14ac:dyDescent="0.25">
      <c r="A3449" t="s">
        <v>6971</v>
      </c>
      <c r="B3449" t="s">
        <v>25</v>
      </c>
      <c r="C3449" s="4">
        <v>42902</v>
      </c>
      <c r="E3449" s="4">
        <v>43794</v>
      </c>
      <c r="F3449" s="4">
        <v>44089</v>
      </c>
      <c r="G3449" t="s">
        <v>26</v>
      </c>
      <c r="H3449" t="s">
        <v>338</v>
      </c>
      <c r="K3449" t="s">
        <v>28</v>
      </c>
      <c r="L3449" t="s">
        <v>2531</v>
      </c>
      <c r="M3449" t="s">
        <v>30</v>
      </c>
      <c r="N3449" t="s">
        <v>31</v>
      </c>
      <c r="O3449" t="s">
        <v>32</v>
      </c>
      <c r="P3449" t="s">
        <v>6972</v>
      </c>
      <c r="Q3449">
        <v>150</v>
      </c>
      <c r="R3449">
        <v>150</v>
      </c>
      <c r="S3449" t="s">
        <v>34</v>
      </c>
      <c r="T3449" t="s">
        <v>35</v>
      </c>
      <c r="U3449" t="s">
        <v>36</v>
      </c>
      <c r="V3449" s="4">
        <v>44044</v>
      </c>
      <c r="W3449">
        <v>150</v>
      </c>
      <c r="X3449">
        <v>150</v>
      </c>
      <c r="Y3449">
        <v>150</v>
      </c>
      <c r="Z3449">
        <v>150</v>
      </c>
    </row>
    <row r="3450" spans="1:26" hidden="1" x14ac:dyDescent="0.25">
      <c r="A3450" t="s">
        <v>6973</v>
      </c>
      <c r="B3450" t="s">
        <v>38</v>
      </c>
      <c r="C3450" s="4">
        <v>42902</v>
      </c>
      <c r="D3450" s="4">
        <v>43473</v>
      </c>
      <c r="F3450" s="4">
        <v>44104</v>
      </c>
      <c r="G3450" t="s">
        <v>117</v>
      </c>
      <c r="H3450" t="s">
        <v>133</v>
      </c>
      <c r="K3450" t="s">
        <v>83</v>
      </c>
      <c r="L3450" t="s">
        <v>2531</v>
      </c>
      <c r="M3450" t="s">
        <v>84</v>
      </c>
      <c r="N3450" t="s">
        <v>31</v>
      </c>
      <c r="O3450" t="s">
        <v>32</v>
      </c>
      <c r="P3450" t="s">
        <v>6974</v>
      </c>
      <c r="Q3450">
        <v>75</v>
      </c>
      <c r="R3450">
        <v>75</v>
      </c>
      <c r="S3450" t="s">
        <v>56</v>
      </c>
      <c r="T3450" t="s">
        <v>57</v>
      </c>
      <c r="U3450" t="s">
        <v>44</v>
      </c>
      <c r="V3450" s="4">
        <v>43723</v>
      </c>
      <c r="W3450">
        <v>0</v>
      </c>
      <c r="X3450">
        <v>0</v>
      </c>
      <c r="Y3450">
        <v>0</v>
      </c>
      <c r="Z3450">
        <v>0</v>
      </c>
    </row>
    <row r="3451" spans="1:26" hidden="1" x14ac:dyDescent="0.25">
      <c r="A3451" t="s">
        <v>6975</v>
      </c>
      <c r="B3451" t="s">
        <v>25</v>
      </c>
      <c r="C3451" s="4">
        <v>42902</v>
      </c>
      <c r="E3451" s="4">
        <v>43696</v>
      </c>
      <c r="F3451" s="4">
        <v>43466</v>
      </c>
      <c r="G3451" t="s">
        <v>112</v>
      </c>
      <c r="H3451" t="s">
        <v>6976</v>
      </c>
      <c r="K3451" t="s">
        <v>114</v>
      </c>
      <c r="L3451" t="s">
        <v>2531</v>
      </c>
      <c r="M3451" t="s">
        <v>68</v>
      </c>
      <c r="N3451" t="s">
        <v>31</v>
      </c>
      <c r="O3451" t="s">
        <v>32</v>
      </c>
      <c r="P3451" t="s">
        <v>6977</v>
      </c>
      <c r="Q3451">
        <v>25</v>
      </c>
      <c r="R3451">
        <v>25</v>
      </c>
      <c r="S3451" t="s">
        <v>389</v>
      </c>
      <c r="T3451" t="s">
        <v>584</v>
      </c>
      <c r="U3451" t="s">
        <v>36</v>
      </c>
      <c r="V3451" s="4">
        <v>43668</v>
      </c>
      <c r="W3451">
        <v>25</v>
      </c>
      <c r="X3451">
        <v>25</v>
      </c>
      <c r="Y3451">
        <v>25</v>
      </c>
      <c r="Z3451">
        <v>25</v>
      </c>
    </row>
    <row r="3452" spans="1:26" hidden="1" x14ac:dyDescent="0.25">
      <c r="A3452" t="s">
        <v>6978</v>
      </c>
      <c r="B3452" t="s">
        <v>38</v>
      </c>
      <c r="C3452" s="4">
        <v>42902</v>
      </c>
      <c r="D3452" s="4">
        <v>43762</v>
      </c>
      <c r="F3452" s="4">
        <v>44089</v>
      </c>
      <c r="G3452" t="s">
        <v>173</v>
      </c>
      <c r="H3452" t="s">
        <v>6979</v>
      </c>
      <c r="K3452" t="s">
        <v>185</v>
      </c>
      <c r="L3452" t="s">
        <v>2531</v>
      </c>
      <c r="M3452" t="s">
        <v>42</v>
      </c>
      <c r="N3452" t="s">
        <v>31</v>
      </c>
      <c r="O3452" t="s">
        <v>32</v>
      </c>
      <c r="P3452" t="s">
        <v>6980</v>
      </c>
      <c r="Q3452">
        <v>150</v>
      </c>
      <c r="R3452">
        <v>150</v>
      </c>
      <c r="S3452" t="s">
        <v>56</v>
      </c>
      <c r="T3452" t="s">
        <v>57</v>
      </c>
      <c r="U3452" t="s">
        <v>44</v>
      </c>
      <c r="W3452">
        <v>0</v>
      </c>
      <c r="X3452">
        <v>0</v>
      </c>
      <c r="Y3452">
        <v>0</v>
      </c>
      <c r="Z3452">
        <v>0</v>
      </c>
    </row>
    <row r="3453" spans="1:26" hidden="1" x14ac:dyDescent="0.25">
      <c r="A3453" t="s">
        <v>6981</v>
      </c>
      <c r="B3453" t="s">
        <v>38</v>
      </c>
      <c r="C3453" s="4">
        <v>42902</v>
      </c>
      <c r="D3453" s="4">
        <v>43474</v>
      </c>
      <c r="F3453" s="4">
        <v>44089</v>
      </c>
      <c r="G3453" t="s">
        <v>52</v>
      </c>
      <c r="H3453" t="s">
        <v>6982</v>
      </c>
      <c r="K3453" t="s">
        <v>53</v>
      </c>
      <c r="L3453" t="s">
        <v>2531</v>
      </c>
      <c r="M3453" t="s">
        <v>54</v>
      </c>
      <c r="N3453" t="s">
        <v>31</v>
      </c>
      <c r="O3453" t="s">
        <v>32</v>
      </c>
      <c r="P3453" t="s">
        <v>6863</v>
      </c>
      <c r="Q3453">
        <v>100</v>
      </c>
      <c r="R3453">
        <v>100</v>
      </c>
      <c r="S3453" t="s">
        <v>56</v>
      </c>
      <c r="T3453" t="s">
        <v>57</v>
      </c>
      <c r="U3453" t="s">
        <v>44</v>
      </c>
      <c r="W3453">
        <v>0</v>
      </c>
      <c r="X3453">
        <v>0</v>
      </c>
      <c r="Y3453">
        <v>0</v>
      </c>
      <c r="Z3453">
        <v>0</v>
      </c>
    </row>
    <row r="3454" spans="1:26" hidden="1" x14ac:dyDescent="0.25">
      <c r="A3454" t="s">
        <v>6983</v>
      </c>
      <c r="B3454" t="s">
        <v>38</v>
      </c>
      <c r="C3454" s="4">
        <v>42902</v>
      </c>
      <c r="D3454" s="4">
        <v>43669</v>
      </c>
      <c r="F3454" s="4">
        <v>44089</v>
      </c>
      <c r="G3454" t="s">
        <v>39</v>
      </c>
      <c r="H3454" t="s">
        <v>6984</v>
      </c>
      <c r="K3454" t="s">
        <v>41</v>
      </c>
      <c r="L3454" t="s">
        <v>2531</v>
      </c>
      <c r="M3454" t="s">
        <v>42</v>
      </c>
      <c r="N3454" t="s">
        <v>31</v>
      </c>
      <c r="O3454" t="s">
        <v>32</v>
      </c>
      <c r="P3454" t="s">
        <v>6985</v>
      </c>
      <c r="Q3454">
        <v>300</v>
      </c>
      <c r="R3454">
        <v>300</v>
      </c>
      <c r="S3454" t="s">
        <v>56</v>
      </c>
      <c r="T3454" t="s">
        <v>57</v>
      </c>
      <c r="U3454" t="s">
        <v>44</v>
      </c>
      <c r="W3454">
        <v>0</v>
      </c>
      <c r="X3454">
        <v>0</v>
      </c>
      <c r="Y3454">
        <v>0</v>
      </c>
      <c r="Z3454">
        <v>0</v>
      </c>
    </row>
    <row r="3455" spans="1:26" hidden="1" x14ac:dyDescent="0.25">
      <c r="A3455" t="s">
        <v>6986</v>
      </c>
      <c r="B3455" t="s">
        <v>38</v>
      </c>
      <c r="C3455" s="4">
        <v>42902</v>
      </c>
      <c r="D3455" s="4">
        <v>43171</v>
      </c>
      <c r="F3455" s="4">
        <v>43709</v>
      </c>
      <c r="G3455" t="s">
        <v>26</v>
      </c>
      <c r="H3455" t="s">
        <v>190</v>
      </c>
      <c r="K3455" t="s">
        <v>28</v>
      </c>
      <c r="L3455" t="s">
        <v>2531</v>
      </c>
      <c r="M3455" t="s">
        <v>30</v>
      </c>
      <c r="N3455" t="s">
        <v>31</v>
      </c>
      <c r="O3455" t="s">
        <v>32</v>
      </c>
      <c r="P3455" t="s">
        <v>6987</v>
      </c>
      <c r="Q3455">
        <v>74.97</v>
      </c>
      <c r="R3455">
        <v>74.97</v>
      </c>
      <c r="S3455" t="s">
        <v>34</v>
      </c>
      <c r="T3455" t="s">
        <v>35</v>
      </c>
      <c r="U3455" t="s">
        <v>44</v>
      </c>
      <c r="W3455">
        <v>0</v>
      </c>
      <c r="X3455">
        <v>0</v>
      </c>
      <c r="Y3455">
        <v>0</v>
      </c>
      <c r="Z3455">
        <v>0</v>
      </c>
    </row>
    <row r="3456" spans="1:26" hidden="1" x14ac:dyDescent="0.25">
      <c r="A3456" t="s">
        <v>6988</v>
      </c>
      <c r="B3456" t="s">
        <v>25</v>
      </c>
      <c r="C3456" s="4">
        <v>42902</v>
      </c>
      <c r="E3456" s="4">
        <v>43789</v>
      </c>
      <c r="F3456" s="4">
        <v>44409</v>
      </c>
      <c r="G3456" t="s">
        <v>6476</v>
      </c>
      <c r="H3456" t="s">
        <v>429</v>
      </c>
      <c r="K3456" t="s">
        <v>67</v>
      </c>
      <c r="L3456" t="s">
        <v>2531</v>
      </c>
      <c r="M3456" t="s">
        <v>68</v>
      </c>
      <c r="N3456" t="s">
        <v>31</v>
      </c>
      <c r="O3456" t="s">
        <v>32</v>
      </c>
      <c r="P3456" t="s">
        <v>6989</v>
      </c>
      <c r="Q3456">
        <v>100</v>
      </c>
      <c r="R3456">
        <v>100</v>
      </c>
      <c r="S3456" t="s">
        <v>34</v>
      </c>
      <c r="T3456" t="s">
        <v>35</v>
      </c>
      <c r="U3456" t="s">
        <v>36</v>
      </c>
      <c r="V3456" s="4">
        <v>44409</v>
      </c>
      <c r="W3456">
        <v>100</v>
      </c>
      <c r="X3456">
        <v>100</v>
      </c>
      <c r="Y3456">
        <v>100</v>
      </c>
      <c r="Z3456">
        <v>100</v>
      </c>
    </row>
    <row r="3457" spans="1:26" hidden="1" x14ac:dyDescent="0.25">
      <c r="A3457" t="s">
        <v>6990</v>
      </c>
      <c r="B3457" t="s">
        <v>38</v>
      </c>
      <c r="C3457" s="4">
        <v>42902</v>
      </c>
      <c r="D3457" s="4">
        <v>43472</v>
      </c>
      <c r="F3457" s="4">
        <v>43922</v>
      </c>
      <c r="G3457" t="s">
        <v>6476</v>
      </c>
      <c r="H3457" t="s">
        <v>6991</v>
      </c>
      <c r="K3457" t="s">
        <v>67</v>
      </c>
      <c r="L3457" t="s">
        <v>2531</v>
      </c>
      <c r="M3457" t="s">
        <v>68</v>
      </c>
      <c r="N3457" t="s">
        <v>31</v>
      </c>
      <c r="O3457" t="s">
        <v>122</v>
      </c>
      <c r="P3457" t="s">
        <v>6992</v>
      </c>
      <c r="Q3457">
        <v>45</v>
      </c>
      <c r="R3457">
        <v>45</v>
      </c>
      <c r="S3457" t="s">
        <v>34</v>
      </c>
      <c r="T3457" t="s">
        <v>35</v>
      </c>
      <c r="U3457" t="s">
        <v>44</v>
      </c>
      <c r="W3457">
        <v>0</v>
      </c>
      <c r="X3457">
        <v>0</v>
      </c>
      <c r="Y3457">
        <v>0</v>
      </c>
      <c r="Z3457">
        <v>0</v>
      </c>
    </row>
    <row r="3458" spans="1:26" hidden="1" x14ac:dyDescent="0.25">
      <c r="A3458" t="s">
        <v>6993</v>
      </c>
      <c r="B3458" t="s">
        <v>38</v>
      </c>
      <c r="C3458" s="4">
        <v>42902</v>
      </c>
      <c r="D3458" s="4">
        <v>43472</v>
      </c>
      <c r="F3458" s="4">
        <v>43922</v>
      </c>
      <c r="G3458" t="s">
        <v>6476</v>
      </c>
      <c r="H3458" t="s">
        <v>743</v>
      </c>
      <c r="K3458" t="s">
        <v>67</v>
      </c>
      <c r="L3458" t="s">
        <v>2531</v>
      </c>
      <c r="M3458" t="s">
        <v>68</v>
      </c>
      <c r="N3458" t="s">
        <v>31</v>
      </c>
      <c r="O3458" t="s">
        <v>122</v>
      </c>
      <c r="P3458" t="s">
        <v>6994</v>
      </c>
      <c r="Q3458">
        <v>33</v>
      </c>
      <c r="R3458">
        <v>33</v>
      </c>
      <c r="S3458" t="s">
        <v>34</v>
      </c>
      <c r="T3458" t="s">
        <v>35</v>
      </c>
      <c r="U3458" t="s">
        <v>44</v>
      </c>
      <c r="W3458">
        <v>0</v>
      </c>
      <c r="X3458">
        <v>0</v>
      </c>
      <c r="Y3458">
        <v>0</v>
      </c>
      <c r="Z3458">
        <v>0</v>
      </c>
    </row>
    <row r="3459" spans="1:26" hidden="1" x14ac:dyDescent="0.25">
      <c r="A3459" t="s">
        <v>6995</v>
      </c>
      <c r="B3459" t="s">
        <v>38</v>
      </c>
      <c r="C3459" s="4">
        <v>42902</v>
      </c>
      <c r="D3459" s="4">
        <v>43269</v>
      </c>
      <c r="F3459" s="4">
        <v>43753</v>
      </c>
      <c r="G3459" t="s">
        <v>128</v>
      </c>
      <c r="H3459" t="s">
        <v>6996</v>
      </c>
      <c r="K3459" t="s">
        <v>209</v>
      </c>
      <c r="L3459" t="s">
        <v>2531</v>
      </c>
      <c r="M3459" t="s">
        <v>42</v>
      </c>
      <c r="N3459" t="s">
        <v>31</v>
      </c>
      <c r="O3459" t="s">
        <v>32</v>
      </c>
      <c r="P3459" t="s">
        <v>6997</v>
      </c>
      <c r="Q3459">
        <v>150</v>
      </c>
      <c r="R3459">
        <v>150</v>
      </c>
      <c r="S3459" t="s">
        <v>56</v>
      </c>
      <c r="T3459" t="s">
        <v>57</v>
      </c>
      <c r="U3459" t="s">
        <v>44</v>
      </c>
      <c r="W3459">
        <v>0</v>
      </c>
      <c r="X3459">
        <v>0</v>
      </c>
      <c r="Y3459">
        <v>0</v>
      </c>
      <c r="Z3459">
        <v>0</v>
      </c>
    </row>
    <row r="3460" spans="1:26" hidden="1" x14ac:dyDescent="0.25">
      <c r="A3460" t="s">
        <v>6998</v>
      </c>
      <c r="B3460" t="s">
        <v>38</v>
      </c>
      <c r="C3460" s="4">
        <v>42902</v>
      </c>
      <c r="D3460" s="4">
        <v>45124</v>
      </c>
      <c r="E3460" s="4">
        <v>44776</v>
      </c>
      <c r="F3460" s="4">
        <v>44470</v>
      </c>
      <c r="G3460" t="s">
        <v>173</v>
      </c>
      <c r="H3460" t="s">
        <v>6999</v>
      </c>
      <c r="K3460" t="s">
        <v>185</v>
      </c>
      <c r="L3460" t="s">
        <v>2531</v>
      </c>
      <c r="M3460" t="s">
        <v>42</v>
      </c>
      <c r="N3460" t="s">
        <v>31</v>
      </c>
      <c r="O3460" t="s">
        <v>122</v>
      </c>
      <c r="P3460" t="s">
        <v>7000</v>
      </c>
      <c r="Q3460">
        <v>190</v>
      </c>
      <c r="R3460">
        <v>190</v>
      </c>
      <c r="S3460" t="s">
        <v>56</v>
      </c>
      <c r="T3460" t="s">
        <v>57</v>
      </c>
      <c r="U3460" t="s">
        <v>38</v>
      </c>
      <c r="V3460" s="4">
        <v>45566</v>
      </c>
      <c r="W3460">
        <v>190</v>
      </c>
      <c r="X3460">
        <v>190</v>
      </c>
      <c r="Y3460">
        <v>190</v>
      </c>
      <c r="Z3460">
        <v>0</v>
      </c>
    </row>
    <row r="3461" spans="1:26" hidden="1" x14ac:dyDescent="0.25">
      <c r="A3461" t="s">
        <v>7001</v>
      </c>
      <c r="B3461" t="s">
        <v>25</v>
      </c>
      <c r="C3461" s="4">
        <v>42902</v>
      </c>
      <c r="E3461" s="4">
        <v>44465</v>
      </c>
      <c r="F3461" s="4">
        <v>44470</v>
      </c>
      <c r="G3461" t="s">
        <v>871</v>
      </c>
      <c r="H3461" t="s">
        <v>1018</v>
      </c>
      <c r="K3461" t="s">
        <v>209</v>
      </c>
      <c r="L3461" t="s">
        <v>2531</v>
      </c>
      <c r="M3461" t="s">
        <v>42</v>
      </c>
      <c r="N3461" t="s">
        <v>31</v>
      </c>
      <c r="O3461" t="s">
        <v>122</v>
      </c>
      <c r="P3461" t="s">
        <v>7002</v>
      </c>
      <c r="Q3461">
        <v>100</v>
      </c>
      <c r="R3461">
        <v>100</v>
      </c>
      <c r="S3461" t="s">
        <v>56</v>
      </c>
      <c r="T3461" t="s">
        <v>57</v>
      </c>
      <c r="U3461" t="s">
        <v>70</v>
      </c>
      <c r="V3461" s="4">
        <v>45260</v>
      </c>
      <c r="W3461">
        <v>100</v>
      </c>
      <c r="X3461">
        <v>100</v>
      </c>
      <c r="Y3461">
        <v>100</v>
      </c>
      <c r="Z3461">
        <v>0</v>
      </c>
    </row>
    <row r="3462" spans="1:26" hidden="1" x14ac:dyDescent="0.25">
      <c r="A3462" t="s">
        <v>7003</v>
      </c>
      <c r="B3462" t="s">
        <v>38</v>
      </c>
      <c r="C3462" s="4">
        <v>42902</v>
      </c>
      <c r="D3462" s="4">
        <v>43549</v>
      </c>
      <c r="F3462" s="4">
        <v>43753</v>
      </c>
      <c r="G3462" t="s">
        <v>6476</v>
      </c>
      <c r="H3462" t="s">
        <v>1137</v>
      </c>
      <c r="K3462" t="s">
        <v>67</v>
      </c>
      <c r="L3462" t="s">
        <v>2531</v>
      </c>
      <c r="M3462" t="s">
        <v>68</v>
      </c>
      <c r="N3462" t="s">
        <v>31</v>
      </c>
      <c r="O3462" t="s">
        <v>32</v>
      </c>
      <c r="P3462" t="s">
        <v>7004</v>
      </c>
      <c r="Q3462">
        <v>180</v>
      </c>
      <c r="R3462">
        <v>180</v>
      </c>
      <c r="S3462" t="s">
        <v>56</v>
      </c>
      <c r="T3462" t="s">
        <v>57</v>
      </c>
      <c r="U3462" t="s">
        <v>44</v>
      </c>
      <c r="W3462">
        <v>180</v>
      </c>
      <c r="X3462">
        <v>180</v>
      </c>
      <c r="Y3462">
        <v>0</v>
      </c>
      <c r="Z3462">
        <v>0</v>
      </c>
    </row>
    <row r="3463" spans="1:26" hidden="1" x14ac:dyDescent="0.25">
      <c r="A3463" t="s">
        <v>7005</v>
      </c>
      <c r="B3463" t="s">
        <v>38</v>
      </c>
      <c r="C3463" s="4">
        <v>42902</v>
      </c>
      <c r="D3463" s="4">
        <v>43472</v>
      </c>
      <c r="F3463" s="4">
        <v>44089</v>
      </c>
      <c r="G3463" t="s">
        <v>6476</v>
      </c>
      <c r="H3463" t="s">
        <v>7006</v>
      </c>
      <c r="K3463" t="s">
        <v>146</v>
      </c>
      <c r="L3463" t="s">
        <v>2531</v>
      </c>
      <c r="M3463" t="s">
        <v>68</v>
      </c>
      <c r="N3463" t="s">
        <v>31</v>
      </c>
      <c r="O3463" t="s">
        <v>32</v>
      </c>
      <c r="P3463" t="s">
        <v>7007</v>
      </c>
      <c r="Q3463">
        <v>200</v>
      </c>
      <c r="R3463">
        <v>200</v>
      </c>
      <c r="S3463" t="s">
        <v>34</v>
      </c>
      <c r="T3463" t="s">
        <v>35</v>
      </c>
      <c r="U3463" t="s">
        <v>44</v>
      </c>
      <c r="W3463">
        <v>0</v>
      </c>
      <c r="X3463">
        <v>0</v>
      </c>
      <c r="Y3463">
        <v>0</v>
      </c>
      <c r="Z3463">
        <v>0</v>
      </c>
    </row>
    <row r="3464" spans="1:26" hidden="1" x14ac:dyDescent="0.25">
      <c r="A3464" t="s">
        <v>7008</v>
      </c>
      <c r="B3464" t="s">
        <v>38</v>
      </c>
      <c r="C3464" s="4">
        <v>42902</v>
      </c>
      <c r="D3464" s="4">
        <v>44342</v>
      </c>
      <c r="F3464" s="4">
        <v>44470</v>
      </c>
      <c r="G3464" t="s">
        <v>39</v>
      </c>
      <c r="H3464" t="s">
        <v>352</v>
      </c>
      <c r="K3464" t="s">
        <v>41</v>
      </c>
      <c r="L3464" t="s">
        <v>2531</v>
      </c>
      <c r="M3464" t="s">
        <v>42</v>
      </c>
      <c r="N3464" t="s">
        <v>31</v>
      </c>
      <c r="O3464" t="s">
        <v>122</v>
      </c>
      <c r="P3464" t="s">
        <v>7009</v>
      </c>
      <c r="Q3464">
        <v>200</v>
      </c>
      <c r="R3464">
        <v>200</v>
      </c>
      <c r="S3464" t="s">
        <v>56</v>
      </c>
      <c r="T3464" t="s">
        <v>57</v>
      </c>
      <c r="U3464" t="s">
        <v>44</v>
      </c>
      <c r="W3464">
        <v>200</v>
      </c>
      <c r="X3464">
        <v>200</v>
      </c>
      <c r="Y3464">
        <v>200</v>
      </c>
      <c r="Z3464">
        <v>0</v>
      </c>
    </row>
    <row r="3465" spans="1:26" hidden="1" x14ac:dyDescent="0.25">
      <c r="A3465" t="s">
        <v>7010</v>
      </c>
      <c r="B3465" t="s">
        <v>38</v>
      </c>
      <c r="C3465" s="4">
        <v>42902</v>
      </c>
      <c r="D3465" s="4">
        <v>43472</v>
      </c>
      <c r="F3465" s="4">
        <v>43709</v>
      </c>
      <c r="G3465" t="s">
        <v>6476</v>
      </c>
      <c r="H3465" t="s">
        <v>797</v>
      </c>
      <c r="K3465" t="s">
        <v>67</v>
      </c>
      <c r="L3465" t="s">
        <v>2531</v>
      </c>
      <c r="M3465" t="s">
        <v>68</v>
      </c>
      <c r="N3465" t="s">
        <v>31</v>
      </c>
      <c r="O3465" t="s">
        <v>32</v>
      </c>
      <c r="P3465" t="s">
        <v>7011</v>
      </c>
      <c r="Q3465">
        <v>99.96</v>
      </c>
      <c r="R3465">
        <v>99.96</v>
      </c>
      <c r="S3465" t="s">
        <v>34</v>
      </c>
      <c r="T3465" t="s">
        <v>35</v>
      </c>
      <c r="U3465" t="s">
        <v>44</v>
      </c>
      <c r="W3465">
        <v>0</v>
      </c>
      <c r="X3465">
        <v>0</v>
      </c>
      <c r="Y3465">
        <v>0</v>
      </c>
      <c r="Z3465">
        <v>0</v>
      </c>
    </row>
    <row r="3466" spans="1:26" hidden="1" x14ac:dyDescent="0.25">
      <c r="A3466" t="s">
        <v>7012</v>
      </c>
      <c r="B3466" t="s">
        <v>25</v>
      </c>
      <c r="C3466" s="4">
        <v>42902</v>
      </c>
      <c r="E3466" s="4">
        <v>43805</v>
      </c>
      <c r="F3466" s="4">
        <v>44089</v>
      </c>
      <c r="G3466" t="s">
        <v>380</v>
      </c>
      <c r="H3466" t="s">
        <v>154</v>
      </c>
      <c r="K3466" t="s">
        <v>98</v>
      </c>
      <c r="L3466" t="s">
        <v>2531</v>
      </c>
      <c r="M3466" t="s">
        <v>84</v>
      </c>
      <c r="N3466" t="s">
        <v>31</v>
      </c>
      <c r="O3466" t="s">
        <v>32</v>
      </c>
      <c r="P3466" t="s">
        <v>7013</v>
      </c>
      <c r="Q3466">
        <v>100</v>
      </c>
      <c r="R3466">
        <v>100</v>
      </c>
      <c r="S3466" t="s">
        <v>34</v>
      </c>
      <c r="T3466" t="s">
        <v>35</v>
      </c>
      <c r="U3466" t="s">
        <v>70</v>
      </c>
      <c r="V3466" s="4">
        <v>45047</v>
      </c>
      <c r="W3466">
        <v>100</v>
      </c>
      <c r="X3466">
        <v>100</v>
      </c>
      <c r="Y3466">
        <v>100</v>
      </c>
      <c r="Z3466">
        <v>100</v>
      </c>
    </row>
    <row r="3467" spans="1:26" hidden="1" x14ac:dyDescent="0.25">
      <c r="A3467" t="s">
        <v>7014</v>
      </c>
      <c r="B3467" t="s">
        <v>38</v>
      </c>
      <c r="C3467" s="4">
        <v>42902</v>
      </c>
      <c r="D3467" s="4">
        <v>43472</v>
      </c>
      <c r="F3467" s="4">
        <v>43723</v>
      </c>
      <c r="G3467" t="s">
        <v>6476</v>
      </c>
      <c r="H3467" t="s">
        <v>797</v>
      </c>
      <c r="K3467" t="s">
        <v>67</v>
      </c>
      <c r="L3467" t="s">
        <v>2531</v>
      </c>
      <c r="M3467" t="s">
        <v>68</v>
      </c>
      <c r="N3467" t="s">
        <v>31</v>
      </c>
      <c r="O3467" t="s">
        <v>32</v>
      </c>
      <c r="P3467" t="s">
        <v>7015</v>
      </c>
      <c r="Q3467">
        <v>100</v>
      </c>
      <c r="R3467">
        <v>100</v>
      </c>
      <c r="S3467" t="s">
        <v>34</v>
      </c>
      <c r="T3467" t="s">
        <v>35</v>
      </c>
      <c r="U3467" t="s">
        <v>44</v>
      </c>
      <c r="W3467">
        <v>0</v>
      </c>
      <c r="X3467">
        <v>0</v>
      </c>
      <c r="Y3467">
        <v>0</v>
      </c>
      <c r="Z3467">
        <v>0</v>
      </c>
    </row>
    <row r="3468" spans="1:26" hidden="1" x14ac:dyDescent="0.25">
      <c r="A3468" t="s">
        <v>7016</v>
      </c>
      <c r="B3468" t="s">
        <v>38</v>
      </c>
      <c r="C3468" s="4">
        <v>42902</v>
      </c>
      <c r="D3468" s="4">
        <v>44225</v>
      </c>
      <c r="F3468" s="4">
        <v>44089</v>
      </c>
      <c r="G3468" t="s">
        <v>39</v>
      </c>
      <c r="H3468" t="s">
        <v>6984</v>
      </c>
      <c r="K3468" t="s">
        <v>41</v>
      </c>
      <c r="L3468" t="s">
        <v>2531</v>
      </c>
      <c r="M3468" t="s">
        <v>42</v>
      </c>
      <c r="N3468" t="s">
        <v>31</v>
      </c>
      <c r="O3468" t="s">
        <v>32</v>
      </c>
      <c r="P3468" t="s">
        <v>43</v>
      </c>
      <c r="Q3468">
        <v>40</v>
      </c>
      <c r="R3468">
        <v>40</v>
      </c>
      <c r="S3468" t="s">
        <v>34</v>
      </c>
      <c r="T3468" t="s">
        <v>35</v>
      </c>
      <c r="U3468" t="s">
        <v>44</v>
      </c>
      <c r="W3468">
        <v>40</v>
      </c>
      <c r="X3468">
        <v>40</v>
      </c>
      <c r="Y3468">
        <v>0</v>
      </c>
      <c r="Z3468">
        <v>0</v>
      </c>
    </row>
    <row r="3469" spans="1:26" hidden="1" x14ac:dyDescent="0.25">
      <c r="A3469" t="s">
        <v>7017</v>
      </c>
      <c r="B3469" t="s">
        <v>38</v>
      </c>
      <c r="C3469" s="4">
        <v>42902</v>
      </c>
      <c r="D3469" s="4">
        <v>43868</v>
      </c>
      <c r="F3469" s="4">
        <v>44013</v>
      </c>
      <c r="G3469" t="s">
        <v>52</v>
      </c>
      <c r="H3469" t="s">
        <v>975</v>
      </c>
      <c r="K3469" t="s">
        <v>53</v>
      </c>
      <c r="L3469" t="s">
        <v>2531</v>
      </c>
      <c r="M3469" t="s">
        <v>54</v>
      </c>
      <c r="N3469" t="s">
        <v>31</v>
      </c>
      <c r="O3469" t="s">
        <v>32</v>
      </c>
      <c r="P3469" t="s">
        <v>976</v>
      </c>
      <c r="Q3469">
        <v>100</v>
      </c>
      <c r="R3469">
        <v>100</v>
      </c>
      <c r="S3469" t="s">
        <v>56</v>
      </c>
      <c r="T3469" t="s">
        <v>57</v>
      </c>
      <c r="U3469" t="s">
        <v>38</v>
      </c>
      <c r="W3469">
        <v>100</v>
      </c>
      <c r="X3469">
        <v>100</v>
      </c>
      <c r="Y3469">
        <v>100</v>
      </c>
      <c r="Z3469">
        <v>100</v>
      </c>
    </row>
    <row r="3470" spans="1:26" hidden="1" x14ac:dyDescent="0.25">
      <c r="A3470" t="s">
        <v>7018</v>
      </c>
      <c r="B3470" t="s">
        <v>25</v>
      </c>
      <c r="C3470" s="4">
        <v>42902</v>
      </c>
      <c r="E3470" s="4">
        <v>43914</v>
      </c>
      <c r="F3470" s="4">
        <v>44805</v>
      </c>
      <c r="G3470" t="s">
        <v>6476</v>
      </c>
      <c r="H3470" t="s">
        <v>225</v>
      </c>
      <c r="K3470" t="s">
        <v>67</v>
      </c>
      <c r="L3470" t="s">
        <v>2531</v>
      </c>
      <c r="M3470" t="s">
        <v>68</v>
      </c>
      <c r="N3470" t="s">
        <v>31</v>
      </c>
      <c r="O3470" t="s">
        <v>32</v>
      </c>
      <c r="P3470" t="s">
        <v>2915</v>
      </c>
      <c r="Q3470">
        <v>200</v>
      </c>
      <c r="R3470">
        <v>200</v>
      </c>
      <c r="S3470" t="s">
        <v>34</v>
      </c>
      <c r="T3470" t="s">
        <v>35</v>
      </c>
      <c r="U3470" t="s">
        <v>36</v>
      </c>
      <c r="V3470" s="4">
        <v>44713</v>
      </c>
      <c r="W3470">
        <v>100</v>
      </c>
      <c r="X3470">
        <v>100</v>
      </c>
      <c r="Y3470">
        <v>100</v>
      </c>
      <c r="Z3470">
        <v>100</v>
      </c>
    </row>
    <row r="3471" spans="1:26" hidden="1" x14ac:dyDescent="0.25">
      <c r="A3471" t="s">
        <v>7019</v>
      </c>
      <c r="B3471" t="s">
        <v>25</v>
      </c>
      <c r="C3471" s="4">
        <v>42902</v>
      </c>
      <c r="E3471" s="4">
        <v>43894</v>
      </c>
      <c r="F3471" s="4">
        <v>44440</v>
      </c>
      <c r="G3471" t="s">
        <v>6476</v>
      </c>
      <c r="H3471" t="s">
        <v>7020</v>
      </c>
      <c r="K3471" t="s">
        <v>114</v>
      </c>
      <c r="L3471" t="s">
        <v>2531</v>
      </c>
      <c r="M3471" t="s">
        <v>68</v>
      </c>
      <c r="N3471" t="s">
        <v>31</v>
      </c>
      <c r="O3471" t="s">
        <v>32</v>
      </c>
      <c r="P3471" t="s">
        <v>7021</v>
      </c>
      <c r="Q3471">
        <v>100</v>
      </c>
      <c r="R3471">
        <v>100</v>
      </c>
      <c r="S3471" t="s">
        <v>34</v>
      </c>
      <c r="T3471" t="s">
        <v>35</v>
      </c>
      <c r="U3471" t="s">
        <v>70</v>
      </c>
      <c r="V3471" s="4">
        <v>45078</v>
      </c>
      <c r="W3471">
        <v>100</v>
      </c>
      <c r="X3471">
        <v>100</v>
      </c>
      <c r="Y3471">
        <v>100</v>
      </c>
      <c r="Z3471">
        <v>100</v>
      </c>
    </row>
    <row r="3472" spans="1:26" hidden="1" x14ac:dyDescent="0.25">
      <c r="A3472" t="s">
        <v>7022</v>
      </c>
      <c r="B3472" t="s">
        <v>25</v>
      </c>
      <c r="C3472" s="4">
        <v>42902</v>
      </c>
      <c r="E3472" s="4">
        <v>43791</v>
      </c>
      <c r="F3472" s="4">
        <v>44440</v>
      </c>
      <c r="G3472" t="s">
        <v>6476</v>
      </c>
      <c r="H3472" t="s">
        <v>654</v>
      </c>
      <c r="K3472" t="s">
        <v>146</v>
      </c>
      <c r="L3472" t="s">
        <v>2531</v>
      </c>
      <c r="M3472" t="s">
        <v>68</v>
      </c>
      <c r="N3472" t="s">
        <v>31</v>
      </c>
      <c r="O3472" t="s">
        <v>32</v>
      </c>
      <c r="P3472" t="s">
        <v>7023</v>
      </c>
      <c r="Q3472">
        <v>100</v>
      </c>
      <c r="R3472">
        <v>100</v>
      </c>
      <c r="S3472" t="s">
        <v>34</v>
      </c>
      <c r="T3472" t="s">
        <v>35</v>
      </c>
      <c r="U3472" t="s">
        <v>70</v>
      </c>
      <c r="V3472" s="4">
        <v>44607</v>
      </c>
      <c r="W3472">
        <v>100</v>
      </c>
      <c r="X3472">
        <v>100</v>
      </c>
      <c r="Y3472">
        <v>100</v>
      </c>
      <c r="Z3472">
        <v>100</v>
      </c>
    </row>
    <row r="3473" spans="1:26" hidden="1" x14ac:dyDescent="0.25">
      <c r="A3473" t="s">
        <v>7024</v>
      </c>
      <c r="B3473" t="s">
        <v>38</v>
      </c>
      <c r="C3473" s="4">
        <v>42902</v>
      </c>
      <c r="D3473" s="4">
        <v>43472</v>
      </c>
      <c r="F3473" s="4">
        <v>44089</v>
      </c>
      <c r="G3473" t="s">
        <v>6476</v>
      </c>
      <c r="H3473" t="s">
        <v>435</v>
      </c>
      <c r="K3473" t="s">
        <v>114</v>
      </c>
      <c r="L3473" t="s">
        <v>2531</v>
      </c>
      <c r="M3473" t="s">
        <v>68</v>
      </c>
      <c r="N3473" t="s">
        <v>31</v>
      </c>
      <c r="O3473" t="s">
        <v>32</v>
      </c>
      <c r="P3473" t="s">
        <v>7025</v>
      </c>
      <c r="Q3473">
        <v>150</v>
      </c>
      <c r="R3473">
        <v>150</v>
      </c>
      <c r="S3473" t="s">
        <v>34</v>
      </c>
      <c r="T3473" t="s">
        <v>35</v>
      </c>
      <c r="U3473" t="s">
        <v>44</v>
      </c>
      <c r="W3473">
        <v>0</v>
      </c>
      <c r="X3473">
        <v>0</v>
      </c>
      <c r="Y3473">
        <v>0</v>
      </c>
      <c r="Z3473">
        <v>0</v>
      </c>
    </row>
    <row r="3474" spans="1:26" hidden="1" x14ac:dyDescent="0.25">
      <c r="A3474" t="s">
        <v>7026</v>
      </c>
      <c r="B3474" t="s">
        <v>38</v>
      </c>
      <c r="C3474" s="4">
        <v>42902</v>
      </c>
      <c r="D3474" s="4">
        <v>43472</v>
      </c>
      <c r="F3474" s="4">
        <v>44089</v>
      </c>
      <c r="G3474" t="s">
        <v>6476</v>
      </c>
      <c r="H3474" t="s">
        <v>605</v>
      </c>
      <c r="K3474" t="s">
        <v>151</v>
      </c>
      <c r="L3474" t="s">
        <v>2531</v>
      </c>
      <c r="M3474" t="s">
        <v>68</v>
      </c>
      <c r="N3474" t="s">
        <v>31</v>
      </c>
      <c r="O3474" t="s">
        <v>32</v>
      </c>
      <c r="P3474" t="s">
        <v>7027</v>
      </c>
      <c r="Q3474">
        <v>150</v>
      </c>
      <c r="R3474">
        <v>150</v>
      </c>
      <c r="S3474" t="s">
        <v>34</v>
      </c>
      <c r="T3474" t="s">
        <v>35</v>
      </c>
      <c r="U3474" t="s">
        <v>44</v>
      </c>
      <c r="W3474">
        <v>0</v>
      </c>
      <c r="X3474">
        <v>0</v>
      </c>
      <c r="Y3474">
        <v>0</v>
      </c>
      <c r="Z3474">
        <v>0</v>
      </c>
    </row>
    <row r="3475" spans="1:26" hidden="1" x14ac:dyDescent="0.25">
      <c r="A3475" t="s">
        <v>7028</v>
      </c>
      <c r="B3475" t="s">
        <v>25</v>
      </c>
      <c r="C3475" s="4">
        <v>42902</v>
      </c>
      <c r="E3475" s="4">
        <v>43937</v>
      </c>
      <c r="F3475" s="4">
        <v>44089</v>
      </c>
      <c r="G3475" t="s">
        <v>132</v>
      </c>
      <c r="H3475" t="s">
        <v>6828</v>
      </c>
      <c r="K3475" t="s">
        <v>83</v>
      </c>
      <c r="L3475" t="s">
        <v>2531</v>
      </c>
      <c r="M3475" t="s">
        <v>84</v>
      </c>
      <c r="N3475" t="s">
        <v>31</v>
      </c>
      <c r="O3475" t="s">
        <v>32</v>
      </c>
      <c r="P3475" t="s">
        <v>6895</v>
      </c>
      <c r="Q3475">
        <v>100</v>
      </c>
      <c r="R3475">
        <v>100</v>
      </c>
      <c r="S3475" t="s">
        <v>34</v>
      </c>
      <c r="T3475" t="s">
        <v>35</v>
      </c>
      <c r="U3475" t="s">
        <v>70</v>
      </c>
      <c r="V3475" s="4">
        <v>45184</v>
      </c>
      <c r="W3475">
        <v>100</v>
      </c>
      <c r="X3475">
        <v>100</v>
      </c>
      <c r="Y3475">
        <v>100</v>
      </c>
      <c r="Z3475">
        <v>100</v>
      </c>
    </row>
    <row r="3476" spans="1:26" hidden="1" x14ac:dyDescent="0.25">
      <c r="A3476" t="s">
        <v>7029</v>
      </c>
      <c r="B3476" t="s">
        <v>25</v>
      </c>
      <c r="C3476" s="4">
        <v>42902</v>
      </c>
      <c r="E3476" s="4">
        <v>43802</v>
      </c>
      <c r="F3476" s="4">
        <v>44044</v>
      </c>
      <c r="G3476" t="s">
        <v>254</v>
      </c>
      <c r="H3476" t="s">
        <v>429</v>
      </c>
      <c r="K3476" t="s">
        <v>98</v>
      </c>
      <c r="L3476" t="s">
        <v>2531</v>
      </c>
      <c r="M3476" t="s">
        <v>84</v>
      </c>
      <c r="N3476" t="s">
        <v>31</v>
      </c>
      <c r="O3476" t="s">
        <v>32</v>
      </c>
      <c r="P3476" t="s">
        <v>259</v>
      </c>
      <c r="Q3476">
        <v>200</v>
      </c>
      <c r="R3476">
        <v>200</v>
      </c>
      <c r="S3476" t="s">
        <v>34</v>
      </c>
      <c r="T3476" t="s">
        <v>35</v>
      </c>
      <c r="U3476" t="s">
        <v>36</v>
      </c>
      <c r="V3476" s="4">
        <v>44788</v>
      </c>
      <c r="W3476">
        <v>200</v>
      </c>
      <c r="X3476">
        <v>160</v>
      </c>
      <c r="Y3476">
        <v>200</v>
      </c>
      <c r="Z3476">
        <v>160</v>
      </c>
    </row>
    <row r="3477" spans="1:26" hidden="1" x14ac:dyDescent="0.25">
      <c r="A3477" t="s">
        <v>7030</v>
      </c>
      <c r="B3477" t="s">
        <v>38</v>
      </c>
      <c r="C3477" s="4">
        <v>42902</v>
      </c>
      <c r="D3477" s="4">
        <v>43474</v>
      </c>
      <c r="F3477" s="4">
        <v>43739</v>
      </c>
      <c r="G3477" t="s">
        <v>52</v>
      </c>
      <c r="H3477" t="s">
        <v>450</v>
      </c>
      <c r="K3477" t="s">
        <v>53</v>
      </c>
      <c r="L3477" t="s">
        <v>2531</v>
      </c>
      <c r="M3477" t="s">
        <v>54</v>
      </c>
      <c r="N3477" t="s">
        <v>31</v>
      </c>
      <c r="O3477" t="s">
        <v>32</v>
      </c>
      <c r="P3477" t="s">
        <v>7031</v>
      </c>
      <c r="Q3477">
        <v>30</v>
      </c>
      <c r="R3477">
        <v>30</v>
      </c>
      <c r="S3477" t="s">
        <v>389</v>
      </c>
      <c r="T3477" t="s">
        <v>584</v>
      </c>
      <c r="U3477" t="s">
        <v>44</v>
      </c>
      <c r="W3477">
        <v>0</v>
      </c>
      <c r="X3477">
        <v>0</v>
      </c>
      <c r="Y3477">
        <v>0</v>
      </c>
      <c r="Z3477">
        <v>0</v>
      </c>
    </row>
    <row r="3478" spans="1:26" hidden="1" x14ac:dyDescent="0.25">
      <c r="A3478" t="s">
        <v>7032</v>
      </c>
      <c r="B3478" t="s">
        <v>38</v>
      </c>
      <c r="C3478" s="4">
        <v>42902</v>
      </c>
      <c r="D3478" s="4">
        <v>43472</v>
      </c>
      <c r="F3478" s="4">
        <v>44089</v>
      </c>
      <c r="G3478" t="s">
        <v>6476</v>
      </c>
      <c r="H3478" t="s">
        <v>514</v>
      </c>
      <c r="K3478" t="s">
        <v>151</v>
      </c>
      <c r="L3478" t="s">
        <v>2531</v>
      </c>
      <c r="M3478" t="s">
        <v>68</v>
      </c>
      <c r="N3478" t="s">
        <v>31</v>
      </c>
      <c r="O3478" t="s">
        <v>32</v>
      </c>
      <c r="P3478" t="s">
        <v>7033</v>
      </c>
      <c r="Q3478">
        <v>100</v>
      </c>
      <c r="R3478">
        <v>100</v>
      </c>
      <c r="S3478" t="s">
        <v>34</v>
      </c>
      <c r="T3478" t="s">
        <v>35</v>
      </c>
      <c r="U3478" t="s">
        <v>44</v>
      </c>
      <c r="W3478">
        <v>0</v>
      </c>
      <c r="X3478">
        <v>0</v>
      </c>
      <c r="Y3478">
        <v>0</v>
      </c>
      <c r="Z3478">
        <v>0</v>
      </c>
    </row>
    <row r="3479" spans="1:26" hidden="1" x14ac:dyDescent="0.25">
      <c r="A3479" t="s">
        <v>7034</v>
      </c>
      <c r="B3479" t="s">
        <v>38</v>
      </c>
      <c r="C3479" s="4">
        <v>42902</v>
      </c>
      <c r="D3479" s="4">
        <v>44225</v>
      </c>
      <c r="F3479" s="4">
        <v>44018</v>
      </c>
      <c r="G3479" t="s">
        <v>72</v>
      </c>
      <c r="H3479" t="s">
        <v>170</v>
      </c>
      <c r="K3479" t="s">
        <v>41</v>
      </c>
      <c r="L3479" t="s">
        <v>2531</v>
      </c>
      <c r="M3479" t="s">
        <v>42</v>
      </c>
      <c r="N3479" t="s">
        <v>31</v>
      </c>
      <c r="O3479" t="s">
        <v>32</v>
      </c>
      <c r="P3479" t="s">
        <v>7035</v>
      </c>
      <c r="Q3479">
        <v>2</v>
      </c>
      <c r="R3479">
        <v>2</v>
      </c>
      <c r="S3479" t="s">
        <v>2710</v>
      </c>
      <c r="T3479" t="s">
        <v>584</v>
      </c>
      <c r="U3479" t="s">
        <v>44</v>
      </c>
      <c r="W3479">
        <v>2</v>
      </c>
      <c r="X3479">
        <v>2</v>
      </c>
      <c r="Y3479">
        <v>0</v>
      </c>
      <c r="Z3479">
        <v>0</v>
      </c>
    </row>
    <row r="3480" spans="1:26" hidden="1" x14ac:dyDescent="0.25">
      <c r="A3480" t="s">
        <v>7036</v>
      </c>
      <c r="B3480" t="s">
        <v>38</v>
      </c>
      <c r="C3480" s="4">
        <v>42902</v>
      </c>
      <c r="D3480" s="4">
        <v>43472</v>
      </c>
      <c r="F3480" s="4">
        <v>43770</v>
      </c>
      <c r="G3480" t="s">
        <v>6476</v>
      </c>
      <c r="H3480" t="s">
        <v>514</v>
      </c>
      <c r="K3480" t="s">
        <v>151</v>
      </c>
      <c r="L3480" t="s">
        <v>2531</v>
      </c>
      <c r="M3480" t="s">
        <v>68</v>
      </c>
      <c r="N3480" t="s">
        <v>31</v>
      </c>
      <c r="O3480" t="s">
        <v>32</v>
      </c>
      <c r="P3480" t="s">
        <v>7037</v>
      </c>
      <c r="Q3480">
        <v>78</v>
      </c>
      <c r="R3480">
        <v>78</v>
      </c>
      <c r="S3480" t="s">
        <v>34</v>
      </c>
      <c r="T3480" t="s">
        <v>35</v>
      </c>
      <c r="U3480" t="s">
        <v>44</v>
      </c>
      <c r="W3480">
        <v>0</v>
      </c>
      <c r="X3480">
        <v>0</v>
      </c>
      <c r="Y3480">
        <v>0</v>
      </c>
      <c r="Z3480">
        <v>0</v>
      </c>
    </row>
    <row r="3481" spans="1:26" hidden="1" x14ac:dyDescent="0.25">
      <c r="A3481" t="s">
        <v>7038</v>
      </c>
      <c r="B3481" t="s">
        <v>25</v>
      </c>
      <c r="C3481" s="4">
        <v>42902</v>
      </c>
      <c r="E3481" s="4">
        <v>43790</v>
      </c>
      <c r="F3481" s="4">
        <v>44409</v>
      </c>
      <c r="G3481" t="s">
        <v>6476</v>
      </c>
      <c r="H3481" t="s">
        <v>90</v>
      </c>
      <c r="K3481" t="s">
        <v>67</v>
      </c>
      <c r="L3481" t="s">
        <v>2531</v>
      </c>
      <c r="M3481" t="s">
        <v>68</v>
      </c>
      <c r="N3481" t="s">
        <v>31</v>
      </c>
      <c r="O3481" t="s">
        <v>32</v>
      </c>
      <c r="P3481" t="s">
        <v>7039</v>
      </c>
      <c r="Q3481">
        <v>180</v>
      </c>
      <c r="R3481">
        <v>180</v>
      </c>
      <c r="S3481" t="s">
        <v>34</v>
      </c>
      <c r="T3481" t="s">
        <v>35</v>
      </c>
      <c r="U3481" t="s">
        <v>70</v>
      </c>
      <c r="V3481" s="4">
        <v>44594</v>
      </c>
      <c r="W3481">
        <v>180</v>
      </c>
      <c r="X3481">
        <v>180</v>
      </c>
      <c r="Y3481">
        <v>180</v>
      </c>
      <c r="Z3481">
        <v>180</v>
      </c>
    </row>
    <row r="3482" spans="1:26" hidden="1" x14ac:dyDescent="0.25">
      <c r="A3482" t="s">
        <v>7040</v>
      </c>
      <c r="B3482" t="s">
        <v>38</v>
      </c>
      <c r="C3482" s="4">
        <v>42902</v>
      </c>
      <c r="D3482" s="4">
        <v>42976</v>
      </c>
      <c r="F3482" s="4">
        <v>43708</v>
      </c>
      <c r="G3482" t="s">
        <v>117</v>
      </c>
      <c r="H3482" t="s">
        <v>1092</v>
      </c>
      <c r="K3482" t="s">
        <v>83</v>
      </c>
      <c r="L3482" t="s">
        <v>2531</v>
      </c>
      <c r="M3482" t="s">
        <v>84</v>
      </c>
      <c r="N3482" t="s">
        <v>31</v>
      </c>
      <c r="O3482" t="s">
        <v>32</v>
      </c>
      <c r="P3482" t="s">
        <v>7041</v>
      </c>
      <c r="Q3482">
        <v>100</v>
      </c>
      <c r="R3482">
        <v>100</v>
      </c>
      <c r="S3482" t="s">
        <v>34</v>
      </c>
      <c r="T3482" t="s">
        <v>35</v>
      </c>
      <c r="U3482" t="s">
        <v>44</v>
      </c>
      <c r="W3482">
        <v>0</v>
      </c>
      <c r="X3482">
        <v>0</v>
      </c>
      <c r="Y3482">
        <v>0</v>
      </c>
      <c r="Z3482">
        <v>0</v>
      </c>
    </row>
    <row r="3483" spans="1:26" hidden="1" x14ac:dyDescent="0.25">
      <c r="A3483" t="s">
        <v>7042</v>
      </c>
      <c r="B3483" t="s">
        <v>38</v>
      </c>
      <c r="C3483" s="4">
        <v>42902</v>
      </c>
      <c r="D3483" s="4">
        <v>43578</v>
      </c>
      <c r="F3483" s="4">
        <v>43647</v>
      </c>
      <c r="G3483" t="s">
        <v>52</v>
      </c>
      <c r="H3483" t="s">
        <v>245</v>
      </c>
      <c r="K3483" t="s">
        <v>53</v>
      </c>
      <c r="L3483" t="s">
        <v>2531</v>
      </c>
      <c r="M3483" t="s">
        <v>54</v>
      </c>
      <c r="N3483" t="s">
        <v>31</v>
      </c>
      <c r="O3483" t="s">
        <v>32</v>
      </c>
      <c r="P3483" t="s">
        <v>7043</v>
      </c>
      <c r="Q3483">
        <v>146.69999999999999</v>
      </c>
      <c r="R3483">
        <v>146.69999999999999</v>
      </c>
      <c r="S3483" t="s">
        <v>56</v>
      </c>
      <c r="T3483" t="s">
        <v>57</v>
      </c>
      <c r="U3483" t="s">
        <v>44</v>
      </c>
      <c r="W3483">
        <v>146.69999999999999</v>
      </c>
      <c r="X3483">
        <v>146.69999999999999</v>
      </c>
      <c r="Y3483">
        <v>0</v>
      </c>
      <c r="Z3483">
        <v>0</v>
      </c>
    </row>
    <row r="3484" spans="1:26" hidden="1" x14ac:dyDescent="0.25">
      <c r="A3484" t="s">
        <v>7044</v>
      </c>
      <c r="B3484" t="s">
        <v>38</v>
      </c>
      <c r="C3484" s="4">
        <v>42902</v>
      </c>
      <c r="D3484" s="4">
        <v>43472</v>
      </c>
      <c r="F3484" s="4">
        <v>44012</v>
      </c>
      <c r="G3484" t="s">
        <v>6476</v>
      </c>
      <c r="H3484" t="s">
        <v>6650</v>
      </c>
      <c r="K3484" t="s">
        <v>67</v>
      </c>
      <c r="L3484" t="s">
        <v>2531</v>
      </c>
      <c r="M3484" t="s">
        <v>68</v>
      </c>
      <c r="N3484" t="s">
        <v>31</v>
      </c>
      <c r="O3484" t="s">
        <v>32</v>
      </c>
      <c r="P3484" t="s">
        <v>7045</v>
      </c>
      <c r="Q3484">
        <v>100</v>
      </c>
      <c r="R3484">
        <v>100</v>
      </c>
      <c r="S3484" t="s">
        <v>34</v>
      </c>
      <c r="T3484" t="s">
        <v>35</v>
      </c>
      <c r="U3484" t="s">
        <v>44</v>
      </c>
      <c r="W3484">
        <v>0</v>
      </c>
      <c r="X3484">
        <v>0</v>
      </c>
      <c r="Y3484">
        <v>0</v>
      </c>
      <c r="Z3484">
        <v>0</v>
      </c>
    </row>
    <row r="3485" spans="1:26" hidden="1" x14ac:dyDescent="0.25">
      <c r="A3485" t="s">
        <v>7046</v>
      </c>
      <c r="B3485" t="s">
        <v>38</v>
      </c>
      <c r="C3485" s="4">
        <v>42902</v>
      </c>
      <c r="D3485" s="4">
        <v>43473</v>
      </c>
      <c r="F3485" s="4">
        <v>44089</v>
      </c>
      <c r="G3485" t="s">
        <v>6476</v>
      </c>
      <c r="H3485" t="s">
        <v>605</v>
      </c>
      <c r="K3485" t="s">
        <v>151</v>
      </c>
      <c r="L3485" t="s">
        <v>2531</v>
      </c>
      <c r="M3485" t="s">
        <v>68</v>
      </c>
      <c r="N3485" t="s">
        <v>31</v>
      </c>
      <c r="O3485" t="s">
        <v>32</v>
      </c>
      <c r="P3485" t="s">
        <v>7027</v>
      </c>
      <c r="Q3485">
        <v>50</v>
      </c>
      <c r="R3485">
        <v>50</v>
      </c>
      <c r="S3485" t="s">
        <v>159</v>
      </c>
      <c r="T3485" t="s">
        <v>159</v>
      </c>
      <c r="U3485" t="s">
        <v>44</v>
      </c>
      <c r="W3485">
        <v>0</v>
      </c>
      <c r="X3485">
        <v>0</v>
      </c>
      <c r="Y3485">
        <v>0</v>
      </c>
      <c r="Z3485">
        <v>0</v>
      </c>
    </row>
    <row r="3486" spans="1:26" hidden="1" x14ac:dyDescent="0.25">
      <c r="A3486" t="s">
        <v>7047</v>
      </c>
      <c r="B3486" t="s">
        <v>38</v>
      </c>
      <c r="C3486" s="4">
        <v>42902</v>
      </c>
      <c r="D3486" s="4">
        <v>43473</v>
      </c>
      <c r="F3486" s="4">
        <v>44089</v>
      </c>
      <c r="G3486" t="s">
        <v>6476</v>
      </c>
      <c r="H3486" t="s">
        <v>225</v>
      </c>
      <c r="K3486" t="s">
        <v>67</v>
      </c>
      <c r="L3486" t="s">
        <v>2531</v>
      </c>
      <c r="M3486" t="s">
        <v>68</v>
      </c>
      <c r="N3486" t="s">
        <v>31</v>
      </c>
      <c r="O3486" t="s">
        <v>32</v>
      </c>
      <c r="P3486" t="s">
        <v>7048</v>
      </c>
      <c r="Q3486">
        <v>50</v>
      </c>
      <c r="R3486">
        <v>50</v>
      </c>
      <c r="S3486" t="s">
        <v>159</v>
      </c>
      <c r="T3486" t="s">
        <v>159</v>
      </c>
      <c r="U3486" t="s">
        <v>44</v>
      </c>
      <c r="W3486">
        <v>0</v>
      </c>
      <c r="X3486">
        <v>0</v>
      </c>
      <c r="Y3486">
        <v>0</v>
      </c>
      <c r="Z3486">
        <v>0</v>
      </c>
    </row>
    <row r="3487" spans="1:26" hidden="1" x14ac:dyDescent="0.25">
      <c r="A3487" t="s">
        <v>7049</v>
      </c>
      <c r="B3487" t="s">
        <v>38</v>
      </c>
      <c r="C3487" s="4">
        <v>42902</v>
      </c>
      <c r="D3487" s="4">
        <v>43214</v>
      </c>
      <c r="F3487" s="4">
        <v>43646</v>
      </c>
      <c r="G3487" t="s">
        <v>52</v>
      </c>
      <c r="H3487" t="s">
        <v>305</v>
      </c>
      <c r="K3487" t="s">
        <v>53</v>
      </c>
      <c r="L3487" t="s">
        <v>2531</v>
      </c>
      <c r="M3487" t="s">
        <v>54</v>
      </c>
      <c r="N3487" t="s">
        <v>31</v>
      </c>
      <c r="O3487" t="s">
        <v>32</v>
      </c>
      <c r="P3487" t="s">
        <v>7050</v>
      </c>
      <c r="Q3487">
        <v>50</v>
      </c>
      <c r="R3487">
        <v>50</v>
      </c>
      <c r="S3487" t="s">
        <v>34</v>
      </c>
      <c r="T3487" t="s">
        <v>35</v>
      </c>
      <c r="U3487" t="s">
        <v>44</v>
      </c>
      <c r="W3487">
        <v>0</v>
      </c>
      <c r="X3487">
        <v>0</v>
      </c>
      <c r="Y3487">
        <v>0</v>
      </c>
      <c r="Z3487">
        <v>0</v>
      </c>
    </row>
    <row r="3488" spans="1:26" hidden="1" x14ac:dyDescent="0.25">
      <c r="A3488" t="s">
        <v>7051</v>
      </c>
      <c r="B3488" t="s">
        <v>25</v>
      </c>
      <c r="C3488" s="4">
        <v>42902</v>
      </c>
      <c r="E3488" s="4">
        <v>44350</v>
      </c>
      <c r="F3488" s="4">
        <v>44440</v>
      </c>
      <c r="G3488" t="s">
        <v>39</v>
      </c>
      <c r="H3488" t="s">
        <v>316</v>
      </c>
      <c r="K3488" t="s">
        <v>28</v>
      </c>
      <c r="L3488" t="s">
        <v>2531</v>
      </c>
      <c r="M3488" t="s">
        <v>42</v>
      </c>
      <c r="N3488" t="s">
        <v>31</v>
      </c>
      <c r="O3488" t="s">
        <v>122</v>
      </c>
      <c r="P3488" t="s">
        <v>7052</v>
      </c>
      <c r="Q3488">
        <v>101.28</v>
      </c>
      <c r="R3488">
        <v>101.28</v>
      </c>
      <c r="S3488" t="s">
        <v>34</v>
      </c>
      <c r="T3488" t="s">
        <v>35</v>
      </c>
      <c r="U3488" t="s">
        <v>70</v>
      </c>
      <c r="V3488" s="4">
        <v>45184</v>
      </c>
      <c r="W3488">
        <v>101.28</v>
      </c>
      <c r="X3488">
        <v>101.28</v>
      </c>
      <c r="Y3488">
        <v>101.28</v>
      </c>
      <c r="Z3488">
        <v>0</v>
      </c>
    </row>
    <row r="3489" spans="1:26" x14ac:dyDescent="0.25">
      <c r="A3489" t="s">
        <v>7053</v>
      </c>
      <c r="B3489" t="s">
        <v>38</v>
      </c>
      <c r="C3489" s="4">
        <v>42902</v>
      </c>
      <c r="D3489" s="4">
        <v>44225</v>
      </c>
      <c r="F3489" s="4">
        <v>44470</v>
      </c>
      <c r="G3489" t="s">
        <v>72</v>
      </c>
      <c r="H3489" t="s">
        <v>73</v>
      </c>
      <c r="I3489" t="s">
        <v>413</v>
      </c>
      <c r="K3489" t="s">
        <v>41</v>
      </c>
      <c r="L3489" t="s">
        <v>2531</v>
      </c>
      <c r="M3489" t="s">
        <v>42</v>
      </c>
      <c r="N3489" t="s">
        <v>31</v>
      </c>
      <c r="O3489" t="s">
        <v>32</v>
      </c>
      <c r="P3489" t="s">
        <v>7054</v>
      </c>
      <c r="Q3489">
        <v>100</v>
      </c>
      <c r="R3489">
        <v>100</v>
      </c>
      <c r="S3489" t="s">
        <v>56</v>
      </c>
      <c r="T3489" t="s">
        <v>57</v>
      </c>
      <c r="U3489" t="s">
        <v>44</v>
      </c>
      <c r="W3489">
        <v>100</v>
      </c>
      <c r="X3489">
        <v>100</v>
      </c>
      <c r="Y3489">
        <v>0</v>
      </c>
      <c r="Z3489">
        <v>0</v>
      </c>
    </row>
    <row r="3490" spans="1:26" x14ac:dyDescent="0.25">
      <c r="A3490" t="s">
        <v>7055</v>
      </c>
      <c r="B3490" t="s">
        <v>25</v>
      </c>
      <c r="C3490" s="4">
        <v>42902</v>
      </c>
      <c r="E3490" s="4">
        <v>43574</v>
      </c>
      <c r="F3490" s="4">
        <v>43692</v>
      </c>
      <c r="G3490" t="s">
        <v>26</v>
      </c>
      <c r="H3490" t="s">
        <v>555</v>
      </c>
      <c r="I3490" t="s">
        <v>757</v>
      </c>
      <c r="K3490" t="s">
        <v>53</v>
      </c>
      <c r="L3490" t="s">
        <v>2531</v>
      </c>
      <c r="M3490" t="s">
        <v>54</v>
      </c>
      <c r="N3490" t="s">
        <v>31</v>
      </c>
      <c r="O3490" t="s">
        <v>32</v>
      </c>
      <c r="P3490" t="s">
        <v>7056</v>
      </c>
      <c r="Q3490">
        <v>79.989999999999995</v>
      </c>
      <c r="R3490">
        <v>79.989999999999995</v>
      </c>
      <c r="S3490" t="s">
        <v>56</v>
      </c>
      <c r="T3490" t="s">
        <v>57</v>
      </c>
      <c r="U3490" t="s">
        <v>36</v>
      </c>
      <c r="V3490" s="4">
        <v>43739</v>
      </c>
      <c r="W3490">
        <v>79.989999999999995</v>
      </c>
      <c r="X3490">
        <v>79.989999999999995</v>
      </c>
      <c r="Y3490">
        <v>79.989999999999995</v>
      </c>
      <c r="Z3490">
        <v>79.989999999999995</v>
      </c>
    </row>
    <row r="3491" spans="1:26" hidden="1" x14ac:dyDescent="0.25">
      <c r="A3491" t="s">
        <v>7057</v>
      </c>
      <c r="B3491" t="s">
        <v>38</v>
      </c>
      <c r="C3491" s="4">
        <v>42902</v>
      </c>
      <c r="D3491" s="4">
        <v>43762</v>
      </c>
      <c r="F3491" s="4">
        <v>44377</v>
      </c>
      <c r="G3491" t="s">
        <v>183</v>
      </c>
      <c r="H3491" t="s">
        <v>184</v>
      </c>
      <c r="K3491" t="s">
        <v>185</v>
      </c>
      <c r="L3491" t="s">
        <v>2531</v>
      </c>
      <c r="M3491" t="s">
        <v>42</v>
      </c>
      <c r="N3491" t="s">
        <v>31</v>
      </c>
      <c r="O3491" t="s">
        <v>32</v>
      </c>
      <c r="P3491" t="s">
        <v>7058</v>
      </c>
      <c r="Q3491">
        <v>25</v>
      </c>
      <c r="R3491">
        <v>25</v>
      </c>
      <c r="S3491" t="s">
        <v>34</v>
      </c>
      <c r="T3491" t="s">
        <v>35</v>
      </c>
      <c r="U3491" t="s">
        <v>44</v>
      </c>
      <c r="W3491">
        <v>0</v>
      </c>
      <c r="X3491">
        <v>0</v>
      </c>
      <c r="Y3491">
        <v>0</v>
      </c>
      <c r="Z3491">
        <v>0</v>
      </c>
    </row>
    <row r="3492" spans="1:26" hidden="1" x14ac:dyDescent="0.25">
      <c r="A3492" t="s">
        <v>7059</v>
      </c>
      <c r="B3492" t="s">
        <v>38</v>
      </c>
      <c r="C3492" s="4">
        <v>42902</v>
      </c>
      <c r="D3492" s="4">
        <v>43055</v>
      </c>
      <c r="F3492" s="4">
        <v>43723</v>
      </c>
      <c r="G3492" t="s">
        <v>128</v>
      </c>
      <c r="H3492" t="s">
        <v>7060</v>
      </c>
      <c r="K3492" t="s">
        <v>209</v>
      </c>
      <c r="L3492" t="s">
        <v>2531</v>
      </c>
      <c r="M3492" t="s">
        <v>42</v>
      </c>
      <c r="N3492" t="s">
        <v>31</v>
      </c>
      <c r="O3492" t="s">
        <v>32</v>
      </c>
      <c r="P3492" t="s">
        <v>7061</v>
      </c>
      <c r="Q3492">
        <v>38</v>
      </c>
      <c r="R3492">
        <v>38</v>
      </c>
      <c r="S3492" t="s">
        <v>56</v>
      </c>
      <c r="T3492" t="s">
        <v>57</v>
      </c>
      <c r="U3492" t="s">
        <v>44</v>
      </c>
      <c r="W3492">
        <v>0</v>
      </c>
      <c r="X3492">
        <v>0</v>
      </c>
      <c r="Y3492">
        <v>0</v>
      </c>
      <c r="Z3492">
        <v>0</v>
      </c>
    </row>
    <row r="3493" spans="1:26" hidden="1" x14ac:dyDescent="0.25">
      <c r="A3493" t="s">
        <v>7062</v>
      </c>
      <c r="B3493" t="s">
        <v>38</v>
      </c>
      <c r="C3493" s="4">
        <v>42902</v>
      </c>
      <c r="D3493" s="4">
        <v>43578</v>
      </c>
      <c r="F3493" s="4">
        <v>44454</v>
      </c>
      <c r="G3493" t="s">
        <v>52</v>
      </c>
      <c r="H3493" t="s">
        <v>1105</v>
      </c>
      <c r="K3493" t="s">
        <v>53</v>
      </c>
      <c r="L3493" t="s">
        <v>2531</v>
      </c>
      <c r="M3493" t="s">
        <v>54</v>
      </c>
      <c r="N3493" t="s">
        <v>31</v>
      </c>
      <c r="O3493" t="s">
        <v>32</v>
      </c>
      <c r="P3493" t="s">
        <v>7063</v>
      </c>
      <c r="Q3493">
        <v>150</v>
      </c>
      <c r="R3493">
        <v>150</v>
      </c>
      <c r="S3493" t="s">
        <v>56</v>
      </c>
      <c r="T3493" t="s">
        <v>57</v>
      </c>
      <c r="U3493" t="s">
        <v>44</v>
      </c>
      <c r="W3493">
        <v>150</v>
      </c>
      <c r="X3493">
        <v>150</v>
      </c>
      <c r="Y3493">
        <v>0</v>
      </c>
      <c r="Z3493">
        <v>0</v>
      </c>
    </row>
    <row r="3494" spans="1:26" hidden="1" x14ac:dyDescent="0.25">
      <c r="A3494" t="s">
        <v>7064</v>
      </c>
      <c r="B3494" t="s">
        <v>38</v>
      </c>
      <c r="C3494" s="4">
        <v>42902</v>
      </c>
      <c r="D3494" s="4">
        <v>43472</v>
      </c>
      <c r="F3494" s="4">
        <v>43723</v>
      </c>
      <c r="G3494" t="s">
        <v>6476</v>
      </c>
      <c r="H3494" t="s">
        <v>514</v>
      </c>
      <c r="K3494" t="s">
        <v>151</v>
      </c>
      <c r="L3494" t="s">
        <v>2531</v>
      </c>
      <c r="M3494" t="s">
        <v>68</v>
      </c>
      <c r="N3494" t="s">
        <v>31</v>
      </c>
      <c r="O3494" t="s">
        <v>32</v>
      </c>
      <c r="P3494" t="s">
        <v>7065</v>
      </c>
      <c r="Q3494">
        <v>100</v>
      </c>
      <c r="R3494">
        <v>100</v>
      </c>
      <c r="S3494" t="s">
        <v>34</v>
      </c>
      <c r="T3494" t="s">
        <v>35</v>
      </c>
      <c r="U3494" t="s">
        <v>44</v>
      </c>
      <c r="W3494">
        <v>0</v>
      </c>
      <c r="X3494">
        <v>0</v>
      </c>
      <c r="Y3494">
        <v>0</v>
      </c>
      <c r="Z3494">
        <v>0</v>
      </c>
    </row>
    <row r="3495" spans="1:26" hidden="1" x14ac:dyDescent="0.25">
      <c r="A3495" t="s">
        <v>7066</v>
      </c>
      <c r="B3495" t="s">
        <v>38</v>
      </c>
      <c r="C3495" s="4">
        <v>42902</v>
      </c>
      <c r="D3495" s="4">
        <v>44225</v>
      </c>
      <c r="F3495" s="4">
        <v>44454</v>
      </c>
      <c r="G3495" t="s">
        <v>177</v>
      </c>
      <c r="H3495" t="s">
        <v>7067</v>
      </c>
      <c r="K3495" t="s">
        <v>62</v>
      </c>
      <c r="L3495" t="s">
        <v>2531</v>
      </c>
      <c r="M3495" t="s">
        <v>42</v>
      </c>
      <c r="N3495" t="s">
        <v>31</v>
      </c>
      <c r="O3495" t="s">
        <v>32</v>
      </c>
      <c r="P3495" t="s">
        <v>7068</v>
      </c>
      <c r="Q3495">
        <v>200</v>
      </c>
      <c r="R3495">
        <v>200</v>
      </c>
      <c r="S3495" t="s">
        <v>56</v>
      </c>
      <c r="T3495" t="s">
        <v>57</v>
      </c>
      <c r="U3495" t="s">
        <v>44</v>
      </c>
      <c r="W3495">
        <v>200</v>
      </c>
      <c r="X3495">
        <v>200</v>
      </c>
      <c r="Y3495">
        <v>0</v>
      </c>
      <c r="Z3495">
        <v>0</v>
      </c>
    </row>
    <row r="3496" spans="1:26" hidden="1" x14ac:dyDescent="0.25">
      <c r="A3496" t="s">
        <v>7069</v>
      </c>
      <c r="B3496" t="s">
        <v>25</v>
      </c>
      <c r="C3496" s="4">
        <v>42902</v>
      </c>
      <c r="E3496" s="4">
        <v>43889</v>
      </c>
      <c r="F3496" s="4">
        <v>44440</v>
      </c>
      <c r="G3496" t="s">
        <v>6476</v>
      </c>
      <c r="H3496" t="s">
        <v>66</v>
      </c>
      <c r="K3496" t="s">
        <v>67</v>
      </c>
      <c r="L3496" t="s">
        <v>2531</v>
      </c>
      <c r="M3496" t="s">
        <v>68</v>
      </c>
      <c r="N3496" t="s">
        <v>31</v>
      </c>
      <c r="O3496" t="s">
        <v>32</v>
      </c>
      <c r="P3496" t="s">
        <v>7070</v>
      </c>
      <c r="Q3496">
        <v>200</v>
      </c>
      <c r="R3496">
        <v>200</v>
      </c>
      <c r="S3496" t="s">
        <v>34</v>
      </c>
      <c r="T3496" t="s">
        <v>35</v>
      </c>
      <c r="U3496" t="s">
        <v>70</v>
      </c>
      <c r="V3496" s="4">
        <v>44713</v>
      </c>
      <c r="W3496">
        <v>180</v>
      </c>
      <c r="X3496">
        <v>180</v>
      </c>
      <c r="Y3496">
        <v>180</v>
      </c>
      <c r="Z3496">
        <v>180</v>
      </c>
    </row>
    <row r="3497" spans="1:26" hidden="1" x14ac:dyDescent="0.25">
      <c r="A3497" t="s">
        <v>7071</v>
      </c>
      <c r="B3497" t="s">
        <v>38</v>
      </c>
      <c r="C3497" s="4">
        <v>42902</v>
      </c>
      <c r="D3497" s="4">
        <v>43500</v>
      </c>
      <c r="F3497" s="4">
        <v>44089</v>
      </c>
      <c r="G3497" t="s">
        <v>1597</v>
      </c>
      <c r="H3497" t="s">
        <v>7072</v>
      </c>
      <c r="K3497" t="s">
        <v>41</v>
      </c>
      <c r="L3497" t="s">
        <v>2531</v>
      </c>
      <c r="M3497" t="s">
        <v>42</v>
      </c>
      <c r="N3497" t="s">
        <v>31</v>
      </c>
      <c r="O3497" t="s">
        <v>32</v>
      </c>
      <c r="P3497" t="s">
        <v>7073</v>
      </c>
      <c r="Q3497">
        <v>200</v>
      </c>
      <c r="R3497">
        <v>200</v>
      </c>
      <c r="S3497" t="s">
        <v>34</v>
      </c>
      <c r="T3497" t="s">
        <v>35</v>
      </c>
      <c r="U3497" t="s">
        <v>44</v>
      </c>
      <c r="W3497">
        <v>0</v>
      </c>
      <c r="X3497">
        <v>0</v>
      </c>
      <c r="Y3497">
        <v>0</v>
      </c>
      <c r="Z3497">
        <v>0</v>
      </c>
    </row>
    <row r="3498" spans="1:26" hidden="1" x14ac:dyDescent="0.25">
      <c r="A3498" t="s">
        <v>7074</v>
      </c>
      <c r="B3498" t="s">
        <v>38</v>
      </c>
      <c r="C3498" s="4">
        <v>42902</v>
      </c>
      <c r="D3498" s="4">
        <v>43474</v>
      </c>
      <c r="F3498" s="4">
        <v>43952</v>
      </c>
      <c r="G3498" t="s">
        <v>52</v>
      </c>
      <c r="H3498" t="s">
        <v>722</v>
      </c>
      <c r="K3498" t="s">
        <v>53</v>
      </c>
      <c r="L3498" t="s">
        <v>2531</v>
      </c>
      <c r="M3498" t="s">
        <v>54</v>
      </c>
      <c r="N3498" t="s">
        <v>31</v>
      </c>
      <c r="O3498" t="s">
        <v>32</v>
      </c>
      <c r="P3498" t="s">
        <v>7075</v>
      </c>
      <c r="Q3498">
        <v>507</v>
      </c>
      <c r="R3498">
        <v>535</v>
      </c>
      <c r="S3498" t="s">
        <v>390</v>
      </c>
      <c r="T3498" t="s">
        <v>390</v>
      </c>
      <c r="U3498" t="s">
        <v>44</v>
      </c>
      <c r="W3498">
        <v>0</v>
      </c>
      <c r="X3498">
        <v>0</v>
      </c>
      <c r="Y3498">
        <v>0</v>
      </c>
      <c r="Z3498">
        <v>0</v>
      </c>
    </row>
    <row r="3499" spans="1:26" hidden="1" x14ac:dyDescent="0.25">
      <c r="A3499" t="s">
        <v>7076</v>
      </c>
      <c r="B3499" t="s">
        <v>38</v>
      </c>
      <c r="C3499" s="4">
        <v>42902</v>
      </c>
      <c r="D3499" s="4">
        <v>44125</v>
      </c>
      <c r="E3499" s="4">
        <v>43993</v>
      </c>
      <c r="F3499" s="4">
        <v>43952</v>
      </c>
      <c r="G3499" t="s">
        <v>52</v>
      </c>
      <c r="H3499" t="s">
        <v>722</v>
      </c>
      <c r="K3499" t="s">
        <v>53</v>
      </c>
      <c r="L3499" t="s">
        <v>2531</v>
      </c>
      <c r="M3499" t="s">
        <v>54</v>
      </c>
      <c r="N3499" t="s">
        <v>31</v>
      </c>
      <c r="O3499" t="s">
        <v>32</v>
      </c>
      <c r="P3499" t="s">
        <v>7075</v>
      </c>
      <c r="Q3499">
        <v>507</v>
      </c>
      <c r="R3499">
        <v>535</v>
      </c>
      <c r="S3499" t="s">
        <v>390</v>
      </c>
      <c r="T3499" t="s">
        <v>390</v>
      </c>
      <c r="U3499" t="s">
        <v>38</v>
      </c>
      <c r="V3499" s="4">
        <v>44924</v>
      </c>
      <c r="W3499">
        <v>535</v>
      </c>
      <c r="X3499">
        <v>535</v>
      </c>
      <c r="Y3499">
        <v>535</v>
      </c>
      <c r="Z3499">
        <v>507</v>
      </c>
    </row>
    <row r="3500" spans="1:26" hidden="1" x14ac:dyDescent="0.25">
      <c r="A3500" t="s">
        <v>7077</v>
      </c>
      <c r="B3500" t="s">
        <v>38</v>
      </c>
      <c r="C3500" s="4">
        <v>42902</v>
      </c>
      <c r="D3500" s="4">
        <v>43017</v>
      </c>
      <c r="F3500" s="4">
        <v>43723</v>
      </c>
      <c r="G3500" t="s">
        <v>128</v>
      </c>
      <c r="H3500" t="s">
        <v>773</v>
      </c>
      <c r="K3500" t="s">
        <v>209</v>
      </c>
      <c r="L3500" t="s">
        <v>2531</v>
      </c>
      <c r="M3500" t="s">
        <v>42</v>
      </c>
      <c r="N3500" t="s">
        <v>31</v>
      </c>
      <c r="O3500" t="s">
        <v>32</v>
      </c>
      <c r="P3500" t="s">
        <v>7078</v>
      </c>
      <c r="Q3500">
        <v>50</v>
      </c>
      <c r="R3500">
        <v>50</v>
      </c>
      <c r="S3500" t="s">
        <v>56</v>
      </c>
      <c r="T3500" t="s">
        <v>57</v>
      </c>
      <c r="U3500" t="s">
        <v>44</v>
      </c>
      <c r="W3500">
        <v>0</v>
      </c>
      <c r="X3500">
        <v>0</v>
      </c>
      <c r="Y3500">
        <v>0</v>
      </c>
      <c r="Z3500">
        <v>0</v>
      </c>
    </row>
    <row r="3501" spans="1:26" hidden="1" x14ac:dyDescent="0.25">
      <c r="A3501" t="s">
        <v>7079</v>
      </c>
      <c r="B3501" t="s">
        <v>38</v>
      </c>
      <c r="C3501" s="4">
        <v>42902</v>
      </c>
      <c r="D3501" s="4">
        <v>43385</v>
      </c>
      <c r="F3501" s="4">
        <v>43723</v>
      </c>
      <c r="G3501" t="s">
        <v>128</v>
      </c>
      <c r="H3501" t="s">
        <v>1157</v>
      </c>
      <c r="K3501" t="s">
        <v>209</v>
      </c>
      <c r="L3501" t="s">
        <v>2531</v>
      </c>
      <c r="M3501" t="s">
        <v>42</v>
      </c>
      <c r="N3501" t="s">
        <v>31</v>
      </c>
      <c r="O3501" t="s">
        <v>32</v>
      </c>
      <c r="P3501" t="s">
        <v>7080</v>
      </c>
      <c r="Q3501">
        <v>38</v>
      </c>
      <c r="R3501">
        <v>38</v>
      </c>
      <c r="S3501" t="s">
        <v>56</v>
      </c>
      <c r="T3501" t="s">
        <v>57</v>
      </c>
      <c r="U3501" t="s">
        <v>44</v>
      </c>
      <c r="W3501">
        <v>0</v>
      </c>
      <c r="X3501">
        <v>0</v>
      </c>
      <c r="Y3501">
        <v>0</v>
      </c>
      <c r="Z3501">
        <v>0</v>
      </c>
    </row>
    <row r="3502" spans="1:26" hidden="1" x14ac:dyDescent="0.25">
      <c r="A3502" t="s">
        <v>7081</v>
      </c>
      <c r="B3502" t="s">
        <v>38</v>
      </c>
      <c r="C3502" s="4">
        <v>42902</v>
      </c>
      <c r="D3502" s="4">
        <v>43502</v>
      </c>
      <c r="F3502" s="4">
        <v>43723</v>
      </c>
      <c r="G3502" t="s">
        <v>177</v>
      </c>
      <c r="H3502" t="s">
        <v>6603</v>
      </c>
      <c r="K3502" t="s">
        <v>185</v>
      </c>
      <c r="L3502" t="s">
        <v>2531</v>
      </c>
      <c r="M3502" t="s">
        <v>42</v>
      </c>
      <c r="N3502" t="s">
        <v>31</v>
      </c>
      <c r="O3502" t="s">
        <v>32</v>
      </c>
      <c r="P3502" t="s">
        <v>7082</v>
      </c>
      <c r="Q3502">
        <v>100</v>
      </c>
      <c r="R3502">
        <v>100</v>
      </c>
      <c r="S3502" t="s">
        <v>56</v>
      </c>
      <c r="T3502" t="s">
        <v>57</v>
      </c>
      <c r="U3502" t="s">
        <v>44</v>
      </c>
      <c r="W3502">
        <v>0</v>
      </c>
      <c r="X3502">
        <v>0</v>
      </c>
      <c r="Y3502">
        <v>0</v>
      </c>
      <c r="Z3502">
        <v>0</v>
      </c>
    </row>
    <row r="3503" spans="1:26" hidden="1" x14ac:dyDescent="0.25">
      <c r="A3503" t="s">
        <v>7083</v>
      </c>
      <c r="B3503" t="s">
        <v>38</v>
      </c>
      <c r="C3503" s="4">
        <v>42902</v>
      </c>
      <c r="D3503" s="4">
        <v>43405</v>
      </c>
      <c r="F3503" s="4">
        <v>44013</v>
      </c>
      <c r="G3503" t="s">
        <v>177</v>
      </c>
      <c r="H3503" t="s">
        <v>27</v>
      </c>
      <c r="K3503" t="s">
        <v>62</v>
      </c>
      <c r="L3503" t="s">
        <v>2531</v>
      </c>
      <c r="M3503" t="s">
        <v>42</v>
      </c>
      <c r="N3503" t="s">
        <v>31</v>
      </c>
      <c r="O3503" t="s">
        <v>32</v>
      </c>
      <c r="P3503" t="s">
        <v>7084</v>
      </c>
      <c r="Q3503">
        <v>200</v>
      </c>
      <c r="R3503">
        <v>200</v>
      </c>
      <c r="S3503" t="s">
        <v>56</v>
      </c>
      <c r="T3503" t="s">
        <v>57</v>
      </c>
      <c r="U3503" t="s">
        <v>44</v>
      </c>
      <c r="W3503">
        <v>0</v>
      </c>
      <c r="X3503">
        <v>0</v>
      </c>
      <c r="Y3503">
        <v>0</v>
      </c>
      <c r="Z3503">
        <v>0</v>
      </c>
    </row>
    <row r="3504" spans="1:26" hidden="1" x14ac:dyDescent="0.25">
      <c r="A3504" t="s">
        <v>7085</v>
      </c>
      <c r="B3504" t="s">
        <v>38</v>
      </c>
      <c r="C3504" s="4">
        <v>42902</v>
      </c>
      <c r="D3504" s="4">
        <v>43549</v>
      </c>
      <c r="F3504" s="4">
        <v>44409</v>
      </c>
      <c r="G3504" t="s">
        <v>6476</v>
      </c>
      <c r="H3504" t="s">
        <v>313</v>
      </c>
      <c r="K3504" t="s">
        <v>67</v>
      </c>
      <c r="L3504" t="s">
        <v>2531</v>
      </c>
      <c r="M3504" t="s">
        <v>68</v>
      </c>
      <c r="N3504" t="s">
        <v>31</v>
      </c>
      <c r="O3504" t="s">
        <v>32</v>
      </c>
      <c r="P3504" t="s">
        <v>7086</v>
      </c>
      <c r="Q3504">
        <v>107</v>
      </c>
      <c r="R3504">
        <v>107</v>
      </c>
      <c r="S3504" t="s">
        <v>34</v>
      </c>
      <c r="T3504" t="s">
        <v>35</v>
      </c>
      <c r="U3504" t="s">
        <v>44</v>
      </c>
      <c r="W3504">
        <v>107</v>
      </c>
      <c r="X3504">
        <v>107</v>
      </c>
      <c r="Y3504">
        <v>0</v>
      </c>
      <c r="Z3504">
        <v>0</v>
      </c>
    </row>
    <row r="3505" spans="1:26" hidden="1" x14ac:dyDescent="0.25">
      <c r="A3505" t="s">
        <v>7087</v>
      </c>
      <c r="B3505" t="s">
        <v>38</v>
      </c>
      <c r="C3505" s="4">
        <v>42902</v>
      </c>
      <c r="D3505" s="4">
        <v>43536</v>
      </c>
      <c r="F3505" s="4">
        <v>44104</v>
      </c>
      <c r="G3505" t="s">
        <v>39</v>
      </c>
      <c r="H3505" t="s">
        <v>40</v>
      </c>
      <c r="K3505" t="s">
        <v>41</v>
      </c>
      <c r="L3505" t="s">
        <v>2531</v>
      </c>
      <c r="M3505" t="s">
        <v>42</v>
      </c>
      <c r="N3505" t="s">
        <v>31</v>
      </c>
      <c r="O3505" t="s">
        <v>32</v>
      </c>
      <c r="P3505" t="s">
        <v>7088</v>
      </c>
      <c r="Q3505">
        <v>200</v>
      </c>
      <c r="R3505">
        <v>200</v>
      </c>
      <c r="S3505" t="s">
        <v>56</v>
      </c>
      <c r="T3505" t="s">
        <v>57</v>
      </c>
      <c r="U3505" t="s">
        <v>44</v>
      </c>
      <c r="W3505">
        <v>0</v>
      </c>
      <c r="X3505">
        <v>0</v>
      </c>
      <c r="Y3505">
        <v>0</v>
      </c>
      <c r="Z3505">
        <v>0</v>
      </c>
    </row>
    <row r="3506" spans="1:26" hidden="1" x14ac:dyDescent="0.25">
      <c r="A3506" t="s">
        <v>7089</v>
      </c>
      <c r="B3506" t="s">
        <v>25</v>
      </c>
      <c r="C3506" s="4">
        <v>42902</v>
      </c>
      <c r="E3506" s="4">
        <v>43816</v>
      </c>
      <c r="F3506" s="4">
        <v>44440</v>
      </c>
      <c r="G3506" t="s">
        <v>6476</v>
      </c>
      <c r="H3506" t="s">
        <v>7090</v>
      </c>
      <c r="K3506" t="s">
        <v>109</v>
      </c>
      <c r="L3506" t="s">
        <v>2531</v>
      </c>
      <c r="M3506" t="s">
        <v>68</v>
      </c>
      <c r="N3506" t="s">
        <v>31</v>
      </c>
      <c r="O3506" t="s">
        <v>32</v>
      </c>
      <c r="P3506" t="s">
        <v>7091</v>
      </c>
      <c r="Q3506">
        <v>200</v>
      </c>
      <c r="R3506">
        <v>200</v>
      </c>
      <c r="S3506" t="s">
        <v>34</v>
      </c>
      <c r="T3506" t="s">
        <v>35</v>
      </c>
      <c r="U3506" t="s">
        <v>36</v>
      </c>
      <c r="V3506" s="4">
        <v>44835</v>
      </c>
      <c r="W3506">
        <v>200</v>
      </c>
      <c r="X3506">
        <v>200</v>
      </c>
      <c r="Y3506">
        <v>200</v>
      </c>
      <c r="Z3506">
        <v>200</v>
      </c>
    </row>
    <row r="3507" spans="1:26" hidden="1" x14ac:dyDescent="0.25">
      <c r="A3507" t="s">
        <v>7092</v>
      </c>
      <c r="B3507" t="s">
        <v>38</v>
      </c>
      <c r="C3507" s="4">
        <v>42902</v>
      </c>
      <c r="D3507" s="4">
        <v>43472</v>
      </c>
      <c r="F3507" s="4">
        <v>43723</v>
      </c>
      <c r="G3507" t="s">
        <v>6476</v>
      </c>
      <c r="H3507" t="s">
        <v>166</v>
      </c>
      <c r="K3507" t="s">
        <v>114</v>
      </c>
      <c r="L3507" t="s">
        <v>2531</v>
      </c>
      <c r="M3507" t="s">
        <v>68</v>
      </c>
      <c r="N3507" t="s">
        <v>31</v>
      </c>
      <c r="O3507" t="s">
        <v>32</v>
      </c>
      <c r="P3507" t="s">
        <v>7093</v>
      </c>
      <c r="Q3507">
        <v>200</v>
      </c>
      <c r="R3507">
        <v>200</v>
      </c>
      <c r="S3507" t="s">
        <v>34</v>
      </c>
      <c r="T3507" t="s">
        <v>35</v>
      </c>
      <c r="U3507" t="s">
        <v>44</v>
      </c>
      <c r="W3507">
        <v>0</v>
      </c>
      <c r="X3507">
        <v>0</v>
      </c>
      <c r="Y3507">
        <v>0</v>
      </c>
      <c r="Z3507">
        <v>0</v>
      </c>
    </row>
    <row r="3508" spans="1:26" hidden="1" x14ac:dyDescent="0.25">
      <c r="A3508" t="s">
        <v>7094</v>
      </c>
      <c r="B3508" t="s">
        <v>38</v>
      </c>
      <c r="C3508" s="4">
        <v>42902</v>
      </c>
      <c r="D3508" s="4">
        <v>44342</v>
      </c>
      <c r="F3508" s="4">
        <v>44043</v>
      </c>
      <c r="G3508" t="s">
        <v>39</v>
      </c>
      <c r="H3508" t="s">
        <v>275</v>
      </c>
      <c r="K3508" t="s">
        <v>185</v>
      </c>
      <c r="L3508" t="s">
        <v>2531</v>
      </c>
      <c r="M3508" t="s">
        <v>42</v>
      </c>
      <c r="N3508" t="s">
        <v>31</v>
      </c>
      <c r="O3508" t="s">
        <v>32</v>
      </c>
      <c r="P3508" t="s">
        <v>360</v>
      </c>
      <c r="Q3508">
        <v>200</v>
      </c>
      <c r="R3508">
        <v>200</v>
      </c>
      <c r="S3508" t="s">
        <v>34</v>
      </c>
      <c r="T3508" t="s">
        <v>35</v>
      </c>
      <c r="U3508" t="s">
        <v>44</v>
      </c>
      <c r="W3508">
        <v>200</v>
      </c>
      <c r="X3508">
        <v>200</v>
      </c>
      <c r="Y3508">
        <v>200</v>
      </c>
      <c r="Z3508">
        <v>200</v>
      </c>
    </row>
    <row r="3509" spans="1:26" hidden="1" x14ac:dyDescent="0.25">
      <c r="A3509" t="s">
        <v>7095</v>
      </c>
      <c r="B3509" t="s">
        <v>25</v>
      </c>
      <c r="C3509" s="4">
        <v>42902</v>
      </c>
      <c r="E3509" s="4">
        <v>43938</v>
      </c>
      <c r="F3509" s="4">
        <v>43723</v>
      </c>
      <c r="G3509" t="s">
        <v>26</v>
      </c>
      <c r="H3509" t="s">
        <v>27</v>
      </c>
      <c r="K3509" t="s">
        <v>28</v>
      </c>
      <c r="L3509" t="s">
        <v>2531</v>
      </c>
      <c r="M3509" t="s">
        <v>30</v>
      </c>
      <c r="N3509" t="s">
        <v>31</v>
      </c>
      <c r="O3509" t="s">
        <v>32</v>
      </c>
      <c r="P3509" t="s">
        <v>7096</v>
      </c>
      <c r="Q3509">
        <v>200</v>
      </c>
      <c r="R3509">
        <v>200</v>
      </c>
      <c r="S3509" t="s">
        <v>34</v>
      </c>
      <c r="T3509" t="s">
        <v>35</v>
      </c>
      <c r="U3509" t="s">
        <v>36</v>
      </c>
      <c r="V3509" s="4">
        <v>45108</v>
      </c>
      <c r="W3509">
        <v>200</v>
      </c>
      <c r="X3509">
        <v>200</v>
      </c>
      <c r="Y3509">
        <v>200</v>
      </c>
      <c r="Z3509">
        <v>200</v>
      </c>
    </row>
    <row r="3510" spans="1:26" hidden="1" x14ac:dyDescent="0.25">
      <c r="A3510" t="s">
        <v>7097</v>
      </c>
      <c r="B3510" t="s">
        <v>38</v>
      </c>
      <c r="C3510" s="4">
        <v>42902</v>
      </c>
      <c r="D3510" s="4">
        <v>43472</v>
      </c>
      <c r="F3510" s="4">
        <v>43983</v>
      </c>
      <c r="G3510" t="s">
        <v>6476</v>
      </c>
      <c r="H3510" t="s">
        <v>7098</v>
      </c>
      <c r="K3510" t="s">
        <v>67</v>
      </c>
      <c r="L3510" t="s">
        <v>2531</v>
      </c>
      <c r="M3510" t="s">
        <v>68</v>
      </c>
      <c r="N3510" t="s">
        <v>31</v>
      </c>
      <c r="O3510" t="s">
        <v>122</v>
      </c>
      <c r="P3510" t="s">
        <v>7099</v>
      </c>
      <c r="Q3510">
        <v>100</v>
      </c>
      <c r="R3510">
        <v>100</v>
      </c>
      <c r="S3510" t="s">
        <v>34</v>
      </c>
      <c r="T3510" t="s">
        <v>35</v>
      </c>
      <c r="U3510" t="s">
        <v>44</v>
      </c>
      <c r="W3510">
        <v>0</v>
      </c>
      <c r="X3510">
        <v>0</v>
      </c>
      <c r="Y3510">
        <v>0</v>
      </c>
      <c r="Z3510">
        <v>0</v>
      </c>
    </row>
    <row r="3511" spans="1:26" hidden="1" x14ac:dyDescent="0.25">
      <c r="A3511" t="s">
        <v>7100</v>
      </c>
      <c r="B3511" t="s">
        <v>25</v>
      </c>
      <c r="C3511" s="4">
        <v>42902</v>
      </c>
      <c r="E3511" s="4">
        <v>43809</v>
      </c>
      <c r="F3511" s="4">
        <v>44074</v>
      </c>
      <c r="G3511" t="s">
        <v>132</v>
      </c>
      <c r="H3511" t="s">
        <v>686</v>
      </c>
      <c r="K3511" t="s">
        <v>83</v>
      </c>
      <c r="L3511" t="s">
        <v>2531</v>
      </c>
      <c r="M3511" t="s">
        <v>84</v>
      </c>
      <c r="N3511" t="s">
        <v>31</v>
      </c>
      <c r="O3511" t="s">
        <v>32</v>
      </c>
      <c r="P3511" t="s">
        <v>7101</v>
      </c>
      <c r="Q3511">
        <v>200</v>
      </c>
      <c r="R3511">
        <v>200</v>
      </c>
      <c r="S3511" t="s">
        <v>34</v>
      </c>
      <c r="T3511" t="s">
        <v>35</v>
      </c>
      <c r="U3511" t="s">
        <v>36</v>
      </c>
      <c r="V3511" s="4">
        <v>44135</v>
      </c>
      <c r="W3511">
        <v>200</v>
      </c>
      <c r="X3511">
        <v>170</v>
      </c>
      <c r="Y3511">
        <v>200</v>
      </c>
      <c r="Z3511">
        <v>170</v>
      </c>
    </row>
    <row r="3512" spans="1:26" hidden="1" x14ac:dyDescent="0.25">
      <c r="A3512" t="s">
        <v>7102</v>
      </c>
      <c r="B3512" t="s">
        <v>38</v>
      </c>
      <c r="C3512" s="4">
        <v>43133</v>
      </c>
      <c r="D3512" s="4">
        <v>43915</v>
      </c>
      <c r="F3512" s="4">
        <v>43419</v>
      </c>
      <c r="G3512" t="s">
        <v>177</v>
      </c>
      <c r="H3512" t="s">
        <v>7103</v>
      </c>
      <c r="K3512" t="s">
        <v>41</v>
      </c>
      <c r="L3512" t="s">
        <v>29</v>
      </c>
      <c r="M3512" t="s">
        <v>42</v>
      </c>
      <c r="N3512" t="s">
        <v>31</v>
      </c>
      <c r="O3512" t="s">
        <v>122</v>
      </c>
      <c r="P3512" t="s">
        <v>7104</v>
      </c>
      <c r="Q3512">
        <v>80</v>
      </c>
      <c r="R3512">
        <v>80</v>
      </c>
      <c r="S3512" t="s">
        <v>56</v>
      </c>
      <c r="T3512" t="s">
        <v>57</v>
      </c>
      <c r="U3512" t="s">
        <v>44</v>
      </c>
      <c r="W3512">
        <v>0</v>
      </c>
      <c r="X3512">
        <v>0</v>
      </c>
      <c r="Y3512">
        <v>0</v>
      </c>
      <c r="Z3512">
        <v>0</v>
      </c>
    </row>
    <row r="3513" spans="1:26" hidden="1" x14ac:dyDescent="0.25">
      <c r="A3513" t="s">
        <v>7105</v>
      </c>
      <c r="B3513" t="s">
        <v>38</v>
      </c>
      <c r="C3513" s="4">
        <v>43136</v>
      </c>
      <c r="D3513" s="4">
        <v>44264</v>
      </c>
      <c r="F3513" s="4">
        <v>44805</v>
      </c>
      <c r="G3513" t="s">
        <v>183</v>
      </c>
      <c r="H3513" t="s">
        <v>7106</v>
      </c>
      <c r="K3513" t="s">
        <v>62</v>
      </c>
      <c r="L3513" t="s">
        <v>29</v>
      </c>
      <c r="M3513" t="s">
        <v>42</v>
      </c>
      <c r="N3513" t="s">
        <v>31</v>
      </c>
      <c r="O3513" t="s">
        <v>122</v>
      </c>
      <c r="P3513" t="s">
        <v>7107</v>
      </c>
      <c r="Q3513">
        <v>54</v>
      </c>
      <c r="R3513">
        <v>54</v>
      </c>
      <c r="S3513" t="s">
        <v>56</v>
      </c>
      <c r="T3513" t="s">
        <v>57</v>
      </c>
      <c r="U3513" t="s">
        <v>44</v>
      </c>
      <c r="W3513">
        <v>54</v>
      </c>
      <c r="X3513">
        <v>54</v>
      </c>
      <c r="Y3513">
        <v>0</v>
      </c>
      <c r="Z3513">
        <v>0</v>
      </c>
    </row>
    <row r="3514" spans="1:26" hidden="1" x14ac:dyDescent="0.25">
      <c r="A3514" t="s">
        <v>7108</v>
      </c>
      <c r="B3514" t="s">
        <v>25</v>
      </c>
      <c r="C3514" s="4">
        <v>43167</v>
      </c>
      <c r="E3514" s="4">
        <v>44785</v>
      </c>
      <c r="F3514" s="4">
        <v>38718</v>
      </c>
      <c r="G3514" t="s">
        <v>72</v>
      </c>
      <c r="H3514" t="s">
        <v>7109</v>
      </c>
      <c r="K3514" t="s">
        <v>209</v>
      </c>
      <c r="L3514" t="s">
        <v>29</v>
      </c>
      <c r="M3514" t="s">
        <v>42</v>
      </c>
      <c r="N3514" t="s">
        <v>31</v>
      </c>
      <c r="O3514" t="s">
        <v>251</v>
      </c>
      <c r="P3514" t="s">
        <v>7110</v>
      </c>
      <c r="Q3514">
        <v>1.83</v>
      </c>
      <c r="R3514">
        <v>2</v>
      </c>
      <c r="S3514" t="s">
        <v>2710</v>
      </c>
      <c r="T3514" t="s">
        <v>2129</v>
      </c>
      <c r="U3514" t="s">
        <v>44</v>
      </c>
      <c r="W3514">
        <v>1.83</v>
      </c>
      <c r="X3514">
        <v>2</v>
      </c>
      <c r="Y3514">
        <v>1.83</v>
      </c>
      <c r="Z3514">
        <v>2</v>
      </c>
    </row>
    <row r="3515" spans="1:26" hidden="1" x14ac:dyDescent="0.25">
      <c r="A3515" t="s">
        <v>7111</v>
      </c>
      <c r="B3515" t="s">
        <v>25</v>
      </c>
      <c r="C3515" s="4">
        <v>43167</v>
      </c>
      <c r="E3515" s="4">
        <v>44785</v>
      </c>
      <c r="F3515" s="4">
        <v>42673</v>
      </c>
      <c r="G3515" t="s">
        <v>72</v>
      </c>
      <c r="H3515" t="s">
        <v>7109</v>
      </c>
      <c r="K3515" t="s">
        <v>209</v>
      </c>
      <c r="L3515" t="s">
        <v>29</v>
      </c>
      <c r="M3515" t="s">
        <v>42</v>
      </c>
      <c r="N3515" t="s">
        <v>31</v>
      </c>
      <c r="O3515" t="s">
        <v>251</v>
      </c>
      <c r="P3515" t="s">
        <v>7110</v>
      </c>
      <c r="Q3515">
        <v>1.4</v>
      </c>
      <c r="R3515">
        <v>1.4</v>
      </c>
      <c r="S3515" t="s">
        <v>34</v>
      </c>
      <c r="T3515" t="s">
        <v>35</v>
      </c>
      <c r="U3515" t="s">
        <v>44</v>
      </c>
      <c r="W3515">
        <v>1.4</v>
      </c>
      <c r="X3515">
        <v>1.4</v>
      </c>
      <c r="Y3515">
        <v>1.4</v>
      </c>
      <c r="Z3515">
        <v>1.4</v>
      </c>
    </row>
    <row r="3516" spans="1:26" hidden="1" x14ac:dyDescent="0.25">
      <c r="A3516" t="s">
        <v>7112</v>
      </c>
      <c r="B3516" t="s">
        <v>25</v>
      </c>
      <c r="C3516" s="4">
        <v>43167</v>
      </c>
      <c r="E3516" s="4">
        <v>44677</v>
      </c>
      <c r="F3516" s="4">
        <v>44501</v>
      </c>
      <c r="G3516" t="s">
        <v>132</v>
      </c>
      <c r="H3516" t="s">
        <v>7113</v>
      </c>
      <c r="K3516" t="s">
        <v>83</v>
      </c>
      <c r="L3516" t="s">
        <v>29</v>
      </c>
      <c r="M3516" t="s">
        <v>84</v>
      </c>
      <c r="N3516" t="s">
        <v>31</v>
      </c>
      <c r="O3516" t="s">
        <v>32</v>
      </c>
      <c r="P3516" t="s">
        <v>7114</v>
      </c>
      <c r="Q3516">
        <v>1040</v>
      </c>
      <c r="R3516">
        <v>1165</v>
      </c>
      <c r="S3516" t="s">
        <v>389</v>
      </c>
      <c r="T3516" t="s">
        <v>390</v>
      </c>
      <c r="U3516" t="s">
        <v>70</v>
      </c>
      <c r="V3516" s="4">
        <v>45688</v>
      </c>
      <c r="W3516">
        <v>1165</v>
      </c>
      <c r="X3516">
        <v>1165</v>
      </c>
      <c r="Y3516">
        <v>1165</v>
      </c>
      <c r="Z3516">
        <v>1165</v>
      </c>
    </row>
    <row r="3517" spans="1:26" hidden="1" x14ac:dyDescent="0.25">
      <c r="A3517" t="s">
        <v>7115</v>
      </c>
      <c r="B3517" t="s">
        <v>25</v>
      </c>
      <c r="C3517" s="4">
        <v>43168</v>
      </c>
      <c r="E3517" s="4">
        <v>44552</v>
      </c>
      <c r="F3517" s="4">
        <v>44454</v>
      </c>
      <c r="G3517" t="s">
        <v>107</v>
      </c>
      <c r="H3517" t="s">
        <v>663</v>
      </c>
      <c r="K3517" t="s">
        <v>109</v>
      </c>
      <c r="L3517" t="s">
        <v>29</v>
      </c>
      <c r="M3517" t="s">
        <v>84</v>
      </c>
      <c r="N3517" t="s">
        <v>31</v>
      </c>
      <c r="O3517" t="s">
        <v>32</v>
      </c>
      <c r="P3517" t="s">
        <v>703</v>
      </c>
      <c r="Q3517">
        <v>200</v>
      </c>
      <c r="R3517">
        <v>200</v>
      </c>
      <c r="S3517" t="s">
        <v>34</v>
      </c>
      <c r="T3517" t="s">
        <v>35</v>
      </c>
      <c r="U3517" t="s">
        <v>44</v>
      </c>
      <c r="V3517" s="4">
        <v>45444</v>
      </c>
      <c r="W3517">
        <v>200</v>
      </c>
      <c r="X3517">
        <v>200</v>
      </c>
      <c r="Y3517">
        <v>200</v>
      </c>
      <c r="Z3517">
        <v>200</v>
      </c>
    </row>
    <row r="3518" spans="1:26" x14ac:dyDescent="0.25">
      <c r="A3518" t="s">
        <v>7116</v>
      </c>
      <c r="B3518" t="s">
        <v>38</v>
      </c>
      <c r="C3518" s="4">
        <v>43168</v>
      </c>
      <c r="D3518" s="4">
        <v>43543</v>
      </c>
      <c r="F3518" s="4">
        <v>40422</v>
      </c>
      <c r="G3518" t="s">
        <v>132</v>
      </c>
      <c r="H3518" t="s">
        <v>567</v>
      </c>
      <c r="I3518" t="s">
        <v>561</v>
      </c>
      <c r="J3518" t="s">
        <v>6854</v>
      </c>
      <c r="K3518" t="s">
        <v>109</v>
      </c>
      <c r="L3518" t="s">
        <v>29</v>
      </c>
      <c r="M3518" t="s">
        <v>84</v>
      </c>
      <c r="N3518" t="s">
        <v>31</v>
      </c>
      <c r="O3518" t="s">
        <v>32</v>
      </c>
      <c r="P3518" t="s">
        <v>7117</v>
      </c>
      <c r="Q3518">
        <v>800</v>
      </c>
      <c r="R3518">
        <v>800</v>
      </c>
      <c r="S3518" t="s">
        <v>56</v>
      </c>
      <c r="T3518" t="s">
        <v>57</v>
      </c>
      <c r="U3518" t="s">
        <v>44</v>
      </c>
      <c r="W3518">
        <v>0</v>
      </c>
      <c r="X3518">
        <v>0</v>
      </c>
      <c r="Y3518">
        <v>0</v>
      </c>
      <c r="Z3518">
        <v>0</v>
      </c>
    </row>
    <row r="3519" spans="1:26" hidden="1" x14ac:dyDescent="0.25">
      <c r="A3519" t="s">
        <v>7118</v>
      </c>
      <c r="B3519" t="s">
        <v>38</v>
      </c>
      <c r="C3519" s="4">
        <v>43171</v>
      </c>
      <c r="D3519" s="4">
        <v>43915</v>
      </c>
      <c r="F3519" s="4">
        <v>44075</v>
      </c>
      <c r="G3519" t="s">
        <v>39</v>
      </c>
      <c r="H3519" t="s">
        <v>40</v>
      </c>
      <c r="K3519" t="s">
        <v>41</v>
      </c>
      <c r="L3519" t="s">
        <v>29</v>
      </c>
      <c r="M3519" t="s">
        <v>42</v>
      </c>
      <c r="N3519" t="s">
        <v>31</v>
      </c>
      <c r="O3519" t="s">
        <v>32</v>
      </c>
      <c r="P3519" t="s">
        <v>43</v>
      </c>
      <c r="Q3519">
        <v>100</v>
      </c>
      <c r="R3519">
        <v>100</v>
      </c>
      <c r="S3519" t="s">
        <v>56</v>
      </c>
      <c r="T3519" t="s">
        <v>57</v>
      </c>
      <c r="U3519" t="s">
        <v>44</v>
      </c>
      <c r="W3519">
        <v>0</v>
      </c>
      <c r="X3519">
        <v>0</v>
      </c>
      <c r="Y3519">
        <v>0</v>
      </c>
      <c r="Z3519">
        <v>0</v>
      </c>
    </row>
    <row r="3520" spans="1:26" hidden="1" x14ac:dyDescent="0.25">
      <c r="A3520" t="s">
        <v>7119</v>
      </c>
      <c r="B3520" t="s">
        <v>38</v>
      </c>
      <c r="C3520" s="4">
        <v>43171</v>
      </c>
      <c r="D3520" s="4">
        <v>44264</v>
      </c>
      <c r="F3520" s="4">
        <v>44075</v>
      </c>
      <c r="G3520" t="s">
        <v>362</v>
      </c>
      <c r="H3520" t="s">
        <v>1140</v>
      </c>
      <c r="K3520" t="s">
        <v>209</v>
      </c>
      <c r="L3520" t="s">
        <v>29</v>
      </c>
      <c r="M3520" t="s">
        <v>42</v>
      </c>
      <c r="N3520" t="s">
        <v>31</v>
      </c>
      <c r="O3520" t="s">
        <v>32</v>
      </c>
      <c r="P3520" t="s">
        <v>7120</v>
      </c>
      <c r="Q3520">
        <v>150</v>
      </c>
      <c r="R3520">
        <v>150</v>
      </c>
      <c r="S3520" t="s">
        <v>56</v>
      </c>
      <c r="T3520" t="s">
        <v>57</v>
      </c>
      <c r="U3520" t="s">
        <v>44</v>
      </c>
      <c r="W3520">
        <v>150</v>
      </c>
      <c r="X3520">
        <v>150</v>
      </c>
      <c r="Y3520">
        <v>0</v>
      </c>
      <c r="Z3520">
        <v>0</v>
      </c>
    </row>
    <row r="3521" spans="1:26" hidden="1" x14ac:dyDescent="0.25">
      <c r="A3521" t="s">
        <v>7121</v>
      </c>
      <c r="B3521" t="s">
        <v>38</v>
      </c>
      <c r="C3521" s="4">
        <v>43171</v>
      </c>
      <c r="D3521" s="4">
        <v>43545</v>
      </c>
      <c r="F3521" s="4">
        <v>44075</v>
      </c>
      <c r="G3521" t="s">
        <v>52</v>
      </c>
      <c r="H3521" t="s">
        <v>6982</v>
      </c>
      <c r="K3521" t="s">
        <v>53</v>
      </c>
      <c r="L3521" t="s">
        <v>29</v>
      </c>
      <c r="M3521" t="s">
        <v>54</v>
      </c>
      <c r="N3521" t="s">
        <v>31</v>
      </c>
      <c r="O3521" t="s">
        <v>32</v>
      </c>
      <c r="P3521" t="s">
        <v>7122</v>
      </c>
      <c r="Q3521">
        <v>400</v>
      </c>
      <c r="R3521">
        <v>400</v>
      </c>
      <c r="S3521" t="s">
        <v>56</v>
      </c>
      <c r="T3521" t="s">
        <v>57</v>
      </c>
      <c r="U3521" t="s">
        <v>44</v>
      </c>
      <c r="W3521">
        <v>0</v>
      </c>
      <c r="X3521">
        <v>0</v>
      </c>
      <c r="Y3521">
        <v>0</v>
      </c>
      <c r="Z3521">
        <v>0</v>
      </c>
    </row>
    <row r="3522" spans="1:26" hidden="1" x14ac:dyDescent="0.25">
      <c r="A3522" t="s">
        <v>7123</v>
      </c>
      <c r="B3522" t="s">
        <v>38</v>
      </c>
      <c r="C3522" s="4">
        <v>43171</v>
      </c>
      <c r="D3522" s="4">
        <v>43706</v>
      </c>
      <c r="F3522" s="4">
        <v>44227</v>
      </c>
      <c r="G3522" t="s">
        <v>144</v>
      </c>
      <c r="H3522" t="s">
        <v>1197</v>
      </c>
      <c r="K3522" t="s">
        <v>146</v>
      </c>
      <c r="L3522" t="s">
        <v>29</v>
      </c>
      <c r="M3522" t="s">
        <v>68</v>
      </c>
      <c r="N3522" t="s">
        <v>31</v>
      </c>
      <c r="O3522" t="s">
        <v>32</v>
      </c>
      <c r="P3522" t="s">
        <v>7124</v>
      </c>
      <c r="Q3522">
        <v>150</v>
      </c>
      <c r="R3522">
        <v>150</v>
      </c>
      <c r="S3522" t="s">
        <v>34</v>
      </c>
      <c r="T3522" t="s">
        <v>35</v>
      </c>
      <c r="U3522" t="s">
        <v>44</v>
      </c>
      <c r="W3522">
        <v>0</v>
      </c>
      <c r="X3522">
        <v>0</v>
      </c>
      <c r="Y3522">
        <v>0</v>
      </c>
      <c r="Z3522">
        <v>0</v>
      </c>
    </row>
    <row r="3523" spans="1:26" hidden="1" x14ac:dyDescent="0.25">
      <c r="A3523" t="s">
        <v>7125</v>
      </c>
      <c r="B3523" t="s">
        <v>25</v>
      </c>
      <c r="C3523" s="4">
        <v>43171</v>
      </c>
      <c r="E3523" s="4">
        <v>44055</v>
      </c>
      <c r="F3523" s="4">
        <v>44227</v>
      </c>
      <c r="G3523" t="s">
        <v>261</v>
      </c>
      <c r="H3523" t="s">
        <v>323</v>
      </c>
      <c r="K3523" t="s">
        <v>114</v>
      </c>
      <c r="L3523" t="s">
        <v>29</v>
      </c>
      <c r="M3523" t="s">
        <v>68</v>
      </c>
      <c r="N3523" t="s">
        <v>31</v>
      </c>
      <c r="O3523" t="s">
        <v>122</v>
      </c>
      <c r="P3523" t="s">
        <v>7126</v>
      </c>
      <c r="Q3523">
        <v>100</v>
      </c>
      <c r="R3523">
        <v>100</v>
      </c>
      <c r="S3523" t="s">
        <v>34</v>
      </c>
      <c r="T3523" t="s">
        <v>35</v>
      </c>
      <c r="U3523" t="s">
        <v>70</v>
      </c>
      <c r="V3523" s="4">
        <v>44742</v>
      </c>
      <c r="W3523">
        <v>100</v>
      </c>
      <c r="X3523">
        <v>0</v>
      </c>
      <c r="Y3523">
        <v>100</v>
      </c>
      <c r="Z3523">
        <v>0</v>
      </c>
    </row>
    <row r="3524" spans="1:26" hidden="1" x14ac:dyDescent="0.25">
      <c r="A3524" t="s">
        <v>7127</v>
      </c>
      <c r="B3524" t="s">
        <v>25</v>
      </c>
      <c r="C3524" s="4">
        <v>43171</v>
      </c>
      <c r="E3524" s="4">
        <v>44362</v>
      </c>
      <c r="F3524" s="4">
        <v>42736</v>
      </c>
      <c r="G3524" t="s">
        <v>72</v>
      </c>
      <c r="H3524" t="s">
        <v>7128</v>
      </c>
      <c r="K3524" t="s">
        <v>209</v>
      </c>
      <c r="L3524" t="s">
        <v>29</v>
      </c>
      <c r="M3524" t="s">
        <v>42</v>
      </c>
      <c r="N3524" t="s">
        <v>31</v>
      </c>
      <c r="O3524" t="s">
        <v>32</v>
      </c>
      <c r="P3524" t="s">
        <v>7129</v>
      </c>
      <c r="Q3524">
        <v>9</v>
      </c>
      <c r="R3524">
        <v>9</v>
      </c>
      <c r="S3524" t="s">
        <v>2710</v>
      </c>
      <c r="T3524" t="s">
        <v>2129</v>
      </c>
      <c r="U3524" t="s">
        <v>44</v>
      </c>
      <c r="V3524" s="4">
        <v>42736</v>
      </c>
      <c r="W3524">
        <v>9</v>
      </c>
      <c r="X3524">
        <v>9</v>
      </c>
      <c r="Y3524">
        <v>9</v>
      </c>
      <c r="Z3524">
        <v>9</v>
      </c>
    </row>
    <row r="3525" spans="1:26" hidden="1" x14ac:dyDescent="0.25">
      <c r="A3525" t="s">
        <v>7130</v>
      </c>
      <c r="B3525" t="s">
        <v>38</v>
      </c>
      <c r="C3525" s="4">
        <v>43171</v>
      </c>
      <c r="D3525" s="4">
        <v>43706</v>
      </c>
      <c r="F3525" s="4">
        <v>44106</v>
      </c>
      <c r="G3525" t="s">
        <v>261</v>
      </c>
      <c r="H3525" t="s">
        <v>435</v>
      </c>
      <c r="K3525" t="s">
        <v>114</v>
      </c>
      <c r="L3525" t="s">
        <v>29</v>
      </c>
      <c r="M3525" t="s">
        <v>68</v>
      </c>
      <c r="N3525" t="s">
        <v>31</v>
      </c>
      <c r="O3525" t="s">
        <v>32</v>
      </c>
      <c r="P3525" t="s">
        <v>7131</v>
      </c>
      <c r="Q3525">
        <v>70</v>
      </c>
      <c r="R3525">
        <v>70</v>
      </c>
      <c r="S3525" t="s">
        <v>34</v>
      </c>
      <c r="T3525" t="s">
        <v>35</v>
      </c>
      <c r="U3525" t="s">
        <v>44</v>
      </c>
      <c r="W3525">
        <v>0</v>
      </c>
      <c r="X3525">
        <v>0</v>
      </c>
      <c r="Y3525">
        <v>0</v>
      </c>
      <c r="Z3525">
        <v>0</v>
      </c>
    </row>
    <row r="3526" spans="1:26" hidden="1" x14ac:dyDescent="0.25">
      <c r="A3526" t="s">
        <v>7132</v>
      </c>
      <c r="B3526" t="s">
        <v>38</v>
      </c>
      <c r="C3526" s="4">
        <v>43171</v>
      </c>
      <c r="D3526" s="4">
        <v>43423</v>
      </c>
      <c r="F3526" s="4">
        <v>44075</v>
      </c>
      <c r="G3526" t="s">
        <v>169</v>
      </c>
      <c r="H3526" t="s">
        <v>170</v>
      </c>
      <c r="K3526" t="s">
        <v>41</v>
      </c>
      <c r="L3526" t="s">
        <v>29</v>
      </c>
      <c r="M3526" t="s">
        <v>42</v>
      </c>
      <c r="N3526" t="s">
        <v>31</v>
      </c>
      <c r="O3526" t="s">
        <v>32</v>
      </c>
      <c r="P3526" t="s">
        <v>171</v>
      </c>
      <c r="Q3526">
        <v>150</v>
      </c>
      <c r="R3526">
        <v>150</v>
      </c>
      <c r="S3526" t="s">
        <v>56</v>
      </c>
      <c r="T3526" t="s">
        <v>57</v>
      </c>
      <c r="U3526" t="s">
        <v>44</v>
      </c>
      <c r="W3526">
        <v>0</v>
      </c>
      <c r="X3526">
        <v>0</v>
      </c>
      <c r="Y3526">
        <v>0</v>
      </c>
      <c r="Z3526">
        <v>0</v>
      </c>
    </row>
    <row r="3527" spans="1:26" x14ac:dyDescent="0.25">
      <c r="A3527" t="s">
        <v>7133</v>
      </c>
      <c r="B3527" t="s">
        <v>38</v>
      </c>
      <c r="C3527" s="4">
        <v>43171</v>
      </c>
      <c r="D3527" s="4">
        <v>43915</v>
      </c>
      <c r="F3527" s="4">
        <v>44166</v>
      </c>
      <c r="G3527" t="s">
        <v>132</v>
      </c>
      <c r="H3527" t="s">
        <v>561</v>
      </c>
      <c r="I3527" t="s">
        <v>6854</v>
      </c>
      <c r="K3527" t="s">
        <v>109</v>
      </c>
      <c r="L3527" t="s">
        <v>29</v>
      </c>
      <c r="M3527" t="s">
        <v>42</v>
      </c>
      <c r="N3527" t="s">
        <v>31</v>
      </c>
      <c r="O3527" t="s">
        <v>32</v>
      </c>
      <c r="P3527" t="s">
        <v>7134</v>
      </c>
      <c r="Q3527">
        <v>400</v>
      </c>
      <c r="R3527">
        <v>400</v>
      </c>
      <c r="S3527" t="s">
        <v>56</v>
      </c>
      <c r="T3527" t="s">
        <v>57</v>
      </c>
      <c r="U3527" t="s">
        <v>44</v>
      </c>
      <c r="W3527">
        <v>0</v>
      </c>
      <c r="X3527">
        <v>0</v>
      </c>
      <c r="Y3527">
        <v>0</v>
      </c>
      <c r="Z3527">
        <v>0</v>
      </c>
    </row>
    <row r="3528" spans="1:26" hidden="1" x14ac:dyDescent="0.25">
      <c r="A3528" t="s">
        <v>7135</v>
      </c>
      <c r="B3528" t="s">
        <v>25</v>
      </c>
      <c r="C3528" s="4">
        <v>43171</v>
      </c>
      <c r="E3528" s="4">
        <v>44362</v>
      </c>
      <c r="F3528" s="4">
        <v>44075</v>
      </c>
      <c r="G3528" t="s">
        <v>39</v>
      </c>
      <c r="H3528" t="s">
        <v>267</v>
      </c>
      <c r="K3528" t="s">
        <v>41</v>
      </c>
      <c r="L3528" t="s">
        <v>29</v>
      </c>
      <c r="M3528" t="s">
        <v>42</v>
      </c>
      <c r="N3528" t="s">
        <v>31</v>
      </c>
      <c r="O3528" t="s">
        <v>32</v>
      </c>
      <c r="P3528" t="s">
        <v>7136</v>
      </c>
      <c r="Q3528">
        <v>150</v>
      </c>
      <c r="R3528">
        <v>150</v>
      </c>
      <c r="S3528" t="s">
        <v>56</v>
      </c>
      <c r="T3528" t="s">
        <v>57</v>
      </c>
      <c r="U3528" t="s">
        <v>70</v>
      </c>
      <c r="V3528" s="4">
        <v>45139</v>
      </c>
      <c r="W3528">
        <v>150</v>
      </c>
      <c r="X3528">
        <v>150</v>
      </c>
      <c r="Y3528">
        <v>150</v>
      </c>
      <c r="Z3528">
        <v>0</v>
      </c>
    </row>
    <row r="3529" spans="1:26" x14ac:dyDescent="0.25">
      <c r="A3529" t="s">
        <v>7137</v>
      </c>
      <c r="B3529" t="s">
        <v>25</v>
      </c>
      <c r="C3529" s="4">
        <v>43171</v>
      </c>
      <c r="E3529" s="4">
        <v>44481</v>
      </c>
      <c r="F3529" s="4">
        <v>44805</v>
      </c>
      <c r="G3529" t="s">
        <v>254</v>
      </c>
      <c r="H3529" t="s">
        <v>113</v>
      </c>
      <c r="I3529" t="s">
        <v>429</v>
      </c>
      <c r="K3529" t="s">
        <v>98</v>
      </c>
      <c r="L3529" t="s">
        <v>29</v>
      </c>
      <c r="M3529" t="s">
        <v>84</v>
      </c>
      <c r="N3529" t="s">
        <v>31</v>
      </c>
      <c r="O3529" t="s">
        <v>32</v>
      </c>
      <c r="P3529" t="s">
        <v>259</v>
      </c>
      <c r="Q3529">
        <v>200</v>
      </c>
      <c r="R3529">
        <v>200</v>
      </c>
      <c r="S3529" t="s">
        <v>56</v>
      </c>
      <c r="T3529" t="s">
        <v>57</v>
      </c>
      <c r="U3529" t="s">
        <v>36</v>
      </c>
      <c r="V3529" s="4">
        <v>45036</v>
      </c>
      <c r="W3529">
        <v>200</v>
      </c>
      <c r="X3529">
        <v>200</v>
      </c>
      <c r="Y3529">
        <v>200</v>
      </c>
      <c r="Z3529">
        <v>200</v>
      </c>
    </row>
    <row r="3530" spans="1:26" hidden="1" x14ac:dyDescent="0.25">
      <c r="A3530" t="s">
        <v>7138</v>
      </c>
      <c r="B3530" t="s">
        <v>38</v>
      </c>
      <c r="C3530" s="4">
        <v>43171</v>
      </c>
      <c r="D3530" s="4">
        <v>43405</v>
      </c>
      <c r="F3530" s="4">
        <v>44166</v>
      </c>
      <c r="G3530" t="s">
        <v>72</v>
      </c>
      <c r="H3530" t="s">
        <v>344</v>
      </c>
      <c r="K3530" t="s">
        <v>53</v>
      </c>
      <c r="L3530" t="s">
        <v>29</v>
      </c>
      <c r="M3530" t="s">
        <v>54</v>
      </c>
      <c r="N3530" t="s">
        <v>31</v>
      </c>
      <c r="O3530" t="s">
        <v>32</v>
      </c>
      <c r="P3530" t="s">
        <v>7139</v>
      </c>
      <c r="Q3530">
        <v>100</v>
      </c>
      <c r="R3530">
        <v>100</v>
      </c>
      <c r="S3530" t="s">
        <v>34</v>
      </c>
      <c r="T3530" t="s">
        <v>35</v>
      </c>
      <c r="U3530" t="s">
        <v>44</v>
      </c>
      <c r="W3530">
        <v>0</v>
      </c>
      <c r="X3530">
        <v>0</v>
      </c>
      <c r="Y3530">
        <v>0</v>
      </c>
      <c r="Z3530">
        <v>0</v>
      </c>
    </row>
    <row r="3531" spans="1:26" hidden="1" x14ac:dyDescent="0.25">
      <c r="A3531" t="s">
        <v>7140</v>
      </c>
      <c r="B3531" t="s">
        <v>38</v>
      </c>
      <c r="C3531" s="4">
        <v>43171</v>
      </c>
      <c r="D3531" s="4">
        <v>43390</v>
      </c>
      <c r="F3531" s="4">
        <v>43831</v>
      </c>
      <c r="G3531" t="s">
        <v>52</v>
      </c>
      <c r="H3531" t="s">
        <v>7141</v>
      </c>
      <c r="K3531" t="s">
        <v>53</v>
      </c>
      <c r="L3531" t="s">
        <v>29</v>
      </c>
      <c r="M3531" t="s">
        <v>54</v>
      </c>
      <c r="N3531" t="s">
        <v>31</v>
      </c>
      <c r="O3531" t="s">
        <v>32</v>
      </c>
      <c r="P3531" t="s">
        <v>7142</v>
      </c>
      <c r="Q3531">
        <v>50</v>
      </c>
      <c r="R3531">
        <v>50</v>
      </c>
      <c r="S3531" t="s">
        <v>34</v>
      </c>
      <c r="T3531" t="s">
        <v>35</v>
      </c>
      <c r="U3531" t="s">
        <v>44</v>
      </c>
      <c r="W3531">
        <v>0</v>
      </c>
      <c r="X3531">
        <v>0</v>
      </c>
      <c r="Y3531">
        <v>0</v>
      </c>
      <c r="Z3531">
        <v>0</v>
      </c>
    </row>
    <row r="3532" spans="1:26" hidden="1" x14ac:dyDescent="0.25">
      <c r="A3532" t="s">
        <v>7143</v>
      </c>
      <c r="B3532" t="s">
        <v>38</v>
      </c>
      <c r="C3532" s="4">
        <v>43171</v>
      </c>
      <c r="D3532" s="4">
        <v>43915</v>
      </c>
      <c r="F3532" s="4">
        <v>44104</v>
      </c>
      <c r="G3532" t="s">
        <v>39</v>
      </c>
      <c r="H3532" t="s">
        <v>300</v>
      </c>
      <c r="K3532" t="s">
        <v>41</v>
      </c>
      <c r="L3532" t="s">
        <v>29</v>
      </c>
      <c r="M3532" t="s">
        <v>42</v>
      </c>
      <c r="N3532" t="s">
        <v>31</v>
      </c>
      <c r="O3532" t="s">
        <v>32</v>
      </c>
      <c r="P3532" t="s">
        <v>7144</v>
      </c>
      <c r="Q3532">
        <v>250</v>
      </c>
      <c r="R3532">
        <v>250</v>
      </c>
      <c r="S3532" t="s">
        <v>56</v>
      </c>
      <c r="T3532" t="s">
        <v>57</v>
      </c>
      <c r="U3532" t="s">
        <v>44</v>
      </c>
      <c r="W3532">
        <v>0</v>
      </c>
      <c r="X3532">
        <v>0</v>
      </c>
      <c r="Y3532">
        <v>0</v>
      </c>
      <c r="Z3532">
        <v>0</v>
      </c>
    </row>
    <row r="3533" spans="1:26" hidden="1" x14ac:dyDescent="0.25">
      <c r="A3533" t="s">
        <v>7145</v>
      </c>
      <c r="B3533" t="s">
        <v>38</v>
      </c>
      <c r="C3533" s="4">
        <v>43171</v>
      </c>
      <c r="D3533" s="4">
        <v>43706</v>
      </c>
      <c r="F3533" s="4">
        <v>44500</v>
      </c>
      <c r="G3533" t="s">
        <v>65</v>
      </c>
      <c r="H3533" t="s">
        <v>236</v>
      </c>
      <c r="K3533" t="s">
        <v>67</v>
      </c>
      <c r="L3533" t="s">
        <v>29</v>
      </c>
      <c r="M3533" t="s">
        <v>68</v>
      </c>
      <c r="N3533" t="s">
        <v>31</v>
      </c>
      <c r="O3533" t="s">
        <v>32</v>
      </c>
      <c r="P3533" t="s">
        <v>7146</v>
      </c>
      <c r="Q3533">
        <v>140</v>
      </c>
      <c r="R3533">
        <v>140</v>
      </c>
      <c r="S3533" t="s">
        <v>34</v>
      </c>
      <c r="T3533" t="s">
        <v>35</v>
      </c>
      <c r="U3533" t="s">
        <v>44</v>
      </c>
      <c r="W3533">
        <v>0</v>
      </c>
      <c r="X3533">
        <v>0</v>
      </c>
      <c r="Y3533">
        <v>0</v>
      </c>
      <c r="Z3533">
        <v>0</v>
      </c>
    </row>
    <row r="3534" spans="1:26" x14ac:dyDescent="0.25">
      <c r="A3534" t="s">
        <v>7147</v>
      </c>
      <c r="B3534" t="s">
        <v>38</v>
      </c>
      <c r="C3534" s="4">
        <v>43171</v>
      </c>
      <c r="D3534" s="4">
        <v>43543</v>
      </c>
      <c r="F3534" s="4">
        <v>44075</v>
      </c>
      <c r="G3534" t="s">
        <v>132</v>
      </c>
      <c r="H3534" t="s">
        <v>686</v>
      </c>
      <c r="I3534" t="s">
        <v>7665</v>
      </c>
      <c r="K3534" t="s">
        <v>83</v>
      </c>
      <c r="L3534" t="s">
        <v>29</v>
      </c>
      <c r="M3534" t="s">
        <v>84</v>
      </c>
      <c r="N3534" t="s">
        <v>31</v>
      </c>
      <c r="O3534" t="s">
        <v>32</v>
      </c>
      <c r="P3534" t="s">
        <v>7148</v>
      </c>
      <c r="Q3534">
        <v>250</v>
      </c>
      <c r="R3534">
        <v>250</v>
      </c>
      <c r="S3534" t="s">
        <v>56</v>
      </c>
      <c r="T3534" t="s">
        <v>57</v>
      </c>
      <c r="U3534" t="s">
        <v>44</v>
      </c>
      <c r="W3534">
        <v>0</v>
      </c>
      <c r="X3534">
        <v>0</v>
      </c>
      <c r="Y3534">
        <v>0</v>
      </c>
      <c r="Z3534">
        <v>0</v>
      </c>
    </row>
    <row r="3535" spans="1:26" x14ac:dyDescent="0.25">
      <c r="A3535" t="s">
        <v>7149</v>
      </c>
      <c r="B3535" t="s">
        <v>38</v>
      </c>
      <c r="C3535" s="4">
        <v>43171</v>
      </c>
      <c r="D3535" s="4">
        <v>45833</v>
      </c>
      <c r="E3535" s="4">
        <v>44481</v>
      </c>
      <c r="F3535" s="4">
        <v>44440</v>
      </c>
      <c r="G3535" t="s">
        <v>117</v>
      </c>
      <c r="H3535" t="s">
        <v>600</v>
      </c>
      <c r="I3535" t="s">
        <v>7666</v>
      </c>
      <c r="K3535" t="s">
        <v>83</v>
      </c>
      <c r="L3535" t="s">
        <v>29</v>
      </c>
      <c r="M3535" t="s">
        <v>84</v>
      </c>
      <c r="N3535" t="s">
        <v>31</v>
      </c>
      <c r="O3535" t="s">
        <v>32</v>
      </c>
      <c r="P3535" t="s">
        <v>7150</v>
      </c>
      <c r="Q3535">
        <v>250</v>
      </c>
      <c r="R3535">
        <v>250</v>
      </c>
      <c r="S3535" t="s">
        <v>56</v>
      </c>
      <c r="T3535" t="s">
        <v>57</v>
      </c>
      <c r="U3535" t="s">
        <v>38</v>
      </c>
      <c r="V3535" s="4">
        <v>45214</v>
      </c>
      <c r="W3535">
        <v>250</v>
      </c>
      <c r="X3535">
        <v>250</v>
      </c>
      <c r="Y3535">
        <v>225</v>
      </c>
      <c r="Z3535">
        <v>225</v>
      </c>
    </row>
    <row r="3536" spans="1:26" hidden="1" x14ac:dyDescent="0.25">
      <c r="A3536" t="s">
        <v>7151</v>
      </c>
      <c r="B3536" t="s">
        <v>38</v>
      </c>
      <c r="C3536" s="4">
        <v>43171</v>
      </c>
      <c r="D3536" s="4">
        <v>44405</v>
      </c>
      <c r="F3536" s="4">
        <v>45230</v>
      </c>
      <c r="G3536" t="s">
        <v>177</v>
      </c>
      <c r="H3536" t="s">
        <v>275</v>
      </c>
      <c r="K3536" t="s">
        <v>185</v>
      </c>
      <c r="L3536" t="s">
        <v>29</v>
      </c>
      <c r="M3536" t="s">
        <v>42</v>
      </c>
      <c r="N3536" t="s">
        <v>31</v>
      </c>
      <c r="O3536" t="s">
        <v>122</v>
      </c>
      <c r="P3536" t="s">
        <v>6593</v>
      </c>
      <c r="Q3536">
        <v>150</v>
      </c>
      <c r="R3536">
        <v>150</v>
      </c>
      <c r="S3536" t="s">
        <v>56</v>
      </c>
      <c r="T3536" t="s">
        <v>57</v>
      </c>
      <c r="U3536" t="s">
        <v>44</v>
      </c>
      <c r="W3536">
        <v>150</v>
      </c>
      <c r="X3536">
        <v>150</v>
      </c>
      <c r="Y3536">
        <v>150</v>
      </c>
      <c r="Z3536">
        <v>0</v>
      </c>
    </row>
    <row r="3537" spans="1:26" hidden="1" x14ac:dyDescent="0.25">
      <c r="A3537" t="s">
        <v>7152</v>
      </c>
      <c r="B3537" t="s">
        <v>25</v>
      </c>
      <c r="C3537" s="4">
        <v>43171</v>
      </c>
      <c r="E3537" s="4">
        <v>44481</v>
      </c>
      <c r="F3537" s="4">
        <v>44500</v>
      </c>
      <c r="G3537" t="s">
        <v>107</v>
      </c>
      <c r="H3537" t="s">
        <v>180</v>
      </c>
      <c r="K3537" t="s">
        <v>109</v>
      </c>
      <c r="L3537" t="s">
        <v>29</v>
      </c>
      <c r="M3537" t="s">
        <v>84</v>
      </c>
      <c r="N3537" t="s">
        <v>31</v>
      </c>
      <c r="O3537" t="s">
        <v>32</v>
      </c>
      <c r="P3537" t="s">
        <v>7153</v>
      </c>
      <c r="Q3537">
        <v>300</v>
      </c>
      <c r="R3537">
        <v>300</v>
      </c>
      <c r="S3537" t="s">
        <v>34</v>
      </c>
      <c r="T3537" t="s">
        <v>35</v>
      </c>
      <c r="U3537" t="s">
        <v>70</v>
      </c>
      <c r="V3537" s="4">
        <v>45444</v>
      </c>
      <c r="W3537">
        <v>300</v>
      </c>
      <c r="X3537">
        <v>300</v>
      </c>
      <c r="Y3537">
        <v>300</v>
      </c>
      <c r="Z3537">
        <v>300</v>
      </c>
    </row>
    <row r="3538" spans="1:26" x14ac:dyDescent="0.25">
      <c r="A3538" t="s">
        <v>7154</v>
      </c>
      <c r="B3538" t="s">
        <v>38</v>
      </c>
      <c r="C3538" s="4">
        <v>43171</v>
      </c>
      <c r="D3538" s="4">
        <v>43915</v>
      </c>
      <c r="F3538" s="4">
        <v>44256</v>
      </c>
      <c r="G3538" t="s">
        <v>72</v>
      </c>
      <c r="H3538" t="s">
        <v>90</v>
      </c>
      <c r="I3538" t="s">
        <v>962</v>
      </c>
      <c r="K3538" t="s">
        <v>41</v>
      </c>
      <c r="L3538" t="s">
        <v>29</v>
      </c>
      <c r="M3538" t="s">
        <v>42</v>
      </c>
      <c r="N3538" t="s">
        <v>31</v>
      </c>
      <c r="O3538" t="s">
        <v>32</v>
      </c>
      <c r="P3538" t="s">
        <v>3916</v>
      </c>
      <c r="Q3538">
        <v>300</v>
      </c>
      <c r="R3538">
        <v>300</v>
      </c>
      <c r="S3538" t="s">
        <v>56</v>
      </c>
      <c r="T3538" t="s">
        <v>57</v>
      </c>
      <c r="U3538" t="s">
        <v>44</v>
      </c>
      <c r="W3538">
        <v>0</v>
      </c>
      <c r="X3538">
        <v>0</v>
      </c>
      <c r="Y3538">
        <v>0</v>
      </c>
      <c r="Z3538">
        <v>0</v>
      </c>
    </row>
    <row r="3539" spans="1:26" hidden="1" x14ac:dyDescent="0.25">
      <c r="A3539" t="s">
        <v>7155</v>
      </c>
      <c r="B3539" t="s">
        <v>38</v>
      </c>
      <c r="C3539" s="4">
        <v>43171</v>
      </c>
      <c r="D3539" s="4">
        <v>43790</v>
      </c>
      <c r="F3539" s="4">
        <v>44256</v>
      </c>
      <c r="G3539" t="s">
        <v>52</v>
      </c>
      <c r="H3539" t="s">
        <v>193</v>
      </c>
      <c r="K3539" t="s">
        <v>53</v>
      </c>
      <c r="L3539" t="s">
        <v>29</v>
      </c>
      <c r="M3539" t="s">
        <v>54</v>
      </c>
      <c r="N3539" t="s">
        <v>31</v>
      </c>
      <c r="O3539" t="s">
        <v>32</v>
      </c>
      <c r="P3539" t="s">
        <v>7156</v>
      </c>
      <c r="Q3539">
        <v>100</v>
      </c>
      <c r="R3539">
        <v>100</v>
      </c>
      <c r="S3539" t="s">
        <v>56</v>
      </c>
      <c r="T3539" t="s">
        <v>57</v>
      </c>
      <c r="U3539" t="s">
        <v>44</v>
      </c>
      <c r="W3539">
        <v>0</v>
      </c>
      <c r="X3539">
        <v>0</v>
      </c>
      <c r="Y3539">
        <v>0</v>
      </c>
      <c r="Z3539">
        <v>0</v>
      </c>
    </row>
    <row r="3540" spans="1:26" hidden="1" x14ac:dyDescent="0.25">
      <c r="A3540" t="s">
        <v>7157</v>
      </c>
      <c r="B3540" t="s">
        <v>38</v>
      </c>
      <c r="C3540" s="4">
        <v>43171</v>
      </c>
      <c r="D3540" s="4">
        <v>44487</v>
      </c>
      <c r="F3540" s="4">
        <v>44256</v>
      </c>
      <c r="G3540" t="s">
        <v>132</v>
      </c>
      <c r="H3540" t="s">
        <v>6828</v>
      </c>
      <c r="K3540" t="s">
        <v>83</v>
      </c>
      <c r="L3540" t="s">
        <v>29</v>
      </c>
      <c r="M3540" t="s">
        <v>84</v>
      </c>
      <c r="N3540" t="s">
        <v>31</v>
      </c>
      <c r="O3540" t="s">
        <v>32</v>
      </c>
      <c r="P3540" t="s">
        <v>7158</v>
      </c>
      <c r="Q3540">
        <v>200</v>
      </c>
      <c r="R3540">
        <v>200</v>
      </c>
      <c r="S3540" t="s">
        <v>56</v>
      </c>
      <c r="T3540" t="s">
        <v>57</v>
      </c>
      <c r="U3540" t="s">
        <v>44</v>
      </c>
      <c r="W3540">
        <v>170</v>
      </c>
      <c r="X3540">
        <v>170</v>
      </c>
      <c r="Y3540">
        <v>170</v>
      </c>
      <c r="Z3540">
        <v>170</v>
      </c>
    </row>
    <row r="3541" spans="1:26" hidden="1" x14ac:dyDescent="0.25">
      <c r="A3541" t="s">
        <v>7159</v>
      </c>
      <c r="B3541" t="s">
        <v>38</v>
      </c>
      <c r="C3541" s="4">
        <v>43171</v>
      </c>
      <c r="D3541" s="4">
        <v>43836</v>
      </c>
      <c r="F3541" s="4">
        <v>44256</v>
      </c>
      <c r="G3541" t="s">
        <v>132</v>
      </c>
      <c r="H3541" t="s">
        <v>6828</v>
      </c>
      <c r="K3541" t="s">
        <v>83</v>
      </c>
      <c r="L3541" t="s">
        <v>29</v>
      </c>
      <c r="M3541" t="s">
        <v>84</v>
      </c>
      <c r="N3541" t="s">
        <v>31</v>
      </c>
      <c r="O3541" t="s">
        <v>32</v>
      </c>
      <c r="P3541" t="s">
        <v>7158</v>
      </c>
      <c r="Q3541">
        <v>200</v>
      </c>
      <c r="R3541">
        <v>200</v>
      </c>
      <c r="S3541" t="s">
        <v>56</v>
      </c>
      <c r="T3541" t="s">
        <v>57</v>
      </c>
      <c r="U3541" t="s">
        <v>44</v>
      </c>
      <c r="W3541">
        <v>0</v>
      </c>
      <c r="X3541">
        <v>0</v>
      </c>
      <c r="Y3541">
        <v>0</v>
      </c>
      <c r="Z3541">
        <v>0</v>
      </c>
    </row>
    <row r="3542" spans="1:26" hidden="1" x14ac:dyDescent="0.25">
      <c r="A3542" t="s">
        <v>7160</v>
      </c>
      <c r="B3542" t="s">
        <v>38</v>
      </c>
      <c r="C3542" s="4">
        <v>43171</v>
      </c>
      <c r="D3542" s="4">
        <v>44264</v>
      </c>
      <c r="F3542" s="4">
        <v>44256</v>
      </c>
      <c r="G3542" t="s">
        <v>128</v>
      </c>
      <c r="H3542" t="s">
        <v>166</v>
      </c>
      <c r="K3542" t="s">
        <v>209</v>
      </c>
      <c r="L3542" t="s">
        <v>29</v>
      </c>
      <c r="M3542" t="s">
        <v>42</v>
      </c>
      <c r="N3542" t="s">
        <v>31</v>
      </c>
      <c r="O3542" t="s">
        <v>32</v>
      </c>
      <c r="P3542" t="s">
        <v>7161</v>
      </c>
      <c r="Q3542">
        <v>200</v>
      </c>
      <c r="R3542">
        <v>200</v>
      </c>
      <c r="S3542" t="s">
        <v>56</v>
      </c>
      <c r="T3542" t="s">
        <v>57</v>
      </c>
      <c r="U3542" t="s">
        <v>44</v>
      </c>
      <c r="W3542">
        <v>200</v>
      </c>
      <c r="X3542">
        <v>200</v>
      </c>
      <c r="Y3542">
        <v>0</v>
      </c>
      <c r="Z3542">
        <v>0</v>
      </c>
    </row>
    <row r="3543" spans="1:26" x14ac:dyDescent="0.25">
      <c r="A3543" t="s">
        <v>7162</v>
      </c>
      <c r="B3543" t="s">
        <v>25</v>
      </c>
      <c r="C3543" s="4">
        <v>43171</v>
      </c>
      <c r="E3543" s="4">
        <v>44599</v>
      </c>
      <c r="F3543" s="4">
        <v>44348</v>
      </c>
      <c r="G3543" t="s">
        <v>128</v>
      </c>
      <c r="H3543" t="s">
        <v>7667</v>
      </c>
      <c r="I3543" t="s">
        <v>7668</v>
      </c>
      <c r="K3543" t="s">
        <v>209</v>
      </c>
      <c r="L3543" t="s">
        <v>29</v>
      </c>
      <c r="M3543" t="s">
        <v>42</v>
      </c>
      <c r="N3543" t="s">
        <v>31</v>
      </c>
      <c r="O3543" t="s">
        <v>122</v>
      </c>
      <c r="P3543" t="s">
        <v>7163</v>
      </c>
      <c r="Q3543">
        <v>300</v>
      </c>
      <c r="R3543">
        <v>300</v>
      </c>
      <c r="S3543" t="s">
        <v>56</v>
      </c>
      <c r="T3543" t="s">
        <v>57</v>
      </c>
      <c r="U3543" t="s">
        <v>44</v>
      </c>
      <c r="V3543" s="4">
        <v>45366</v>
      </c>
      <c r="W3543">
        <v>300</v>
      </c>
      <c r="X3543">
        <v>300</v>
      </c>
      <c r="Y3543">
        <v>300</v>
      </c>
      <c r="Z3543">
        <v>0</v>
      </c>
    </row>
    <row r="3544" spans="1:26" x14ac:dyDescent="0.25">
      <c r="A3544" t="s">
        <v>7164</v>
      </c>
      <c r="B3544" t="s">
        <v>38</v>
      </c>
      <c r="C3544" s="4">
        <v>43171</v>
      </c>
      <c r="D3544" s="4">
        <v>43405</v>
      </c>
      <c r="F3544" s="4">
        <v>44256</v>
      </c>
      <c r="G3544" t="s">
        <v>117</v>
      </c>
      <c r="H3544" t="s">
        <v>7654</v>
      </c>
      <c r="I3544" t="s">
        <v>593</v>
      </c>
      <c r="K3544" t="s">
        <v>83</v>
      </c>
      <c r="L3544" t="s">
        <v>29</v>
      </c>
      <c r="M3544" t="s">
        <v>84</v>
      </c>
      <c r="N3544" t="s">
        <v>31</v>
      </c>
      <c r="O3544" t="s">
        <v>32</v>
      </c>
      <c r="P3544" t="s">
        <v>7165</v>
      </c>
      <c r="Q3544">
        <v>100</v>
      </c>
      <c r="R3544">
        <v>100</v>
      </c>
      <c r="S3544" t="s">
        <v>56</v>
      </c>
      <c r="T3544" t="s">
        <v>57</v>
      </c>
      <c r="U3544" t="s">
        <v>44</v>
      </c>
      <c r="W3544">
        <v>0</v>
      </c>
      <c r="X3544">
        <v>0</v>
      </c>
      <c r="Y3544">
        <v>0</v>
      </c>
      <c r="Z3544">
        <v>0</v>
      </c>
    </row>
    <row r="3545" spans="1:26" hidden="1" x14ac:dyDescent="0.25">
      <c r="A3545" t="s">
        <v>7166</v>
      </c>
      <c r="B3545" t="s">
        <v>25</v>
      </c>
      <c r="C3545" s="4">
        <v>43171</v>
      </c>
      <c r="E3545" s="4">
        <v>44323</v>
      </c>
      <c r="F3545" s="4">
        <v>44348</v>
      </c>
      <c r="G3545" t="s">
        <v>52</v>
      </c>
      <c r="H3545" t="s">
        <v>248</v>
      </c>
      <c r="K3545" t="s">
        <v>53</v>
      </c>
      <c r="L3545" t="s">
        <v>29</v>
      </c>
      <c r="M3545" t="s">
        <v>54</v>
      </c>
      <c r="N3545" t="s">
        <v>31</v>
      </c>
      <c r="O3545" t="s">
        <v>32</v>
      </c>
      <c r="P3545" t="s">
        <v>7167</v>
      </c>
      <c r="Q3545">
        <v>200</v>
      </c>
      <c r="R3545">
        <v>200</v>
      </c>
      <c r="S3545" t="s">
        <v>56</v>
      </c>
      <c r="T3545" t="s">
        <v>57</v>
      </c>
      <c r="U3545" t="s">
        <v>70</v>
      </c>
      <c r="V3545" s="4">
        <v>44865</v>
      </c>
      <c r="W3545">
        <v>200</v>
      </c>
      <c r="X3545">
        <v>200</v>
      </c>
      <c r="Y3545">
        <v>200</v>
      </c>
      <c r="Z3545">
        <v>200</v>
      </c>
    </row>
    <row r="3546" spans="1:26" hidden="1" x14ac:dyDescent="0.25">
      <c r="A3546" t="s">
        <v>7168</v>
      </c>
      <c r="B3546" t="s">
        <v>38</v>
      </c>
      <c r="C3546" s="4">
        <v>43171</v>
      </c>
      <c r="D3546" s="4">
        <v>43836</v>
      </c>
      <c r="F3546" s="4">
        <v>44166</v>
      </c>
      <c r="G3546" t="s">
        <v>107</v>
      </c>
      <c r="H3546" t="s">
        <v>82</v>
      </c>
      <c r="K3546" t="s">
        <v>109</v>
      </c>
      <c r="L3546" t="s">
        <v>29</v>
      </c>
      <c r="M3546" t="s">
        <v>84</v>
      </c>
      <c r="N3546" t="s">
        <v>31</v>
      </c>
      <c r="O3546" t="s">
        <v>32</v>
      </c>
      <c r="P3546" t="s">
        <v>7169</v>
      </c>
      <c r="Q3546">
        <v>120</v>
      </c>
      <c r="R3546">
        <v>120</v>
      </c>
      <c r="S3546" t="s">
        <v>34</v>
      </c>
      <c r="T3546" t="s">
        <v>35</v>
      </c>
      <c r="U3546" t="s">
        <v>44</v>
      </c>
      <c r="W3546">
        <v>0</v>
      </c>
      <c r="X3546">
        <v>0</v>
      </c>
      <c r="Y3546">
        <v>0</v>
      </c>
      <c r="Z3546">
        <v>0</v>
      </c>
    </row>
    <row r="3547" spans="1:26" hidden="1" x14ac:dyDescent="0.25">
      <c r="A3547" t="s">
        <v>7170</v>
      </c>
      <c r="B3547" t="s">
        <v>25</v>
      </c>
      <c r="C3547" s="4">
        <v>43171</v>
      </c>
      <c r="E3547" s="4">
        <v>44321</v>
      </c>
      <c r="F3547" s="4">
        <v>44075</v>
      </c>
      <c r="G3547" t="s">
        <v>26</v>
      </c>
      <c r="H3547" t="s">
        <v>7171</v>
      </c>
      <c r="K3547" t="s">
        <v>28</v>
      </c>
      <c r="L3547" t="s">
        <v>29</v>
      </c>
      <c r="M3547" t="s">
        <v>30</v>
      </c>
      <c r="N3547" t="s">
        <v>31</v>
      </c>
      <c r="O3547" t="s">
        <v>32</v>
      </c>
      <c r="P3547" t="s">
        <v>7172</v>
      </c>
      <c r="Q3547">
        <v>149.76</v>
      </c>
      <c r="R3547">
        <v>149.76</v>
      </c>
      <c r="S3547" t="s">
        <v>34</v>
      </c>
      <c r="T3547" t="s">
        <v>35</v>
      </c>
      <c r="U3547" t="s">
        <v>44</v>
      </c>
      <c r="V3547" s="4">
        <v>44713</v>
      </c>
      <c r="W3547">
        <v>149.76</v>
      </c>
      <c r="X3547">
        <v>149.76</v>
      </c>
      <c r="Y3547">
        <v>149.76</v>
      </c>
      <c r="Z3547">
        <v>149.76</v>
      </c>
    </row>
    <row r="3548" spans="1:26" hidden="1" x14ac:dyDescent="0.25">
      <c r="A3548" t="s">
        <v>7173</v>
      </c>
      <c r="B3548" t="s">
        <v>38</v>
      </c>
      <c r="C3548" s="4">
        <v>43171</v>
      </c>
      <c r="D3548" s="4">
        <v>45950</v>
      </c>
      <c r="E3548" s="4">
        <v>44481</v>
      </c>
      <c r="F3548" s="4">
        <v>44440</v>
      </c>
      <c r="G3548" t="s">
        <v>107</v>
      </c>
      <c r="H3548" t="s">
        <v>605</v>
      </c>
      <c r="K3548" t="s">
        <v>109</v>
      </c>
      <c r="L3548" t="s">
        <v>29</v>
      </c>
      <c r="M3548" t="s">
        <v>84</v>
      </c>
      <c r="N3548" t="s">
        <v>31</v>
      </c>
      <c r="O3548" t="s">
        <v>32</v>
      </c>
      <c r="P3548" t="s">
        <v>7174</v>
      </c>
      <c r="Q3548">
        <v>100</v>
      </c>
      <c r="R3548">
        <v>100</v>
      </c>
      <c r="S3548" t="s">
        <v>34</v>
      </c>
      <c r="T3548" t="s">
        <v>35</v>
      </c>
      <c r="U3548" t="s">
        <v>70</v>
      </c>
      <c r="V3548" s="4">
        <v>45200</v>
      </c>
      <c r="W3548">
        <v>100</v>
      </c>
      <c r="X3548">
        <v>100</v>
      </c>
      <c r="Y3548">
        <v>100</v>
      </c>
      <c r="Z3548">
        <v>100</v>
      </c>
    </row>
    <row r="3549" spans="1:26" hidden="1" x14ac:dyDescent="0.25">
      <c r="A3549" t="s">
        <v>7175</v>
      </c>
      <c r="B3549" t="s">
        <v>38</v>
      </c>
      <c r="C3549" s="4">
        <v>43171</v>
      </c>
      <c r="D3549" s="4">
        <v>43706</v>
      </c>
      <c r="F3549" s="4">
        <v>44805</v>
      </c>
      <c r="G3549" t="s">
        <v>112</v>
      </c>
      <c r="H3549" t="s">
        <v>752</v>
      </c>
      <c r="K3549" t="s">
        <v>114</v>
      </c>
      <c r="L3549" t="s">
        <v>29</v>
      </c>
      <c r="M3549" t="s">
        <v>68</v>
      </c>
      <c r="N3549" t="s">
        <v>31</v>
      </c>
      <c r="O3549" t="s">
        <v>32</v>
      </c>
      <c r="P3549" t="s">
        <v>7176</v>
      </c>
      <c r="Q3549">
        <v>200</v>
      </c>
      <c r="R3549">
        <v>200</v>
      </c>
      <c r="S3549" t="s">
        <v>34</v>
      </c>
      <c r="T3549" t="s">
        <v>35</v>
      </c>
      <c r="U3549" t="s">
        <v>44</v>
      </c>
      <c r="W3549">
        <v>0</v>
      </c>
      <c r="X3549">
        <v>0</v>
      </c>
      <c r="Y3549">
        <v>0</v>
      </c>
      <c r="Z3549">
        <v>0</v>
      </c>
    </row>
    <row r="3550" spans="1:26" hidden="1" x14ac:dyDescent="0.25">
      <c r="A3550" t="s">
        <v>7177</v>
      </c>
      <c r="B3550" t="s">
        <v>38</v>
      </c>
      <c r="C3550" s="4">
        <v>43143</v>
      </c>
      <c r="D3550" s="4">
        <v>44012</v>
      </c>
      <c r="F3550" s="4">
        <v>44440</v>
      </c>
      <c r="G3550" t="s">
        <v>52</v>
      </c>
      <c r="H3550" t="s">
        <v>7178</v>
      </c>
      <c r="K3550" t="s">
        <v>53</v>
      </c>
      <c r="L3550" t="s">
        <v>29</v>
      </c>
      <c r="M3550" t="s">
        <v>54</v>
      </c>
      <c r="N3550" t="s">
        <v>31</v>
      </c>
      <c r="O3550" t="s">
        <v>32</v>
      </c>
      <c r="P3550" t="s">
        <v>7179</v>
      </c>
      <c r="Q3550">
        <v>80</v>
      </c>
      <c r="R3550">
        <v>80</v>
      </c>
      <c r="S3550" t="s">
        <v>34</v>
      </c>
      <c r="T3550" t="s">
        <v>35</v>
      </c>
      <c r="U3550" t="s">
        <v>44</v>
      </c>
      <c r="W3550">
        <v>80</v>
      </c>
      <c r="X3550">
        <v>80</v>
      </c>
      <c r="Y3550">
        <v>0</v>
      </c>
      <c r="Z3550">
        <v>0</v>
      </c>
    </row>
    <row r="3551" spans="1:26" hidden="1" x14ac:dyDescent="0.25">
      <c r="A3551" t="s">
        <v>7180</v>
      </c>
      <c r="B3551" t="s">
        <v>38</v>
      </c>
      <c r="C3551" s="4">
        <v>43171</v>
      </c>
      <c r="D3551" s="4">
        <v>43511</v>
      </c>
      <c r="F3551" s="4">
        <v>44075</v>
      </c>
      <c r="G3551" t="s">
        <v>72</v>
      </c>
      <c r="H3551" t="s">
        <v>1130</v>
      </c>
      <c r="K3551" t="s">
        <v>209</v>
      </c>
      <c r="L3551" t="s">
        <v>29</v>
      </c>
      <c r="M3551" t="s">
        <v>42</v>
      </c>
      <c r="N3551" t="s">
        <v>31</v>
      </c>
      <c r="O3551" t="s">
        <v>32</v>
      </c>
      <c r="P3551" t="s">
        <v>7181</v>
      </c>
      <c r="Q3551">
        <v>150</v>
      </c>
      <c r="R3551">
        <v>150</v>
      </c>
      <c r="S3551" t="s">
        <v>34</v>
      </c>
      <c r="T3551" t="s">
        <v>35</v>
      </c>
      <c r="U3551" t="s">
        <v>44</v>
      </c>
      <c r="W3551">
        <v>0</v>
      </c>
      <c r="X3551">
        <v>0</v>
      </c>
      <c r="Y3551">
        <v>0</v>
      </c>
      <c r="Z3551">
        <v>0</v>
      </c>
    </row>
    <row r="3552" spans="1:26" hidden="1" x14ac:dyDescent="0.25">
      <c r="A3552" t="s">
        <v>7182</v>
      </c>
      <c r="B3552" t="s">
        <v>38</v>
      </c>
      <c r="C3552" s="4">
        <v>43171</v>
      </c>
      <c r="D3552" s="4">
        <v>46009</v>
      </c>
      <c r="E3552" s="4">
        <v>44481</v>
      </c>
      <c r="F3552" s="4">
        <v>44440</v>
      </c>
      <c r="G3552" t="s">
        <v>117</v>
      </c>
      <c r="H3552" t="s">
        <v>728</v>
      </c>
      <c r="K3552" t="s">
        <v>83</v>
      </c>
      <c r="L3552" t="s">
        <v>29</v>
      </c>
      <c r="M3552" t="s">
        <v>84</v>
      </c>
      <c r="N3552" t="s">
        <v>31</v>
      </c>
      <c r="O3552" t="s">
        <v>32</v>
      </c>
      <c r="P3552" t="s">
        <v>7183</v>
      </c>
      <c r="Q3552">
        <v>200</v>
      </c>
      <c r="R3552">
        <v>200</v>
      </c>
      <c r="S3552" t="s">
        <v>34</v>
      </c>
      <c r="T3552" t="s">
        <v>35</v>
      </c>
      <c r="U3552" t="s">
        <v>38</v>
      </c>
      <c r="V3552" s="4">
        <v>45200</v>
      </c>
      <c r="W3552">
        <v>150</v>
      </c>
      <c r="X3552">
        <v>150</v>
      </c>
      <c r="Y3552">
        <v>150</v>
      </c>
      <c r="Z3552">
        <v>150</v>
      </c>
    </row>
    <row r="3553" spans="1:26" hidden="1" x14ac:dyDescent="0.25">
      <c r="A3553" t="s">
        <v>7184</v>
      </c>
      <c r="B3553" t="s">
        <v>25</v>
      </c>
      <c r="C3553" s="4">
        <v>43171</v>
      </c>
      <c r="E3553" s="4">
        <v>44481</v>
      </c>
      <c r="F3553" s="4">
        <v>44440</v>
      </c>
      <c r="G3553" t="s">
        <v>101</v>
      </c>
      <c r="H3553" t="s">
        <v>275</v>
      </c>
      <c r="K3553" t="s">
        <v>98</v>
      </c>
      <c r="L3553" t="s">
        <v>29</v>
      </c>
      <c r="M3553" t="s">
        <v>84</v>
      </c>
      <c r="N3553" t="s">
        <v>31</v>
      </c>
      <c r="O3553" t="s">
        <v>32</v>
      </c>
      <c r="P3553" t="s">
        <v>7185</v>
      </c>
      <c r="Q3553">
        <v>200</v>
      </c>
      <c r="R3553">
        <v>200</v>
      </c>
      <c r="S3553" t="s">
        <v>34</v>
      </c>
      <c r="T3553" t="s">
        <v>35</v>
      </c>
      <c r="U3553" t="s">
        <v>70</v>
      </c>
      <c r="V3553" s="4">
        <v>45230</v>
      </c>
      <c r="W3553">
        <v>200</v>
      </c>
      <c r="X3553">
        <v>200</v>
      </c>
      <c r="Y3553">
        <v>200</v>
      </c>
      <c r="Z3553">
        <v>200</v>
      </c>
    </row>
    <row r="3554" spans="1:26" hidden="1" x14ac:dyDescent="0.25">
      <c r="A3554" t="s">
        <v>7186</v>
      </c>
      <c r="B3554" t="s">
        <v>25</v>
      </c>
      <c r="C3554" s="4">
        <v>43171</v>
      </c>
      <c r="E3554" s="4">
        <v>44481</v>
      </c>
      <c r="F3554" s="4">
        <v>44440</v>
      </c>
      <c r="G3554" t="s">
        <v>1257</v>
      </c>
      <c r="H3554" t="s">
        <v>108</v>
      </c>
      <c r="K3554" t="s">
        <v>98</v>
      </c>
      <c r="L3554" t="s">
        <v>29</v>
      </c>
      <c r="M3554" t="s">
        <v>84</v>
      </c>
      <c r="N3554" t="s">
        <v>31</v>
      </c>
      <c r="O3554" t="s">
        <v>32</v>
      </c>
      <c r="P3554" t="s">
        <v>7187</v>
      </c>
      <c r="Q3554">
        <v>200</v>
      </c>
      <c r="R3554">
        <v>200</v>
      </c>
      <c r="S3554" t="s">
        <v>34</v>
      </c>
      <c r="T3554" t="s">
        <v>35</v>
      </c>
      <c r="U3554" t="s">
        <v>70</v>
      </c>
      <c r="V3554" s="4">
        <v>45231</v>
      </c>
      <c r="W3554">
        <v>200</v>
      </c>
      <c r="X3554">
        <v>200</v>
      </c>
      <c r="Y3554">
        <v>200</v>
      </c>
      <c r="Z3554">
        <v>200</v>
      </c>
    </row>
    <row r="3555" spans="1:26" hidden="1" x14ac:dyDescent="0.25">
      <c r="A3555" t="s">
        <v>7188</v>
      </c>
      <c r="B3555" t="s">
        <v>38</v>
      </c>
      <c r="C3555" s="4">
        <v>43171</v>
      </c>
      <c r="D3555" s="4">
        <v>45950</v>
      </c>
      <c r="E3555" s="4">
        <v>44481</v>
      </c>
      <c r="F3555" s="4">
        <v>44440</v>
      </c>
      <c r="G3555" t="s">
        <v>107</v>
      </c>
      <c r="H3555" t="s">
        <v>461</v>
      </c>
      <c r="K3555" t="s">
        <v>109</v>
      </c>
      <c r="L3555" t="s">
        <v>29</v>
      </c>
      <c r="M3555" t="s">
        <v>84</v>
      </c>
      <c r="N3555" t="s">
        <v>31</v>
      </c>
      <c r="O3555" t="s">
        <v>32</v>
      </c>
      <c r="P3555" t="s">
        <v>7189</v>
      </c>
      <c r="Q3555">
        <v>100</v>
      </c>
      <c r="R3555">
        <v>100</v>
      </c>
      <c r="S3555" t="s">
        <v>34</v>
      </c>
      <c r="T3555" t="s">
        <v>35</v>
      </c>
      <c r="U3555" t="s">
        <v>70</v>
      </c>
      <c r="V3555" s="4">
        <v>45139</v>
      </c>
      <c r="W3555">
        <v>100</v>
      </c>
      <c r="X3555">
        <v>100</v>
      </c>
      <c r="Y3555">
        <v>100</v>
      </c>
      <c r="Z3555">
        <v>100</v>
      </c>
    </row>
    <row r="3556" spans="1:26" x14ac:dyDescent="0.25">
      <c r="A3556" t="s">
        <v>7190</v>
      </c>
      <c r="B3556" t="s">
        <v>38</v>
      </c>
      <c r="C3556" s="4">
        <v>43171</v>
      </c>
      <c r="D3556" s="4">
        <v>43836</v>
      </c>
      <c r="F3556" s="4">
        <v>44440</v>
      </c>
      <c r="G3556" t="s">
        <v>117</v>
      </c>
      <c r="H3556" t="s">
        <v>7654</v>
      </c>
      <c r="I3556" t="s">
        <v>7669</v>
      </c>
      <c r="K3556" t="s">
        <v>83</v>
      </c>
      <c r="L3556" t="s">
        <v>29</v>
      </c>
      <c r="M3556" t="s">
        <v>84</v>
      </c>
      <c r="N3556" t="s">
        <v>31</v>
      </c>
      <c r="O3556" t="s">
        <v>32</v>
      </c>
      <c r="P3556" t="s">
        <v>7191</v>
      </c>
      <c r="Q3556">
        <v>100</v>
      </c>
      <c r="R3556">
        <v>100</v>
      </c>
      <c r="S3556" t="s">
        <v>34</v>
      </c>
      <c r="T3556" t="s">
        <v>35</v>
      </c>
      <c r="U3556" t="s">
        <v>44</v>
      </c>
      <c r="W3556">
        <v>0</v>
      </c>
      <c r="X3556">
        <v>0</v>
      </c>
      <c r="Y3556">
        <v>0</v>
      </c>
      <c r="Z3556">
        <v>0</v>
      </c>
    </row>
    <row r="3557" spans="1:26" hidden="1" x14ac:dyDescent="0.25">
      <c r="A3557" t="s">
        <v>7192</v>
      </c>
      <c r="B3557" t="s">
        <v>25</v>
      </c>
      <c r="C3557" s="4">
        <v>43171</v>
      </c>
      <c r="E3557" s="4">
        <v>44313</v>
      </c>
      <c r="F3557" s="4">
        <v>44440</v>
      </c>
      <c r="G3557" t="s">
        <v>52</v>
      </c>
      <c r="H3557" t="s">
        <v>528</v>
      </c>
      <c r="K3557" t="s">
        <v>53</v>
      </c>
      <c r="L3557" t="s">
        <v>29</v>
      </c>
      <c r="M3557" t="s">
        <v>54</v>
      </c>
      <c r="N3557" t="s">
        <v>31</v>
      </c>
      <c r="O3557" t="s">
        <v>32</v>
      </c>
      <c r="P3557" t="s">
        <v>7193</v>
      </c>
      <c r="Q3557">
        <v>80</v>
      </c>
      <c r="R3557">
        <v>80</v>
      </c>
      <c r="S3557" t="s">
        <v>34</v>
      </c>
      <c r="T3557" t="s">
        <v>35</v>
      </c>
      <c r="U3557" t="s">
        <v>70</v>
      </c>
      <c r="V3557" s="4">
        <v>44865</v>
      </c>
      <c r="W3557">
        <v>80</v>
      </c>
      <c r="X3557">
        <v>80</v>
      </c>
      <c r="Y3557">
        <v>80</v>
      </c>
      <c r="Z3557">
        <v>80</v>
      </c>
    </row>
    <row r="3558" spans="1:26" hidden="1" x14ac:dyDescent="0.25">
      <c r="A3558" t="s">
        <v>7194</v>
      </c>
      <c r="B3558" t="s">
        <v>38</v>
      </c>
      <c r="C3558" s="4">
        <v>43171</v>
      </c>
      <c r="D3558" s="4">
        <v>43915</v>
      </c>
      <c r="F3558" s="4">
        <v>44075</v>
      </c>
      <c r="G3558" t="s">
        <v>183</v>
      </c>
      <c r="H3558" t="s">
        <v>7195</v>
      </c>
      <c r="K3558" t="s">
        <v>185</v>
      </c>
      <c r="L3558" t="s">
        <v>29</v>
      </c>
      <c r="M3558" t="s">
        <v>42</v>
      </c>
      <c r="N3558" t="s">
        <v>31</v>
      </c>
      <c r="O3558" t="s">
        <v>32</v>
      </c>
      <c r="P3558" t="s">
        <v>7196</v>
      </c>
      <c r="Q3558">
        <v>200</v>
      </c>
      <c r="R3558">
        <v>200</v>
      </c>
      <c r="S3558" t="s">
        <v>34</v>
      </c>
      <c r="T3558" t="s">
        <v>35</v>
      </c>
      <c r="U3558" t="s">
        <v>44</v>
      </c>
      <c r="W3558">
        <v>0</v>
      </c>
      <c r="X3558">
        <v>0</v>
      </c>
      <c r="Y3558">
        <v>0</v>
      </c>
      <c r="Z3558">
        <v>0</v>
      </c>
    </row>
    <row r="3559" spans="1:26" hidden="1" x14ac:dyDescent="0.25">
      <c r="A3559" t="s">
        <v>7197</v>
      </c>
      <c r="B3559" t="s">
        <v>38</v>
      </c>
      <c r="C3559" s="4">
        <v>43171</v>
      </c>
      <c r="D3559" s="4">
        <v>43915</v>
      </c>
      <c r="F3559" s="4">
        <v>44075</v>
      </c>
      <c r="G3559" t="s">
        <v>128</v>
      </c>
      <c r="H3559" t="s">
        <v>7198</v>
      </c>
      <c r="K3559" t="s">
        <v>209</v>
      </c>
      <c r="L3559" t="s">
        <v>29</v>
      </c>
      <c r="M3559" t="s">
        <v>42</v>
      </c>
      <c r="N3559" t="s">
        <v>31</v>
      </c>
      <c r="O3559" t="s">
        <v>32</v>
      </c>
      <c r="P3559" t="s">
        <v>7199</v>
      </c>
      <c r="Q3559">
        <v>50</v>
      </c>
      <c r="R3559">
        <v>50</v>
      </c>
      <c r="S3559" t="s">
        <v>34</v>
      </c>
      <c r="T3559" t="s">
        <v>35</v>
      </c>
      <c r="U3559" t="s">
        <v>44</v>
      </c>
      <c r="W3559">
        <v>0</v>
      </c>
      <c r="X3559">
        <v>0</v>
      </c>
      <c r="Y3559">
        <v>0</v>
      </c>
      <c r="Z3559">
        <v>0</v>
      </c>
    </row>
    <row r="3560" spans="1:26" hidden="1" x14ac:dyDescent="0.25">
      <c r="A3560" t="s">
        <v>7200</v>
      </c>
      <c r="B3560" t="s">
        <v>38</v>
      </c>
      <c r="C3560" s="4">
        <v>43171</v>
      </c>
      <c r="D3560" s="4">
        <v>43915</v>
      </c>
      <c r="F3560" s="4">
        <v>44075</v>
      </c>
      <c r="G3560" t="s">
        <v>72</v>
      </c>
      <c r="H3560" t="s">
        <v>805</v>
      </c>
      <c r="K3560" t="s">
        <v>209</v>
      </c>
      <c r="L3560" t="s">
        <v>29</v>
      </c>
      <c r="M3560" t="s">
        <v>42</v>
      </c>
      <c r="N3560" t="s">
        <v>31</v>
      </c>
      <c r="O3560" t="s">
        <v>32</v>
      </c>
      <c r="P3560" t="s">
        <v>7201</v>
      </c>
      <c r="Q3560">
        <v>100</v>
      </c>
      <c r="R3560">
        <v>100</v>
      </c>
      <c r="S3560" t="s">
        <v>34</v>
      </c>
      <c r="T3560" t="s">
        <v>35</v>
      </c>
      <c r="U3560" t="s">
        <v>44</v>
      </c>
      <c r="W3560">
        <v>0</v>
      </c>
      <c r="X3560">
        <v>0</v>
      </c>
      <c r="Y3560">
        <v>0</v>
      </c>
      <c r="Z3560">
        <v>0</v>
      </c>
    </row>
    <row r="3561" spans="1:26" hidden="1" x14ac:dyDescent="0.25">
      <c r="A3561" t="s">
        <v>7202</v>
      </c>
      <c r="B3561" t="s">
        <v>25</v>
      </c>
      <c r="C3561" s="4">
        <v>43640</v>
      </c>
      <c r="F3561" s="4">
        <v>44835</v>
      </c>
      <c r="G3561" t="s">
        <v>183</v>
      </c>
      <c r="H3561" t="s">
        <v>1415</v>
      </c>
      <c r="O3561" t="s">
        <v>32</v>
      </c>
      <c r="P3561" t="s">
        <v>7203</v>
      </c>
      <c r="Q3561">
        <v>103.1</v>
      </c>
      <c r="R3561">
        <v>103.1</v>
      </c>
      <c r="W3561">
        <v>0</v>
      </c>
      <c r="X3561">
        <v>0</v>
      </c>
      <c r="Y3561">
        <v>0</v>
      </c>
      <c r="Z3561">
        <v>0</v>
      </c>
    </row>
    <row r="3562" spans="1:26" hidden="1" x14ac:dyDescent="0.25">
      <c r="A3562" t="s">
        <v>7204</v>
      </c>
      <c r="B3562" t="s">
        <v>25</v>
      </c>
      <c r="C3562" s="4">
        <v>43966</v>
      </c>
      <c r="F3562" s="4">
        <v>44666</v>
      </c>
      <c r="G3562" t="s">
        <v>177</v>
      </c>
      <c r="H3562" t="s">
        <v>5772</v>
      </c>
      <c r="O3562" t="s">
        <v>32</v>
      </c>
      <c r="P3562" t="s">
        <v>7205</v>
      </c>
      <c r="Q3562">
        <v>49.9</v>
      </c>
      <c r="R3562">
        <v>49.9</v>
      </c>
      <c r="W3562">
        <v>0</v>
      </c>
      <c r="X3562">
        <v>0</v>
      </c>
      <c r="Y3562">
        <v>0</v>
      </c>
      <c r="Z3562">
        <v>0</v>
      </c>
    </row>
    <row r="3563" spans="1:26" hidden="1" x14ac:dyDescent="0.25">
      <c r="A3563" t="s">
        <v>7206</v>
      </c>
      <c r="B3563" t="s">
        <v>38</v>
      </c>
      <c r="C3563" s="4">
        <v>44013</v>
      </c>
      <c r="F3563" s="4">
        <v>44743</v>
      </c>
      <c r="G3563" t="s">
        <v>1278</v>
      </c>
      <c r="H3563" t="s">
        <v>2917</v>
      </c>
      <c r="O3563" t="s">
        <v>32</v>
      </c>
      <c r="P3563" t="s">
        <v>7207</v>
      </c>
      <c r="Q3563">
        <v>11.4</v>
      </c>
      <c r="R3563">
        <v>11.4</v>
      </c>
      <c r="W3563">
        <v>0</v>
      </c>
      <c r="X3563">
        <v>0</v>
      </c>
      <c r="Y3563">
        <v>0</v>
      </c>
      <c r="Z3563">
        <v>0</v>
      </c>
    </row>
    <row r="3564" spans="1:26" hidden="1" x14ac:dyDescent="0.25">
      <c r="A3564" t="s">
        <v>7208</v>
      </c>
      <c r="B3564" t="s">
        <v>25</v>
      </c>
      <c r="C3564" s="4">
        <v>44048</v>
      </c>
      <c r="F3564" s="4">
        <v>46173</v>
      </c>
      <c r="G3564" t="s">
        <v>149</v>
      </c>
      <c r="H3564" t="s">
        <v>1629</v>
      </c>
      <c r="O3564" t="s">
        <v>32</v>
      </c>
      <c r="P3564" t="s">
        <v>7209</v>
      </c>
      <c r="Q3564">
        <v>1166</v>
      </c>
      <c r="R3564">
        <v>1163.3</v>
      </c>
      <c r="W3564">
        <v>0</v>
      </c>
      <c r="X3564">
        <v>0</v>
      </c>
      <c r="Y3564">
        <v>0</v>
      </c>
      <c r="Z3564">
        <v>0</v>
      </c>
    </row>
    <row r="3565" spans="1:26" hidden="1" x14ac:dyDescent="0.25">
      <c r="A3565" t="s">
        <v>7210</v>
      </c>
      <c r="B3565" t="s">
        <v>25</v>
      </c>
      <c r="C3565" s="4">
        <v>44195</v>
      </c>
      <c r="F3565" s="4">
        <v>45657</v>
      </c>
      <c r="G3565" t="s">
        <v>616</v>
      </c>
      <c r="H3565" t="s">
        <v>7211</v>
      </c>
      <c r="O3565" t="s">
        <v>1110</v>
      </c>
      <c r="P3565" t="s">
        <v>7212</v>
      </c>
      <c r="Q3565">
        <v>330</v>
      </c>
      <c r="R3565">
        <v>330</v>
      </c>
      <c r="W3565">
        <v>0</v>
      </c>
      <c r="X3565">
        <v>0</v>
      </c>
      <c r="Y3565">
        <v>0</v>
      </c>
      <c r="Z3565">
        <v>0</v>
      </c>
    </row>
    <row r="3566" spans="1:26" hidden="1" x14ac:dyDescent="0.25">
      <c r="A3566" t="s">
        <v>7213</v>
      </c>
      <c r="B3566" t="s">
        <v>38</v>
      </c>
      <c r="C3566" s="4">
        <v>44215</v>
      </c>
      <c r="F3566" s="4">
        <v>44634</v>
      </c>
      <c r="G3566" t="s">
        <v>173</v>
      </c>
      <c r="H3566" t="s">
        <v>1375</v>
      </c>
      <c r="O3566" t="s">
        <v>32</v>
      </c>
      <c r="P3566" t="s">
        <v>7214</v>
      </c>
      <c r="Q3566">
        <v>49</v>
      </c>
      <c r="R3566">
        <v>49</v>
      </c>
      <c r="W3566">
        <v>0</v>
      </c>
      <c r="X3566">
        <v>0</v>
      </c>
      <c r="Y3566">
        <v>0</v>
      </c>
      <c r="Z3566">
        <v>0</v>
      </c>
    </row>
    <row r="3567" spans="1:26" hidden="1" x14ac:dyDescent="0.25">
      <c r="A3567" t="s">
        <v>7215</v>
      </c>
      <c r="B3567" t="s">
        <v>38</v>
      </c>
      <c r="C3567" s="4">
        <v>44242</v>
      </c>
      <c r="F3567" s="4">
        <v>45108</v>
      </c>
      <c r="G3567" t="s">
        <v>6465</v>
      </c>
      <c r="H3567" t="s">
        <v>7216</v>
      </c>
      <c r="O3567" t="s">
        <v>32</v>
      </c>
      <c r="P3567" t="s">
        <v>7205</v>
      </c>
      <c r="Q3567">
        <v>350</v>
      </c>
      <c r="R3567">
        <v>350</v>
      </c>
      <c r="W3567">
        <v>0</v>
      </c>
      <c r="X3567">
        <v>0</v>
      </c>
      <c r="Y3567">
        <v>0</v>
      </c>
      <c r="Z3567">
        <v>0</v>
      </c>
    </row>
    <row r="3568" spans="1:26" hidden="1" x14ac:dyDescent="0.25">
      <c r="A3568" t="s">
        <v>7217</v>
      </c>
      <c r="B3568" t="s">
        <v>38</v>
      </c>
      <c r="C3568" s="4">
        <v>44284</v>
      </c>
      <c r="F3568" s="4">
        <v>45108</v>
      </c>
      <c r="G3568" t="s">
        <v>6465</v>
      </c>
      <c r="H3568" t="s">
        <v>2246</v>
      </c>
      <c r="O3568" t="s">
        <v>32</v>
      </c>
      <c r="P3568" t="s">
        <v>7218</v>
      </c>
      <c r="Q3568">
        <v>60</v>
      </c>
      <c r="R3568">
        <v>60</v>
      </c>
      <c r="W3568">
        <v>0</v>
      </c>
      <c r="X3568">
        <v>0</v>
      </c>
      <c r="Y3568">
        <v>0</v>
      </c>
      <c r="Z3568">
        <v>0</v>
      </c>
    </row>
    <row r="3569" spans="1:26" hidden="1" x14ac:dyDescent="0.25">
      <c r="A3569" t="s">
        <v>7219</v>
      </c>
      <c r="B3569" t="s">
        <v>25</v>
      </c>
      <c r="C3569" s="4">
        <v>44298</v>
      </c>
      <c r="H3569" t="s">
        <v>2761</v>
      </c>
      <c r="O3569" t="s">
        <v>32</v>
      </c>
      <c r="P3569" t="s">
        <v>7220</v>
      </c>
      <c r="Q3569">
        <v>0</v>
      </c>
      <c r="R3569">
        <v>0</v>
      </c>
      <c r="W3569">
        <v>0</v>
      </c>
      <c r="X3569">
        <v>0</v>
      </c>
      <c r="Y3569">
        <v>0</v>
      </c>
      <c r="Z3569">
        <v>0</v>
      </c>
    </row>
    <row r="3570" spans="1:26" hidden="1" x14ac:dyDescent="0.25">
      <c r="A3570" t="s">
        <v>7221</v>
      </c>
      <c r="B3570" t="s">
        <v>25</v>
      </c>
      <c r="C3570" s="4">
        <v>44344</v>
      </c>
      <c r="D3570" s="4">
        <v>45868</v>
      </c>
      <c r="F3570" s="4">
        <v>45261</v>
      </c>
      <c r="G3570" t="s">
        <v>52</v>
      </c>
      <c r="H3570" t="s">
        <v>7222</v>
      </c>
      <c r="O3570" t="s">
        <v>32</v>
      </c>
      <c r="P3570" t="s">
        <v>7223</v>
      </c>
      <c r="Q3570">
        <v>0</v>
      </c>
      <c r="R3570">
        <v>0</v>
      </c>
      <c r="W3570">
        <v>0</v>
      </c>
      <c r="X3570">
        <v>0</v>
      </c>
      <c r="Y3570">
        <v>0</v>
      </c>
      <c r="Z3570">
        <v>0</v>
      </c>
    </row>
    <row r="3571" spans="1:26" hidden="1" x14ac:dyDescent="0.25">
      <c r="A3571" t="s">
        <v>7224</v>
      </c>
      <c r="B3571" t="s">
        <v>25</v>
      </c>
      <c r="C3571" s="4">
        <v>44398</v>
      </c>
      <c r="G3571" t="s">
        <v>1278</v>
      </c>
      <c r="H3571" t="s">
        <v>1308</v>
      </c>
      <c r="O3571" t="s">
        <v>1110</v>
      </c>
      <c r="Q3571">
        <v>0</v>
      </c>
      <c r="R3571">
        <v>0</v>
      </c>
      <c r="W3571">
        <v>0</v>
      </c>
      <c r="X3571">
        <v>0</v>
      </c>
      <c r="Y3571">
        <v>0</v>
      </c>
      <c r="Z3571">
        <v>0</v>
      </c>
    </row>
    <row r="3572" spans="1:26" hidden="1" x14ac:dyDescent="0.25">
      <c r="A3572" t="s">
        <v>7225</v>
      </c>
      <c r="B3572" t="s">
        <v>25</v>
      </c>
      <c r="C3572" s="4">
        <v>44473</v>
      </c>
      <c r="F3572" s="4">
        <v>45306</v>
      </c>
      <c r="G3572" t="s">
        <v>1257</v>
      </c>
      <c r="H3572" t="s">
        <v>1663</v>
      </c>
      <c r="O3572" t="s">
        <v>32</v>
      </c>
      <c r="P3572" t="s">
        <v>7226</v>
      </c>
      <c r="Q3572">
        <v>250</v>
      </c>
      <c r="R3572">
        <v>250</v>
      </c>
      <c r="W3572">
        <v>0</v>
      </c>
      <c r="X3572">
        <v>0</v>
      </c>
      <c r="Y3572">
        <v>0</v>
      </c>
      <c r="Z3572">
        <v>0</v>
      </c>
    </row>
    <row r="3573" spans="1:26" hidden="1" x14ac:dyDescent="0.25">
      <c r="A3573" t="s">
        <v>7227</v>
      </c>
      <c r="B3573" t="s">
        <v>38</v>
      </c>
      <c r="C3573" s="4">
        <v>44469</v>
      </c>
      <c r="F3573" s="4">
        <v>45108</v>
      </c>
      <c r="G3573" t="s">
        <v>6465</v>
      </c>
      <c r="H3573" t="s">
        <v>805</v>
      </c>
      <c r="O3573" t="s">
        <v>32</v>
      </c>
      <c r="P3573" t="s">
        <v>6087</v>
      </c>
      <c r="Q3573">
        <v>640</v>
      </c>
      <c r="R3573">
        <v>640</v>
      </c>
      <c r="W3573">
        <v>0</v>
      </c>
      <c r="X3573">
        <v>0</v>
      </c>
      <c r="Y3573">
        <v>0</v>
      </c>
      <c r="Z3573">
        <v>0</v>
      </c>
    </row>
    <row r="3574" spans="1:26" hidden="1" x14ac:dyDescent="0.25">
      <c r="A3574" t="s">
        <v>7228</v>
      </c>
      <c r="B3574" t="s">
        <v>38</v>
      </c>
      <c r="C3574" s="4">
        <v>44516</v>
      </c>
      <c r="F3574" s="4">
        <v>45550</v>
      </c>
      <c r="G3574" t="s">
        <v>1679</v>
      </c>
      <c r="H3574" t="s">
        <v>4377</v>
      </c>
      <c r="O3574" t="s">
        <v>32</v>
      </c>
      <c r="P3574" t="s">
        <v>7229</v>
      </c>
      <c r="Q3574">
        <v>0</v>
      </c>
      <c r="R3574">
        <v>0</v>
      </c>
      <c r="W3574">
        <v>0</v>
      </c>
      <c r="X3574">
        <v>0</v>
      </c>
      <c r="Y3574">
        <v>0</v>
      </c>
      <c r="Z3574">
        <v>0</v>
      </c>
    </row>
    <row r="3575" spans="1:26" hidden="1" x14ac:dyDescent="0.25">
      <c r="A3575" t="s">
        <v>7230</v>
      </c>
      <c r="B3575" t="s">
        <v>25</v>
      </c>
      <c r="C3575" s="4">
        <v>44596</v>
      </c>
      <c r="D3575" s="4">
        <v>45868</v>
      </c>
      <c r="F3575" s="4">
        <v>45748</v>
      </c>
      <c r="G3575" t="s">
        <v>7231</v>
      </c>
      <c r="P3575" t="s">
        <v>7232</v>
      </c>
      <c r="Q3575">
        <v>0</v>
      </c>
      <c r="R3575">
        <v>0</v>
      </c>
      <c r="W3575">
        <v>0</v>
      </c>
      <c r="X3575">
        <v>0</v>
      </c>
      <c r="Y3575">
        <v>0</v>
      </c>
      <c r="Z3575">
        <v>0</v>
      </c>
    </row>
    <row r="3576" spans="1:26" hidden="1" x14ac:dyDescent="0.25">
      <c r="A3576" t="s">
        <v>7233</v>
      </c>
      <c r="B3576" t="s">
        <v>25</v>
      </c>
      <c r="C3576" s="4">
        <v>44605</v>
      </c>
      <c r="F3576" s="4">
        <v>45778</v>
      </c>
      <c r="G3576" t="s">
        <v>7231</v>
      </c>
      <c r="O3576" t="s">
        <v>32</v>
      </c>
      <c r="P3576" t="s">
        <v>7232</v>
      </c>
      <c r="Q3576">
        <v>423.1</v>
      </c>
      <c r="R3576">
        <v>0</v>
      </c>
      <c r="W3576">
        <v>0</v>
      </c>
      <c r="X3576">
        <v>0</v>
      </c>
      <c r="Y3576">
        <v>0</v>
      </c>
      <c r="Z3576">
        <v>0</v>
      </c>
    </row>
    <row r="3577" spans="1:26" hidden="1" x14ac:dyDescent="0.25">
      <c r="A3577" t="s">
        <v>7234</v>
      </c>
      <c r="B3577" t="s">
        <v>25</v>
      </c>
      <c r="C3577" s="4">
        <v>44610</v>
      </c>
      <c r="F3577" s="4">
        <v>45056</v>
      </c>
      <c r="G3577" t="s">
        <v>7235</v>
      </c>
      <c r="O3577" t="s">
        <v>1110</v>
      </c>
      <c r="P3577" t="s">
        <v>7236</v>
      </c>
      <c r="Q3577">
        <v>122</v>
      </c>
      <c r="R3577">
        <v>124.4</v>
      </c>
      <c r="W3577">
        <v>0</v>
      </c>
      <c r="X3577">
        <v>0</v>
      </c>
      <c r="Y3577">
        <v>0</v>
      </c>
      <c r="Z3577">
        <v>0</v>
      </c>
    </row>
    <row r="3578" spans="1:26" hidden="1" x14ac:dyDescent="0.25">
      <c r="A3578" t="s">
        <v>7237</v>
      </c>
      <c r="B3578" t="s">
        <v>38</v>
      </c>
      <c r="C3578" s="4">
        <v>44607</v>
      </c>
      <c r="G3578" t="s">
        <v>6465</v>
      </c>
      <c r="H3578" t="s">
        <v>2177</v>
      </c>
      <c r="O3578" t="s">
        <v>32</v>
      </c>
      <c r="P3578" t="s">
        <v>7238</v>
      </c>
      <c r="Q3578">
        <v>0</v>
      </c>
      <c r="R3578">
        <v>0</v>
      </c>
      <c r="W3578">
        <v>0</v>
      </c>
      <c r="X3578">
        <v>0</v>
      </c>
      <c r="Y3578">
        <v>0</v>
      </c>
      <c r="Z3578">
        <v>0</v>
      </c>
    </row>
    <row r="3579" spans="1:26" hidden="1" x14ac:dyDescent="0.25">
      <c r="A3579" t="s">
        <v>7239</v>
      </c>
      <c r="B3579" t="s">
        <v>38</v>
      </c>
      <c r="C3579" s="4">
        <v>44615</v>
      </c>
      <c r="D3579" s="4">
        <v>45362</v>
      </c>
      <c r="G3579" t="s">
        <v>6465</v>
      </c>
      <c r="H3579" t="s">
        <v>1902</v>
      </c>
      <c r="O3579" t="s">
        <v>32</v>
      </c>
      <c r="P3579" t="s">
        <v>7240</v>
      </c>
      <c r="Q3579">
        <v>280</v>
      </c>
      <c r="R3579">
        <v>0</v>
      </c>
      <c r="W3579">
        <v>0</v>
      </c>
      <c r="X3579">
        <v>0</v>
      </c>
      <c r="Y3579">
        <v>0</v>
      </c>
      <c r="Z3579">
        <v>0</v>
      </c>
    </row>
    <row r="3580" spans="1:26" hidden="1" x14ac:dyDescent="0.25">
      <c r="A3580" t="s">
        <v>7241</v>
      </c>
      <c r="B3580" t="s">
        <v>25</v>
      </c>
      <c r="C3580" s="4">
        <v>44607</v>
      </c>
      <c r="F3580" s="4">
        <v>45657</v>
      </c>
      <c r="G3580" t="s">
        <v>6465</v>
      </c>
      <c r="H3580" t="s">
        <v>2177</v>
      </c>
      <c r="O3580" t="s">
        <v>32</v>
      </c>
      <c r="P3580" t="s">
        <v>7238</v>
      </c>
      <c r="Q3580">
        <v>212</v>
      </c>
      <c r="R3580">
        <v>103</v>
      </c>
      <c r="W3580">
        <v>0</v>
      </c>
      <c r="X3580">
        <v>0</v>
      </c>
      <c r="Y3580">
        <v>0</v>
      </c>
      <c r="Z3580">
        <v>0</v>
      </c>
    </row>
    <row r="3581" spans="1:26" hidden="1" x14ac:dyDescent="0.25">
      <c r="A3581" t="s">
        <v>7242</v>
      </c>
      <c r="B3581" t="s">
        <v>25</v>
      </c>
      <c r="C3581" s="4">
        <v>44651</v>
      </c>
      <c r="F3581" s="4">
        <v>45595</v>
      </c>
      <c r="G3581" t="s">
        <v>6465</v>
      </c>
      <c r="H3581" t="s">
        <v>2246</v>
      </c>
      <c r="O3581" t="s">
        <v>32</v>
      </c>
      <c r="P3581" t="s">
        <v>7218</v>
      </c>
      <c r="Q3581">
        <v>0</v>
      </c>
      <c r="R3581">
        <v>0</v>
      </c>
      <c r="W3581">
        <v>0</v>
      </c>
      <c r="X3581">
        <v>0</v>
      </c>
      <c r="Y3581">
        <v>0</v>
      </c>
      <c r="Z3581">
        <v>0</v>
      </c>
    </row>
    <row r="3582" spans="1:26" hidden="1" x14ac:dyDescent="0.25">
      <c r="A3582" t="s">
        <v>7243</v>
      </c>
      <c r="B3582" t="s">
        <v>25</v>
      </c>
      <c r="C3582" s="4">
        <v>44712</v>
      </c>
      <c r="G3582" t="s">
        <v>1257</v>
      </c>
      <c r="H3582" t="s">
        <v>1663</v>
      </c>
      <c r="O3582" t="s">
        <v>1110</v>
      </c>
      <c r="P3582" t="s">
        <v>7226</v>
      </c>
      <c r="Q3582">
        <v>0</v>
      </c>
      <c r="R3582">
        <v>0</v>
      </c>
      <c r="W3582">
        <v>0</v>
      </c>
      <c r="X3582">
        <v>0</v>
      </c>
      <c r="Y3582">
        <v>0</v>
      </c>
      <c r="Z3582">
        <v>0</v>
      </c>
    </row>
    <row r="3583" spans="1:26" hidden="1" x14ac:dyDescent="0.25">
      <c r="A3583" t="s">
        <v>7244</v>
      </c>
      <c r="B3583" t="s">
        <v>25</v>
      </c>
      <c r="C3583" s="4">
        <v>44712</v>
      </c>
      <c r="F3583" s="4">
        <v>45672</v>
      </c>
      <c r="G3583" t="s">
        <v>1257</v>
      </c>
      <c r="H3583" t="s">
        <v>1663</v>
      </c>
      <c r="O3583" t="s">
        <v>1110</v>
      </c>
      <c r="P3583" t="s">
        <v>7226</v>
      </c>
      <c r="Q3583">
        <v>0</v>
      </c>
      <c r="R3583">
        <v>0</v>
      </c>
      <c r="W3583">
        <v>0</v>
      </c>
      <c r="X3583">
        <v>0</v>
      </c>
      <c r="Y3583">
        <v>0</v>
      </c>
      <c r="Z3583">
        <v>0</v>
      </c>
    </row>
    <row r="3584" spans="1:26" hidden="1" x14ac:dyDescent="0.25">
      <c r="A3584" t="s">
        <v>7245</v>
      </c>
      <c r="B3584" t="s">
        <v>38</v>
      </c>
      <c r="C3584" s="4">
        <v>44833</v>
      </c>
      <c r="F3584" s="4">
        <v>45260</v>
      </c>
      <c r="G3584" t="s">
        <v>117</v>
      </c>
      <c r="H3584" t="s">
        <v>1437</v>
      </c>
      <c r="O3584" t="s">
        <v>1110</v>
      </c>
      <c r="Q3584">
        <v>0</v>
      </c>
      <c r="R3584">
        <v>0</v>
      </c>
      <c r="W3584">
        <v>0</v>
      </c>
      <c r="X3584">
        <v>0</v>
      </c>
      <c r="Y3584">
        <v>0</v>
      </c>
      <c r="Z3584">
        <v>0</v>
      </c>
    </row>
    <row r="3585" spans="1:26" hidden="1" x14ac:dyDescent="0.25">
      <c r="A3585" t="s">
        <v>7246</v>
      </c>
      <c r="B3585" t="s">
        <v>25</v>
      </c>
      <c r="C3585" s="4">
        <v>44846</v>
      </c>
      <c r="F3585" s="4">
        <v>45550</v>
      </c>
      <c r="G3585" t="s">
        <v>1679</v>
      </c>
      <c r="H3585" t="s">
        <v>4377</v>
      </c>
      <c r="O3585" t="s">
        <v>32</v>
      </c>
      <c r="P3585" t="s">
        <v>7247</v>
      </c>
      <c r="Q3585">
        <v>0</v>
      </c>
      <c r="R3585">
        <v>0</v>
      </c>
      <c r="W3585">
        <v>0</v>
      </c>
      <c r="X3585">
        <v>0</v>
      </c>
      <c r="Y3585">
        <v>0</v>
      </c>
      <c r="Z3585">
        <v>0</v>
      </c>
    </row>
    <row r="3586" spans="1:26" hidden="1" x14ac:dyDescent="0.25">
      <c r="A3586" t="s">
        <v>7248</v>
      </c>
      <c r="B3586" t="s">
        <v>25</v>
      </c>
      <c r="C3586" s="4">
        <v>44848</v>
      </c>
      <c r="F3586" s="4">
        <v>45901</v>
      </c>
      <c r="G3586" t="s">
        <v>365</v>
      </c>
      <c r="H3586" t="s">
        <v>3011</v>
      </c>
      <c r="O3586" t="s">
        <v>32</v>
      </c>
      <c r="P3586" t="s">
        <v>7249</v>
      </c>
      <c r="Q3586">
        <v>0</v>
      </c>
      <c r="R3586">
        <v>0</v>
      </c>
      <c r="W3586">
        <v>0</v>
      </c>
      <c r="X3586">
        <v>0</v>
      </c>
      <c r="Y3586">
        <v>0</v>
      </c>
      <c r="Z3586">
        <v>0</v>
      </c>
    </row>
    <row r="3587" spans="1:26" hidden="1" x14ac:dyDescent="0.25">
      <c r="A3587" t="s">
        <v>7250</v>
      </c>
      <c r="B3587" t="s">
        <v>25</v>
      </c>
      <c r="C3587" s="4">
        <v>44887</v>
      </c>
      <c r="G3587" t="s">
        <v>6465</v>
      </c>
      <c r="H3587" t="s">
        <v>805</v>
      </c>
      <c r="P3587" t="s">
        <v>7218</v>
      </c>
      <c r="Q3587">
        <v>0</v>
      </c>
      <c r="R3587">
        <v>0</v>
      </c>
      <c r="W3587">
        <v>0</v>
      </c>
      <c r="X3587">
        <v>0</v>
      </c>
      <c r="Y3587">
        <v>0</v>
      </c>
      <c r="Z3587">
        <v>0</v>
      </c>
    </row>
    <row r="3588" spans="1:26" hidden="1" x14ac:dyDescent="0.25">
      <c r="A3588" t="s">
        <v>7251</v>
      </c>
      <c r="B3588" t="s">
        <v>25</v>
      </c>
      <c r="C3588" s="4">
        <v>44887</v>
      </c>
      <c r="G3588" t="s">
        <v>6465</v>
      </c>
      <c r="H3588" t="s">
        <v>805</v>
      </c>
      <c r="P3588" t="s">
        <v>7218</v>
      </c>
      <c r="Q3588">
        <v>0</v>
      </c>
      <c r="R3588">
        <v>0</v>
      </c>
      <c r="W3588">
        <v>0</v>
      </c>
      <c r="X3588">
        <v>0</v>
      </c>
      <c r="Y3588">
        <v>0</v>
      </c>
      <c r="Z3588">
        <v>0</v>
      </c>
    </row>
    <row r="3589" spans="1:26" hidden="1" x14ac:dyDescent="0.25">
      <c r="A3589" t="s">
        <v>7252</v>
      </c>
      <c r="B3589" t="s">
        <v>25</v>
      </c>
      <c r="C3589" s="4">
        <v>44887</v>
      </c>
      <c r="Q3589">
        <v>0</v>
      </c>
      <c r="R3589">
        <v>0</v>
      </c>
      <c r="W3589">
        <v>0</v>
      </c>
      <c r="X3589">
        <v>0</v>
      </c>
      <c r="Y3589">
        <v>0</v>
      </c>
      <c r="Z3589">
        <v>0</v>
      </c>
    </row>
    <row r="3590" spans="1:26" hidden="1" x14ac:dyDescent="0.25">
      <c r="A3590" t="s">
        <v>7253</v>
      </c>
      <c r="B3590" t="s">
        <v>25</v>
      </c>
      <c r="C3590" s="4">
        <v>44907</v>
      </c>
      <c r="F3590" s="4">
        <v>45627</v>
      </c>
      <c r="P3590" t="s">
        <v>7254</v>
      </c>
      <c r="Q3590">
        <v>37</v>
      </c>
      <c r="R3590">
        <v>0</v>
      </c>
      <c r="V3590" s="4">
        <v>45627</v>
      </c>
      <c r="W3590">
        <v>0</v>
      </c>
      <c r="X3590">
        <v>0</v>
      </c>
      <c r="Y3590">
        <v>0</v>
      </c>
      <c r="Z3590">
        <v>0</v>
      </c>
    </row>
    <row r="3591" spans="1:26" hidden="1" x14ac:dyDescent="0.25">
      <c r="A3591" t="s">
        <v>7255</v>
      </c>
      <c r="B3591" t="s">
        <v>25</v>
      </c>
      <c r="C3591" s="4">
        <v>44931</v>
      </c>
      <c r="F3591" s="4">
        <v>45566</v>
      </c>
      <c r="P3591" t="s">
        <v>7256</v>
      </c>
      <c r="Q3591">
        <v>0</v>
      </c>
      <c r="R3591">
        <v>0</v>
      </c>
      <c r="W3591">
        <v>0</v>
      </c>
      <c r="X3591">
        <v>0</v>
      </c>
      <c r="Y3591">
        <v>0</v>
      </c>
      <c r="Z3591">
        <v>0</v>
      </c>
    </row>
    <row r="3592" spans="1:26" hidden="1" x14ac:dyDescent="0.25">
      <c r="A3592" t="s">
        <v>7257</v>
      </c>
      <c r="B3592" t="s">
        <v>25</v>
      </c>
      <c r="C3592" s="4">
        <v>44992</v>
      </c>
      <c r="F3592" s="4">
        <v>45627</v>
      </c>
      <c r="P3592" t="s">
        <v>7258</v>
      </c>
      <c r="Q3592">
        <v>0</v>
      </c>
      <c r="R3592">
        <v>0</v>
      </c>
      <c r="V3592" s="4">
        <v>45962</v>
      </c>
      <c r="W3592">
        <v>0</v>
      </c>
      <c r="X3592">
        <v>0</v>
      </c>
      <c r="Y3592">
        <v>0</v>
      </c>
      <c r="Z3592">
        <v>0</v>
      </c>
    </row>
    <row r="3593" spans="1:26" hidden="1" x14ac:dyDescent="0.25">
      <c r="A3593" t="s">
        <v>7259</v>
      </c>
      <c r="B3593" t="s">
        <v>25</v>
      </c>
      <c r="C3593" s="4">
        <v>44946</v>
      </c>
      <c r="F3593" s="4">
        <v>45746</v>
      </c>
      <c r="P3593" t="s">
        <v>7260</v>
      </c>
      <c r="Q3593">
        <v>0</v>
      </c>
      <c r="R3593">
        <v>0</v>
      </c>
      <c r="W3593">
        <v>0</v>
      </c>
      <c r="X3593">
        <v>0</v>
      </c>
      <c r="Y3593">
        <v>0</v>
      </c>
      <c r="Z3593">
        <v>0</v>
      </c>
    </row>
    <row r="3594" spans="1:26" hidden="1" x14ac:dyDescent="0.25">
      <c r="A3594" t="s">
        <v>7261</v>
      </c>
      <c r="B3594" t="s">
        <v>38</v>
      </c>
      <c r="C3594" s="4">
        <v>44970</v>
      </c>
      <c r="F3594" s="4">
        <v>45323</v>
      </c>
      <c r="P3594" t="s">
        <v>2050</v>
      </c>
      <c r="Q3594">
        <v>100</v>
      </c>
      <c r="R3594">
        <v>100</v>
      </c>
      <c r="W3594">
        <v>0</v>
      </c>
      <c r="X3594">
        <v>0</v>
      </c>
      <c r="Y3594">
        <v>0</v>
      </c>
      <c r="Z3594">
        <v>0</v>
      </c>
    </row>
    <row r="3595" spans="1:26" hidden="1" x14ac:dyDescent="0.25">
      <c r="A3595" t="s">
        <v>7262</v>
      </c>
      <c r="B3595" t="s">
        <v>38</v>
      </c>
      <c r="C3595" s="4">
        <v>45127</v>
      </c>
      <c r="F3595" s="4">
        <v>45838</v>
      </c>
      <c r="P3595" t="s">
        <v>7263</v>
      </c>
      <c r="Q3595">
        <v>0</v>
      </c>
      <c r="R3595">
        <v>0</v>
      </c>
      <c r="W3595">
        <v>0</v>
      </c>
      <c r="X3595">
        <v>0</v>
      </c>
      <c r="Y3595">
        <v>0</v>
      </c>
      <c r="Z3595">
        <v>0</v>
      </c>
    </row>
    <row r="3596" spans="1:26" hidden="1" x14ac:dyDescent="0.25">
      <c r="A3596" t="s">
        <v>7264</v>
      </c>
      <c r="B3596" t="s">
        <v>25</v>
      </c>
      <c r="C3596" s="4">
        <v>45035</v>
      </c>
      <c r="F3596" s="4">
        <v>45016</v>
      </c>
      <c r="H3596" t="s">
        <v>7265</v>
      </c>
      <c r="O3596" t="s">
        <v>32</v>
      </c>
      <c r="P3596" t="s">
        <v>7266</v>
      </c>
      <c r="Q3596">
        <v>0</v>
      </c>
      <c r="R3596">
        <v>0</v>
      </c>
      <c r="W3596">
        <v>0</v>
      </c>
      <c r="X3596">
        <v>0</v>
      </c>
      <c r="Y3596">
        <v>0</v>
      </c>
      <c r="Z3596">
        <v>0</v>
      </c>
    </row>
    <row r="3597" spans="1:26" hidden="1" x14ac:dyDescent="0.25">
      <c r="A3597" t="s">
        <v>7267</v>
      </c>
      <c r="B3597" t="s">
        <v>25</v>
      </c>
      <c r="C3597" s="4">
        <v>44923</v>
      </c>
      <c r="F3597" s="4">
        <v>45442</v>
      </c>
      <c r="G3597" t="s">
        <v>39</v>
      </c>
      <c r="H3597" t="s">
        <v>1375</v>
      </c>
      <c r="O3597" t="s">
        <v>1110</v>
      </c>
      <c r="P3597" t="s">
        <v>7268</v>
      </c>
      <c r="Q3597">
        <v>710</v>
      </c>
      <c r="R3597">
        <v>710</v>
      </c>
      <c r="W3597">
        <v>0</v>
      </c>
      <c r="X3597">
        <v>0</v>
      </c>
      <c r="Y3597">
        <v>0</v>
      </c>
      <c r="Z3597">
        <v>0</v>
      </c>
    </row>
    <row r="3598" spans="1:26" hidden="1" x14ac:dyDescent="0.25">
      <c r="A3598" t="s">
        <v>7269</v>
      </c>
      <c r="B3598" t="s">
        <v>38</v>
      </c>
      <c r="C3598" s="4">
        <v>45197</v>
      </c>
      <c r="F3598" s="4">
        <v>46081</v>
      </c>
      <c r="G3598" t="s">
        <v>72</v>
      </c>
      <c r="H3598" t="s">
        <v>1902</v>
      </c>
      <c r="O3598" t="s">
        <v>32</v>
      </c>
      <c r="P3598" t="s">
        <v>7270</v>
      </c>
      <c r="Q3598">
        <v>180</v>
      </c>
      <c r="R3598">
        <v>0</v>
      </c>
      <c r="W3598">
        <v>0</v>
      </c>
      <c r="X3598">
        <v>0</v>
      </c>
      <c r="Y3598">
        <v>0</v>
      </c>
      <c r="Z3598">
        <v>0</v>
      </c>
    </row>
    <row r="3599" spans="1:26" hidden="1" x14ac:dyDescent="0.25">
      <c r="A3599" t="s">
        <v>7271</v>
      </c>
      <c r="B3599" t="s">
        <v>25</v>
      </c>
      <c r="C3599" s="4">
        <v>45258</v>
      </c>
      <c r="F3599" s="4">
        <v>45962</v>
      </c>
      <c r="G3599" t="s">
        <v>39</v>
      </c>
      <c r="H3599" t="s">
        <v>2569</v>
      </c>
      <c r="O3599" t="s">
        <v>32</v>
      </c>
      <c r="P3599" t="s">
        <v>7272</v>
      </c>
      <c r="Q3599">
        <v>100</v>
      </c>
      <c r="R3599">
        <v>0</v>
      </c>
      <c r="W3599">
        <v>0</v>
      </c>
      <c r="X3599">
        <v>0</v>
      </c>
      <c r="Y3599">
        <v>0</v>
      </c>
      <c r="Z3599">
        <v>0</v>
      </c>
    </row>
    <row r="3600" spans="1:26" hidden="1" x14ac:dyDescent="0.25">
      <c r="A3600" t="s">
        <v>7273</v>
      </c>
      <c r="B3600" t="s">
        <v>25</v>
      </c>
      <c r="C3600" s="4">
        <v>45204</v>
      </c>
      <c r="F3600" s="4">
        <v>45688</v>
      </c>
      <c r="G3600" t="s">
        <v>144</v>
      </c>
      <c r="H3600" t="s">
        <v>1571</v>
      </c>
      <c r="O3600" t="s">
        <v>32</v>
      </c>
      <c r="P3600" t="s">
        <v>7274</v>
      </c>
      <c r="Q3600">
        <v>49</v>
      </c>
      <c r="R3600">
        <v>0</v>
      </c>
      <c r="W3600">
        <v>0</v>
      </c>
      <c r="X3600">
        <v>0</v>
      </c>
      <c r="Y3600">
        <v>0</v>
      </c>
      <c r="Z3600">
        <v>0</v>
      </c>
    </row>
    <row r="3601" spans="1:26" hidden="1" x14ac:dyDescent="0.25">
      <c r="A3601" t="s">
        <v>7275</v>
      </c>
      <c r="B3601" t="s">
        <v>25</v>
      </c>
      <c r="C3601" s="4">
        <v>45239</v>
      </c>
      <c r="F3601" s="4">
        <v>46843</v>
      </c>
      <c r="G3601" t="s">
        <v>52</v>
      </c>
      <c r="H3601" t="s">
        <v>1362</v>
      </c>
      <c r="O3601" t="s">
        <v>32</v>
      </c>
      <c r="P3601" t="s">
        <v>7276</v>
      </c>
      <c r="Q3601">
        <v>749</v>
      </c>
      <c r="R3601">
        <v>0</v>
      </c>
      <c r="W3601">
        <v>0</v>
      </c>
      <c r="X3601">
        <v>0</v>
      </c>
      <c r="Y3601">
        <v>0</v>
      </c>
      <c r="Z3601">
        <v>0</v>
      </c>
    </row>
    <row r="3602" spans="1:26" hidden="1" x14ac:dyDescent="0.25">
      <c r="A3602" t="s">
        <v>7277</v>
      </c>
      <c r="B3602" t="s">
        <v>25</v>
      </c>
      <c r="C3602" s="4">
        <v>45210</v>
      </c>
      <c r="F3602" s="4">
        <v>45808</v>
      </c>
      <c r="G3602" t="s">
        <v>52</v>
      </c>
      <c r="H3602" t="s">
        <v>2052</v>
      </c>
      <c r="O3602" t="s">
        <v>32</v>
      </c>
      <c r="P3602" t="s">
        <v>7278</v>
      </c>
      <c r="Q3602">
        <v>220</v>
      </c>
      <c r="R3602">
        <v>0</v>
      </c>
      <c r="W3602">
        <v>0</v>
      </c>
      <c r="X3602">
        <v>0</v>
      </c>
      <c r="Y3602">
        <v>0</v>
      </c>
      <c r="Z3602">
        <v>0</v>
      </c>
    </row>
    <row r="3603" spans="1:26" hidden="1" x14ac:dyDescent="0.25">
      <c r="A3603" t="s">
        <v>7279</v>
      </c>
      <c r="B3603" t="s">
        <v>38</v>
      </c>
      <c r="C3603" s="4">
        <v>44856</v>
      </c>
      <c r="D3603" s="4">
        <v>45790</v>
      </c>
      <c r="F3603" s="4">
        <v>45200</v>
      </c>
      <c r="G3603" t="s">
        <v>72</v>
      </c>
      <c r="H3603" t="s">
        <v>2246</v>
      </c>
      <c r="O3603" t="s">
        <v>32</v>
      </c>
      <c r="P3603" t="s">
        <v>7280</v>
      </c>
      <c r="Q3603">
        <v>64</v>
      </c>
      <c r="R3603">
        <v>0</v>
      </c>
      <c r="W3603">
        <v>0</v>
      </c>
      <c r="X3603">
        <v>0</v>
      </c>
      <c r="Y3603">
        <v>0</v>
      </c>
      <c r="Z3603">
        <v>0</v>
      </c>
    </row>
    <row r="3604" spans="1:26" hidden="1" x14ac:dyDescent="0.25">
      <c r="A3604" t="s">
        <v>7281</v>
      </c>
      <c r="B3604" t="s">
        <v>38</v>
      </c>
      <c r="C3604" s="4">
        <v>45261</v>
      </c>
      <c r="D3604" s="4">
        <v>45635</v>
      </c>
      <c r="F3604" s="4">
        <v>45444</v>
      </c>
      <c r="G3604" t="s">
        <v>72</v>
      </c>
      <c r="H3604" t="s">
        <v>2177</v>
      </c>
      <c r="O3604" t="s">
        <v>32</v>
      </c>
      <c r="P3604" t="s">
        <v>7282</v>
      </c>
      <c r="Q3604">
        <v>31</v>
      </c>
      <c r="R3604">
        <v>0</v>
      </c>
      <c r="W3604">
        <v>0</v>
      </c>
      <c r="X3604">
        <v>0</v>
      </c>
      <c r="Y3604">
        <v>0</v>
      </c>
      <c r="Z3604">
        <v>0</v>
      </c>
    </row>
    <row r="3605" spans="1:26" hidden="1" x14ac:dyDescent="0.25">
      <c r="A3605" t="s">
        <v>7283</v>
      </c>
      <c r="B3605" t="s">
        <v>25</v>
      </c>
      <c r="C3605" s="4">
        <v>45328</v>
      </c>
      <c r="F3605" s="4">
        <v>46843</v>
      </c>
      <c r="G3605" t="s">
        <v>101</v>
      </c>
      <c r="H3605" t="s">
        <v>1336</v>
      </c>
      <c r="O3605" t="s">
        <v>32</v>
      </c>
      <c r="P3605" t="s">
        <v>7284</v>
      </c>
      <c r="Q3605">
        <v>1040</v>
      </c>
      <c r="R3605">
        <v>0</v>
      </c>
      <c r="W3605">
        <v>0</v>
      </c>
      <c r="X3605">
        <v>0</v>
      </c>
      <c r="Y3605">
        <v>0</v>
      </c>
      <c r="Z3605">
        <v>0</v>
      </c>
    </row>
    <row r="3606" spans="1:26" hidden="1" x14ac:dyDescent="0.25">
      <c r="A3606" t="s">
        <v>7285</v>
      </c>
      <c r="B3606" t="s">
        <v>25</v>
      </c>
      <c r="C3606" s="4">
        <v>45352</v>
      </c>
      <c r="F3606" s="4">
        <v>45811</v>
      </c>
      <c r="G3606" t="s">
        <v>39</v>
      </c>
      <c r="H3606" t="s">
        <v>1694</v>
      </c>
      <c r="O3606" t="s">
        <v>32</v>
      </c>
      <c r="P3606" t="s">
        <v>7286</v>
      </c>
      <c r="Q3606">
        <v>237</v>
      </c>
      <c r="R3606">
        <v>0</v>
      </c>
      <c r="W3606">
        <v>0</v>
      </c>
      <c r="X3606">
        <v>0</v>
      </c>
      <c r="Y3606">
        <v>0</v>
      </c>
      <c r="Z3606">
        <v>0</v>
      </c>
    </row>
    <row r="3607" spans="1:26" hidden="1" x14ac:dyDescent="0.25">
      <c r="A3607" t="s">
        <v>7287</v>
      </c>
      <c r="B3607" t="s">
        <v>38</v>
      </c>
      <c r="C3607" s="4">
        <v>45420</v>
      </c>
      <c r="F3607" s="4">
        <v>45930</v>
      </c>
      <c r="G3607" t="s">
        <v>101</v>
      </c>
      <c r="H3607" t="s">
        <v>1279</v>
      </c>
      <c r="O3607" t="s">
        <v>32</v>
      </c>
      <c r="P3607" t="s">
        <v>7288</v>
      </c>
      <c r="Q3607">
        <v>150</v>
      </c>
      <c r="R3607">
        <v>0</v>
      </c>
      <c r="W3607">
        <v>0</v>
      </c>
      <c r="X3607">
        <v>0</v>
      </c>
      <c r="Y3607">
        <v>0</v>
      </c>
      <c r="Z3607">
        <v>0</v>
      </c>
    </row>
    <row r="3608" spans="1:26" hidden="1" x14ac:dyDescent="0.25">
      <c r="A3608" t="s">
        <v>7289</v>
      </c>
      <c r="B3608" t="s">
        <v>25</v>
      </c>
      <c r="C3608" s="4">
        <v>45440</v>
      </c>
      <c r="F3608" s="4">
        <v>46022</v>
      </c>
      <c r="G3608" t="s">
        <v>1251</v>
      </c>
      <c r="H3608" t="s">
        <v>3587</v>
      </c>
      <c r="O3608" t="s">
        <v>32</v>
      </c>
      <c r="P3608" t="s">
        <v>7290</v>
      </c>
      <c r="Q3608">
        <v>824</v>
      </c>
      <c r="R3608">
        <v>0</v>
      </c>
      <c r="W3608">
        <v>0</v>
      </c>
      <c r="X3608">
        <v>0</v>
      </c>
      <c r="Y3608">
        <v>0</v>
      </c>
      <c r="Z3608">
        <v>0</v>
      </c>
    </row>
    <row r="3609" spans="1:26" hidden="1" x14ac:dyDescent="0.25">
      <c r="A3609" t="s">
        <v>7291</v>
      </c>
      <c r="B3609" t="s">
        <v>2153</v>
      </c>
      <c r="C3609" s="4">
        <v>45425</v>
      </c>
      <c r="F3609" s="4">
        <v>45790</v>
      </c>
      <c r="G3609" t="s">
        <v>1408</v>
      </c>
      <c r="H3609" t="s">
        <v>1522</v>
      </c>
      <c r="O3609" t="s">
        <v>32</v>
      </c>
      <c r="P3609" t="s">
        <v>7292</v>
      </c>
      <c r="Q3609">
        <v>0</v>
      </c>
      <c r="R3609">
        <v>1231.73</v>
      </c>
      <c r="W3609">
        <v>0</v>
      </c>
      <c r="X3609">
        <v>0</v>
      </c>
      <c r="Y3609">
        <v>0</v>
      </c>
      <c r="Z3609">
        <v>0</v>
      </c>
    </row>
    <row r="3610" spans="1:26" hidden="1" x14ac:dyDescent="0.25">
      <c r="A3610" t="s">
        <v>7293</v>
      </c>
      <c r="B3610" t="s">
        <v>25</v>
      </c>
      <c r="C3610" s="4">
        <v>45650</v>
      </c>
      <c r="F3610" s="4">
        <v>45809</v>
      </c>
      <c r="G3610" t="s">
        <v>1278</v>
      </c>
      <c r="H3610" t="s">
        <v>2040</v>
      </c>
      <c r="O3610" t="s">
        <v>32</v>
      </c>
      <c r="P3610" t="s">
        <v>7232</v>
      </c>
      <c r="Q3610">
        <v>303.5</v>
      </c>
      <c r="R3610">
        <v>0</v>
      </c>
      <c r="W3610">
        <v>0</v>
      </c>
      <c r="X3610">
        <v>0</v>
      </c>
      <c r="Y3610">
        <v>0</v>
      </c>
      <c r="Z3610">
        <v>0</v>
      </c>
    </row>
    <row r="3611" spans="1:26" hidden="1" x14ac:dyDescent="0.25">
      <c r="A3611" t="s">
        <v>7294</v>
      </c>
      <c r="B3611" t="s">
        <v>25</v>
      </c>
      <c r="C3611" s="4">
        <v>45443</v>
      </c>
      <c r="F3611" s="4">
        <v>46478</v>
      </c>
      <c r="G3611" t="s">
        <v>39</v>
      </c>
      <c r="H3611" t="s">
        <v>2878</v>
      </c>
      <c r="O3611" t="s">
        <v>32</v>
      </c>
      <c r="P3611" t="s">
        <v>7295</v>
      </c>
      <c r="Q3611">
        <v>135.5</v>
      </c>
      <c r="R3611">
        <v>0</v>
      </c>
      <c r="W3611">
        <v>0</v>
      </c>
      <c r="X3611">
        <v>0</v>
      </c>
      <c r="Y3611">
        <v>0</v>
      </c>
      <c r="Z3611">
        <v>0</v>
      </c>
    </row>
    <row r="3612" spans="1:26" hidden="1" x14ac:dyDescent="0.25">
      <c r="A3612" t="s">
        <v>7296</v>
      </c>
      <c r="B3612" t="s">
        <v>25</v>
      </c>
      <c r="C3612" s="4">
        <v>45428</v>
      </c>
      <c r="F3612" s="4">
        <v>45748</v>
      </c>
      <c r="H3612" t="s">
        <v>82</v>
      </c>
      <c r="K3612" t="s">
        <v>41</v>
      </c>
      <c r="O3612" t="s">
        <v>32</v>
      </c>
      <c r="P3612" t="s">
        <v>7295</v>
      </c>
      <c r="Q3612">
        <v>55</v>
      </c>
      <c r="R3612">
        <v>42</v>
      </c>
      <c r="W3612">
        <v>0</v>
      </c>
      <c r="X3612">
        <v>0</v>
      </c>
      <c r="Y3612">
        <v>0</v>
      </c>
      <c r="Z3612">
        <v>0</v>
      </c>
    </row>
    <row r="3613" spans="1:26" hidden="1" x14ac:dyDescent="0.25">
      <c r="A3613" t="s">
        <v>7297</v>
      </c>
      <c r="B3613" t="s">
        <v>2153</v>
      </c>
      <c r="C3613" s="4">
        <v>45467</v>
      </c>
      <c r="F3613" s="4">
        <v>46843</v>
      </c>
      <c r="G3613" t="s">
        <v>52</v>
      </c>
      <c r="O3613" t="s">
        <v>122</v>
      </c>
      <c r="P3613" t="s">
        <v>7298</v>
      </c>
      <c r="Q3613">
        <v>615</v>
      </c>
      <c r="R3613">
        <v>615</v>
      </c>
      <c r="W3613">
        <v>0</v>
      </c>
      <c r="X3613">
        <v>0</v>
      </c>
      <c r="Y3613">
        <v>0</v>
      </c>
      <c r="Z3613">
        <v>0</v>
      </c>
    </row>
    <row r="3614" spans="1:26" hidden="1" x14ac:dyDescent="0.25">
      <c r="A3614" t="s">
        <v>7299</v>
      </c>
      <c r="B3614" t="s">
        <v>25</v>
      </c>
      <c r="C3614" s="4">
        <v>45460</v>
      </c>
      <c r="G3614" t="s">
        <v>1278</v>
      </c>
      <c r="H3614" t="s">
        <v>4450</v>
      </c>
      <c r="K3614" t="s">
        <v>28</v>
      </c>
      <c r="P3614" t="s">
        <v>7300</v>
      </c>
      <c r="Q3614">
        <v>1138</v>
      </c>
      <c r="R3614">
        <v>1138</v>
      </c>
      <c r="S3614" t="s">
        <v>389</v>
      </c>
      <c r="T3614" t="s">
        <v>584</v>
      </c>
      <c r="W3614">
        <v>0</v>
      </c>
      <c r="X3614">
        <v>0</v>
      </c>
      <c r="Y3614">
        <v>0</v>
      </c>
      <c r="Z3614">
        <v>0</v>
      </c>
    </row>
    <row r="3615" spans="1:26" hidden="1" x14ac:dyDescent="0.25">
      <c r="A3615" t="s">
        <v>7301</v>
      </c>
      <c r="B3615" t="s">
        <v>38</v>
      </c>
      <c r="C3615" s="4">
        <v>45485</v>
      </c>
      <c r="D3615" s="4">
        <v>46022</v>
      </c>
      <c r="F3615" s="4">
        <v>45930</v>
      </c>
      <c r="G3615" t="s">
        <v>117</v>
      </c>
      <c r="H3615" t="s">
        <v>1711</v>
      </c>
      <c r="O3615" t="s">
        <v>1110</v>
      </c>
      <c r="P3615" t="s">
        <v>7302</v>
      </c>
      <c r="Q3615">
        <v>261</v>
      </c>
      <c r="R3615">
        <v>261</v>
      </c>
      <c r="W3615">
        <v>0</v>
      </c>
      <c r="X3615">
        <v>0</v>
      </c>
      <c r="Y3615">
        <v>0</v>
      </c>
      <c r="Z3615">
        <v>0</v>
      </c>
    </row>
    <row r="3616" spans="1:26" hidden="1" x14ac:dyDescent="0.25">
      <c r="A3616" t="s">
        <v>7303</v>
      </c>
      <c r="B3616" t="s">
        <v>25</v>
      </c>
      <c r="C3616" s="4">
        <v>45485</v>
      </c>
      <c r="F3616" s="4">
        <v>45930</v>
      </c>
      <c r="G3616" t="s">
        <v>117</v>
      </c>
      <c r="H3616" t="s">
        <v>3028</v>
      </c>
      <c r="O3616" t="s">
        <v>1110</v>
      </c>
      <c r="P3616" t="s">
        <v>7304</v>
      </c>
      <c r="Q3616">
        <v>322</v>
      </c>
      <c r="R3616">
        <v>110.15</v>
      </c>
      <c r="W3616">
        <v>0</v>
      </c>
      <c r="X3616">
        <v>0</v>
      </c>
      <c r="Y3616">
        <v>0</v>
      </c>
      <c r="Z3616">
        <v>0</v>
      </c>
    </row>
    <row r="3617" spans="1:26" hidden="1" x14ac:dyDescent="0.25">
      <c r="A3617" t="s">
        <v>7305</v>
      </c>
      <c r="B3617" t="s">
        <v>38</v>
      </c>
      <c r="C3617" s="4">
        <v>45485</v>
      </c>
      <c r="D3617" s="4">
        <v>46022</v>
      </c>
      <c r="F3617" s="4">
        <v>45930</v>
      </c>
      <c r="G3617" t="s">
        <v>117</v>
      </c>
      <c r="H3617" t="s">
        <v>1711</v>
      </c>
      <c r="O3617" t="s">
        <v>1110</v>
      </c>
      <c r="P3617" t="s">
        <v>7304</v>
      </c>
      <c r="Q3617">
        <v>184.71</v>
      </c>
      <c r="R3617">
        <v>184.71</v>
      </c>
      <c r="W3617">
        <v>0</v>
      </c>
      <c r="X3617">
        <v>0</v>
      </c>
      <c r="Y3617">
        <v>0</v>
      </c>
      <c r="Z3617">
        <v>0</v>
      </c>
    </row>
    <row r="3618" spans="1:26" hidden="1" x14ac:dyDescent="0.25">
      <c r="A3618" t="s">
        <v>7306</v>
      </c>
      <c r="B3618" t="s">
        <v>25</v>
      </c>
      <c r="C3618" s="4">
        <v>45520</v>
      </c>
      <c r="F3618" s="4">
        <v>45901</v>
      </c>
      <c r="G3618" t="s">
        <v>1251</v>
      </c>
      <c r="H3618" t="s">
        <v>1279</v>
      </c>
      <c r="O3618" t="s">
        <v>1110</v>
      </c>
      <c r="P3618" t="s">
        <v>7307</v>
      </c>
      <c r="Q3618">
        <v>0</v>
      </c>
      <c r="R3618">
        <v>0</v>
      </c>
      <c r="W3618">
        <v>0</v>
      </c>
      <c r="X3618">
        <v>0</v>
      </c>
      <c r="Y3618">
        <v>0</v>
      </c>
      <c r="Z3618">
        <v>0</v>
      </c>
    </row>
    <row r="3619" spans="1:26" hidden="1" x14ac:dyDescent="0.25">
      <c r="A3619" t="s">
        <v>7308</v>
      </c>
      <c r="B3619" t="s">
        <v>25</v>
      </c>
      <c r="C3619" s="4">
        <v>45520</v>
      </c>
      <c r="F3619" s="4">
        <v>45925</v>
      </c>
      <c r="G3619" t="s">
        <v>1251</v>
      </c>
      <c r="H3619" t="s">
        <v>1279</v>
      </c>
      <c r="O3619" t="s">
        <v>1110</v>
      </c>
      <c r="P3619" t="s">
        <v>7309</v>
      </c>
      <c r="Q3619">
        <v>0</v>
      </c>
      <c r="R3619">
        <v>0</v>
      </c>
      <c r="W3619">
        <v>0</v>
      </c>
      <c r="X3619">
        <v>0</v>
      </c>
      <c r="Y3619">
        <v>0</v>
      </c>
      <c r="Z3619">
        <v>0</v>
      </c>
    </row>
    <row r="3620" spans="1:26" hidden="1" x14ac:dyDescent="0.25">
      <c r="A3620" t="s">
        <v>7310</v>
      </c>
      <c r="B3620" t="s">
        <v>25</v>
      </c>
      <c r="C3620" s="4">
        <v>45642</v>
      </c>
      <c r="F3620" s="4">
        <v>46022</v>
      </c>
      <c r="G3620" t="s">
        <v>1251</v>
      </c>
      <c r="H3620" t="s">
        <v>3587</v>
      </c>
      <c r="O3620" t="s">
        <v>1110</v>
      </c>
      <c r="P3620" t="s">
        <v>7311</v>
      </c>
      <c r="Q3620">
        <v>98.8</v>
      </c>
      <c r="R3620">
        <v>98.8</v>
      </c>
      <c r="W3620">
        <v>0</v>
      </c>
      <c r="X3620">
        <v>0</v>
      </c>
      <c r="Y3620">
        <v>0</v>
      </c>
      <c r="Z3620">
        <v>0</v>
      </c>
    </row>
    <row r="3621" spans="1:26" hidden="1" x14ac:dyDescent="0.25">
      <c r="A3621" t="s">
        <v>7312</v>
      </c>
      <c r="B3621" t="s">
        <v>38</v>
      </c>
      <c r="C3621" s="4">
        <v>45679</v>
      </c>
      <c r="D3621" s="4">
        <v>45961</v>
      </c>
      <c r="F3621" s="4">
        <v>46692</v>
      </c>
      <c r="G3621" t="s">
        <v>1278</v>
      </c>
      <c r="H3621" t="s">
        <v>1838</v>
      </c>
      <c r="O3621" t="s">
        <v>32</v>
      </c>
      <c r="P3621" t="s">
        <v>1839</v>
      </c>
      <c r="Q3621">
        <v>0</v>
      </c>
      <c r="R3621">
        <v>0</v>
      </c>
      <c r="W3621">
        <v>0</v>
      </c>
      <c r="X3621">
        <v>0</v>
      </c>
      <c r="Y3621">
        <v>0</v>
      </c>
      <c r="Z3621">
        <v>0</v>
      </c>
    </row>
    <row r="3622" spans="1:26" hidden="1" x14ac:dyDescent="0.25">
      <c r="A3622" t="s">
        <v>7313</v>
      </c>
      <c r="B3622" t="s">
        <v>25</v>
      </c>
      <c r="C3622" s="4">
        <v>45689</v>
      </c>
      <c r="F3622" s="4">
        <v>45809</v>
      </c>
      <c r="G3622" t="s">
        <v>1278</v>
      </c>
      <c r="H3622" t="s">
        <v>2040</v>
      </c>
      <c r="O3622" t="s">
        <v>32</v>
      </c>
      <c r="P3622" t="s">
        <v>7314</v>
      </c>
      <c r="Q3622">
        <v>0</v>
      </c>
      <c r="R3622">
        <v>0</v>
      </c>
      <c r="W3622">
        <v>0</v>
      </c>
      <c r="X3622">
        <v>0</v>
      </c>
      <c r="Y3622">
        <v>0</v>
      </c>
      <c r="Z3622">
        <v>0</v>
      </c>
    </row>
    <row r="3623" spans="1:26" hidden="1" x14ac:dyDescent="0.25">
      <c r="A3623" t="s">
        <v>7315</v>
      </c>
      <c r="B3623" t="s">
        <v>38</v>
      </c>
      <c r="C3623" s="4">
        <v>45649</v>
      </c>
      <c r="D3623" s="4">
        <v>46125</v>
      </c>
      <c r="G3623" t="s">
        <v>254</v>
      </c>
      <c r="H3623" t="s">
        <v>2366</v>
      </c>
      <c r="K3623" t="s">
        <v>98</v>
      </c>
      <c r="P3623" t="s">
        <v>7316</v>
      </c>
      <c r="Q3623">
        <v>732.73</v>
      </c>
      <c r="R3623">
        <v>732.73</v>
      </c>
      <c r="S3623" t="s">
        <v>597</v>
      </c>
      <c r="T3623" t="s">
        <v>584</v>
      </c>
      <c r="W3623">
        <v>0</v>
      </c>
      <c r="X3623">
        <v>0</v>
      </c>
      <c r="Y3623">
        <v>0</v>
      </c>
      <c r="Z3623">
        <v>0</v>
      </c>
    </row>
    <row r="3624" spans="1:26" hidden="1" x14ac:dyDescent="0.25">
      <c r="A3624" t="s">
        <v>7317</v>
      </c>
      <c r="B3624" t="s">
        <v>2153</v>
      </c>
      <c r="C3624" s="4">
        <v>45786</v>
      </c>
      <c r="G3624" t="s">
        <v>52</v>
      </c>
      <c r="H3624" t="s">
        <v>3796</v>
      </c>
      <c r="K3624" t="s">
        <v>53</v>
      </c>
      <c r="O3624" t="s">
        <v>32</v>
      </c>
      <c r="P3624" t="s">
        <v>7318</v>
      </c>
      <c r="Q3624">
        <v>170</v>
      </c>
      <c r="R3624">
        <v>170</v>
      </c>
      <c r="S3624" t="s">
        <v>597</v>
      </c>
      <c r="T3624" t="s">
        <v>598</v>
      </c>
      <c r="W3624">
        <v>0</v>
      </c>
      <c r="X3624">
        <v>0</v>
      </c>
      <c r="Y3624">
        <v>0</v>
      </c>
      <c r="Z3624">
        <v>0</v>
      </c>
    </row>
    <row r="3625" spans="1:26" hidden="1" x14ac:dyDescent="0.25">
      <c r="A3625" t="s">
        <v>7319</v>
      </c>
      <c r="B3625" t="s">
        <v>25</v>
      </c>
      <c r="C3625" s="4">
        <v>45755</v>
      </c>
      <c r="G3625" t="s">
        <v>72</v>
      </c>
      <c r="H3625" t="s">
        <v>1902</v>
      </c>
      <c r="K3625" t="s">
        <v>209</v>
      </c>
      <c r="P3625" t="s">
        <v>7320</v>
      </c>
      <c r="Q3625">
        <v>150</v>
      </c>
      <c r="R3625">
        <v>150</v>
      </c>
      <c r="S3625" t="s">
        <v>159</v>
      </c>
      <c r="T3625" t="s">
        <v>159</v>
      </c>
      <c r="W3625">
        <v>0</v>
      </c>
      <c r="X3625">
        <v>0</v>
      </c>
      <c r="Y3625">
        <v>0</v>
      </c>
      <c r="Z3625">
        <v>0</v>
      </c>
    </row>
    <row r="3626" spans="1:26" hidden="1" x14ac:dyDescent="0.25">
      <c r="A3626" t="s">
        <v>7321</v>
      </c>
      <c r="B3626" t="s">
        <v>25</v>
      </c>
      <c r="C3626" s="4">
        <v>45756</v>
      </c>
      <c r="G3626" t="s">
        <v>72</v>
      </c>
      <c r="H3626" t="s">
        <v>1902</v>
      </c>
      <c r="K3626" t="s">
        <v>209</v>
      </c>
      <c r="P3626" t="s">
        <v>7320</v>
      </c>
      <c r="Q3626">
        <v>130</v>
      </c>
      <c r="R3626">
        <v>130</v>
      </c>
      <c r="S3626" t="s">
        <v>159</v>
      </c>
      <c r="T3626" t="s">
        <v>159</v>
      </c>
      <c r="W3626">
        <v>0</v>
      </c>
      <c r="X3626">
        <v>0</v>
      </c>
      <c r="Y3626">
        <v>0</v>
      </c>
      <c r="Z3626">
        <v>0</v>
      </c>
    </row>
    <row r="3627" spans="1:26" hidden="1" x14ac:dyDescent="0.25">
      <c r="A3627" t="s">
        <v>7322</v>
      </c>
      <c r="B3627" t="s">
        <v>2153</v>
      </c>
      <c r="C3627" s="4">
        <v>45757</v>
      </c>
      <c r="G3627" t="s">
        <v>1278</v>
      </c>
      <c r="H3627" t="s">
        <v>1645</v>
      </c>
      <c r="K3627" t="s">
        <v>28</v>
      </c>
      <c r="P3627" t="s">
        <v>1645</v>
      </c>
      <c r="Q3627">
        <v>20.2</v>
      </c>
      <c r="R3627">
        <v>20.2</v>
      </c>
      <c r="S3627" t="s">
        <v>7323</v>
      </c>
      <c r="T3627" t="s">
        <v>159</v>
      </c>
      <c r="W3627">
        <v>0</v>
      </c>
      <c r="X3627">
        <v>0</v>
      </c>
      <c r="Y3627">
        <v>0</v>
      </c>
      <c r="Z3627">
        <v>0</v>
      </c>
    </row>
    <row r="3628" spans="1:26" hidden="1" x14ac:dyDescent="0.25">
      <c r="A3628" t="s">
        <v>7324</v>
      </c>
      <c r="B3628" t="s">
        <v>2153</v>
      </c>
      <c r="C3628" s="4">
        <v>45841</v>
      </c>
      <c r="G3628" t="s">
        <v>1690</v>
      </c>
      <c r="H3628" t="s">
        <v>2910</v>
      </c>
      <c r="K3628" t="s">
        <v>98</v>
      </c>
      <c r="O3628" t="s">
        <v>32</v>
      </c>
      <c r="P3628" t="s">
        <v>7325</v>
      </c>
      <c r="Q3628">
        <v>100</v>
      </c>
      <c r="R3628">
        <v>100</v>
      </c>
      <c r="S3628" t="s">
        <v>159</v>
      </c>
      <c r="T3628" t="s">
        <v>159</v>
      </c>
      <c r="V3628" s="4">
        <v>46904</v>
      </c>
      <c r="W3628">
        <v>0</v>
      </c>
      <c r="X3628">
        <v>0</v>
      </c>
      <c r="Y3628">
        <v>0</v>
      </c>
      <c r="Z3628">
        <v>0</v>
      </c>
    </row>
    <row r="3629" spans="1:26" hidden="1" x14ac:dyDescent="0.25">
      <c r="A3629" t="s">
        <v>7326</v>
      </c>
      <c r="B3629" t="s">
        <v>2153</v>
      </c>
      <c r="F3629" s="4">
        <v>45257</v>
      </c>
      <c r="O3629" t="s">
        <v>32</v>
      </c>
      <c r="Q3629">
        <v>40</v>
      </c>
      <c r="R3629">
        <v>40</v>
      </c>
      <c r="V3629" s="4">
        <v>45219</v>
      </c>
      <c r="W3629">
        <v>0</v>
      </c>
      <c r="X3629">
        <v>0</v>
      </c>
      <c r="Y3629">
        <v>0</v>
      </c>
      <c r="Z3629">
        <v>0</v>
      </c>
    </row>
    <row r="3630" spans="1:26" hidden="1" x14ac:dyDescent="0.25">
      <c r="A3630" t="s">
        <v>7327</v>
      </c>
      <c r="B3630" t="s">
        <v>2153</v>
      </c>
      <c r="C3630" s="4">
        <v>45895</v>
      </c>
      <c r="G3630" t="s">
        <v>72</v>
      </c>
      <c r="H3630" t="s">
        <v>2246</v>
      </c>
      <c r="K3630" t="s">
        <v>209</v>
      </c>
      <c r="O3630" t="s">
        <v>32</v>
      </c>
      <c r="P3630" t="s">
        <v>7328</v>
      </c>
      <c r="Q3630">
        <v>200</v>
      </c>
      <c r="R3630">
        <v>200</v>
      </c>
      <c r="S3630" t="s">
        <v>5900</v>
      </c>
      <c r="T3630" t="s">
        <v>5900</v>
      </c>
      <c r="V3630" s="4">
        <v>46997</v>
      </c>
      <c r="W3630">
        <v>0</v>
      </c>
      <c r="X3630">
        <v>0</v>
      </c>
      <c r="Y3630">
        <v>0</v>
      </c>
      <c r="Z3630">
        <v>0</v>
      </c>
    </row>
    <row r="3631" spans="1:26" hidden="1" x14ac:dyDescent="0.25">
      <c r="A3631" t="s">
        <v>7329</v>
      </c>
      <c r="B3631" t="s">
        <v>2153</v>
      </c>
      <c r="C3631" s="4">
        <v>45895</v>
      </c>
      <c r="G3631" t="s">
        <v>72</v>
      </c>
      <c r="H3631" t="s">
        <v>2246</v>
      </c>
      <c r="K3631" t="s">
        <v>209</v>
      </c>
      <c r="P3631" t="s">
        <v>7328</v>
      </c>
      <c r="Q3631">
        <v>64</v>
      </c>
      <c r="R3631">
        <v>64</v>
      </c>
      <c r="S3631" t="s">
        <v>5900</v>
      </c>
      <c r="T3631" t="s">
        <v>5900</v>
      </c>
      <c r="V3631" s="4">
        <v>46997</v>
      </c>
      <c r="W3631">
        <v>0</v>
      </c>
      <c r="X3631">
        <v>0</v>
      </c>
      <c r="Y3631">
        <v>0</v>
      </c>
      <c r="Z3631">
        <v>0</v>
      </c>
    </row>
    <row r="3632" spans="1:26" hidden="1" x14ac:dyDescent="0.25">
      <c r="A3632" t="s">
        <v>7330</v>
      </c>
      <c r="B3632" t="s">
        <v>2153</v>
      </c>
      <c r="C3632" s="4">
        <v>45895</v>
      </c>
      <c r="G3632" t="s">
        <v>72</v>
      </c>
      <c r="H3632" t="s">
        <v>2246</v>
      </c>
      <c r="K3632" t="s">
        <v>209</v>
      </c>
      <c r="P3632" t="s">
        <v>7328</v>
      </c>
      <c r="Q3632">
        <v>251</v>
      </c>
      <c r="R3632">
        <v>251</v>
      </c>
      <c r="S3632" t="s">
        <v>5900</v>
      </c>
      <c r="T3632" t="s">
        <v>5900</v>
      </c>
      <c r="V3632" s="4">
        <v>46997</v>
      </c>
      <c r="W3632">
        <v>0</v>
      </c>
      <c r="X3632">
        <v>0</v>
      </c>
      <c r="Y3632">
        <v>0</v>
      </c>
      <c r="Z3632">
        <v>0</v>
      </c>
    </row>
    <row r="3633" spans="1:26" hidden="1" x14ac:dyDescent="0.25">
      <c r="A3633" t="s">
        <v>7331</v>
      </c>
      <c r="B3633" t="s">
        <v>2153</v>
      </c>
      <c r="C3633" s="4">
        <v>45895</v>
      </c>
      <c r="G3633" t="s">
        <v>72</v>
      </c>
      <c r="H3633" t="s">
        <v>2246</v>
      </c>
      <c r="K3633" t="s">
        <v>209</v>
      </c>
      <c r="O3633" t="s">
        <v>32</v>
      </c>
      <c r="P3633" t="s">
        <v>7328</v>
      </c>
      <c r="Q3633">
        <v>100</v>
      </c>
      <c r="R3633">
        <v>100</v>
      </c>
      <c r="S3633" t="s">
        <v>5900</v>
      </c>
      <c r="T3633" t="s">
        <v>5900</v>
      </c>
      <c r="V3633" s="4">
        <v>46997</v>
      </c>
      <c r="W3633">
        <v>0</v>
      </c>
      <c r="X3633">
        <v>0</v>
      </c>
      <c r="Y3633">
        <v>0</v>
      </c>
      <c r="Z3633">
        <v>0</v>
      </c>
    </row>
    <row r="3634" spans="1:26" hidden="1" x14ac:dyDescent="0.25">
      <c r="A3634" t="s">
        <v>7332</v>
      </c>
      <c r="B3634" t="s">
        <v>2153</v>
      </c>
      <c r="C3634" s="4">
        <v>46008</v>
      </c>
      <c r="F3634" s="4">
        <v>46505</v>
      </c>
      <c r="G3634" t="s">
        <v>1753</v>
      </c>
      <c r="O3634" t="s">
        <v>32</v>
      </c>
      <c r="Q3634">
        <v>0</v>
      </c>
      <c r="R3634">
        <v>0</v>
      </c>
      <c r="W3634">
        <v>0</v>
      </c>
      <c r="X3634">
        <v>0</v>
      </c>
      <c r="Y3634">
        <v>0</v>
      </c>
      <c r="Z3634">
        <v>0</v>
      </c>
    </row>
    <row r="3635" spans="1:26" hidden="1" x14ac:dyDescent="0.25">
      <c r="A3635" t="s">
        <v>7333</v>
      </c>
      <c r="B3635" t="s">
        <v>2153</v>
      </c>
      <c r="C3635" s="4">
        <v>46009</v>
      </c>
      <c r="F3635" s="4">
        <v>45870</v>
      </c>
      <c r="G3635" t="s">
        <v>1690</v>
      </c>
      <c r="O3635" t="s">
        <v>32</v>
      </c>
      <c r="Q3635">
        <v>0</v>
      </c>
      <c r="R3635">
        <v>0</v>
      </c>
      <c r="W3635">
        <v>0</v>
      </c>
      <c r="X3635">
        <v>0</v>
      </c>
      <c r="Y3635">
        <v>0</v>
      </c>
      <c r="Z3635">
        <v>0</v>
      </c>
    </row>
    <row r="3636" spans="1:26" hidden="1" x14ac:dyDescent="0.25">
      <c r="A3636" t="s">
        <v>7334</v>
      </c>
      <c r="B3636" t="s">
        <v>2153</v>
      </c>
      <c r="C3636" s="4">
        <v>46006</v>
      </c>
      <c r="F3636" s="4">
        <v>45504</v>
      </c>
      <c r="G3636" t="s">
        <v>1311</v>
      </c>
      <c r="O3636" t="s">
        <v>32</v>
      </c>
      <c r="Q3636">
        <v>0</v>
      </c>
      <c r="R3636">
        <v>0</v>
      </c>
      <c r="W3636">
        <v>0</v>
      </c>
      <c r="X3636">
        <v>0</v>
      </c>
      <c r="Y3636">
        <v>0</v>
      </c>
      <c r="Z3636">
        <v>0</v>
      </c>
    </row>
    <row r="3637" spans="1:26" hidden="1" x14ac:dyDescent="0.25">
      <c r="A3637" t="s">
        <v>7335</v>
      </c>
      <c r="B3637" t="s">
        <v>2153</v>
      </c>
      <c r="C3637" s="4">
        <v>45945</v>
      </c>
      <c r="F3637" s="4">
        <v>45444</v>
      </c>
      <c r="H3637" t="s">
        <v>2910</v>
      </c>
      <c r="K3637" t="s">
        <v>98</v>
      </c>
      <c r="O3637" t="s">
        <v>32</v>
      </c>
      <c r="P3637" t="s">
        <v>2911</v>
      </c>
      <c r="Q3637">
        <v>200</v>
      </c>
      <c r="R3637">
        <v>200</v>
      </c>
      <c r="S3637" t="s">
        <v>159</v>
      </c>
      <c r="T3637" t="s">
        <v>159</v>
      </c>
      <c r="W3637">
        <v>0</v>
      </c>
      <c r="X3637">
        <v>0</v>
      </c>
      <c r="Y3637">
        <v>0</v>
      </c>
      <c r="Z3637">
        <v>0</v>
      </c>
    </row>
    <row r="3638" spans="1:26" hidden="1" x14ac:dyDescent="0.25">
      <c r="A3638" t="s">
        <v>7336</v>
      </c>
      <c r="B3638" t="s">
        <v>2153</v>
      </c>
      <c r="C3638" s="4">
        <v>45993</v>
      </c>
      <c r="F3638" s="4">
        <v>46237</v>
      </c>
      <c r="G3638" t="s">
        <v>907</v>
      </c>
      <c r="O3638" t="s">
        <v>32</v>
      </c>
      <c r="Q3638">
        <v>0</v>
      </c>
      <c r="R3638">
        <v>0</v>
      </c>
      <c r="W3638">
        <v>0</v>
      </c>
      <c r="X3638">
        <v>0</v>
      </c>
      <c r="Y3638">
        <v>0</v>
      </c>
      <c r="Z3638">
        <v>0</v>
      </c>
    </row>
    <row r="3639" spans="1:26" hidden="1" x14ac:dyDescent="0.25">
      <c r="A3639" t="s">
        <v>7337</v>
      </c>
      <c r="B3639" t="s">
        <v>2153</v>
      </c>
      <c r="C3639" s="4">
        <v>46010</v>
      </c>
      <c r="F3639" s="4">
        <v>45261</v>
      </c>
      <c r="G3639" t="s">
        <v>52</v>
      </c>
      <c r="O3639" t="s">
        <v>32</v>
      </c>
      <c r="Q3639">
        <v>0</v>
      </c>
      <c r="R3639">
        <v>0</v>
      </c>
      <c r="W3639">
        <v>0</v>
      </c>
      <c r="X3639">
        <v>0</v>
      </c>
      <c r="Y3639">
        <v>0</v>
      </c>
      <c r="Z3639">
        <v>0</v>
      </c>
    </row>
    <row r="3640" spans="1:26" hidden="1" x14ac:dyDescent="0.25">
      <c r="A3640" t="s">
        <v>7338</v>
      </c>
      <c r="B3640" t="s">
        <v>2153</v>
      </c>
      <c r="C3640" s="4">
        <v>45986</v>
      </c>
      <c r="F3640" s="4">
        <v>46478</v>
      </c>
      <c r="G3640" t="s">
        <v>144</v>
      </c>
      <c r="O3640" t="s">
        <v>32</v>
      </c>
      <c r="Q3640">
        <v>0</v>
      </c>
      <c r="R3640">
        <v>0</v>
      </c>
      <c r="W3640">
        <v>0</v>
      </c>
      <c r="X3640">
        <v>0</v>
      </c>
      <c r="Y3640">
        <v>0</v>
      </c>
      <c r="Z3640">
        <v>0</v>
      </c>
    </row>
    <row r="3641" spans="1:26" hidden="1" x14ac:dyDescent="0.25">
      <c r="A3641" t="s">
        <v>7339</v>
      </c>
      <c r="B3641" t="s">
        <v>2153</v>
      </c>
      <c r="C3641" s="4">
        <v>46010</v>
      </c>
      <c r="F3641" s="4">
        <v>45731</v>
      </c>
      <c r="G3641" t="s">
        <v>65</v>
      </c>
      <c r="O3641" t="s">
        <v>32</v>
      </c>
      <c r="P3641" t="s">
        <v>7340</v>
      </c>
      <c r="Q3641">
        <v>0</v>
      </c>
      <c r="R3641">
        <v>0</v>
      </c>
      <c r="W3641">
        <v>0</v>
      </c>
      <c r="X3641">
        <v>0</v>
      </c>
      <c r="Y3641">
        <v>0</v>
      </c>
      <c r="Z3641">
        <v>0</v>
      </c>
    </row>
    <row r="3642" spans="1:26" hidden="1" x14ac:dyDescent="0.25">
      <c r="A3642" t="s">
        <v>7341</v>
      </c>
      <c r="B3642" t="s">
        <v>2153</v>
      </c>
      <c r="C3642" s="4">
        <v>46013</v>
      </c>
      <c r="F3642" s="4">
        <v>45870</v>
      </c>
      <c r="H3642" t="s">
        <v>2057</v>
      </c>
      <c r="K3642" t="s">
        <v>41</v>
      </c>
      <c r="O3642" t="s">
        <v>32</v>
      </c>
      <c r="P3642" t="s">
        <v>1382</v>
      </c>
      <c r="Q3642">
        <v>100</v>
      </c>
      <c r="R3642">
        <v>100</v>
      </c>
      <c r="S3642" t="s">
        <v>159</v>
      </c>
      <c r="T3642" t="s">
        <v>159</v>
      </c>
      <c r="W3642">
        <v>0</v>
      </c>
      <c r="X3642">
        <v>0</v>
      </c>
      <c r="Y3642">
        <v>0</v>
      </c>
      <c r="Z3642">
        <v>0</v>
      </c>
    </row>
    <row r="3643" spans="1:26" hidden="1" x14ac:dyDescent="0.25">
      <c r="A3643" t="s">
        <v>7342</v>
      </c>
      <c r="B3643" t="s">
        <v>2153</v>
      </c>
      <c r="C3643" s="4">
        <v>46056</v>
      </c>
      <c r="F3643" s="4">
        <v>46754</v>
      </c>
      <c r="G3643" t="s">
        <v>52</v>
      </c>
      <c r="O3643" t="s">
        <v>32</v>
      </c>
      <c r="Q3643">
        <v>0</v>
      </c>
      <c r="R3643">
        <v>0</v>
      </c>
      <c r="W3643">
        <v>0</v>
      </c>
      <c r="X3643">
        <v>0</v>
      </c>
      <c r="Y3643">
        <v>0</v>
      </c>
      <c r="Z3643">
        <v>0</v>
      </c>
    </row>
    <row r="3644" spans="1:26" hidden="1" x14ac:dyDescent="0.25">
      <c r="A3644" t="s">
        <v>7343</v>
      </c>
      <c r="B3644" t="s">
        <v>2153</v>
      </c>
      <c r="C3644" s="4">
        <v>45930</v>
      </c>
      <c r="F3644" s="4">
        <v>46174</v>
      </c>
      <c r="G3644" t="s">
        <v>144</v>
      </c>
      <c r="H3644" t="s">
        <v>1409</v>
      </c>
      <c r="K3644" t="s">
        <v>146</v>
      </c>
      <c r="O3644" t="s">
        <v>122</v>
      </c>
      <c r="P3644" t="s">
        <v>7344</v>
      </c>
      <c r="Q3644">
        <v>135</v>
      </c>
      <c r="R3644">
        <v>135</v>
      </c>
      <c r="S3644" t="s">
        <v>159</v>
      </c>
      <c r="T3644" t="s">
        <v>159</v>
      </c>
      <c r="W3644">
        <v>0</v>
      </c>
      <c r="X3644">
        <v>0</v>
      </c>
      <c r="Y3644">
        <v>0</v>
      </c>
      <c r="Z3644">
        <v>0</v>
      </c>
    </row>
    <row r="3645" spans="1:26" hidden="1" x14ac:dyDescent="0.25">
      <c r="A3645" t="s">
        <v>7345</v>
      </c>
      <c r="B3645" t="s">
        <v>2153</v>
      </c>
      <c r="C3645" s="4">
        <v>45965</v>
      </c>
      <c r="F3645" s="4">
        <v>45809</v>
      </c>
      <c r="G3645" t="s">
        <v>1408</v>
      </c>
      <c r="H3645" t="s">
        <v>1522</v>
      </c>
      <c r="K3645" t="s">
        <v>146</v>
      </c>
      <c r="O3645" t="s">
        <v>32</v>
      </c>
      <c r="P3645" t="s">
        <v>6361</v>
      </c>
      <c r="Q3645">
        <v>175</v>
      </c>
      <c r="R3645">
        <v>175</v>
      </c>
      <c r="S3645" t="s">
        <v>159</v>
      </c>
      <c r="T3645" t="s">
        <v>159</v>
      </c>
      <c r="W3645">
        <v>0</v>
      </c>
      <c r="X3645">
        <v>0</v>
      </c>
      <c r="Y3645">
        <v>0</v>
      </c>
      <c r="Z3645">
        <v>0</v>
      </c>
    </row>
    <row r="3646" spans="1:26" hidden="1" x14ac:dyDescent="0.25">
      <c r="A3646" t="s">
        <v>7346</v>
      </c>
      <c r="B3646" t="s">
        <v>2153</v>
      </c>
      <c r="C3646" s="4">
        <v>46020</v>
      </c>
      <c r="F3646" s="4">
        <v>46295</v>
      </c>
      <c r="G3646" t="s">
        <v>1278</v>
      </c>
      <c r="O3646" t="s">
        <v>32</v>
      </c>
      <c r="Q3646">
        <v>0</v>
      </c>
      <c r="R3646">
        <v>0</v>
      </c>
      <c r="W3646">
        <v>0</v>
      </c>
      <c r="X3646">
        <v>0</v>
      </c>
      <c r="Y3646">
        <v>0</v>
      </c>
      <c r="Z3646">
        <v>0</v>
      </c>
    </row>
    <row r="3647" spans="1:26" hidden="1" x14ac:dyDescent="0.25">
      <c r="A3647" t="s">
        <v>7347</v>
      </c>
      <c r="B3647" t="s">
        <v>2153</v>
      </c>
      <c r="C3647" s="4">
        <v>45947</v>
      </c>
      <c r="F3647" s="4">
        <v>46812</v>
      </c>
      <c r="H3647" t="s">
        <v>2846</v>
      </c>
      <c r="K3647" t="s">
        <v>146</v>
      </c>
      <c r="O3647" t="s">
        <v>32</v>
      </c>
      <c r="P3647" t="s">
        <v>7348</v>
      </c>
      <c r="Q3647">
        <v>593</v>
      </c>
      <c r="R3647">
        <v>593</v>
      </c>
      <c r="S3647" t="s">
        <v>159</v>
      </c>
      <c r="T3647" t="s">
        <v>159</v>
      </c>
      <c r="W3647">
        <v>0</v>
      </c>
      <c r="X3647">
        <v>0</v>
      </c>
      <c r="Y3647">
        <v>0</v>
      </c>
      <c r="Z3647">
        <v>0</v>
      </c>
    </row>
    <row r="3648" spans="1:26" hidden="1" x14ac:dyDescent="0.25">
      <c r="A3648" t="s">
        <v>7349</v>
      </c>
      <c r="B3648" t="s">
        <v>2153</v>
      </c>
      <c r="C3648" s="4">
        <v>45967</v>
      </c>
      <c r="F3648" s="4">
        <v>46539</v>
      </c>
      <c r="H3648" t="s">
        <v>1302</v>
      </c>
      <c r="K3648" t="s">
        <v>83</v>
      </c>
      <c r="O3648" t="s">
        <v>32</v>
      </c>
      <c r="P3648" t="s">
        <v>7350</v>
      </c>
      <c r="Q3648">
        <v>185</v>
      </c>
      <c r="R3648">
        <v>185</v>
      </c>
      <c r="S3648" t="s">
        <v>159</v>
      </c>
      <c r="T3648" t="s">
        <v>159</v>
      </c>
      <c r="W3648">
        <v>0</v>
      </c>
      <c r="X3648">
        <v>0</v>
      </c>
      <c r="Y3648">
        <v>0</v>
      </c>
      <c r="Z3648">
        <v>0</v>
      </c>
    </row>
    <row r="3649" spans="1:26" hidden="1" x14ac:dyDescent="0.25">
      <c r="A3649" t="s">
        <v>7351</v>
      </c>
      <c r="B3649" t="s">
        <v>2153</v>
      </c>
      <c r="C3649" s="4">
        <v>45979</v>
      </c>
      <c r="F3649" s="4">
        <v>46631</v>
      </c>
      <c r="G3649" t="s">
        <v>144</v>
      </c>
      <c r="H3649" t="s">
        <v>1405</v>
      </c>
      <c r="K3649" t="s">
        <v>146</v>
      </c>
      <c r="O3649" t="s">
        <v>122</v>
      </c>
      <c r="P3649" t="s">
        <v>3068</v>
      </c>
      <c r="Q3649">
        <v>325</v>
      </c>
      <c r="R3649">
        <v>325</v>
      </c>
      <c r="S3649" t="s">
        <v>597</v>
      </c>
      <c r="T3649" t="s">
        <v>598</v>
      </c>
      <c r="W3649">
        <v>0</v>
      </c>
      <c r="X3649">
        <v>0</v>
      </c>
      <c r="Y3649">
        <v>0</v>
      </c>
      <c r="Z3649">
        <v>0</v>
      </c>
    </row>
    <row r="3650" spans="1:26" hidden="1" x14ac:dyDescent="0.25">
      <c r="A3650" t="s">
        <v>7352</v>
      </c>
      <c r="B3650" t="s">
        <v>2153</v>
      </c>
      <c r="C3650" s="4">
        <v>46023</v>
      </c>
      <c r="F3650" s="4">
        <v>46614</v>
      </c>
      <c r="G3650" t="s">
        <v>39</v>
      </c>
      <c r="O3650" t="s">
        <v>32</v>
      </c>
      <c r="Q3650">
        <v>0</v>
      </c>
      <c r="R3650">
        <v>0</v>
      </c>
      <c r="W3650">
        <v>0</v>
      </c>
      <c r="X3650">
        <v>0</v>
      </c>
      <c r="Y3650">
        <v>0</v>
      </c>
      <c r="Z3650">
        <v>0</v>
      </c>
    </row>
    <row r="3651" spans="1:26" hidden="1" x14ac:dyDescent="0.25">
      <c r="A3651" t="s">
        <v>7353</v>
      </c>
      <c r="B3651" t="s">
        <v>2153</v>
      </c>
      <c r="C3651" s="4">
        <v>46021</v>
      </c>
      <c r="F3651" s="4">
        <v>47118</v>
      </c>
      <c r="G3651" t="s">
        <v>39</v>
      </c>
      <c r="O3651" t="s">
        <v>32</v>
      </c>
      <c r="Q3651">
        <v>0</v>
      </c>
      <c r="R3651">
        <v>0</v>
      </c>
      <c r="W3651">
        <v>0</v>
      </c>
      <c r="X3651">
        <v>0</v>
      </c>
      <c r="Y3651">
        <v>0</v>
      </c>
      <c r="Z3651">
        <v>0</v>
      </c>
    </row>
    <row r="3652" spans="1:26" hidden="1" x14ac:dyDescent="0.25">
      <c r="A3652" t="s">
        <v>7354</v>
      </c>
      <c r="B3652" t="s">
        <v>2153</v>
      </c>
      <c r="C3652" s="4">
        <v>46031</v>
      </c>
      <c r="F3652" s="4">
        <v>46705</v>
      </c>
      <c r="G3652" t="s">
        <v>1408</v>
      </c>
      <c r="O3652" t="s">
        <v>122</v>
      </c>
      <c r="Q3652">
        <v>0</v>
      </c>
      <c r="R3652">
        <v>0</v>
      </c>
      <c r="W3652">
        <v>0</v>
      </c>
      <c r="X3652">
        <v>0</v>
      </c>
      <c r="Y3652">
        <v>0</v>
      </c>
      <c r="Z3652">
        <v>0</v>
      </c>
    </row>
    <row r="3653" spans="1:26" hidden="1" x14ac:dyDescent="0.25">
      <c r="A3653" t="s">
        <v>7355</v>
      </c>
      <c r="B3653" t="s">
        <v>2153</v>
      </c>
      <c r="C3653" s="4">
        <v>46122</v>
      </c>
      <c r="F3653" s="4">
        <v>45473</v>
      </c>
      <c r="G3653" t="s">
        <v>39</v>
      </c>
      <c r="H3653" t="s">
        <v>1302</v>
      </c>
      <c r="L3653" t="s">
        <v>7356</v>
      </c>
      <c r="M3653" t="s">
        <v>7357</v>
      </c>
      <c r="O3653" t="s">
        <v>32</v>
      </c>
      <c r="P3653" t="s">
        <v>7350</v>
      </c>
      <c r="Q3653">
        <v>185</v>
      </c>
      <c r="R3653">
        <v>185</v>
      </c>
      <c r="W3653">
        <v>0</v>
      </c>
      <c r="X3653">
        <v>0</v>
      </c>
      <c r="Y3653">
        <v>0</v>
      </c>
      <c r="Z3653">
        <v>0</v>
      </c>
    </row>
    <row r="3654" spans="1:26" hidden="1" x14ac:dyDescent="0.25">
      <c r="A3654" t="s">
        <v>7358</v>
      </c>
      <c r="B3654" t="s">
        <v>2153</v>
      </c>
      <c r="C3654" s="4">
        <v>45944</v>
      </c>
      <c r="F3654" s="4">
        <v>45017</v>
      </c>
      <c r="G3654" t="s">
        <v>1408</v>
      </c>
      <c r="H3654" t="s">
        <v>1409</v>
      </c>
      <c r="K3654" t="s">
        <v>146</v>
      </c>
      <c r="L3654" t="s">
        <v>7356</v>
      </c>
      <c r="M3654" t="s">
        <v>7357</v>
      </c>
      <c r="O3654" t="s">
        <v>32</v>
      </c>
      <c r="P3654" t="s">
        <v>7359</v>
      </c>
      <c r="Q3654">
        <v>200</v>
      </c>
      <c r="R3654">
        <v>200</v>
      </c>
      <c r="S3654" t="s">
        <v>159</v>
      </c>
      <c r="T3654" t="s">
        <v>159</v>
      </c>
      <c r="W3654">
        <v>0</v>
      </c>
      <c r="X3654">
        <v>0</v>
      </c>
      <c r="Y3654">
        <v>0</v>
      </c>
      <c r="Z3654">
        <v>0</v>
      </c>
    </row>
    <row r="3655" spans="1:26" hidden="1" x14ac:dyDescent="0.25">
      <c r="A3655" t="s">
        <v>7360</v>
      </c>
      <c r="B3655" t="s">
        <v>2153</v>
      </c>
      <c r="C3655" s="4">
        <v>46025</v>
      </c>
      <c r="F3655" s="4">
        <v>44929</v>
      </c>
      <c r="L3655" t="s">
        <v>7356</v>
      </c>
      <c r="M3655" t="s">
        <v>7357</v>
      </c>
      <c r="O3655" t="s">
        <v>32</v>
      </c>
      <c r="Q3655">
        <v>0</v>
      </c>
      <c r="R3655">
        <v>0</v>
      </c>
      <c r="W3655">
        <v>0</v>
      </c>
      <c r="X3655">
        <v>0</v>
      </c>
      <c r="Y3655">
        <v>0</v>
      </c>
      <c r="Z3655">
        <v>0</v>
      </c>
    </row>
    <row r="3656" spans="1:26" hidden="1" x14ac:dyDescent="0.25">
      <c r="A3656" t="s">
        <v>7361</v>
      </c>
      <c r="B3656" t="s">
        <v>2153</v>
      </c>
      <c r="C3656" s="4">
        <v>46025</v>
      </c>
      <c r="F3656" s="4">
        <v>45413</v>
      </c>
      <c r="L3656" t="s">
        <v>7356</v>
      </c>
      <c r="M3656" t="s">
        <v>7357</v>
      </c>
      <c r="O3656" t="s">
        <v>32</v>
      </c>
      <c r="Q3656">
        <v>0</v>
      </c>
      <c r="R3656">
        <v>0</v>
      </c>
      <c r="W3656">
        <v>0</v>
      </c>
      <c r="X3656">
        <v>0</v>
      </c>
      <c r="Y3656">
        <v>0</v>
      </c>
      <c r="Z3656">
        <v>0</v>
      </c>
    </row>
    <row r="3657" spans="1:26" hidden="1" x14ac:dyDescent="0.25">
      <c r="A3657" t="s">
        <v>7362</v>
      </c>
      <c r="B3657" t="s">
        <v>2153</v>
      </c>
      <c r="C3657" s="4">
        <v>46098</v>
      </c>
      <c r="F3657" s="4">
        <v>46598</v>
      </c>
      <c r="H3657" t="s">
        <v>1327</v>
      </c>
      <c r="L3657" t="s">
        <v>7356</v>
      </c>
      <c r="M3657" t="s">
        <v>7357</v>
      </c>
      <c r="O3657" t="s">
        <v>122</v>
      </c>
      <c r="P3657" t="s">
        <v>7363</v>
      </c>
      <c r="Q3657">
        <v>0</v>
      </c>
      <c r="R3657">
        <v>0</v>
      </c>
      <c r="W3657">
        <v>0</v>
      </c>
      <c r="X3657">
        <v>0</v>
      </c>
      <c r="Y3657">
        <v>0</v>
      </c>
      <c r="Z3657">
        <v>0</v>
      </c>
    </row>
    <row r="3658" spans="1:26" hidden="1" x14ac:dyDescent="0.25">
      <c r="A3658" t="s">
        <v>7364</v>
      </c>
      <c r="B3658" t="s">
        <v>2153</v>
      </c>
      <c r="C3658" s="4">
        <v>46057</v>
      </c>
      <c r="F3658" s="4">
        <v>46722</v>
      </c>
      <c r="G3658" t="s">
        <v>1408</v>
      </c>
      <c r="H3658" t="s">
        <v>1133</v>
      </c>
      <c r="L3658" t="s">
        <v>7356</v>
      </c>
      <c r="M3658" t="s">
        <v>7357</v>
      </c>
      <c r="O3658" t="s">
        <v>122</v>
      </c>
      <c r="P3658" t="s">
        <v>7365</v>
      </c>
      <c r="Q3658">
        <v>0</v>
      </c>
      <c r="R3658">
        <v>0</v>
      </c>
      <c r="W3658">
        <v>0</v>
      </c>
      <c r="X3658">
        <v>0</v>
      </c>
      <c r="Y3658">
        <v>0</v>
      </c>
      <c r="Z3658">
        <v>0</v>
      </c>
    </row>
    <row r="3659" spans="1:26" hidden="1" x14ac:dyDescent="0.25">
      <c r="A3659" t="s">
        <v>7366</v>
      </c>
      <c r="B3659" t="s">
        <v>2153</v>
      </c>
      <c r="C3659" s="4">
        <v>46168</v>
      </c>
      <c r="F3659" s="4">
        <v>46934</v>
      </c>
      <c r="G3659" t="s">
        <v>1326</v>
      </c>
      <c r="L3659" t="s">
        <v>7356</v>
      </c>
      <c r="M3659" t="s">
        <v>7357</v>
      </c>
      <c r="O3659" t="s">
        <v>32</v>
      </c>
      <c r="Q3659">
        <v>0</v>
      </c>
      <c r="R3659">
        <v>0</v>
      </c>
      <c r="W3659">
        <v>0</v>
      </c>
      <c r="X3659">
        <v>0</v>
      </c>
      <c r="Y3659">
        <v>0</v>
      </c>
      <c r="Z3659">
        <v>0</v>
      </c>
    </row>
    <row r="3660" spans="1:26" hidden="1" x14ac:dyDescent="0.25">
      <c r="A3660" t="s">
        <v>7367</v>
      </c>
      <c r="B3660" t="s">
        <v>2153</v>
      </c>
      <c r="C3660" s="4">
        <v>46225</v>
      </c>
      <c r="F3660" s="4">
        <v>47207</v>
      </c>
      <c r="G3660" t="s">
        <v>1749</v>
      </c>
      <c r="H3660" t="s">
        <v>1962</v>
      </c>
      <c r="L3660" t="s">
        <v>7356</v>
      </c>
      <c r="M3660" t="s">
        <v>7357</v>
      </c>
      <c r="O3660" t="s">
        <v>122</v>
      </c>
      <c r="P3660" t="s">
        <v>7368</v>
      </c>
      <c r="Q3660">
        <v>0</v>
      </c>
      <c r="R3660">
        <v>0</v>
      </c>
      <c r="W3660">
        <v>0</v>
      </c>
      <c r="X3660">
        <v>0</v>
      </c>
      <c r="Y3660">
        <v>0</v>
      </c>
      <c r="Z3660">
        <v>0</v>
      </c>
    </row>
    <row r="3661" spans="1:26" hidden="1" x14ac:dyDescent="0.25">
      <c r="A3661" t="s">
        <v>7369</v>
      </c>
      <c r="B3661" t="s">
        <v>25</v>
      </c>
      <c r="C3661" s="4">
        <v>44002</v>
      </c>
      <c r="K3661" t="s">
        <v>67</v>
      </c>
      <c r="O3661" t="s">
        <v>7370</v>
      </c>
      <c r="Q3661">
        <v>10</v>
      </c>
      <c r="R3661">
        <v>10</v>
      </c>
      <c r="W3661">
        <v>0</v>
      </c>
      <c r="X3661">
        <v>0</v>
      </c>
      <c r="Y3661">
        <v>0</v>
      </c>
      <c r="Z3661">
        <v>0</v>
      </c>
    </row>
    <row r="3662" spans="1:26" hidden="1" x14ac:dyDescent="0.25">
      <c r="A3662" t="s">
        <v>7371</v>
      </c>
      <c r="B3662" t="s">
        <v>25</v>
      </c>
      <c r="C3662" s="4">
        <v>44007</v>
      </c>
      <c r="D3662" s="4">
        <v>45450</v>
      </c>
      <c r="K3662" t="s">
        <v>98</v>
      </c>
      <c r="O3662" t="s">
        <v>7370</v>
      </c>
      <c r="Q3662">
        <v>7.5</v>
      </c>
      <c r="R3662">
        <v>7.5</v>
      </c>
      <c r="W3662">
        <v>0</v>
      </c>
      <c r="X3662">
        <v>0</v>
      </c>
      <c r="Y3662">
        <v>0</v>
      </c>
      <c r="Z3662">
        <v>0</v>
      </c>
    </row>
    <row r="3663" spans="1:26" hidden="1" x14ac:dyDescent="0.25">
      <c r="A3663" t="s">
        <v>7372</v>
      </c>
      <c r="B3663" t="s">
        <v>38</v>
      </c>
      <c r="C3663" s="4">
        <v>44105</v>
      </c>
      <c r="K3663" t="s">
        <v>53</v>
      </c>
      <c r="O3663" t="s">
        <v>7370</v>
      </c>
      <c r="Q3663">
        <v>70</v>
      </c>
      <c r="R3663">
        <v>70</v>
      </c>
      <c r="W3663">
        <v>0</v>
      </c>
      <c r="X3663">
        <v>0</v>
      </c>
      <c r="Y3663">
        <v>0</v>
      </c>
      <c r="Z3663">
        <v>0</v>
      </c>
    </row>
    <row r="3664" spans="1:26" hidden="1" x14ac:dyDescent="0.25">
      <c r="A3664" t="s">
        <v>7373</v>
      </c>
      <c r="B3664" t="s">
        <v>38</v>
      </c>
      <c r="C3664" s="4">
        <v>44141</v>
      </c>
      <c r="D3664" s="4">
        <v>44237</v>
      </c>
      <c r="G3664" t="s">
        <v>254</v>
      </c>
      <c r="H3664" t="s">
        <v>1640</v>
      </c>
      <c r="K3664" t="s">
        <v>98</v>
      </c>
      <c r="O3664" t="s">
        <v>7370</v>
      </c>
      <c r="P3664" t="s">
        <v>7374</v>
      </c>
      <c r="Q3664">
        <v>55</v>
      </c>
      <c r="R3664">
        <v>55</v>
      </c>
      <c r="W3664">
        <v>0</v>
      </c>
      <c r="X3664">
        <v>0</v>
      </c>
      <c r="Y3664">
        <v>0</v>
      </c>
      <c r="Z3664">
        <v>0</v>
      </c>
    </row>
    <row r="3665" spans="1:26" hidden="1" x14ac:dyDescent="0.25">
      <c r="A3665" t="s">
        <v>7375</v>
      </c>
      <c r="B3665" t="s">
        <v>25</v>
      </c>
      <c r="C3665" s="4">
        <v>44132</v>
      </c>
      <c r="K3665" t="s">
        <v>98</v>
      </c>
      <c r="O3665" t="s">
        <v>7370</v>
      </c>
      <c r="Q3665">
        <v>30</v>
      </c>
      <c r="R3665">
        <v>30</v>
      </c>
      <c r="W3665">
        <v>0</v>
      </c>
      <c r="X3665">
        <v>0</v>
      </c>
      <c r="Y3665">
        <v>0</v>
      </c>
      <c r="Z3665">
        <v>0</v>
      </c>
    </row>
    <row r="3666" spans="1:26" hidden="1" x14ac:dyDescent="0.25">
      <c r="A3666" t="s">
        <v>7376</v>
      </c>
      <c r="B3666" t="s">
        <v>25</v>
      </c>
      <c r="C3666" s="4">
        <v>44288</v>
      </c>
      <c r="K3666" t="s">
        <v>28</v>
      </c>
      <c r="O3666" t="s">
        <v>7370</v>
      </c>
      <c r="Q3666">
        <v>60</v>
      </c>
      <c r="R3666">
        <v>60</v>
      </c>
      <c r="W3666">
        <v>0</v>
      </c>
      <c r="X3666">
        <v>0</v>
      </c>
      <c r="Y3666">
        <v>0</v>
      </c>
      <c r="Z3666">
        <v>0</v>
      </c>
    </row>
    <row r="3667" spans="1:26" hidden="1" x14ac:dyDescent="0.25">
      <c r="A3667" t="s">
        <v>7377</v>
      </c>
      <c r="B3667" t="s">
        <v>38</v>
      </c>
      <c r="C3667" s="4">
        <v>44288</v>
      </c>
      <c r="F3667" s="4">
        <v>45229</v>
      </c>
      <c r="G3667" t="s">
        <v>1278</v>
      </c>
      <c r="K3667" t="s">
        <v>28</v>
      </c>
      <c r="O3667" t="s">
        <v>7370</v>
      </c>
      <c r="P3667" t="s">
        <v>7378</v>
      </c>
      <c r="Q3667">
        <v>75</v>
      </c>
      <c r="R3667">
        <v>75</v>
      </c>
      <c r="W3667">
        <v>0</v>
      </c>
      <c r="X3667">
        <v>0</v>
      </c>
      <c r="Y3667">
        <v>0</v>
      </c>
      <c r="Z3667">
        <v>0</v>
      </c>
    </row>
    <row r="3668" spans="1:26" hidden="1" x14ac:dyDescent="0.25">
      <c r="A3668" t="s">
        <v>7379</v>
      </c>
      <c r="B3668" t="s">
        <v>38</v>
      </c>
      <c r="C3668" s="4">
        <v>44385</v>
      </c>
      <c r="D3668" s="4">
        <v>45519</v>
      </c>
      <c r="F3668" s="4">
        <v>44835</v>
      </c>
      <c r="G3668" t="s">
        <v>907</v>
      </c>
      <c r="H3668" t="s">
        <v>3441</v>
      </c>
      <c r="K3668" t="s">
        <v>53</v>
      </c>
      <c r="O3668" t="s">
        <v>7370</v>
      </c>
      <c r="P3668" t="s">
        <v>7380</v>
      </c>
      <c r="Q3668">
        <v>70</v>
      </c>
      <c r="R3668">
        <v>70</v>
      </c>
      <c r="U3668" t="s">
        <v>44</v>
      </c>
      <c r="W3668">
        <v>0</v>
      </c>
      <c r="X3668">
        <v>0</v>
      </c>
      <c r="Y3668">
        <v>0</v>
      </c>
      <c r="Z3668">
        <v>0</v>
      </c>
    </row>
    <row r="3669" spans="1:26" hidden="1" x14ac:dyDescent="0.25">
      <c r="A3669" t="s">
        <v>7381</v>
      </c>
      <c r="B3669" t="s">
        <v>38</v>
      </c>
      <c r="C3669" s="4">
        <v>44412</v>
      </c>
      <c r="D3669" s="4">
        <v>45772</v>
      </c>
      <c r="F3669" s="4">
        <v>44926</v>
      </c>
      <c r="G3669" t="s">
        <v>101</v>
      </c>
      <c r="K3669" t="s">
        <v>98</v>
      </c>
      <c r="O3669" t="s">
        <v>7370</v>
      </c>
      <c r="P3669" t="s">
        <v>7382</v>
      </c>
      <c r="Q3669">
        <v>250</v>
      </c>
      <c r="R3669">
        <v>250</v>
      </c>
      <c r="W3669">
        <v>0</v>
      </c>
      <c r="X3669">
        <v>0</v>
      </c>
      <c r="Y3669">
        <v>0</v>
      </c>
      <c r="Z3669">
        <v>0</v>
      </c>
    </row>
    <row r="3670" spans="1:26" hidden="1" x14ac:dyDescent="0.25">
      <c r="A3670" t="s">
        <v>7383</v>
      </c>
      <c r="B3670" t="s">
        <v>25</v>
      </c>
      <c r="C3670" s="4">
        <v>44425</v>
      </c>
      <c r="F3670" s="4">
        <v>45200</v>
      </c>
      <c r="G3670" t="s">
        <v>173</v>
      </c>
      <c r="K3670" t="s">
        <v>41</v>
      </c>
      <c r="O3670" t="s">
        <v>7370</v>
      </c>
      <c r="P3670" t="s">
        <v>7384</v>
      </c>
      <c r="Q3670">
        <v>258.92</v>
      </c>
      <c r="R3670">
        <v>258.92</v>
      </c>
      <c r="W3670">
        <v>0</v>
      </c>
      <c r="X3670">
        <v>0</v>
      </c>
      <c r="Y3670">
        <v>0</v>
      </c>
      <c r="Z3670">
        <v>0</v>
      </c>
    </row>
    <row r="3671" spans="1:26" hidden="1" x14ac:dyDescent="0.25">
      <c r="A3671" t="s">
        <v>7385</v>
      </c>
      <c r="B3671" t="s">
        <v>38</v>
      </c>
      <c r="C3671" s="4">
        <v>44484</v>
      </c>
      <c r="F3671" s="4">
        <v>44440</v>
      </c>
      <c r="G3671" t="s">
        <v>52</v>
      </c>
      <c r="H3671" t="s">
        <v>2521</v>
      </c>
      <c r="K3671" t="s">
        <v>53</v>
      </c>
      <c r="O3671" t="s">
        <v>7370</v>
      </c>
      <c r="P3671" t="s">
        <v>7386</v>
      </c>
      <c r="Q3671">
        <v>50</v>
      </c>
      <c r="R3671">
        <v>50</v>
      </c>
      <c r="W3671">
        <v>0</v>
      </c>
      <c r="X3671">
        <v>0</v>
      </c>
      <c r="Y3671">
        <v>0</v>
      </c>
      <c r="Z3671">
        <v>0</v>
      </c>
    </row>
    <row r="3672" spans="1:26" hidden="1" x14ac:dyDescent="0.25">
      <c r="A3672" t="s">
        <v>7387</v>
      </c>
      <c r="B3672" t="s">
        <v>38</v>
      </c>
      <c r="C3672" s="4">
        <v>44484</v>
      </c>
      <c r="F3672" s="4">
        <v>45170</v>
      </c>
      <c r="G3672" t="s">
        <v>52</v>
      </c>
      <c r="H3672" t="s">
        <v>2521</v>
      </c>
      <c r="K3672" t="s">
        <v>53</v>
      </c>
      <c r="O3672" t="s">
        <v>7370</v>
      </c>
      <c r="P3672" t="s">
        <v>7388</v>
      </c>
      <c r="Q3672">
        <v>100</v>
      </c>
      <c r="R3672">
        <v>100</v>
      </c>
      <c r="W3672">
        <v>0</v>
      </c>
      <c r="X3672">
        <v>0</v>
      </c>
      <c r="Y3672">
        <v>0</v>
      </c>
      <c r="Z3672">
        <v>0</v>
      </c>
    </row>
    <row r="3673" spans="1:26" hidden="1" x14ac:dyDescent="0.25">
      <c r="A3673" t="s">
        <v>7389</v>
      </c>
      <c r="B3673" t="s">
        <v>38</v>
      </c>
      <c r="C3673" s="4">
        <v>44484</v>
      </c>
      <c r="G3673" t="s">
        <v>52</v>
      </c>
      <c r="O3673" t="s">
        <v>7370</v>
      </c>
      <c r="P3673" t="s">
        <v>7390</v>
      </c>
      <c r="Q3673">
        <v>80</v>
      </c>
      <c r="R3673">
        <v>80</v>
      </c>
      <c r="W3673">
        <v>0</v>
      </c>
      <c r="X3673">
        <v>0</v>
      </c>
      <c r="Y3673">
        <v>0</v>
      </c>
      <c r="Z3673">
        <v>0</v>
      </c>
    </row>
    <row r="3674" spans="1:26" hidden="1" x14ac:dyDescent="0.25">
      <c r="A3674" t="s">
        <v>7391</v>
      </c>
      <c r="B3674" t="s">
        <v>25</v>
      </c>
      <c r="C3674" s="4">
        <v>44587</v>
      </c>
      <c r="F3674" s="4">
        <v>45200</v>
      </c>
      <c r="G3674" t="s">
        <v>72</v>
      </c>
      <c r="K3674" t="s">
        <v>41</v>
      </c>
      <c r="O3674" t="s">
        <v>7370</v>
      </c>
      <c r="P3674" t="s">
        <v>7392</v>
      </c>
      <c r="Q3674">
        <v>200</v>
      </c>
      <c r="R3674">
        <v>200</v>
      </c>
      <c r="V3674" s="4">
        <v>46203</v>
      </c>
      <c r="W3674">
        <v>0</v>
      </c>
      <c r="X3674">
        <v>0</v>
      </c>
      <c r="Y3674">
        <v>0</v>
      </c>
      <c r="Z3674">
        <v>0</v>
      </c>
    </row>
    <row r="3675" spans="1:26" hidden="1" x14ac:dyDescent="0.25">
      <c r="A3675" t="s">
        <v>7393</v>
      </c>
      <c r="B3675" t="s">
        <v>25</v>
      </c>
      <c r="C3675" s="4">
        <v>44629</v>
      </c>
      <c r="F3675" s="4">
        <v>45961</v>
      </c>
      <c r="G3675" t="s">
        <v>183</v>
      </c>
      <c r="K3675" t="s">
        <v>185</v>
      </c>
      <c r="O3675" t="s">
        <v>7370</v>
      </c>
      <c r="P3675" t="s">
        <v>7394</v>
      </c>
      <c r="Q3675">
        <v>9</v>
      </c>
      <c r="R3675">
        <v>9</v>
      </c>
      <c r="V3675" s="4">
        <v>46997</v>
      </c>
      <c r="W3675">
        <v>0</v>
      </c>
      <c r="X3675">
        <v>0</v>
      </c>
      <c r="Y3675">
        <v>0</v>
      </c>
      <c r="Z3675">
        <v>0</v>
      </c>
    </row>
    <row r="3676" spans="1:26" hidden="1" x14ac:dyDescent="0.25">
      <c r="A3676" t="s">
        <v>7395</v>
      </c>
      <c r="B3676" t="s">
        <v>2153</v>
      </c>
      <c r="C3676" s="4">
        <v>44662</v>
      </c>
      <c r="F3676" s="4">
        <v>45962</v>
      </c>
      <c r="G3676" t="s">
        <v>1278</v>
      </c>
      <c r="H3676" t="s">
        <v>3810</v>
      </c>
      <c r="K3676" t="s">
        <v>53</v>
      </c>
      <c r="O3676" t="s">
        <v>7370</v>
      </c>
      <c r="P3676" t="s">
        <v>7396</v>
      </c>
      <c r="Q3676">
        <v>55</v>
      </c>
      <c r="R3676">
        <v>55</v>
      </c>
      <c r="W3676">
        <v>0</v>
      </c>
      <c r="X3676">
        <v>0</v>
      </c>
      <c r="Y3676">
        <v>0</v>
      </c>
      <c r="Z3676">
        <v>0</v>
      </c>
    </row>
    <row r="3677" spans="1:26" hidden="1" x14ac:dyDescent="0.25">
      <c r="A3677" t="s">
        <v>7397</v>
      </c>
      <c r="B3677" t="s">
        <v>25</v>
      </c>
      <c r="C3677" s="4">
        <v>44666</v>
      </c>
      <c r="F3677" s="4">
        <v>44713</v>
      </c>
      <c r="G3677" t="s">
        <v>1278</v>
      </c>
      <c r="K3677" t="s">
        <v>28</v>
      </c>
      <c r="O3677" t="s">
        <v>7370</v>
      </c>
      <c r="P3677" t="s">
        <v>7398</v>
      </c>
      <c r="Q3677">
        <v>25</v>
      </c>
      <c r="R3677">
        <v>25</v>
      </c>
      <c r="W3677">
        <v>0</v>
      </c>
      <c r="X3677">
        <v>0</v>
      </c>
      <c r="Y3677">
        <v>0</v>
      </c>
      <c r="Z3677">
        <v>0</v>
      </c>
    </row>
    <row r="3678" spans="1:26" hidden="1" x14ac:dyDescent="0.25">
      <c r="A3678" t="s">
        <v>7399</v>
      </c>
      <c r="B3678" t="s">
        <v>25</v>
      </c>
      <c r="C3678" s="4">
        <v>44662</v>
      </c>
      <c r="F3678" s="4">
        <v>45078</v>
      </c>
      <c r="G3678" t="s">
        <v>1278</v>
      </c>
      <c r="K3678" t="s">
        <v>28</v>
      </c>
      <c r="O3678" t="s">
        <v>7370</v>
      </c>
      <c r="P3678" t="s">
        <v>7400</v>
      </c>
      <c r="Q3678">
        <v>100</v>
      </c>
      <c r="R3678">
        <v>100</v>
      </c>
      <c r="W3678">
        <v>0</v>
      </c>
      <c r="X3678">
        <v>0</v>
      </c>
      <c r="Y3678">
        <v>0</v>
      </c>
      <c r="Z3678">
        <v>0</v>
      </c>
    </row>
    <row r="3679" spans="1:26" hidden="1" x14ac:dyDescent="0.25">
      <c r="A3679" t="s">
        <v>7401</v>
      </c>
      <c r="B3679" t="s">
        <v>25</v>
      </c>
      <c r="C3679" s="4">
        <v>44671</v>
      </c>
      <c r="F3679" s="4">
        <v>44713</v>
      </c>
      <c r="G3679" t="s">
        <v>1278</v>
      </c>
      <c r="K3679" t="s">
        <v>53</v>
      </c>
      <c r="O3679" t="s">
        <v>7370</v>
      </c>
      <c r="P3679" t="s">
        <v>7402</v>
      </c>
      <c r="Q3679">
        <v>75</v>
      </c>
      <c r="R3679">
        <v>75</v>
      </c>
      <c r="W3679">
        <v>0</v>
      </c>
      <c r="X3679">
        <v>0</v>
      </c>
      <c r="Y3679">
        <v>0</v>
      </c>
      <c r="Z3679">
        <v>0</v>
      </c>
    </row>
    <row r="3680" spans="1:26" hidden="1" x14ac:dyDescent="0.25">
      <c r="A3680" t="s">
        <v>7403</v>
      </c>
      <c r="B3680" t="s">
        <v>25</v>
      </c>
      <c r="C3680" s="4">
        <v>44676</v>
      </c>
      <c r="F3680" s="4">
        <v>45170</v>
      </c>
      <c r="G3680" t="s">
        <v>52</v>
      </c>
      <c r="K3680" t="s">
        <v>53</v>
      </c>
      <c r="O3680" t="s">
        <v>7370</v>
      </c>
      <c r="P3680" t="s">
        <v>7404</v>
      </c>
      <c r="Q3680">
        <v>50</v>
      </c>
      <c r="R3680">
        <v>50</v>
      </c>
      <c r="W3680">
        <v>0</v>
      </c>
      <c r="X3680">
        <v>0</v>
      </c>
      <c r="Y3680">
        <v>0</v>
      </c>
      <c r="Z3680">
        <v>0</v>
      </c>
    </row>
    <row r="3681" spans="1:26" hidden="1" x14ac:dyDescent="0.25">
      <c r="A3681" t="s">
        <v>7405</v>
      </c>
      <c r="B3681" t="s">
        <v>25</v>
      </c>
      <c r="C3681" s="4">
        <v>44676</v>
      </c>
      <c r="E3681" s="4">
        <v>44732</v>
      </c>
      <c r="F3681" s="4">
        <v>45170</v>
      </c>
      <c r="G3681" t="s">
        <v>52</v>
      </c>
      <c r="H3681" t="s">
        <v>2521</v>
      </c>
      <c r="K3681" t="s">
        <v>53</v>
      </c>
      <c r="O3681" t="s">
        <v>7370</v>
      </c>
      <c r="P3681" t="s">
        <v>7406</v>
      </c>
      <c r="Q3681">
        <v>100</v>
      </c>
      <c r="R3681">
        <v>100</v>
      </c>
      <c r="W3681">
        <v>0</v>
      </c>
      <c r="X3681">
        <v>0</v>
      </c>
      <c r="Y3681">
        <v>0</v>
      </c>
      <c r="Z3681">
        <v>0</v>
      </c>
    </row>
    <row r="3682" spans="1:26" hidden="1" x14ac:dyDescent="0.25">
      <c r="A3682" t="s">
        <v>7407</v>
      </c>
      <c r="B3682" t="s">
        <v>25</v>
      </c>
      <c r="C3682" s="4">
        <v>44676</v>
      </c>
      <c r="E3682" s="4">
        <v>44698</v>
      </c>
      <c r="F3682" s="4">
        <v>45170</v>
      </c>
      <c r="G3682" t="s">
        <v>52</v>
      </c>
      <c r="H3682" t="s">
        <v>2521</v>
      </c>
      <c r="K3682" t="s">
        <v>53</v>
      </c>
      <c r="O3682" t="s">
        <v>7370</v>
      </c>
      <c r="P3682" t="s">
        <v>7408</v>
      </c>
      <c r="Q3682">
        <v>80</v>
      </c>
      <c r="R3682">
        <v>80</v>
      </c>
      <c r="W3682">
        <v>0</v>
      </c>
      <c r="X3682">
        <v>0</v>
      </c>
      <c r="Y3682">
        <v>0</v>
      </c>
      <c r="Z3682">
        <v>0</v>
      </c>
    </row>
    <row r="3683" spans="1:26" hidden="1" x14ac:dyDescent="0.25">
      <c r="A3683" t="s">
        <v>7409</v>
      </c>
      <c r="B3683" t="s">
        <v>25</v>
      </c>
      <c r="C3683" s="4">
        <v>44683</v>
      </c>
      <c r="F3683" s="4">
        <v>45210</v>
      </c>
      <c r="G3683" t="s">
        <v>691</v>
      </c>
      <c r="H3683" t="s">
        <v>1663</v>
      </c>
      <c r="K3683" t="s">
        <v>98</v>
      </c>
      <c r="O3683" t="s">
        <v>7370</v>
      </c>
      <c r="P3683" t="s">
        <v>7410</v>
      </c>
      <c r="Q3683">
        <v>3</v>
      </c>
      <c r="R3683">
        <v>3</v>
      </c>
      <c r="W3683">
        <v>0</v>
      </c>
      <c r="X3683">
        <v>0</v>
      </c>
      <c r="Y3683">
        <v>0</v>
      </c>
      <c r="Z3683">
        <v>0</v>
      </c>
    </row>
    <row r="3684" spans="1:26" hidden="1" x14ac:dyDescent="0.25">
      <c r="A3684" t="s">
        <v>7411</v>
      </c>
      <c r="B3684" t="s">
        <v>2153</v>
      </c>
      <c r="C3684" s="4">
        <v>44697</v>
      </c>
      <c r="F3684" s="4">
        <v>45012</v>
      </c>
      <c r="G3684" t="s">
        <v>1278</v>
      </c>
      <c r="H3684" t="s">
        <v>1505</v>
      </c>
      <c r="K3684" t="s">
        <v>28</v>
      </c>
      <c r="O3684" t="s">
        <v>7370</v>
      </c>
      <c r="P3684" t="s">
        <v>7412</v>
      </c>
      <c r="Q3684">
        <v>25</v>
      </c>
      <c r="R3684">
        <v>25</v>
      </c>
      <c r="W3684">
        <v>0</v>
      </c>
      <c r="X3684">
        <v>0</v>
      </c>
      <c r="Y3684">
        <v>0</v>
      </c>
      <c r="Z3684">
        <v>0</v>
      </c>
    </row>
    <row r="3685" spans="1:26" hidden="1" x14ac:dyDescent="0.25">
      <c r="A3685" t="s">
        <v>7413</v>
      </c>
      <c r="B3685" t="s">
        <v>2153</v>
      </c>
      <c r="C3685" s="4">
        <v>44697</v>
      </c>
      <c r="F3685" s="4">
        <v>44952</v>
      </c>
      <c r="G3685" t="s">
        <v>1278</v>
      </c>
      <c r="H3685" t="s">
        <v>1556</v>
      </c>
      <c r="K3685" t="s">
        <v>28</v>
      </c>
      <c r="O3685" t="s">
        <v>7370</v>
      </c>
      <c r="P3685" t="s">
        <v>7414</v>
      </c>
      <c r="Q3685">
        <v>50</v>
      </c>
      <c r="R3685">
        <v>50</v>
      </c>
      <c r="W3685">
        <v>0</v>
      </c>
      <c r="X3685">
        <v>0</v>
      </c>
      <c r="Y3685">
        <v>0</v>
      </c>
      <c r="Z3685">
        <v>0</v>
      </c>
    </row>
    <row r="3686" spans="1:26" hidden="1" x14ac:dyDescent="0.25">
      <c r="A3686" t="s">
        <v>7415</v>
      </c>
      <c r="B3686" t="s">
        <v>25</v>
      </c>
      <c r="C3686" s="4">
        <v>44697</v>
      </c>
      <c r="F3686" s="4">
        <v>44713</v>
      </c>
      <c r="G3686" t="s">
        <v>1278</v>
      </c>
      <c r="H3686" t="s">
        <v>1485</v>
      </c>
      <c r="K3686" t="s">
        <v>28</v>
      </c>
      <c r="O3686" t="s">
        <v>7370</v>
      </c>
      <c r="P3686" t="s">
        <v>7416</v>
      </c>
      <c r="Q3686">
        <v>25</v>
      </c>
      <c r="R3686">
        <v>25</v>
      </c>
      <c r="W3686">
        <v>0</v>
      </c>
      <c r="X3686">
        <v>0</v>
      </c>
      <c r="Y3686">
        <v>0</v>
      </c>
      <c r="Z3686">
        <v>0</v>
      </c>
    </row>
    <row r="3687" spans="1:26" hidden="1" x14ac:dyDescent="0.25">
      <c r="A3687" t="s">
        <v>7417</v>
      </c>
      <c r="B3687" t="s">
        <v>2153</v>
      </c>
      <c r="C3687" s="4">
        <v>44707</v>
      </c>
      <c r="E3687" s="4">
        <v>44865</v>
      </c>
      <c r="F3687" s="4">
        <v>44743</v>
      </c>
      <c r="G3687" t="s">
        <v>1679</v>
      </c>
      <c r="H3687" t="s">
        <v>1841</v>
      </c>
      <c r="K3687" t="s">
        <v>98</v>
      </c>
      <c r="O3687" t="s">
        <v>7370</v>
      </c>
      <c r="P3687" t="s">
        <v>992</v>
      </c>
      <c r="Q3687">
        <v>50</v>
      </c>
      <c r="R3687">
        <v>50</v>
      </c>
      <c r="W3687">
        <v>0</v>
      </c>
      <c r="X3687">
        <v>0</v>
      </c>
      <c r="Y3687">
        <v>0</v>
      </c>
      <c r="Z3687">
        <v>0</v>
      </c>
    </row>
    <row r="3688" spans="1:26" hidden="1" x14ac:dyDescent="0.25">
      <c r="A3688" t="s">
        <v>7418</v>
      </c>
      <c r="B3688" t="s">
        <v>25</v>
      </c>
      <c r="C3688" s="4">
        <v>44707</v>
      </c>
      <c r="G3688" t="s">
        <v>254</v>
      </c>
      <c r="H3688" t="s">
        <v>230</v>
      </c>
      <c r="K3688" t="s">
        <v>98</v>
      </c>
      <c r="O3688" t="s">
        <v>7370</v>
      </c>
      <c r="Q3688">
        <v>50</v>
      </c>
      <c r="R3688">
        <v>50</v>
      </c>
      <c r="V3688" s="4">
        <v>46904</v>
      </c>
      <c r="W3688">
        <v>0</v>
      </c>
      <c r="X3688">
        <v>0</v>
      </c>
      <c r="Y3688">
        <v>0</v>
      </c>
      <c r="Z3688">
        <v>0</v>
      </c>
    </row>
    <row r="3689" spans="1:26" hidden="1" x14ac:dyDescent="0.25">
      <c r="A3689" t="s">
        <v>7419</v>
      </c>
      <c r="B3689" t="s">
        <v>25</v>
      </c>
      <c r="C3689" s="4">
        <v>44712</v>
      </c>
      <c r="G3689" t="s">
        <v>254</v>
      </c>
      <c r="H3689" t="s">
        <v>1640</v>
      </c>
      <c r="K3689" t="s">
        <v>98</v>
      </c>
      <c r="O3689" t="s">
        <v>7370</v>
      </c>
      <c r="P3689" t="s">
        <v>255</v>
      </c>
      <c r="Q3689">
        <v>60</v>
      </c>
      <c r="R3689">
        <v>60</v>
      </c>
      <c r="W3689">
        <v>0</v>
      </c>
      <c r="X3689">
        <v>0</v>
      </c>
      <c r="Y3689">
        <v>0</v>
      </c>
      <c r="Z3689">
        <v>0</v>
      </c>
    </row>
    <row r="3690" spans="1:26" hidden="1" x14ac:dyDescent="0.25">
      <c r="A3690" t="s">
        <v>7420</v>
      </c>
      <c r="B3690" t="s">
        <v>38</v>
      </c>
      <c r="C3690" s="4">
        <v>44715</v>
      </c>
      <c r="F3690" s="4">
        <v>45323</v>
      </c>
      <c r="H3690" t="s">
        <v>7421</v>
      </c>
      <c r="K3690" t="s">
        <v>83</v>
      </c>
      <c r="O3690" t="s">
        <v>7370</v>
      </c>
      <c r="P3690" t="s">
        <v>7422</v>
      </c>
      <c r="Q3690">
        <v>99</v>
      </c>
      <c r="R3690">
        <v>99</v>
      </c>
      <c r="W3690">
        <v>0</v>
      </c>
      <c r="X3690">
        <v>0</v>
      </c>
      <c r="Y3690">
        <v>0</v>
      </c>
      <c r="Z3690">
        <v>0</v>
      </c>
    </row>
    <row r="3691" spans="1:26" hidden="1" x14ac:dyDescent="0.25">
      <c r="A3691" t="s">
        <v>7423</v>
      </c>
      <c r="B3691" t="s">
        <v>38</v>
      </c>
      <c r="C3691" s="4">
        <v>44725</v>
      </c>
      <c r="F3691" s="4">
        <v>45323</v>
      </c>
      <c r="H3691" t="s">
        <v>1637</v>
      </c>
      <c r="K3691" t="s">
        <v>83</v>
      </c>
      <c r="O3691" t="s">
        <v>7370</v>
      </c>
      <c r="Q3691">
        <v>99</v>
      </c>
      <c r="R3691">
        <v>99</v>
      </c>
      <c r="W3691">
        <v>0</v>
      </c>
      <c r="X3691">
        <v>0</v>
      </c>
      <c r="Y3691">
        <v>0</v>
      </c>
      <c r="Z3691">
        <v>0</v>
      </c>
    </row>
    <row r="3692" spans="1:26" hidden="1" x14ac:dyDescent="0.25">
      <c r="A3692" t="s">
        <v>7424</v>
      </c>
      <c r="B3692" t="s">
        <v>2153</v>
      </c>
      <c r="C3692" s="4">
        <v>44792</v>
      </c>
      <c r="F3692" s="4">
        <v>45868</v>
      </c>
      <c r="G3692" t="s">
        <v>52</v>
      </c>
      <c r="H3692" t="s">
        <v>1390</v>
      </c>
      <c r="K3692" t="s">
        <v>53</v>
      </c>
      <c r="O3692" t="s">
        <v>7370</v>
      </c>
      <c r="P3692" t="s">
        <v>7425</v>
      </c>
      <c r="Q3692">
        <v>90</v>
      </c>
      <c r="R3692">
        <v>90</v>
      </c>
      <c r="W3692">
        <v>0</v>
      </c>
      <c r="X3692">
        <v>0</v>
      </c>
      <c r="Y3692">
        <v>0</v>
      </c>
      <c r="Z3692">
        <v>0</v>
      </c>
    </row>
    <row r="3693" spans="1:26" hidden="1" x14ac:dyDescent="0.25">
      <c r="A3693" t="s">
        <v>7426</v>
      </c>
      <c r="B3693" t="s">
        <v>2153</v>
      </c>
      <c r="C3693" s="4">
        <v>44792</v>
      </c>
      <c r="F3693" s="4">
        <v>45868</v>
      </c>
      <c r="G3693" t="s">
        <v>52</v>
      </c>
      <c r="H3693" t="s">
        <v>630</v>
      </c>
      <c r="O3693" t="s">
        <v>7370</v>
      </c>
      <c r="P3693" t="s">
        <v>7425</v>
      </c>
      <c r="Q3693">
        <v>90</v>
      </c>
      <c r="R3693">
        <v>90</v>
      </c>
      <c r="W3693">
        <v>0</v>
      </c>
      <c r="X3693">
        <v>0</v>
      </c>
      <c r="Y3693">
        <v>0</v>
      </c>
      <c r="Z3693">
        <v>0</v>
      </c>
    </row>
    <row r="3694" spans="1:26" hidden="1" x14ac:dyDescent="0.25">
      <c r="A3694" t="s">
        <v>7427</v>
      </c>
      <c r="B3694" t="s">
        <v>2153</v>
      </c>
      <c r="C3694" s="4">
        <v>44788</v>
      </c>
      <c r="F3694" s="4">
        <v>45112</v>
      </c>
      <c r="G3694" t="s">
        <v>1278</v>
      </c>
      <c r="H3694" t="s">
        <v>1838</v>
      </c>
      <c r="K3694" t="s">
        <v>28</v>
      </c>
      <c r="O3694" t="s">
        <v>7370</v>
      </c>
      <c r="P3694" t="s">
        <v>7428</v>
      </c>
      <c r="Q3694">
        <v>25</v>
      </c>
      <c r="R3694">
        <v>25</v>
      </c>
      <c r="W3694">
        <v>0</v>
      </c>
      <c r="X3694">
        <v>0</v>
      </c>
      <c r="Y3694">
        <v>0</v>
      </c>
      <c r="Z3694">
        <v>0</v>
      </c>
    </row>
    <row r="3695" spans="1:26" hidden="1" x14ac:dyDescent="0.25">
      <c r="A3695" t="s">
        <v>7429</v>
      </c>
      <c r="B3695" t="s">
        <v>2153</v>
      </c>
      <c r="C3695" s="4">
        <v>44788</v>
      </c>
      <c r="F3695" s="4">
        <v>45083</v>
      </c>
      <c r="G3695" t="s">
        <v>1278</v>
      </c>
      <c r="H3695" t="s">
        <v>7430</v>
      </c>
      <c r="K3695" t="s">
        <v>28</v>
      </c>
      <c r="O3695" t="s">
        <v>7370</v>
      </c>
      <c r="P3695" t="s">
        <v>7431</v>
      </c>
      <c r="Q3695">
        <v>25</v>
      </c>
      <c r="R3695">
        <v>25</v>
      </c>
      <c r="W3695">
        <v>0</v>
      </c>
      <c r="X3695">
        <v>0</v>
      </c>
      <c r="Y3695">
        <v>0</v>
      </c>
      <c r="Z3695">
        <v>0</v>
      </c>
    </row>
    <row r="3696" spans="1:26" hidden="1" x14ac:dyDescent="0.25">
      <c r="A3696" t="s">
        <v>7432</v>
      </c>
      <c r="B3696" t="s">
        <v>2153</v>
      </c>
      <c r="C3696" s="4">
        <v>44788</v>
      </c>
      <c r="F3696" s="4">
        <v>45108</v>
      </c>
      <c r="G3696" t="s">
        <v>1278</v>
      </c>
      <c r="H3696" t="s">
        <v>1485</v>
      </c>
      <c r="K3696" t="s">
        <v>28</v>
      </c>
      <c r="O3696" t="s">
        <v>7370</v>
      </c>
      <c r="P3696" t="s">
        <v>7433</v>
      </c>
      <c r="Q3696">
        <v>33</v>
      </c>
      <c r="R3696">
        <v>33</v>
      </c>
      <c r="W3696">
        <v>0</v>
      </c>
      <c r="X3696">
        <v>0</v>
      </c>
      <c r="Y3696">
        <v>0</v>
      </c>
      <c r="Z3696">
        <v>0</v>
      </c>
    </row>
    <row r="3697" spans="1:26" hidden="1" x14ac:dyDescent="0.25">
      <c r="A3697" t="s">
        <v>7434</v>
      </c>
      <c r="B3697" t="s">
        <v>25</v>
      </c>
      <c r="C3697" s="4">
        <v>44813</v>
      </c>
      <c r="F3697" s="4">
        <v>45808</v>
      </c>
      <c r="G3697" t="s">
        <v>173</v>
      </c>
      <c r="H3697" t="s">
        <v>1765</v>
      </c>
      <c r="K3697" t="s">
        <v>185</v>
      </c>
      <c r="O3697" t="s">
        <v>7370</v>
      </c>
      <c r="P3697" t="s">
        <v>7435</v>
      </c>
      <c r="Q3697">
        <v>400</v>
      </c>
      <c r="R3697">
        <v>400</v>
      </c>
      <c r="W3697">
        <v>0</v>
      </c>
      <c r="X3697">
        <v>0</v>
      </c>
      <c r="Y3697">
        <v>0</v>
      </c>
      <c r="Z3697">
        <v>0</v>
      </c>
    </row>
    <row r="3698" spans="1:26" hidden="1" x14ac:dyDescent="0.25">
      <c r="A3698" t="s">
        <v>7436</v>
      </c>
      <c r="B3698" t="s">
        <v>38</v>
      </c>
      <c r="C3698" s="4">
        <v>44860</v>
      </c>
      <c r="D3698" s="4">
        <v>45007</v>
      </c>
      <c r="O3698" t="s">
        <v>7370</v>
      </c>
      <c r="Q3698">
        <v>50.4</v>
      </c>
      <c r="R3698">
        <v>50.4</v>
      </c>
      <c r="W3698">
        <v>0</v>
      </c>
      <c r="X3698">
        <v>0</v>
      </c>
      <c r="Y3698">
        <v>0</v>
      </c>
      <c r="Z3698">
        <v>0</v>
      </c>
    </row>
    <row r="3699" spans="1:26" hidden="1" x14ac:dyDescent="0.25">
      <c r="A3699" t="s">
        <v>7437</v>
      </c>
      <c r="B3699" t="s">
        <v>38</v>
      </c>
      <c r="C3699" s="4">
        <v>44902</v>
      </c>
      <c r="F3699" s="4">
        <v>45689</v>
      </c>
      <c r="G3699" t="s">
        <v>907</v>
      </c>
      <c r="H3699" t="s">
        <v>3796</v>
      </c>
      <c r="K3699" t="s">
        <v>53</v>
      </c>
      <c r="O3699" t="s">
        <v>7370</v>
      </c>
      <c r="P3699" t="s">
        <v>7438</v>
      </c>
      <c r="Q3699">
        <v>50</v>
      </c>
      <c r="R3699">
        <v>50</v>
      </c>
      <c r="W3699">
        <v>0</v>
      </c>
      <c r="X3699">
        <v>0</v>
      </c>
      <c r="Y3699">
        <v>0</v>
      </c>
      <c r="Z3699">
        <v>0</v>
      </c>
    </row>
    <row r="3700" spans="1:26" hidden="1" x14ac:dyDescent="0.25">
      <c r="A3700" t="s">
        <v>7439</v>
      </c>
      <c r="B3700" t="s">
        <v>25</v>
      </c>
      <c r="C3700" s="4">
        <v>44805</v>
      </c>
      <c r="F3700" s="4">
        <v>45838</v>
      </c>
      <c r="H3700" t="s">
        <v>2356</v>
      </c>
      <c r="K3700" t="s">
        <v>28</v>
      </c>
      <c r="O3700" t="s">
        <v>7370</v>
      </c>
      <c r="P3700" t="s">
        <v>7440</v>
      </c>
      <c r="Q3700">
        <v>100</v>
      </c>
      <c r="R3700">
        <v>100</v>
      </c>
      <c r="W3700">
        <v>0</v>
      </c>
      <c r="X3700">
        <v>0</v>
      </c>
      <c r="Y3700">
        <v>0</v>
      </c>
      <c r="Z3700">
        <v>0</v>
      </c>
    </row>
    <row r="3701" spans="1:26" hidden="1" x14ac:dyDescent="0.25">
      <c r="A3701" t="s">
        <v>7441</v>
      </c>
      <c r="B3701" t="s">
        <v>25</v>
      </c>
      <c r="C3701" s="4">
        <v>44911</v>
      </c>
      <c r="F3701" s="4">
        <v>46135</v>
      </c>
      <c r="G3701" t="s">
        <v>117</v>
      </c>
      <c r="H3701" t="s">
        <v>1765</v>
      </c>
      <c r="K3701" t="s">
        <v>83</v>
      </c>
      <c r="O3701" t="s">
        <v>7370</v>
      </c>
      <c r="P3701" t="s">
        <v>7442</v>
      </c>
      <c r="Q3701">
        <v>135</v>
      </c>
      <c r="R3701">
        <v>135</v>
      </c>
      <c r="W3701">
        <v>0</v>
      </c>
      <c r="X3701">
        <v>0</v>
      </c>
      <c r="Y3701">
        <v>0</v>
      </c>
      <c r="Z3701">
        <v>0</v>
      </c>
    </row>
    <row r="3702" spans="1:26" hidden="1" x14ac:dyDescent="0.25">
      <c r="A3702" t="s">
        <v>7443</v>
      </c>
      <c r="B3702" t="s">
        <v>25</v>
      </c>
      <c r="C3702" s="4">
        <v>45065</v>
      </c>
      <c r="F3702" s="4">
        <v>46135</v>
      </c>
      <c r="G3702" t="s">
        <v>117</v>
      </c>
      <c r="H3702" t="s">
        <v>4619</v>
      </c>
      <c r="K3702" t="s">
        <v>83</v>
      </c>
      <c r="O3702" t="s">
        <v>7370</v>
      </c>
      <c r="P3702" t="s">
        <v>7442</v>
      </c>
      <c r="Q3702">
        <v>135</v>
      </c>
      <c r="R3702">
        <v>135</v>
      </c>
      <c r="W3702">
        <v>0</v>
      </c>
      <c r="X3702">
        <v>0</v>
      </c>
      <c r="Y3702">
        <v>0</v>
      </c>
      <c r="Z3702">
        <v>0</v>
      </c>
    </row>
    <row r="3703" spans="1:26" hidden="1" x14ac:dyDescent="0.25">
      <c r="A3703" t="s">
        <v>7444</v>
      </c>
      <c r="B3703" t="s">
        <v>38</v>
      </c>
      <c r="C3703" s="4">
        <v>44915</v>
      </c>
      <c r="O3703" t="s">
        <v>7370</v>
      </c>
      <c r="Q3703">
        <v>100</v>
      </c>
      <c r="R3703">
        <v>100</v>
      </c>
      <c r="W3703">
        <v>0</v>
      </c>
      <c r="X3703">
        <v>0</v>
      </c>
      <c r="Y3703">
        <v>0</v>
      </c>
      <c r="Z3703">
        <v>0</v>
      </c>
    </row>
    <row r="3704" spans="1:26" hidden="1" x14ac:dyDescent="0.25">
      <c r="A3704" t="s">
        <v>7445</v>
      </c>
      <c r="B3704" t="s">
        <v>25</v>
      </c>
      <c r="C3704" s="4">
        <v>45033</v>
      </c>
      <c r="F3704" s="4">
        <v>45389</v>
      </c>
      <c r="G3704" t="s">
        <v>1679</v>
      </c>
      <c r="H3704" t="s">
        <v>1841</v>
      </c>
      <c r="K3704" t="s">
        <v>98</v>
      </c>
      <c r="O3704" t="s">
        <v>7370</v>
      </c>
      <c r="P3704" t="s">
        <v>7446</v>
      </c>
      <c r="Q3704">
        <v>50</v>
      </c>
      <c r="R3704">
        <v>50</v>
      </c>
      <c r="W3704">
        <v>0</v>
      </c>
      <c r="X3704">
        <v>0</v>
      </c>
      <c r="Y3704">
        <v>0</v>
      </c>
      <c r="Z3704">
        <v>0</v>
      </c>
    </row>
    <row r="3705" spans="1:26" hidden="1" x14ac:dyDescent="0.25">
      <c r="A3705" t="s">
        <v>7447</v>
      </c>
      <c r="B3705" t="s">
        <v>2153</v>
      </c>
      <c r="C3705" s="4">
        <v>45033</v>
      </c>
      <c r="F3705" s="4">
        <v>45389</v>
      </c>
      <c r="G3705" t="s">
        <v>1690</v>
      </c>
      <c r="H3705" t="s">
        <v>2910</v>
      </c>
      <c r="K3705" t="s">
        <v>98</v>
      </c>
      <c r="O3705" t="s">
        <v>7370</v>
      </c>
      <c r="P3705" t="s">
        <v>7448</v>
      </c>
      <c r="Q3705">
        <v>50</v>
      </c>
      <c r="R3705">
        <v>50</v>
      </c>
      <c r="W3705">
        <v>0</v>
      </c>
      <c r="X3705">
        <v>0</v>
      </c>
      <c r="Y3705">
        <v>0</v>
      </c>
      <c r="Z3705">
        <v>0</v>
      </c>
    </row>
    <row r="3706" spans="1:26" hidden="1" x14ac:dyDescent="0.25">
      <c r="A3706" t="s">
        <v>7449</v>
      </c>
      <c r="B3706" t="s">
        <v>25</v>
      </c>
      <c r="C3706" s="4">
        <v>45186</v>
      </c>
      <c r="F3706" s="4">
        <v>45353</v>
      </c>
      <c r="G3706" t="s">
        <v>183</v>
      </c>
      <c r="H3706" t="s">
        <v>2642</v>
      </c>
      <c r="K3706" t="s">
        <v>185</v>
      </c>
      <c r="O3706" t="s">
        <v>7370</v>
      </c>
      <c r="P3706" t="s">
        <v>7450</v>
      </c>
      <c r="Q3706">
        <v>170</v>
      </c>
      <c r="R3706">
        <v>170</v>
      </c>
      <c r="W3706">
        <v>0</v>
      </c>
      <c r="X3706">
        <v>0</v>
      </c>
      <c r="Y3706">
        <v>0</v>
      </c>
      <c r="Z3706">
        <v>0</v>
      </c>
    </row>
    <row r="3707" spans="1:26" hidden="1" x14ac:dyDescent="0.25">
      <c r="A3707" t="s">
        <v>7451</v>
      </c>
      <c r="B3707" t="s">
        <v>25</v>
      </c>
      <c r="C3707" s="4">
        <v>45212</v>
      </c>
      <c r="F3707" s="4">
        <v>46327</v>
      </c>
      <c r="G3707" t="s">
        <v>177</v>
      </c>
      <c r="H3707" t="s">
        <v>7452</v>
      </c>
      <c r="K3707" t="s">
        <v>62</v>
      </c>
      <c r="O3707" t="s">
        <v>7370</v>
      </c>
      <c r="P3707" t="s">
        <v>7453</v>
      </c>
      <c r="Q3707">
        <v>120</v>
      </c>
      <c r="R3707">
        <v>120</v>
      </c>
      <c r="W3707">
        <v>0</v>
      </c>
      <c r="X3707">
        <v>0</v>
      </c>
      <c r="Y3707">
        <v>0</v>
      </c>
      <c r="Z3707">
        <v>0</v>
      </c>
    </row>
    <row r="3708" spans="1:26" hidden="1" x14ac:dyDescent="0.25">
      <c r="A3708" t="s">
        <v>7454</v>
      </c>
      <c r="B3708" t="s">
        <v>2153</v>
      </c>
      <c r="C3708" s="4">
        <v>45212</v>
      </c>
      <c r="F3708" s="4">
        <v>46327</v>
      </c>
      <c r="G3708" t="s">
        <v>1499</v>
      </c>
      <c r="H3708" t="s">
        <v>7452</v>
      </c>
      <c r="K3708" t="s">
        <v>62</v>
      </c>
      <c r="L3708" t="s">
        <v>7356</v>
      </c>
      <c r="M3708" t="s">
        <v>7357</v>
      </c>
      <c r="O3708" t="s">
        <v>7370</v>
      </c>
      <c r="P3708" t="s">
        <v>7453</v>
      </c>
      <c r="Q3708">
        <v>120</v>
      </c>
      <c r="R3708">
        <v>120</v>
      </c>
      <c r="W3708">
        <v>0</v>
      </c>
      <c r="X3708">
        <v>0</v>
      </c>
      <c r="Y3708">
        <v>0</v>
      </c>
      <c r="Z3708">
        <v>0</v>
      </c>
    </row>
    <row r="3709" spans="1:26" hidden="1" x14ac:dyDescent="0.25">
      <c r="A3709" t="s">
        <v>7455</v>
      </c>
      <c r="B3709" t="s">
        <v>25</v>
      </c>
      <c r="C3709" s="4">
        <v>45229</v>
      </c>
      <c r="F3709" s="4">
        <v>45778</v>
      </c>
      <c r="G3709" t="s">
        <v>117</v>
      </c>
      <c r="H3709" t="s">
        <v>1703</v>
      </c>
      <c r="K3709" t="s">
        <v>83</v>
      </c>
      <c r="O3709" t="s">
        <v>7370</v>
      </c>
      <c r="P3709" t="s">
        <v>7456</v>
      </c>
      <c r="Q3709">
        <v>40</v>
      </c>
      <c r="R3709">
        <v>40</v>
      </c>
      <c r="W3709">
        <v>0</v>
      </c>
      <c r="X3709">
        <v>0</v>
      </c>
      <c r="Y3709">
        <v>0</v>
      </c>
      <c r="Z3709">
        <v>0</v>
      </c>
    </row>
    <row r="3710" spans="1:26" hidden="1" x14ac:dyDescent="0.25">
      <c r="A3710" t="s">
        <v>7457</v>
      </c>
      <c r="B3710" t="s">
        <v>38</v>
      </c>
      <c r="C3710" s="4">
        <v>45386</v>
      </c>
      <c r="F3710" s="4">
        <v>46264</v>
      </c>
      <c r="G3710" t="s">
        <v>1311</v>
      </c>
      <c r="H3710" t="s">
        <v>3060</v>
      </c>
      <c r="K3710" t="s">
        <v>114</v>
      </c>
      <c r="O3710" t="s">
        <v>7370</v>
      </c>
      <c r="P3710" t="s">
        <v>7458</v>
      </c>
      <c r="Q3710">
        <v>80</v>
      </c>
      <c r="R3710">
        <v>80</v>
      </c>
      <c r="W3710">
        <v>0</v>
      </c>
      <c r="X3710">
        <v>0</v>
      </c>
      <c r="Y3710">
        <v>0</v>
      </c>
      <c r="Z3710">
        <v>0</v>
      </c>
    </row>
    <row r="3711" spans="1:26" hidden="1" x14ac:dyDescent="0.25">
      <c r="A3711" t="s">
        <v>7459</v>
      </c>
      <c r="B3711" t="s">
        <v>38</v>
      </c>
      <c r="C3711" s="4">
        <v>45386</v>
      </c>
      <c r="D3711" s="4">
        <v>45485</v>
      </c>
      <c r="F3711" s="4">
        <v>46173</v>
      </c>
      <c r="G3711" t="s">
        <v>144</v>
      </c>
      <c r="H3711" t="s">
        <v>7460</v>
      </c>
      <c r="K3711" t="s">
        <v>146</v>
      </c>
      <c r="O3711" t="s">
        <v>7370</v>
      </c>
      <c r="P3711" t="s">
        <v>7461</v>
      </c>
      <c r="Q3711">
        <v>165</v>
      </c>
      <c r="R3711">
        <v>165</v>
      </c>
      <c r="W3711">
        <v>0</v>
      </c>
      <c r="X3711">
        <v>0</v>
      </c>
      <c r="Y3711">
        <v>0</v>
      </c>
      <c r="Z3711">
        <v>0</v>
      </c>
    </row>
    <row r="3712" spans="1:26" hidden="1" x14ac:dyDescent="0.25">
      <c r="A3712" t="s">
        <v>7462</v>
      </c>
      <c r="B3712" t="s">
        <v>25</v>
      </c>
      <c r="C3712" s="4">
        <v>45446</v>
      </c>
      <c r="F3712" s="4">
        <v>47192</v>
      </c>
      <c r="G3712" t="s">
        <v>72</v>
      </c>
      <c r="H3712" t="s">
        <v>1344</v>
      </c>
      <c r="K3712" t="s">
        <v>209</v>
      </c>
      <c r="O3712" t="s">
        <v>7370</v>
      </c>
      <c r="P3712" t="s">
        <v>7463</v>
      </c>
      <c r="Q3712">
        <v>80</v>
      </c>
      <c r="R3712">
        <v>80</v>
      </c>
      <c r="W3712">
        <v>0</v>
      </c>
      <c r="X3712">
        <v>0</v>
      </c>
      <c r="Y3712">
        <v>0</v>
      </c>
      <c r="Z3712">
        <v>0</v>
      </c>
    </row>
    <row r="3713" spans="1:26" hidden="1" x14ac:dyDescent="0.25">
      <c r="A3713" t="s">
        <v>7464</v>
      </c>
      <c r="B3713" t="s">
        <v>2153</v>
      </c>
      <c r="C3713" s="4">
        <v>45457</v>
      </c>
      <c r="F3713" s="4">
        <v>46287</v>
      </c>
      <c r="G3713" t="s">
        <v>117</v>
      </c>
      <c r="H3713" t="s">
        <v>1923</v>
      </c>
      <c r="K3713" t="s">
        <v>83</v>
      </c>
      <c r="O3713" t="s">
        <v>7370</v>
      </c>
      <c r="P3713" t="s">
        <v>7465</v>
      </c>
      <c r="Q3713">
        <v>150</v>
      </c>
      <c r="R3713">
        <v>150</v>
      </c>
      <c r="W3713">
        <v>0</v>
      </c>
      <c r="X3713">
        <v>0</v>
      </c>
      <c r="Y3713">
        <v>0</v>
      </c>
      <c r="Z3713">
        <v>0</v>
      </c>
    </row>
    <row r="3714" spans="1:26" hidden="1" x14ac:dyDescent="0.25">
      <c r="A3714" t="s">
        <v>7466</v>
      </c>
      <c r="B3714" t="s">
        <v>2153</v>
      </c>
      <c r="C3714" s="4">
        <v>45482</v>
      </c>
      <c r="F3714" s="4">
        <v>46296</v>
      </c>
      <c r="G3714" t="s">
        <v>39</v>
      </c>
      <c r="H3714" t="s">
        <v>1268</v>
      </c>
      <c r="K3714" t="s">
        <v>41</v>
      </c>
      <c r="O3714" t="s">
        <v>7370</v>
      </c>
      <c r="P3714" t="s">
        <v>7467</v>
      </c>
      <c r="Q3714">
        <v>100</v>
      </c>
      <c r="R3714">
        <v>100</v>
      </c>
      <c r="W3714">
        <v>0</v>
      </c>
      <c r="X3714">
        <v>0</v>
      </c>
      <c r="Y3714">
        <v>0</v>
      </c>
      <c r="Z3714">
        <v>0</v>
      </c>
    </row>
    <row r="3715" spans="1:26" hidden="1" x14ac:dyDescent="0.25">
      <c r="A3715" t="s">
        <v>7468</v>
      </c>
      <c r="B3715" t="s">
        <v>2153</v>
      </c>
      <c r="C3715" s="4">
        <v>45492</v>
      </c>
      <c r="F3715" s="4">
        <v>46690</v>
      </c>
      <c r="G3715" t="s">
        <v>39</v>
      </c>
      <c r="H3715" t="s">
        <v>3146</v>
      </c>
      <c r="K3715" t="s">
        <v>41</v>
      </c>
      <c r="O3715" t="s">
        <v>7370</v>
      </c>
      <c r="P3715" t="s">
        <v>7392</v>
      </c>
      <c r="Q3715">
        <v>300</v>
      </c>
      <c r="R3715">
        <v>300</v>
      </c>
      <c r="W3715">
        <v>0</v>
      </c>
      <c r="X3715">
        <v>0</v>
      </c>
      <c r="Y3715">
        <v>0</v>
      </c>
      <c r="Z3715">
        <v>0</v>
      </c>
    </row>
    <row r="3716" spans="1:26" hidden="1" x14ac:dyDescent="0.25">
      <c r="A3716" t="s">
        <v>7469</v>
      </c>
      <c r="B3716" t="s">
        <v>2153</v>
      </c>
      <c r="C3716" s="4">
        <v>45482</v>
      </c>
      <c r="F3716" s="4">
        <v>46235</v>
      </c>
      <c r="G3716" t="s">
        <v>1499</v>
      </c>
      <c r="H3716" t="s">
        <v>7470</v>
      </c>
      <c r="K3716" t="s">
        <v>41</v>
      </c>
      <c r="O3716" t="s">
        <v>7370</v>
      </c>
      <c r="P3716" t="s">
        <v>7471</v>
      </c>
      <c r="Q3716">
        <v>50</v>
      </c>
      <c r="R3716">
        <v>50</v>
      </c>
      <c r="W3716">
        <v>0</v>
      </c>
      <c r="X3716">
        <v>0</v>
      </c>
      <c r="Y3716">
        <v>0</v>
      </c>
      <c r="Z3716">
        <v>0</v>
      </c>
    </row>
    <row r="3717" spans="1:26" hidden="1" x14ac:dyDescent="0.25">
      <c r="A3717" t="s">
        <v>7472</v>
      </c>
      <c r="B3717" t="s">
        <v>38</v>
      </c>
      <c r="C3717" s="4">
        <v>45488</v>
      </c>
      <c r="D3717" s="4">
        <v>45756</v>
      </c>
      <c r="F3717" s="4">
        <v>46174</v>
      </c>
      <c r="G3717" t="s">
        <v>1278</v>
      </c>
      <c r="H3717" t="s">
        <v>1645</v>
      </c>
      <c r="K3717" t="s">
        <v>28</v>
      </c>
      <c r="O3717" t="s">
        <v>7370</v>
      </c>
      <c r="P3717" t="s">
        <v>7473</v>
      </c>
      <c r="Q3717">
        <v>20</v>
      </c>
      <c r="R3717">
        <v>20</v>
      </c>
      <c r="W3717">
        <v>0</v>
      </c>
      <c r="X3717">
        <v>0</v>
      </c>
      <c r="Y3717">
        <v>0</v>
      </c>
      <c r="Z3717">
        <v>0</v>
      </c>
    </row>
    <row r="3718" spans="1:26" hidden="1" x14ac:dyDescent="0.25">
      <c r="A3718" t="s">
        <v>7474</v>
      </c>
      <c r="B3718" t="s">
        <v>2153</v>
      </c>
      <c r="C3718" s="4">
        <v>45488</v>
      </c>
      <c r="F3718" s="4">
        <v>46579</v>
      </c>
      <c r="G3718" t="s">
        <v>117</v>
      </c>
      <c r="H3718" t="s">
        <v>7475</v>
      </c>
      <c r="K3718" t="s">
        <v>83</v>
      </c>
      <c r="O3718" t="s">
        <v>7370</v>
      </c>
      <c r="P3718" t="s">
        <v>7476</v>
      </c>
      <c r="Q3718">
        <v>210</v>
      </c>
      <c r="R3718">
        <v>210</v>
      </c>
      <c r="W3718">
        <v>0</v>
      </c>
      <c r="X3718">
        <v>0</v>
      </c>
      <c r="Y3718">
        <v>0</v>
      </c>
      <c r="Z3718">
        <v>0</v>
      </c>
    </row>
    <row r="3719" spans="1:26" hidden="1" x14ac:dyDescent="0.25">
      <c r="A3719" t="s">
        <v>7477</v>
      </c>
      <c r="B3719" t="s">
        <v>25</v>
      </c>
      <c r="F3719" s="4">
        <v>46235</v>
      </c>
      <c r="G3719" t="s">
        <v>52</v>
      </c>
      <c r="H3719" t="s">
        <v>1530</v>
      </c>
      <c r="K3719" t="s">
        <v>53</v>
      </c>
      <c r="O3719" t="s">
        <v>7370</v>
      </c>
      <c r="P3719" t="s">
        <v>7478</v>
      </c>
      <c r="Q3719">
        <v>100</v>
      </c>
      <c r="R3719">
        <v>100</v>
      </c>
      <c r="V3719" s="4">
        <v>44650</v>
      </c>
      <c r="W3719">
        <v>0</v>
      </c>
      <c r="X3719">
        <v>0</v>
      </c>
      <c r="Y3719">
        <v>0</v>
      </c>
      <c r="Z3719">
        <v>0</v>
      </c>
    </row>
    <row r="3720" spans="1:26" hidden="1" x14ac:dyDescent="0.25">
      <c r="A3720" t="s">
        <v>7479</v>
      </c>
      <c r="B3720" t="s">
        <v>25</v>
      </c>
      <c r="C3720" s="4">
        <v>45499</v>
      </c>
      <c r="F3720" s="4">
        <v>46417</v>
      </c>
      <c r="G3720" t="s">
        <v>907</v>
      </c>
      <c r="H3720" t="s">
        <v>3441</v>
      </c>
      <c r="K3720" t="s">
        <v>53</v>
      </c>
      <c r="O3720" t="s">
        <v>7370</v>
      </c>
      <c r="P3720" t="s">
        <v>7480</v>
      </c>
      <c r="Q3720">
        <v>100.3</v>
      </c>
      <c r="R3720">
        <v>100.3</v>
      </c>
      <c r="V3720" s="4">
        <v>41596</v>
      </c>
      <c r="W3720">
        <v>0</v>
      </c>
      <c r="X3720">
        <v>0</v>
      </c>
      <c r="Y3720">
        <v>0</v>
      </c>
      <c r="Z3720">
        <v>0</v>
      </c>
    </row>
    <row r="3721" spans="1:26" hidden="1" x14ac:dyDescent="0.25">
      <c r="A3721" t="s">
        <v>7481</v>
      </c>
      <c r="B3721" t="s">
        <v>25</v>
      </c>
      <c r="C3721" s="4">
        <v>45498</v>
      </c>
      <c r="F3721" s="4">
        <v>46054</v>
      </c>
      <c r="G3721" t="s">
        <v>52</v>
      </c>
      <c r="H3721" t="s">
        <v>7482</v>
      </c>
      <c r="K3721" t="s">
        <v>53</v>
      </c>
      <c r="O3721" t="s">
        <v>7370</v>
      </c>
      <c r="P3721" t="s">
        <v>7483</v>
      </c>
      <c r="Q3721">
        <v>149</v>
      </c>
      <c r="R3721">
        <v>149</v>
      </c>
      <c r="W3721">
        <v>0</v>
      </c>
      <c r="X3721">
        <v>0</v>
      </c>
      <c r="Y3721">
        <v>0</v>
      </c>
      <c r="Z3721">
        <v>0</v>
      </c>
    </row>
    <row r="3722" spans="1:26" hidden="1" x14ac:dyDescent="0.25">
      <c r="A3722" t="s">
        <v>7484</v>
      </c>
      <c r="B3722" t="s">
        <v>2153</v>
      </c>
      <c r="C3722" s="4">
        <v>45505</v>
      </c>
      <c r="F3722" s="4">
        <v>46295</v>
      </c>
      <c r="G3722" t="s">
        <v>52</v>
      </c>
      <c r="H3722" t="s">
        <v>1330</v>
      </c>
      <c r="K3722" t="s">
        <v>53</v>
      </c>
      <c r="O3722" t="s">
        <v>7370</v>
      </c>
      <c r="P3722" t="s">
        <v>7485</v>
      </c>
      <c r="Q3722">
        <v>50</v>
      </c>
      <c r="R3722">
        <v>50</v>
      </c>
      <c r="V3722" s="4">
        <v>46295</v>
      </c>
      <c r="W3722">
        <v>0</v>
      </c>
      <c r="X3722">
        <v>0</v>
      </c>
      <c r="Y3722">
        <v>0</v>
      </c>
      <c r="Z3722">
        <v>0</v>
      </c>
    </row>
    <row r="3723" spans="1:26" hidden="1" x14ac:dyDescent="0.25">
      <c r="A3723" t="s">
        <v>7486</v>
      </c>
      <c r="B3723" t="s">
        <v>25</v>
      </c>
      <c r="C3723" s="4">
        <v>45519</v>
      </c>
      <c r="F3723" s="4">
        <v>46310</v>
      </c>
      <c r="G3723" t="s">
        <v>52</v>
      </c>
      <c r="H3723" t="s">
        <v>1433</v>
      </c>
      <c r="K3723" t="s">
        <v>53</v>
      </c>
      <c r="O3723" t="s">
        <v>7370</v>
      </c>
      <c r="P3723" t="s">
        <v>7487</v>
      </c>
      <c r="Q3723">
        <v>75</v>
      </c>
      <c r="R3723">
        <v>75</v>
      </c>
      <c r="W3723">
        <v>0</v>
      </c>
      <c r="X3723">
        <v>0</v>
      </c>
      <c r="Y3723">
        <v>0</v>
      </c>
      <c r="Z3723">
        <v>0</v>
      </c>
    </row>
    <row r="3724" spans="1:26" hidden="1" x14ac:dyDescent="0.25">
      <c r="A3724" t="s">
        <v>7488</v>
      </c>
      <c r="B3724" t="s">
        <v>25</v>
      </c>
      <c r="C3724" s="4">
        <v>45532</v>
      </c>
      <c r="F3724" s="4">
        <v>46660</v>
      </c>
      <c r="G3724" t="s">
        <v>52</v>
      </c>
      <c r="H3724" t="s">
        <v>1530</v>
      </c>
      <c r="K3724" t="s">
        <v>53</v>
      </c>
      <c r="O3724" t="s">
        <v>7370</v>
      </c>
      <c r="P3724" t="s">
        <v>7489</v>
      </c>
      <c r="Q3724">
        <v>70</v>
      </c>
      <c r="R3724">
        <v>70</v>
      </c>
      <c r="U3724" t="s">
        <v>70</v>
      </c>
      <c r="V3724" s="4">
        <v>46660</v>
      </c>
      <c r="W3724">
        <v>0</v>
      </c>
      <c r="X3724">
        <v>0</v>
      </c>
      <c r="Y3724">
        <v>0</v>
      </c>
      <c r="Z3724">
        <v>0</v>
      </c>
    </row>
    <row r="3725" spans="1:26" hidden="1" x14ac:dyDescent="0.25">
      <c r="A3725" t="s">
        <v>7490</v>
      </c>
      <c r="B3725" t="s">
        <v>38</v>
      </c>
      <c r="C3725" s="4">
        <v>45541</v>
      </c>
      <c r="D3725" s="4">
        <v>46196</v>
      </c>
      <c r="F3725" s="4">
        <v>46327</v>
      </c>
      <c r="G3725" t="s">
        <v>177</v>
      </c>
      <c r="K3725" t="s">
        <v>185</v>
      </c>
      <c r="O3725" t="s">
        <v>7370</v>
      </c>
      <c r="P3725" t="s">
        <v>7491</v>
      </c>
      <c r="Q3725">
        <v>20</v>
      </c>
      <c r="R3725">
        <v>20</v>
      </c>
      <c r="W3725">
        <v>0</v>
      </c>
      <c r="X3725">
        <v>0</v>
      </c>
      <c r="Y3725">
        <v>0</v>
      </c>
      <c r="Z3725">
        <v>0</v>
      </c>
    </row>
    <row r="3726" spans="1:26" hidden="1" x14ac:dyDescent="0.25">
      <c r="A3726" t="s">
        <v>7492</v>
      </c>
      <c r="B3726" t="s">
        <v>2153</v>
      </c>
      <c r="C3726" s="4">
        <v>45572</v>
      </c>
      <c r="F3726" s="4">
        <v>47026</v>
      </c>
      <c r="G3726" t="s">
        <v>907</v>
      </c>
      <c r="H3726" t="s">
        <v>200</v>
      </c>
      <c r="K3726" t="s">
        <v>53</v>
      </c>
      <c r="O3726" t="s">
        <v>7370</v>
      </c>
      <c r="P3726" t="s">
        <v>7493</v>
      </c>
      <c r="Q3726">
        <v>76.5</v>
      </c>
      <c r="R3726">
        <v>76.5</v>
      </c>
      <c r="V3726" s="4">
        <v>47026</v>
      </c>
      <c r="W3726">
        <v>0</v>
      </c>
      <c r="X3726">
        <v>0</v>
      </c>
      <c r="Y3726">
        <v>0</v>
      </c>
      <c r="Z3726">
        <v>0</v>
      </c>
    </row>
    <row r="3727" spans="1:26" hidden="1" x14ac:dyDescent="0.25">
      <c r="A3727" t="s">
        <v>7494</v>
      </c>
      <c r="B3727" t="s">
        <v>25</v>
      </c>
      <c r="C3727" s="4">
        <v>45572</v>
      </c>
      <c r="F3727" s="4">
        <v>46660</v>
      </c>
      <c r="G3727" t="s">
        <v>52</v>
      </c>
      <c r="H3727" t="s">
        <v>528</v>
      </c>
      <c r="K3727" t="s">
        <v>53</v>
      </c>
      <c r="O3727" t="s">
        <v>7370</v>
      </c>
      <c r="Q3727">
        <v>75</v>
      </c>
      <c r="R3727">
        <v>75</v>
      </c>
      <c r="W3727">
        <v>0</v>
      </c>
      <c r="X3727">
        <v>0</v>
      </c>
      <c r="Y3727">
        <v>0</v>
      </c>
      <c r="Z3727">
        <v>0</v>
      </c>
    </row>
    <row r="3728" spans="1:26" hidden="1" x14ac:dyDescent="0.25">
      <c r="A3728" t="s">
        <v>7495</v>
      </c>
      <c r="B3728" t="s">
        <v>25</v>
      </c>
      <c r="C3728" s="4">
        <v>45567</v>
      </c>
      <c r="F3728" s="4">
        <v>46660</v>
      </c>
      <c r="G3728" t="s">
        <v>907</v>
      </c>
      <c r="H3728" t="s">
        <v>1724</v>
      </c>
      <c r="K3728" t="s">
        <v>53</v>
      </c>
      <c r="O3728" t="s">
        <v>7370</v>
      </c>
      <c r="P3728" t="s">
        <v>7496</v>
      </c>
      <c r="Q3728">
        <v>75</v>
      </c>
      <c r="R3728">
        <v>75</v>
      </c>
      <c r="W3728">
        <v>0</v>
      </c>
      <c r="X3728">
        <v>0</v>
      </c>
      <c r="Y3728">
        <v>0</v>
      </c>
      <c r="Z3728">
        <v>0</v>
      </c>
    </row>
    <row r="3729" spans="1:26" hidden="1" x14ac:dyDescent="0.25">
      <c r="A3729" t="s">
        <v>7497</v>
      </c>
      <c r="B3729" t="s">
        <v>2153</v>
      </c>
      <c r="F3729" s="4">
        <v>46388</v>
      </c>
      <c r="G3729" t="s">
        <v>907</v>
      </c>
      <c r="H3729" t="s">
        <v>1445</v>
      </c>
      <c r="K3729" t="s">
        <v>53</v>
      </c>
      <c r="O3729" t="s">
        <v>7370</v>
      </c>
      <c r="P3729" t="s">
        <v>7498</v>
      </c>
      <c r="Q3729">
        <v>150</v>
      </c>
      <c r="R3729">
        <v>150</v>
      </c>
      <c r="W3729">
        <v>0</v>
      </c>
      <c r="X3729">
        <v>0</v>
      </c>
      <c r="Y3729">
        <v>0</v>
      </c>
      <c r="Z3729">
        <v>0</v>
      </c>
    </row>
    <row r="3730" spans="1:26" hidden="1" x14ac:dyDescent="0.25">
      <c r="A3730" t="s">
        <v>7499</v>
      </c>
      <c r="B3730" t="s">
        <v>25</v>
      </c>
      <c r="C3730" s="4">
        <v>45597</v>
      </c>
      <c r="F3730" s="4">
        <v>46388</v>
      </c>
      <c r="G3730" t="s">
        <v>907</v>
      </c>
      <c r="H3730" t="s">
        <v>2308</v>
      </c>
      <c r="K3730" t="s">
        <v>53</v>
      </c>
      <c r="O3730" t="s">
        <v>7370</v>
      </c>
      <c r="P3730" t="s">
        <v>7500</v>
      </c>
      <c r="Q3730">
        <v>200</v>
      </c>
      <c r="R3730">
        <v>200</v>
      </c>
      <c r="W3730">
        <v>0</v>
      </c>
      <c r="X3730">
        <v>0</v>
      </c>
      <c r="Y3730">
        <v>0</v>
      </c>
      <c r="Z3730">
        <v>0</v>
      </c>
    </row>
    <row r="3731" spans="1:26" hidden="1" x14ac:dyDescent="0.25">
      <c r="A3731" t="s">
        <v>7501</v>
      </c>
      <c r="B3731" t="s">
        <v>25</v>
      </c>
      <c r="F3731" s="4">
        <v>45870</v>
      </c>
      <c r="G3731" t="s">
        <v>72</v>
      </c>
      <c r="H3731" t="s">
        <v>1285</v>
      </c>
      <c r="K3731" t="s">
        <v>209</v>
      </c>
      <c r="O3731" t="s">
        <v>7370</v>
      </c>
      <c r="P3731" t="s">
        <v>7502</v>
      </c>
      <c r="Q3731">
        <v>40</v>
      </c>
      <c r="R3731">
        <v>40</v>
      </c>
      <c r="W3731">
        <v>0</v>
      </c>
      <c r="X3731">
        <v>0</v>
      </c>
      <c r="Y3731">
        <v>0</v>
      </c>
      <c r="Z3731">
        <v>0</v>
      </c>
    </row>
    <row r="3732" spans="1:26" hidden="1" x14ac:dyDescent="0.25">
      <c r="A3732" t="s">
        <v>7503</v>
      </c>
      <c r="B3732" t="s">
        <v>25</v>
      </c>
      <c r="C3732" s="4">
        <v>45611</v>
      </c>
      <c r="F3732" s="4">
        <v>45968</v>
      </c>
      <c r="G3732" t="s">
        <v>72</v>
      </c>
      <c r="H3732" t="s">
        <v>1849</v>
      </c>
      <c r="K3732" t="s">
        <v>209</v>
      </c>
      <c r="O3732" t="s">
        <v>7370</v>
      </c>
      <c r="P3732" t="s">
        <v>7504</v>
      </c>
      <c r="Q3732">
        <v>120</v>
      </c>
      <c r="R3732">
        <v>120</v>
      </c>
      <c r="W3732">
        <v>0</v>
      </c>
      <c r="X3732">
        <v>0</v>
      </c>
      <c r="Y3732">
        <v>0</v>
      </c>
      <c r="Z3732">
        <v>0</v>
      </c>
    </row>
    <row r="3733" spans="1:26" hidden="1" x14ac:dyDescent="0.25">
      <c r="A3733" t="s">
        <v>7505</v>
      </c>
      <c r="B3733" t="s">
        <v>2153</v>
      </c>
      <c r="C3733" s="4">
        <v>45631</v>
      </c>
      <c r="F3733" s="4">
        <v>45884</v>
      </c>
      <c r="G3733" t="s">
        <v>39</v>
      </c>
      <c r="H3733" t="s">
        <v>1375</v>
      </c>
      <c r="K3733" t="s">
        <v>41</v>
      </c>
      <c r="O3733" t="s">
        <v>7370</v>
      </c>
      <c r="P3733" t="s">
        <v>7506</v>
      </c>
      <c r="Q3733">
        <v>10</v>
      </c>
      <c r="R3733">
        <v>10</v>
      </c>
      <c r="W3733">
        <v>0</v>
      </c>
      <c r="X3733">
        <v>0</v>
      </c>
      <c r="Y3733">
        <v>0</v>
      </c>
      <c r="Z3733">
        <v>0</v>
      </c>
    </row>
    <row r="3734" spans="1:26" hidden="1" x14ac:dyDescent="0.25">
      <c r="A3734" t="s">
        <v>7507</v>
      </c>
      <c r="B3734" t="s">
        <v>2153</v>
      </c>
      <c r="C3734" s="4">
        <v>45707</v>
      </c>
      <c r="F3734" s="4">
        <v>46265</v>
      </c>
      <c r="G3734" t="s">
        <v>1617</v>
      </c>
      <c r="H3734" t="s">
        <v>1618</v>
      </c>
      <c r="K3734" t="s">
        <v>683</v>
      </c>
      <c r="O3734" t="s">
        <v>7370</v>
      </c>
      <c r="P3734" t="s">
        <v>7508</v>
      </c>
      <c r="Q3734">
        <v>75</v>
      </c>
      <c r="R3734">
        <v>75</v>
      </c>
      <c r="W3734">
        <v>0</v>
      </c>
      <c r="X3734">
        <v>0</v>
      </c>
      <c r="Y3734">
        <v>0</v>
      </c>
      <c r="Z3734">
        <v>0</v>
      </c>
    </row>
    <row r="3735" spans="1:26" hidden="1" x14ac:dyDescent="0.25">
      <c r="A3735" t="s">
        <v>7509</v>
      </c>
      <c r="B3735" t="s">
        <v>2153</v>
      </c>
      <c r="C3735" s="4">
        <v>45716</v>
      </c>
      <c r="F3735" s="4">
        <v>46660</v>
      </c>
      <c r="G3735" t="s">
        <v>65</v>
      </c>
      <c r="H3735" t="s">
        <v>3380</v>
      </c>
      <c r="K3735" t="s">
        <v>67</v>
      </c>
      <c r="O3735" t="s">
        <v>7370</v>
      </c>
      <c r="P3735" t="s">
        <v>7510</v>
      </c>
      <c r="Q3735">
        <v>200</v>
      </c>
      <c r="R3735">
        <v>200</v>
      </c>
      <c r="W3735">
        <v>0</v>
      </c>
      <c r="X3735">
        <v>0</v>
      </c>
      <c r="Y3735">
        <v>0</v>
      </c>
      <c r="Z3735">
        <v>0</v>
      </c>
    </row>
    <row r="3736" spans="1:26" hidden="1" x14ac:dyDescent="0.25">
      <c r="A3736" t="s">
        <v>7511</v>
      </c>
      <c r="B3736" t="s">
        <v>2153</v>
      </c>
      <c r="C3736" s="4">
        <v>45646</v>
      </c>
      <c r="F3736" s="4">
        <v>46748</v>
      </c>
      <c r="G3736" t="s">
        <v>254</v>
      </c>
      <c r="H3736" t="s">
        <v>7512</v>
      </c>
      <c r="K3736" t="s">
        <v>98</v>
      </c>
      <c r="O3736" t="s">
        <v>7370</v>
      </c>
      <c r="P3736" t="s">
        <v>7513</v>
      </c>
      <c r="Q3736">
        <v>100</v>
      </c>
      <c r="R3736">
        <v>100</v>
      </c>
      <c r="W3736">
        <v>0</v>
      </c>
      <c r="X3736">
        <v>0</v>
      </c>
      <c r="Y3736">
        <v>0</v>
      </c>
      <c r="Z3736">
        <v>0</v>
      </c>
    </row>
    <row r="3737" spans="1:26" hidden="1" x14ac:dyDescent="0.25">
      <c r="A3737" t="s">
        <v>7514</v>
      </c>
      <c r="B3737" t="s">
        <v>2153</v>
      </c>
      <c r="C3737" s="4">
        <v>45664</v>
      </c>
      <c r="F3737" s="4">
        <v>46630</v>
      </c>
      <c r="G3737" t="s">
        <v>1408</v>
      </c>
      <c r="H3737" t="s">
        <v>654</v>
      </c>
      <c r="K3737" t="s">
        <v>146</v>
      </c>
      <c r="O3737" t="s">
        <v>7370</v>
      </c>
      <c r="P3737" t="s">
        <v>7515</v>
      </c>
      <c r="Q3737">
        <v>80</v>
      </c>
      <c r="R3737">
        <v>80</v>
      </c>
      <c r="W3737">
        <v>0</v>
      </c>
      <c r="X3737">
        <v>0</v>
      </c>
      <c r="Y3737">
        <v>0</v>
      </c>
      <c r="Z3737">
        <v>0</v>
      </c>
    </row>
    <row r="3738" spans="1:26" hidden="1" x14ac:dyDescent="0.25">
      <c r="A3738" t="s">
        <v>7516</v>
      </c>
      <c r="B3738" t="s">
        <v>2153</v>
      </c>
      <c r="C3738" s="4">
        <v>45670</v>
      </c>
      <c r="F3738" s="4">
        <v>47362</v>
      </c>
      <c r="G3738" t="s">
        <v>117</v>
      </c>
      <c r="H3738" t="s">
        <v>1333</v>
      </c>
      <c r="K3738" t="s">
        <v>83</v>
      </c>
      <c r="O3738" t="s">
        <v>7370</v>
      </c>
      <c r="P3738" t="s">
        <v>7517</v>
      </c>
      <c r="Q3738">
        <v>150</v>
      </c>
      <c r="R3738">
        <v>150</v>
      </c>
      <c r="S3738" t="s">
        <v>159</v>
      </c>
      <c r="T3738" t="s">
        <v>159</v>
      </c>
      <c r="W3738">
        <v>0</v>
      </c>
      <c r="X3738">
        <v>0</v>
      </c>
      <c r="Y3738">
        <v>0</v>
      </c>
      <c r="Z3738">
        <v>0</v>
      </c>
    </row>
    <row r="3739" spans="1:26" hidden="1" x14ac:dyDescent="0.25">
      <c r="A3739" t="s">
        <v>7518</v>
      </c>
      <c r="B3739" t="s">
        <v>2153</v>
      </c>
      <c r="C3739" s="4">
        <v>45706</v>
      </c>
      <c r="F3739" s="4">
        <v>46553</v>
      </c>
      <c r="G3739" t="s">
        <v>72</v>
      </c>
      <c r="H3739" t="s">
        <v>1485</v>
      </c>
      <c r="K3739" t="s">
        <v>41</v>
      </c>
      <c r="O3739" t="s">
        <v>7370</v>
      </c>
      <c r="P3739" t="s">
        <v>5199</v>
      </c>
      <c r="Q3739">
        <v>72</v>
      </c>
      <c r="R3739">
        <v>72</v>
      </c>
      <c r="S3739" t="s">
        <v>159</v>
      </c>
      <c r="T3739" t="s">
        <v>159</v>
      </c>
      <c r="V3739" s="4">
        <v>46811</v>
      </c>
      <c r="W3739">
        <v>0</v>
      </c>
      <c r="X3739">
        <v>0</v>
      </c>
      <c r="Y3739">
        <v>0</v>
      </c>
      <c r="Z3739">
        <v>0</v>
      </c>
    </row>
    <row r="3740" spans="1:26" hidden="1" x14ac:dyDescent="0.25">
      <c r="A3740" t="s">
        <v>7519</v>
      </c>
      <c r="B3740" t="s">
        <v>2153</v>
      </c>
      <c r="C3740" s="4">
        <v>45741</v>
      </c>
      <c r="F3740" s="4">
        <v>46964</v>
      </c>
      <c r="G3740" t="s">
        <v>39</v>
      </c>
      <c r="H3740" t="s">
        <v>1402</v>
      </c>
      <c r="K3740" t="s">
        <v>185</v>
      </c>
      <c r="O3740" t="s">
        <v>7370</v>
      </c>
      <c r="P3740" t="s">
        <v>1535</v>
      </c>
      <c r="Q3740">
        <v>200</v>
      </c>
      <c r="R3740">
        <v>200</v>
      </c>
      <c r="S3740" t="s">
        <v>159</v>
      </c>
      <c r="T3740" t="s">
        <v>159</v>
      </c>
      <c r="V3740" s="4">
        <v>46811</v>
      </c>
      <c r="W3740">
        <v>0</v>
      </c>
      <c r="X3740">
        <v>0</v>
      </c>
      <c r="Y3740">
        <v>0</v>
      </c>
      <c r="Z3740">
        <v>0</v>
      </c>
    </row>
    <row r="3741" spans="1:26" hidden="1" x14ac:dyDescent="0.25">
      <c r="A3741" t="s">
        <v>7520</v>
      </c>
      <c r="B3741" t="s">
        <v>2153</v>
      </c>
      <c r="C3741" s="4">
        <v>45671</v>
      </c>
      <c r="F3741" s="4">
        <v>46964</v>
      </c>
      <c r="G3741" t="s">
        <v>1274</v>
      </c>
      <c r="H3741" t="s">
        <v>1473</v>
      </c>
      <c r="K3741" t="s">
        <v>41</v>
      </c>
      <c r="O3741" t="s">
        <v>7370</v>
      </c>
      <c r="P3741" t="s">
        <v>1474</v>
      </c>
      <c r="Q3741">
        <v>150</v>
      </c>
      <c r="R3741">
        <v>150</v>
      </c>
      <c r="S3741" t="s">
        <v>159</v>
      </c>
      <c r="T3741" t="s">
        <v>159</v>
      </c>
      <c r="W3741">
        <v>0</v>
      </c>
      <c r="X3741">
        <v>0</v>
      </c>
      <c r="Y3741">
        <v>0</v>
      </c>
      <c r="Z3741">
        <v>0</v>
      </c>
    </row>
    <row r="3742" spans="1:26" hidden="1" x14ac:dyDescent="0.25">
      <c r="A3742" t="s">
        <v>7521</v>
      </c>
      <c r="B3742" t="s">
        <v>2153</v>
      </c>
      <c r="C3742" s="4">
        <v>45670</v>
      </c>
      <c r="F3742" s="4">
        <v>46873</v>
      </c>
      <c r="G3742" t="s">
        <v>52</v>
      </c>
      <c r="H3742" t="s">
        <v>1350</v>
      </c>
      <c r="K3742" t="s">
        <v>53</v>
      </c>
      <c r="O3742" t="s">
        <v>7370</v>
      </c>
      <c r="P3742" t="s">
        <v>7522</v>
      </c>
      <c r="Q3742">
        <v>100</v>
      </c>
      <c r="R3742">
        <v>100</v>
      </c>
      <c r="S3742" t="s">
        <v>159</v>
      </c>
      <c r="T3742" t="s">
        <v>159</v>
      </c>
      <c r="V3742" s="4">
        <v>47250</v>
      </c>
      <c r="W3742">
        <v>0</v>
      </c>
      <c r="X3742">
        <v>0</v>
      </c>
      <c r="Y3742">
        <v>0</v>
      </c>
      <c r="Z3742">
        <v>0</v>
      </c>
    </row>
    <row r="3743" spans="1:26" hidden="1" x14ac:dyDescent="0.25">
      <c r="A3743" t="s">
        <v>7523</v>
      </c>
      <c r="B3743" t="s">
        <v>2153</v>
      </c>
      <c r="C3743" s="4">
        <v>45670</v>
      </c>
      <c r="F3743" s="4">
        <v>46873</v>
      </c>
      <c r="G3743" t="s">
        <v>52</v>
      </c>
      <c r="H3743" t="s">
        <v>1350</v>
      </c>
      <c r="K3743" t="s">
        <v>53</v>
      </c>
      <c r="O3743" t="s">
        <v>7370</v>
      </c>
      <c r="P3743" t="s">
        <v>7522</v>
      </c>
      <c r="Q3743">
        <v>50</v>
      </c>
      <c r="R3743">
        <v>50</v>
      </c>
      <c r="S3743" t="s">
        <v>159</v>
      </c>
      <c r="T3743" t="s">
        <v>159</v>
      </c>
      <c r="V3743" s="4">
        <v>47250</v>
      </c>
      <c r="W3743">
        <v>0</v>
      </c>
      <c r="X3743">
        <v>0</v>
      </c>
      <c r="Y3743">
        <v>0</v>
      </c>
      <c r="Z3743">
        <v>0</v>
      </c>
    </row>
    <row r="3744" spans="1:26" hidden="1" x14ac:dyDescent="0.25">
      <c r="A3744" t="s">
        <v>7524</v>
      </c>
      <c r="B3744" t="s">
        <v>38</v>
      </c>
      <c r="C3744" s="4">
        <v>45671</v>
      </c>
      <c r="D3744" s="4">
        <v>46105</v>
      </c>
      <c r="F3744" s="4">
        <v>47373</v>
      </c>
      <c r="G3744" t="s">
        <v>681</v>
      </c>
      <c r="H3744" t="s">
        <v>1668</v>
      </c>
      <c r="K3744" t="s">
        <v>683</v>
      </c>
      <c r="O3744" t="s">
        <v>7370</v>
      </c>
      <c r="P3744" t="s">
        <v>5741</v>
      </c>
      <c r="Q3744">
        <v>100</v>
      </c>
      <c r="R3744">
        <v>100</v>
      </c>
      <c r="S3744" t="s">
        <v>159</v>
      </c>
      <c r="T3744" t="s">
        <v>159</v>
      </c>
      <c r="W3744">
        <v>0</v>
      </c>
      <c r="X3744">
        <v>0</v>
      </c>
      <c r="Y3744">
        <v>0</v>
      </c>
      <c r="Z3744">
        <v>0</v>
      </c>
    </row>
    <row r="3745" spans="1:26" hidden="1" x14ac:dyDescent="0.25">
      <c r="A3745" t="s">
        <v>7525</v>
      </c>
      <c r="B3745" t="s">
        <v>2153</v>
      </c>
      <c r="C3745" s="4">
        <v>45670</v>
      </c>
      <c r="F3745" s="4">
        <v>47362</v>
      </c>
      <c r="G3745" t="s">
        <v>138</v>
      </c>
      <c r="H3745" t="s">
        <v>1676</v>
      </c>
      <c r="K3745" t="s">
        <v>98</v>
      </c>
      <c r="O3745" t="s">
        <v>7370</v>
      </c>
      <c r="P3745" t="s">
        <v>7526</v>
      </c>
      <c r="Q3745">
        <v>150</v>
      </c>
      <c r="R3745">
        <v>150</v>
      </c>
      <c r="S3745" t="s">
        <v>159</v>
      </c>
      <c r="T3745" t="s">
        <v>159</v>
      </c>
      <c r="W3745">
        <v>0</v>
      </c>
      <c r="X3745">
        <v>0</v>
      </c>
      <c r="Y3745">
        <v>0</v>
      </c>
      <c r="Z3745">
        <v>0</v>
      </c>
    </row>
    <row r="3746" spans="1:26" hidden="1" x14ac:dyDescent="0.25">
      <c r="A3746" t="s">
        <v>7527</v>
      </c>
      <c r="B3746" t="s">
        <v>2153</v>
      </c>
      <c r="C3746" s="4">
        <v>45671</v>
      </c>
      <c r="F3746" s="4">
        <v>46935</v>
      </c>
      <c r="G3746" t="s">
        <v>39</v>
      </c>
      <c r="H3746" t="s">
        <v>1516</v>
      </c>
      <c r="K3746" t="s">
        <v>41</v>
      </c>
      <c r="O3746" t="s">
        <v>7370</v>
      </c>
      <c r="P3746" t="s">
        <v>1517</v>
      </c>
      <c r="Q3746">
        <v>200</v>
      </c>
      <c r="R3746">
        <v>200</v>
      </c>
      <c r="S3746" t="s">
        <v>159</v>
      </c>
      <c r="T3746" t="s">
        <v>159</v>
      </c>
      <c r="V3746" s="4">
        <v>46935</v>
      </c>
      <c r="W3746">
        <v>0</v>
      </c>
      <c r="X3746">
        <v>0</v>
      </c>
      <c r="Y3746">
        <v>0</v>
      </c>
      <c r="Z3746">
        <v>0</v>
      </c>
    </row>
    <row r="3747" spans="1:26" hidden="1" x14ac:dyDescent="0.25">
      <c r="A3747" t="s">
        <v>7528</v>
      </c>
      <c r="B3747" t="s">
        <v>2153</v>
      </c>
      <c r="C3747" s="4">
        <v>45706</v>
      </c>
      <c r="F3747" s="4">
        <v>46357</v>
      </c>
      <c r="H3747" t="s">
        <v>3250</v>
      </c>
      <c r="K3747" t="s">
        <v>109</v>
      </c>
      <c r="O3747" t="s">
        <v>7370</v>
      </c>
      <c r="P3747" t="s">
        <v>7529</v>
      </c>
      <c r="Q3747">
        <v>225</v>
      </c>
      <c r="R3747">
        <v>225</v>
      </c>
      <c r="W3747">
        <v>0</v>
      </c>
      <c r="X3747">
        <v>0</v>
      </c>
      <c r="Y3747">
        <v>0</v>
      </c>
      <c r="Z3747">
        <v>0</v>
      </c>
    </row>
    <row r="3748" spans="1:26" hidden="1" x14ac:dyDescent="0.25">
      <c r="A3748" t="s">
        <v>7530</v>
      </c>
      <c r="B3748" t="s">
        <v>2153</v>
      </c>
      <c r="C3748" s="4">
        <v>45706</v>
      </c>
      <c r="F3748" s="4">
        <v>46174</v>
      </c>
      <c r="G3748" t="s">
        <v>72</v>
      </c>
      <c r="H3748" t="s">
        <v>1430</v>
      </c>
      <c r="O3748" t="s">
        <v>7370</v>
      </c>
      <c r="P3748" t="s">
        <v>7531</v>
      </c>
      <c r="Q3748">
        <v>150</v>
      </c>
      <c r="R3748">
        <v>150</v>
      </c>
      <c r="W3748">
        <v>0</v>
      </c>
      <c r="X3748">
        <v>0</v>
      </c>
      <c r="Y3748">
        <v>0</v>
      </c>
      <c r="Z3748">
        <v>0</v>
      </c>
    </row>
    <row r="3749" spans="1:26" hidden="1" x14ac:dyDescent="0.25">
      <c r="A3749" t="s">
        <v>7532</v>
      </c>
      <c r="B3749" t="s">
        <v>2153</v>
      </c>
      <c r="C3749" s="4">
        <v>45733</v>
      </c>
      <c r="F3749" s="4">
        <v>46568</v>
      </c>
      <c r="G3749" t="s">
        <v>173</v>
      </c>
      <c r="H3749" t="s">
        <v>2569</v>
      </c>
      <c r="K3749" t="s">
        <v>41</v>
      </c>
      <c r="O3749" t="s">
        <v>7370</v>
      </c>
      <c r="P3749" t="s">
        <v>7533</v>
      </c>
      <c r="Q3749">
        <v>100</v>
      </c>
      <c r="R3749">
        <v>100</v>
      </c>
      <c r="S3749" t="s">
        <v>159</v>
      </c>
      <c r="T3749" t="s">
        <v>159</v>
      </c>
      <c r="W3749">
        <v>0</v>
      </c>
      <c r="X3749">
        <v>0</v>
      </c>
      <c r="Y3749">
        <v>0</v>
      </c>
      <c r="Z3749">
        <v>0</v>
      </c>
    </row>
    <row r="3750" spans="1:26" hidden="1" x14ac:dyDescent="0.25">
      <c r="A3750" t="s">
        <v>7534</v>
      </c>
      <c r="B3750" t="s">
        <v>2153</v>
      </c>
      <c r="C3750" s="4">
        <v>45688</v>
      </c>
      <c r="F3750" s="4">
        <v>46289</v>
      </c>
      <c r="G3750" t="s">
        <v>1278</v>
      </c>
      <c r="H3750" t="s">
        <v>2007</v>
      </c>
      <c r="K3750" t="s">
        <v>28</v>
      </c>
      <c r="O3750" t="s">
        <v>7370</v>
      </c>
      <c r="P3750" t="s">
        <v>7535</v>
      </c>
      <c r="Q3750">
        <v>133</v>
      </c>
      <c r="R3750">
        <v>133</v>
      </c>
      <c r="S3750" t="s">
        <v>389</v>
      </c>
      <c r="T3750" t="s">
        <v>584</v>
      </c>
      <c r="W3750">
        <v>0</v>
      </c>
      <c r="X3750">
        <v>0</v>
      </c>
      <c r="Y3750">
        <v>0</v>
      </c>
      <c r="Z3750">
        <v>0</v>
      </c>
    </row>
    <row r="3751" spans="1:26" hidden="1" x14ac:dyDescent="0.25">
      <c r="A3751" t="s">
        <v>7536</v>
      </c>
      <c r="B3751" t="s">
        <v>2153</v>
      </c>
      <c r="C3751" s="4">
        <v>45707</v>
      </c>
      <c r="F3751" s="4">
        <v>46174</v>
      </c>
      <c r="G3751" t="s">
        <v>1251</v>
      </c>
      <c r="H3751" t="s">
        <v>5114</v>
      </c>
      <c r="K3751" t="s">
        <v>109</v>
      </c>
      <c r="O3751" t="s">
        <v>7370</v>
      </c>
      <c r="P3751" t="s">
        <v>7537</v>
      </c>
      <c r="Q3751">
        <v>200</v>
      </c>
      <c r="R3751">
        <v>200</v>
      </c>
      <c r="W3751">
        <v>0</v>
      </c>
      <c r="X3751">
        <v>0</v>
      </c>
      <c r="Y3751">
        <v>0</v>
      </c>
      <c r="Z3751">
        <v>0</v>
      </c>
    </row>
    <row r="3752" spans="1:26" hidden="1" x14ac:dyDescent="0.25">
      <c r="A3752" t="s">
        <v>7538</v>
      </c>
      <c r="B3752" t="s">
        <v>2338</v>
      </c>
      <c r="C3752" s="4">
        <v>45720</v>
      </c>
      <c r="F3752" s="4">
        <v>46631</v>
      </c>
      <c r="G3752" t="s">
        <v>1278</v>
      </c>
      <c r="H3752" t="s">
        <v>1320</v>
      </c>
      <c r="K3752" t="s">
        <v>28</v>
      </c>
      <c r="O3752" t="s">
        <v>7370</v>
      </c>
      <c r="P3752" t="s">
        <v>7539</v>
      </c>
      <c r="Q3752">
        <v>98</v>
      </c>
      <c r="R3752">
        <v>98</v>
      </c>
      <c r="S3752" t="s">
        <v>159</v>
      </c>
      <c r="T3752" t="s">
        <v>159</v>
      </c>
      <c r="W3752">
        <v>0</v>
      </c>
      <c r="X3752">
        <v>0</v>
      </c>
      <c r="Y3752">
        <v>0</v>
      </c>
      <c r="Z3752">
        <v>0</v>
      </c>
    </row>
    <row r="3753" spans="1:26" hidden="1" x14ac:dyDescent="0.25">
      <c r="A3753" t="s">
        <v>7540</v>
      </c>
      <c r="B3753" t="s">
        <v>38</v>
      </c>
      <c r="C3753" s="4">
        <v>45722</v>
      </c>
      <c r="D3753" s="4">
        <v>46191</v>
      </c>
      <c r="F3753" s="4">
        <v>46631</v>
      </c>
      <c r="G3753" t="s">
        <v>72</v>
      </c>
      <c r="H3753" t="s">
        <v>5700</v>
      </c>
      <c r="K3753" t="s">
        <v>209</v>
      </c>
      <c r="O3753" t="s">
        <v>7370</v>
      </c>
      <c r="P3753" t="s">
        <v>7541</v>
      </c>
      <c r="Q3753">
        <v>202</v>
      </c>
      <c r="R3753">
        <v>202</v>
      </c>
      <c r="S3753" t="s">
        <v>159</v>
      </c>
      <c r="T3753" t="s">
        <v>159</v>
      </c>
      <c r="W3753">
        <v>0</v>
      </c>
      <c r="X3753">
        <v>0</v>
      </c>
      <c r="Y3753">
        <v>0</v>
      </c>
      <c r="Z3753">
        <v>0</v>
      </c>
    </row>
    <row r="3754" spans="1:26" hidden="1" x14ac:dyDescent="0.25">
      <c r="A3754" t="s">
        <v>7542</v>
      </c>
      <c r="B3754" t="s">
        <v>2153</v>
      </c>
      <c r="C3754" s="4">
        <v>45755</v>
      </c>
      <c r="F3754" s="4">
        <v>46326</v>
      </c>
      <c r="G3754" t="s">
        <v>1326</v>
      </c>
      <c r="H3754" t="s">
        <v>2526</v>
      </c>
      <c r="K3754" t="s">
        <v>67</v>
      </c>
      <c r="O3754" t="s">
        <v>7370</v>
      </c>
      <c r="P3754" t="s">
        <v>7543</v>
      </c>
      <c r="Q3754">
        <v>180</v>
      </c>
      <c r="R3754">
        <v>180</v>
      </c>
      <c r="S3754" t="s">
        <v>159</v>
      </c>
      <c r="T3754" t="s">
        <v>159</v>
      </c>
      <c r="V3754" s="4">
        <v>46815</v>
      </c>
      <c r="W3754">
        <v>0</v>
      </c>
      <c r="X3754">
        <v>0</v>
      </c>
      <c r="Y3754">
        <v>0</v>
      </c>
      <c r="Z3754">
        <v>0</v>
      </c>
    </row>
    <row r="3755" spans="1:26" hidden="1" x14ac:dyDescent="0.25">
      <c r="A3755" t="s">
        <v>7544</v>
      </c>
      <c r="B3755" t="s">
        <v>2232</v>
      </c>
      <c r="C3755" s="4">
        <v>45769</v>
      </c>
      <c r="F3755" s="4">
        <v>46535</v>
      </c>
      <c r="G3755" t="s">
        <v>132</v>
      </c>
      <c r="H3755" t="s">
        <v>1813</v>
      </c>
      <c r="K3755" t="s">
        <v>83</v>
      </c>
      <c r="O3755" t="s">
        <v>7370</v>
      </c>
      <c r="P3755" t="s">
        <v>3848</v>
      </c>
      <c r="Q3755">
        <v>200</v>
      </c>
      <c r="R3755">
        <v>200</v>
      </c>
      <c r="S3755" t="s">
        <v>159</v>
      </c>
      <c r="T3755" t="s">
        <v>159</v>
      </c>
      <c r="W3755">
        <v>0</v>
      </c>
      <c r="X3755">
        <v>0</v>
      </c>
      <c r="Y3755">
        <v>0</v>
      </c>
      <c r="Z3755">
        <v>0</v>
      </c>
    </row>
    <row r="3756" spans="1:26" hidden="1" x14ac:dyDescent="0.25">
      <c r="A3756" t="s">
        <v>7545</v>
      </c>
      <c r="B3756" t="s">
        <v>2153</v>
      </c>
      <c r="C3756" s="4">
        <v>45797</v>
      </c>
      <c r="F3756" s="4">
        <v>46784</v>
      </c>
      <c r="G3756" t="s">
        <v>1278</v>
      </c>
      <c r="H3756" t="s">
        <v>1315</v>
      </c>
      <c r="K3756" t="s">
        <v>28</v>
      </c>
      <c r="O3756" t="s">
        <v>7370</v>
      </c>
      <c r="P3756" t="s">
        <v>1940</v>
      </c>
      <c r="Q3756">
        <v>50.3</v>
      </c>
      <c r="R3756">
        <v>50.3</v>
      </c>
      <c r="S3756" t="s">
        <v>159</v>
      </c>
      <c r="T3756" t="s">
        <v>598</v>
      </c>
      <c r="W3756">
        <v>0</v>
      </c>
      <c r="X3756">
        <v>0</v>
      </c>
      <c r="Y3756">
        <v>0</v>
      </c>
      <c r="Z3756">
        <v>0</v>
      </c>
    </row>
    <row r="3757" spans="1:26" hidden="1" x14ac:dyDescent="0.25">
      <c r="A3757" t="s">
        <v>7546</v>
      </c>
      <c r="B3757" t="s">
        <v>2153</v>
      </c>
      <c r="C3757" s="4">
        <v>45800</v>
      </c>
      <c r="F3757" s="4">
        <v>46568</v>
      </c>
      <c r="G3757" t="s">
        <v>117</v>
      </c>
      <c r="H3757" t="s">
        <v>1611</v>
      </c>
      <c r="K3757" t="s">
        <v>83</v>
      </c>
      <c r="O3757" t="s">
        <v>7370</v>
      </c>
      <c r="P3757" t="s">
        <v>7547</v>
      </c>
      <c r="Q3757">
        <v>188</v>
      </c>
      <c r="R3757">
        <v>188</v>
      </c>
      <c r="S3757" t="s">
        <v>34</v>
      </c>
      <c r="T3757" t="s">
        <v>35</v>
      </c>
      <c r="W3757">
        <v>0</v>
      </c>
      <c r="X3757">
        <v>0</v>
      </c>
      <c r="Y3757">
        <v>0</v>
      </c>
      <c r="Z3757">
        <v>0</v>
      </c>
    </row>
    <row r="3758" spans="1:26" hidden="1" x14ac:dyDescent="0.25">
      <c r="A3758" t="s">
        <v>7548</v>
      </c>
      <c r="B3758" t="s">
        <v>38</v>
      </c>
      <c r="C3758" s="4">
        <v>45807</v>
      </c>
      <c r="D3758" s="4">
        <v>46009</v>
      </c>
      <c r="F3758" s="4">
        <v>46388</v>
      </c>
      <c r="G3758" t="s">
        <v>1597</v>
      </c>
      <c r="H3758" t="s">
        <v>4903</v>
      </c>
      <c r="K3758" t="s">
        <v>41</v>
      </c>
      <c r="O3758" t="s">
        <v>7370</v>
      </c>
      <c r="P3758" t="s">
        <v>7549</v>
      </c>
      <c r="Q3758">
        <v>85.01</v>
      </c>
      <c r="R3758">
        <v>85.01</v>
      </c>
      <c r="S3758" t="s">
        <v>34</v>
      </c>
      <c r="T3758" t="s">
        <v>35</v>
      </c>
      <c r="W3758">
        <v>0</v>
      </c>
      <c r="X3758">
        <v>0</v>
      </c>
      <c r="Y3758">
        <v>0</v>
      </c>
      <c r="Z3758">
        <v>0</v>
      </c>
    </row>
    <row r="3759" spans="1:26" hidden="1" x14ac:dyDescent="0.25">
      <c r="A3759" t="s">
        <v>7550</v>
      </c>
      <c r="B3759" t="s">
        <v>2153</v>
      </c>
      <c r="C3759" s="4">
        <v>45826</v>
      </c>
      <c r="F3759" s="4">
        <v>46691</v>
      </c>
      <c r="G3759" t="s">
        <v>1326</v>
      </c>
      <c r="H3759" t="s">
        <v>1327</v>
      </c>
      <c r="K3759" t="s">
        <v>67</v>
      </c>
      <c r="O3759" t="s">
        <v>7370</v>
      </c>
      <c r="P3759" t="s">
        <v>1465</v>
      </c>
      <c r="Q3759">
        <v>200</v>
      </c>
      <c r="R3759">
        <v>200</v>
      </c>
      <c r="S3759" t="s">
        <v>159</v>
      </c>
      <c r="T3759" t="s">
        <v>159</v>
      </c>
      <c r="V3759" s="4">
        <v>46864</v>
      </c>
      <c r="W3759">
        <v>0</v>
      </c>
      <c r="X3759">
        <v>0</v>
      </c>
      <c r="Y3759">
        <v>0</v>
      </c>
      <c r="Z3759">
        <v>0</v>
      </c>
    </row>
    <row r="3760" spans="1:26" hidden="1" x14ac:dyDescent="0.25">
      <c r="A3760" t="s">
        <v>7551</v>
      </c>
      <c r="B3760" t="s">
        <v>2153</v>
      </c>
      <c r="C3760" s="4">
        <v>45824</v>
      </c>
      <c r="F3760" s="4">
        <v>46691</v>
      </c>
      <c r="G3760" t="s">
        <v>1326</v>
      </c>
      <c r="H3760" t="s">
        <v>3330</v>
      </c>
      <c r="K3760" t="s">
        <v>67</v>
      </c>
      <c r="O3760" t="s">
        <v>7370</v>
      </c>
      <c r="P3760" t="s">
        <v>3341</v>
      </c>
      <c r="Q3760">
        <v>200</v>
      </c>
      <c r="R3760">
        <v>200</v>
      </c>
      <c r="S3760" t="s">
        <v>159</v>
      </c>
      <c r="T3760" t="s">
        <v>159</v>
      </c>
      <c r="V3760" s="4">
        <v>46772</v>
      </c>
      <c r="W3760">
        <v>0</v>
      </c>
      <c r="X3760">
        <v>0</v>
      </c>
      <c r="Y3760">
        <v>0</v>
      </c>
      <c r="Z3760">
        <v>0</v>
      </c>
    </row>
    <row r="3761" spans="1:26" hidden="1" x14ac:dyDescent="0.25">
      <c r="A3761" t="s">
        <v>7552</v>
      </c>
      <c r="B3761" t="s">
        <v>2232</v>
      </c>
      <c r="C3761" s="4">
        <v>45824</v>
      </c>
      <c r="F3761" s="4">
        <v>46203</v>
      </c>
      <c r="G3761" t="s">
        <v>691</v>
      </c>
      <c r="H3761" t="s">
        <v>1402</v>
      </c>
      <c r="K3761" t="s">
        <v>98</v>
      </c>
      <c r="O3761" t="s">
        <v>7370</v>
      </c>
      <c r="P3761" t="s">
        <v>7553</v>
      </c>
      <c r="Q3761">
        <v>200</v>
      </c>
      <c r="R3761">
        <v>200</v>
      </c>
      <c r="S3761" t="s">
        <v>159</v>
      </c>
      <c r="T3761" t="s">
        <v>159</v>
      </c>
      <c r="W3761">
        <v>0</v>
      </c>
      <c r="X3761">
        <v>0</v>
      </c>
      <c r="Y3761">
        <v>0</v>
      </c>
      <c r="Z3761">
        <v>0</v>
      </c>
    </row>
    <row r="3762" spans="1:26" hidden="1" x14ac:dyDescent="0.25">
      <c r="A3762" t="s">
        <v>7554</v>
      </c>
      <c r="B3762" t="s">
        <v>2153</v>
      </c>
      <c r="C3762" s="4">
        <v>45825</v>
      </c>
      <c r="F3762" s="4">
        <v>46174</v>
      </c>
      <c r="G3762" t="s">
        <v>117</v>
      </c>
      <c r="H3762" t="s">
        <v>1813</v>
      </c>
      <c r="K3762" t="s">
        <v>83</v>
      </c>
      <c r="P3762" t="s">
        <v>7555</v>
      </c>
      <c r="Q3762">
        <v>100</v>
      </c>
      <c r="R3762">
        <v>100</v>
      </c>
      <c r="S3762" t="s">
        <v>159</v>
      </c>
      <c r="T3762" t="s">
        <v>159</v>
      </c>
      <c r="W3762">
        <v>0</v>
      </c>
      <c r="X3762">
        <v>0</v>
      </c>
      <c r="Y3762">
        <v>0</v>
      </c>
      <c r="Z3762">
        <v>0</v>
      </c>
    </row>
    <row r="3763" spans="1:26" hidden="1" x14ac:dyDescent="0.25">
      <c r="A3763" t="s">
        <v>7556</v>
      </c>
      <c r="B3763" t="s">
        <v>2153</v>
      </c>
      <c r="C3763" s="4">
        <v>45866</v>
      </c>
      <c r="F3763" s="4">
        <v>46203</v>
      </c>
      <c r="G3763" t="s">
        <v>117</v>
      </c>
      <c r="H3763" t="s">
        <v>1637</v>
      </c>
      <c r="K3763" t="s">
        <v>83</v>
      </c>
      <c r="O3763" t="s">
        <v>7370</v>
      </c>
      <c r="P3763" t="s">
        <v>6507</v>
      </c>
      <c r="Q3763">
        <v>100</v>
      </c>
      <c r="R3763">
        <v>100</v>
      </c>
      <c r="S3763" t="s">
        <v>159</v>
      </c>
      <c r="T3763" t="s">
        <v>159</v>
      </c>
      <c r="W3763">
        <v>0</v>
      </c>
      <c r="X3763">
        <v>0</v>
      </c>
      <c r="Y3763">
        <v>0</v>
      </c>
      <c r="Z3763">
        <v>0</v>
      </c>
    </row>
    <row r="3764" spans="1:26" hidden="1" x14ac:dyDescent="0.25">
      <c r="A3764" t="s">
        <v>7557</v>
      </c>
      <c r="B3764" t="s">
        <v>38</v>
      </c>
      <c r="C3764" s="4">
        <v>45832</v>
      </c>
      <c r="D3764" s="4">
        <v>45957</v>
      </c>
      <c r="F3764" s="4">
        <v>46813</v>
      </c>
      <c r="G3764" t="s">
        <v>65</v>
      </c>
      <c r="H3764" t="s">
        <v>1876</v>
      </c>
      <c r="K3764" t="s">
        <v>67</v>
      </c>
      <c r="O3764" t="s">
        <v>7370</v>
      </c>
      <c r="P3764" t="s">
        <v>1850</v>
      </c>
      <c r="Q3764">
        <v>300</v>
      </c>
      <c r="R3764">
        <v>300</v>
      </c>
      <c r="S3764" t="s">
        <v>159</v>
      </c>
      <c r="T3764" t="s">
        <v>159</v>
      </c>
      <c r="W3764">
        <v>0</v>
      </c>
      <c r="X3764">
        <v>0</v>
      </c>
      <c r="Y3764">
        <v>0</v>
      </c>
      <c r="Z3764">
        <v>0</v>
      </c>
    </row>
    <row r="3765" spans="1:26" hidden="1" x14ac:dyDescent="0.25">
      <c r="A3765" t="s">
        <v>7558</v>
      </c>
      <c r="B3765" t="s">
        <v>2153</v>
      </c>
      <c r="C3765" s="4">
        <v>45846</v>
      </c>
      <c r="F3765" s="4">
        <v>46174</v>
      </c>
      <c r="G3765" t="s">
        <v>72</v>
      </c>
      <c r="H3765" t="s">
        <v>1430</v>
      </c>
      <c r="K3765" t="s">
        <v>209</v>
      </c>
      <c r="O3765" t="s">
        <v>7370</v>
      </c>
      <c r="P3765" t="s">
        <v>3021</v>
      </c>
      <c r="Q3765">
        <v>200</v>
      </c>
      <c r="R3765">
        <v>200</v>
      </c>
      <c r="S3765" t="s">
        <v>159</v>
      </c>
      <c r="T3765" t="s">
        <v>159</v>
      </c>
      <c r="V3765" s="4">
        <v>46813</v>
      </c>
      <c r="W3765">
        <v>0</v>
      </c>
      <c r="X3765">
        <v>0</v>
      </c>
      <c r="Y3765">
        <v>0</v>
      </c>
      <c r="Z3765">
        <v>0</v>
      </c>
    </row>
    <row r="3766" spans="1:26" hidden="1" x14ac:dyDescent="0.25">
      <c r="A3766" t="s">
        <v>7559</v>
      </c>
      <c r="B3766" t="s">
        <v>2153</v>
      </c>
      <c r="C3766" s="4">
        <v>45856</v>
      </c>
      <c r="F3766" s="4">
        <v>46568</v>
      </c>
      <c r="G3766" t="s">
        <v>1690</v>
      </c>
      <c r="H3766" t="s">
        <v>5008</v>
      </c>
      <c r="K3766" t="s">
        <v>98</v>
      </c>
      <c r="O3766" t="s">
        <v>7370</v>
      </c>
      <c r="P3766" t="s">
        <v>7560</v>
      </c>
      <c r="Q3766">
        <v>100</v>
      </c>
      <c r="R3766">
        <v>100</v>
      </c>
      <c r="S3766" t="s">
        <v>159</v>
      </c>
      <c r="T3766" t="s">
        <v>159</v>
      </c>
      <c r="W3766">
        <v>0</v>
      </c>
      <c r="X3766">
        <v>0</v>
      </c>
      <c r="Y3766">
        <v>0</v>
      </c>
      <c r="Z3766">
        <v>0</v>
      </c>
    </row>
    <row r="3767" spans="1:26" hidden="1" x14ac:dyDescent="0.25">
      <c r="A3767" t="s">
        <v>7561</v>
      </c>
      <c r="B3767" t="s">
        <v>2153</v>
      </c>
      <c r="C3767" s="4">
        <v>45849</v>
      </c>
      <c r="F3767" s="4">
        <v>46295</v>
      </c>
      <c r="G3767" t="s">
        <v>72</v>
      </c>
      <c r="H3767" t="s">
        <v>7562</v>
      </c>
      <c r="K3767" t="s">
        <v>209</v>
      </c>
      <c r="O3767" t="s">
        <v>7370</v>
      </c>
      <c r="P3767" t="s">
        <v>4740</v>
      </c>
      <c r="Q3767">
        <v>75</v>
      </c>
      <c r="R3767">
        <v>75</v>
      </c>
      <c r="S3767" t="s">
        <v>159</v>
      </c>
      <c r="T3767" t="s">
        <v>159</v>
      </c>
      <c r="W3767">
        <v>0</v>
      </c>
      <c r="X3767">
        <v>0</v>
      </c>
      <c r="Y3767">
        <v>0</v>
      </c>
      <c r="Z3767">
        <v>0</v>
      </c>
    </row>
    <row r="3768" spans="1:26" hidden="1" x14ac:dyDescent="0.25">
      <c r="A3768" t="s">
        <v>7563</v>
      </c>
      <c r="B3768" t="s">
        <v>2153</v>
      </c>
      <c r="C3768" s="4">
        <v>45891</v>
      </c>
      <c r="F3768" s="4">
        <v>46419</v>
      </c>
      <c r="G3768" t="s">
        <v>39</v>
      </c>
      <c r="H3768" t="s">
        <v>1268</v>
      </c>
      <c r="K3768" t="s">
        <v>41</v>
      </c>
      <c r="O3768" t="s">
        <v>7370</v>
      </c>
      <c r="P3768" t="s">
        <v>5363</v>
      </c>
      <c r="Q3768">
        <v>100</v>
      </c>
      <c r="R3768">
        <v>100</v>
      </c>
      <c r="S3768" t="s">
        <v>159</v>
      </c>
      <c r="T3768" t="s">
        <v>159</v>
      </c>
      <c r="V3768" s="4">
        <v>46418</v>
      </c>
      <c r="W3768">
        <v>0</v>
      </c>
      <c r="X3768">
        <v>0</v>
      </c>
      <c r="Y3768">
        <v>0</v>
      </c>
      <c r="Z3768">
        <v>0</v>
      </c>
    </row>
    <row r="3769" spans="1:26" hidden="1" x14ac:dyDescent="0.25">
      <c r="A3769" t="s">
        <v>7564</v>
      </c>
      <c r="B3769" t="s">
        <v>2153</v>
      </c>
      <c r="C3769" s="4">
        <v>45869</v>
      </c>
      <c r="F3769" s="4">
        <v>46631</v>
      </c>
      <c r="G3769" t="s">
        <v>1368</v>
      </c>
      <c r="H3769" t="s">
        <v>2761</v>
      </c>
      <c r="K3769" t="s">
        <v>209</v>
      </c>
      <c r="O3769" t="s">
        <v>7370</v>
      </c>
      <c r="P3769" t="s">
        <v>7565</v>
      </c>
      <c r="Q3769">
        <v>263</v>
      </c>
      <c r="R3769">
        <v>263</v>
      </c>
      <c r="S3769" t="s">
        <v>597</v>
      </c>
      <c r="T3769" t="s">
        <v>584</v>
      </c>
      <c r="W3769">
        <v>0</v>
      </c>
      <c r="X3769">
        <v>0</v>
      </c>
      <c r="Y3769">
        <v>0</v>
      </c>
      <c r="Z3769">
        <v>0</v>
      </c>
    </row>
    <row r="3770" spans="1:26" hidden="1" x14ac:dyDescent="0.25">
      <c r="A3770" t="s">
        <v>7566</v>
      </c>
      <c r="B3770" t="s">
        <v>2153</v>
      </c>
      <c r="C3770" s="4">
        <v>45880</v>
      </c>
      <c r="F3770" s="4">
        <v>46660</v>
      </c>
      <c r="G3770" t="s">
        <v>1679</v>
      </c>
      <c r="H3770" t="s">
        <v>1663</v>
      </c>
      <c r="K3770" t="s">
        <v>98</v>
      </c>
      <c r="O3770" t="s">
        <v>7370</v>
      </c>
      <c r="P3770" t="s">
        <v>5072</v>
      </c>
      <c r="Q3770">
        <v>130</v>
      </c>
      <c r="R3770">
        <v>130</v>
      </c>
      <c r="S3770" t="s">
        <v>159</v>
      </c>
      <c r="T3770" t="s">
        <v>159</v>
      </c>
      <c r="V3770" s="4">
        <v>46478</v>
      </c>
      <c r="W3770">
        <v>0</v>
      </c>
      <c r="X3770">
        <v>0</v>
      </c>
      <c r="Y3770">
        <v>0</v>
      </c>
      <c r="Z3770">
        <v>0</v>
      </c>
    </row>
    <row r="3771" spans="1:26" hidden="1" x14ac:dyDescent="0.25">
      <c r="A3771" t="s">
        <v>7567</v>
      </c>
      <c r="B3771" t="s">
        <v>2153</v>
      </c>
      <c r="C3771" s="4">
        <v>45895</v>
      </c>
      <c r="F3771" s="4">
        <v>46264</v>
      </c>
      <c r="G3771" t="s">
        <v>72</v>
      </c>
      <c r="H3771" t="s">
        <v>1424</v>
      </c>
      <c r="K3771" t="s">
        <v>209</v>
      </c>
      <c r="O3771" t="s">
        <v>7370</v>
      </c>
      <c r="P3771" t="s">
        <v>2208</v>
      </c>
      <c r="Q3771">
        <v>200</v>
      </c>
      <c r="R3771">
        <v>200</v>
      </c>
      <c r="S3771" t="s">
        <v>159</v>
      </c>
      <c r="T3771" t="s">
        <v>159</v>
      </c>
      <c r="W3771">
        <v>0</v>
      </c>
      <c r="X3771">
        <v>0</v>
      </c>
      <c r="Y3771">
        <v>0</v>
      </c>
      <c r="Z3771">
        <v>0</v>
      </c>
    </row>
    <row r="3772" spans="1:26" hidden="1" x14ac:dyDescent="0.25">
      <c r="A3772" t="s">
        <v>7568</v>
      </c>
      <c r="B3772" t="s">
        <v>2153</v>
      </c>
      <c r="C3772" s="4">
        <v>45888</v>
      </c>
      <c r="F3772" s="4">
        <v>47026</v>
      </c>
      <c r="G3772" t="s">
        <v>117</v>
      </c>
      <c r="H3772" t="s">
        <v>2878</v>
      </c>
      <c r="K3772" t="s">
        <v>83</v>
      </c>
      <c r="O3772" t="s">
        <v>7370</v>
      </c>
      <c r="P3772" t="s">
        <v>7569</v>
      </c>
      <c r="Q3772">
        <v>168.8</v>
      </c>
      <c r="R3772">
        <v>168.8</v>
      </c>
      <c r="S3772" t="s">
        <v>34</v>
      </c>
      <c r="T3772" t="s">
        <v>35</v>
      </c>
      <c r="W3772">
        <v>0</v>
      </c>
      <c r="X3772">
        <v>0</v>
      </c>
      <c r="Y3772">
        <v>0</v>
      </c>
      <c r="Z3772">
        <v>0</v>
      </c>
    </row>
    <row r="3773" spans="1:26" hidden="1" x14ac:dyDescent="0.25">
      <c r="A3773" t="s">
        <v>7570</v>
      </c>
      <c r="B3773" t="s">
        <v>2153</v>
      </c>
      <c r="C3773" s="4">
        <v>45900</v>
      </c>
      <c r="F3773" s="4">
        <v>46539</v>
      </c>
      <c r="G3773" t="s">
        <v>1753</v>
      </c>
      <c r="H3773" t="s">
        <v>2843</v>
      </c>
      <c r="K3773" t="s">
        <v>114</v>
      </c>
      <c r="O3773" t="s">
        <v>7370</v>
      </c>
      <c r="P3773" t="s">
        <v>6288</v>
      </c>
      <c r="Q3773">
        <v>100</v>
      </c>
      <c r="R3773">
        <v>100</v>
      </c>
      <c r="S3773" t="s">
        <v>159</v>
      </c>
      <c r="T3773" t="s">
        <v>159</v>
      </c>
      <c r="V3773" s="4">
        <v>46539</v>
      </c>
      <c r="W3773">
        <v>0</v>
      </c>
      <c r="X3773">
        <v>0</v>
      </c>
      <c r="Y3773">
        <v>0</v>
      </c>
      <c r="Z3773">
        <v>0</v>
      </c>
    </row>
    <row r="3774" spans="1:26" hidden="1" x14ac:dyDescent="0.25">
      <c r="A3774" t="s">
        <v>7571</v>
      </c>
      <c r="B3774" t="s">
        <v>2153</v>
      </c>
      <c r="C3774" s="4">
        <v>45900</v>
      </c>
      <c r="F3774" s="4">
        <v>46905</v>
      </c>
      <c r="G3774" t="s">
        <v>1326</v>
      </c>
      <c r="H3774" t="s">
        <v>2790</v>
      </c>
      <c r="K3774" t="s">
        <v>109</v>
      </c>
      <c r="O3774" t="s">
        <v>7370</v>
      </c>
      <c r="P3774" t="s">
        <v>7572</v>
      </c>
      <c r="Q3774">
        <v>200</v>
      </c>
      <c r="R3774">
        <v>200</v>
      </c>
      <c r="S3774" t="s">
        <v>159</v>
      </c>
      <c r="T3774" t="s">
        <v>159</v>
      </c>
      <c r="V3774" s="4">
        <v>46645</v>
      </c>
      <c r="W3774">
        <v>0</v>
      </c>
      <c r="X3774">
        <v>0</v>
      </c>
      <c r="Y3774">
        <v>0</v>
      </c>
      <c r="Z3774">
        <v>0</v>
      </c>
    </row>
    <row r="3775" spans="1:26" hidden="1" x14ac:dyDescent="0.25">
      <c r="A3775" t="s">
        <v>7573</v>
      </c>
      <c r="B3775" t="s">
        <v>2153</v>
      </c>
      <c r="C3775" s="4">
        <v>45908</v>
      </c>
      <c r="F3775" s="4">
        <v>46583</v>
      </c>
      <c r="G3775" t="s">
        <v>101</v>
      </c>
      <c r="H3775" t="s">
        <v>1387</v>
      </c>
      <c r="K3775" t="s">
        <v>98</v>
      </c>
      <c r="O3775" t="s">
        <v>7370</v>
      </c>
      <c r="P3775" t="s">
        <v>7574</v>
      </c>
      <c r="Q3775">
        <v>150</v>
      </c>
      <c r="R3775">
        <v>150</v>
      </c>
      <c r="S3775" t="s">
        <v>159</v>
      </c>
      <c r="T3775" t="s">
        <v>598</v>
      </c>
      <c r="W3775">
        <v>0</v>
      </c>
      <c r="X3775">
        <v>0</v>
      </c>
      <c r="Y3775">
        <v>0</v>
      </c>
      <c r="Z3775">
        <v>0</v>
      </c>
    </row>
    <row r="3776" spans="1:26" hidden="1" x14ac:dyDescent="0.25">
      <c r="A3776" t="s">
        <v>7575</v>
      </c>
      <c r="B3776" t="s">
        <v>2153</v>
      </c>
      <c r="C3776" s="4">
        <v>45951</v>
      </c>
      <c r="F3776" s="4">
        <v>46475</v>
      </c>
      <c r="G3776" t="s">
        <v>1108</v>
      </c>
      <c r="H3776" t="s">
        <v>1656</v>
      </c>
      <c r="K3776" t="s">
        <v>146</v>
      </c>
      <c r="O3776" t="s">
        <v>7370</v>
      </c>
      <c r="P3776" t="s">
        <v>5014</v>
      </c>
      <c r="Q3776">
        <v>200</v>
      </c>
      <c r="R3776">
        <v>200</v>
      </c>
      <c r="S3776" t="s">
        <v>159</v>
      </c>
      <c r="T3776" t="s">
        <v>159</v>
      </c>
      <c r="W3776">
        <v>0</v>
      </c>
      <c r="X3776">
        <v>0</v>
      </c>
      <c r="Y3776">
        <v>0</v>
      </c>
      <c r="Z3776">
        <v>0</v>
      </c>
    </row>
    <row r="3777" spans="1:26" hidden="1" x14ac:dyDescent="0.25">
      <c r="A3777" t="s">
        <v>7576</v>
      </c>
      <c r="B3777" t="s">
        <v>2153</v>
      </c>
      <c r="C3777" s="4">
        <v>45950</v>
      </c>
      <c r="F3777" s="4">
        <v>46843</v>
      </c>
      <c r="G3777" t="s">
        <v>65</v>
      </c>
      <c r="H3777" t="s">
        <v>3330</v>
      </c>
      <c r="K3777" t="s">
        <v>67</v>
      </c>
      <c r="O3777" t="s">
        <v>7370</v>
      </c>
      <c r="P3777" t="s">
        <v>2099</v>
      </c>
      <c r="Q3777">
        <v>400</v>
      </c>
      <c r="R3777">
        <v>400</v>
      </c>
      <c r="S3777" t="s">
        <v>159</v>
      </c>
      <c r="T3777" t="s">
        <v>598</v>
      </c>
      <c r="W3777">
        <v>0</v>
      </c>
      <c r="X3777">
        <v>0</v>
      </c>
      <c r="Y3777">
        <v>0</v>
      </c>
      <c r="Z3777">
        <v>0</v>
      </c>
    </row>
    <row r="3778" spans="1:26" hidden="1" x14ac:dyDescent="0.25">
      <c r="A3778" t="s">
        <v>7577</v>
      </c>
      <c r="B3778" t="s">
        <v>2153</v>
      </c>
      <c r="C3778" s="4">
        <v>45953</v>
      </c>
      <c r="F3778" s="4">
        <v>47269</v>
      </c>
      <c r="G3778" t="s">
        <v>691</v>
      </c>
      <c r="H3778" t="s">
        <v>1387</v>
      </c>
      <c r="K3778" t="s">
        <v>98</v>
      </c>
      <c r="O3778" t="s">
        <v>7370</v>
      </c>
      <c r="P3778" t="s">
        <v>4758</v>
      </c>
      <c r="Q3778">
        <v>50</v>
      </c>
      <c r="R3778">
        <v>50</v>
      </c>
      <c r="S3778" t="s">
        <v>159</v>
      </c>
      <c r="T3778" t="s">
        <v>159</v>
      </c>
      <c r="W3778">
        <v>0</v>
      </c>
      <c r="X3778">
        <v>0</v>
      </c>
      <c r="Y3778">
        <v>0</v>
      </c>
      <c r="Z3778">
        <v>0</v>
      </c>
    </row>
    <row r="3779" spans="1:26" hidden="1" x14ac:dyDescent="0.25">
      <c r="A3779" t="s">
        <v>7578</v>
      </c>
      <c r="B3779" t="s">
        <v>2153</v>
      </c>
      <c r="C3779" s="4">
        <v>45971</v>
      </c>
      <c r="F3779" s="4">
        <v>46539</v>
      </c>
      <c r="G3779" t="s">
        <v>1753</v>
      </c>
      <c r="H3779" t="s">
        <v>1302</v>
      </c>
      <c r="K3779" t="s">
        <v>114</v>
      </c>
      <c r="O3779" t="s">
        <v>7370</v>
      </c>
      <c r="P3779" t="s">
        <v>7579</v>
      </c>
      <c r="Q3779">
        <v>170</v>
      </c>
      <c r="R3779">
        <v>170</v>
      </c>
      <c r="S3779" t="s">
        <v>159</v>
      </c>
      <c r="T3779" t="s">
        <v>159</v>
      </c>
      <c r="V3779" s="4">
        <v>47635</v>
      </c>
      <c r="W3779">
        <v>0</v>
      </c>
      <c r="X3779">
        <v>0</v>
      </c>
      <c r="Y3779">
        <v>0</v>
      </c>
      <c r="Z3779">
        <v>0</v>
      </c>
    </row>
    <row r="3780" spans="1:26" hidden="1" x14ac:dyDescent="0.25">
      <c r="A3780" t="s">
        <v>7580</v>
      </c>
      <c r="B3780" t="s">
        <v>2153</v>
      </c>
      <c r="C3780" s="4">
        <v>45981</v>
      </c>
      <c r="F3780" s="4">
        <v>47613</v>
      </c>
      <c r="H3780" t="s">
        <v>1291</v>
      </c>
      <c r="K3780" t="s">
        <v>83</v>
      </c>
      <c r="O3780" t="s">
        <v>7370</v>
      </c>
      <c r="P3780" t="s">
        <v>7581</v>
      </c>
      <c r="Q3780">
        <v>100</v>
      </c>
      <c r="R3780">
        <v>100</v>
      </c>
      <c r="S3780" t="s">
        <v>159</v>
      </c>
      <c r="T3780" t="s">
        <v>159</v>
      </c>
      <c r="W3780">
        <v>0</v>
      </c>
      <c r="X3780">
        <v>0</v>
      </c>
      <c r="Y3780">
        <v>0</v>
      </c>
      <c r="Z3780">
        <v>0</v>
      </c>
    </row>
    <row r="3781" spans="1:26" hidden="1" x14ac:dyDescent="0.25">
      <c r="A3781" t="s">
        <v>7582</v>
      </c>
      <c r="B3781" t="s">
        <v>2153</v>
      </c>
      <c r="C3781" s="4">
        <v>45937</v>
      </c>
      <c r="F3781" s="4">
        <v>46102</v>
      </c>
      <c r="G3781" t="s">
        <v>1278</v>
      </c>
      <c r="H3781" t="s">
        <v>1493</v>
      </c>
      <c r="K3781" t="s">
        <v>28</v>
      </c>
      <c r="O3781" t="s">
        <v>7370</v>
      </c>
      <c r="P3781" t="s">
        <v>3035</v>
      </c>
      <c r="Q3781">
        <v>50.31</v>
      </c>
      <c r="R3781">
        <v>50.31</v>
      </c>
      <c r="S3781" t="s">
        <v>159</v>
      </c>
      <c r="T3781" t="s">
        <v>159</v>
      </c>
      <c r="W3781">
        <v>0</v>
      </c>
      <c r="X3781">
        <v>0</v>
      </c>
      <c r="Y3781">
        <v>0</v>
      </c>
      <c r="Z3781">
        <v>0</v>
      </c>
    </row>
    <row r="3782" spans="1:26" hidden="1" x14ac:dyDescent="0.25">
      <c r="A3782" t="s">
        <v>7583</v>
      </c>
      <c r="B3782" t="s">
        <v>2153</v>
      </c>
      <c r="C3782" s="4">
        <v>46051</v>
      </c>
      <c r="F3782" s="4">
        <v>46461</v>
      </c>
      <c r="G3782" t="s">
        <v>52</v>
      </c>
      <c r="K3782" t="s">
        <v>53</v>
      </c>
      <c r="O3782" t="s">
        <v>7370</v>
      </c>
      <c r="Q3782">
        <v>225</v>
      </c>
      <c r="R3782">
        <v>225</v>
      </c>
      <c r="W3782">
        <v>0</v>
      </c>
      <c r="X3782">
        <v>0</v>
      </c>
      <c r="Y3782">
        <v>0</v>
      </c>
      <c r="Z3782">
        <v>0</v>
      </c>
    </row>
    <row r="3783" spans="1:26" hidden="1" x14ac:dyDescent="0.25">
      <c r="A3783" t="s">
        <v>7584</v>
      </c>
      <c r="B3783" t="s">
        <v>2153</v>
      </c>
      <c r="C3783" s="4">
        <v>45972</v>
      </c>
      <c r="F3783" s="4">
        <v>46722</v>
      </c>
      <c r="G3783" t="s">
        <v>117</v>
      </c>
      <c r="H3783" t="s">
        <v>1813</v>
      </c>
      <c r="K3783" t="s">
        <v>83</v>
      </c>
      <c r="O3783" t="s">
        <v>7370</v>
      </c>
      <c r="P3783" t="s">
        <v>4560</v>
      </c>
      <c r="Q3783">
        <v>200</v>
      </c>
      <c r="R3783">
        <v>200</v>
      </c>
      <c r="S3783" t="s">
        <v>159</v>
      </c>
      <c r="T3783" t="s">
        <v>159</v>
      </c>
      <c r="W3783">
        <v>0</v>
      </c>
      <c r="X3783">
        <v>0</v>
      </c>
      <c r="Y3783">
        <v>0</v>
      </c>
      <c r="Z3783">
        <v>0</v>
      </c>
    </row>
    <row r="3784" spans="1:26" hidden="1" x14ac:dyDescent="0.25">
      <c r="A3784" t="s">
        <v>7585</v>
      </c>
      <c r="B3784" t="s">
        <v>2153</v>
      </c>
      <c r="C3784" s="4">
        <v>45912</v>
      </c>
      <c r="F3784" s="4">
        <v>46508</v>
      </c>
      <c r="G3784" t="s">
        <v>1278</v>
      </c>
      <c r="H3784" t="s">
        <v>1916</v>
      </c>
      <c r="K3784" t="s">
        <v>28</v>
      </c>
      <c r="O3784" t="s">
        <v>7370</v>
      </c>
      <c r="P3784" t="s">
        <v>7586</v>
      </c>
      <c r="Q3784">
        <v>250</v>
      </c>
      <c r="R3784">
        <v>250</v>
      </c>
      <c r="S3784" t="s">
        <v>389</v>
      </c>
      <c r="T3784" t="s">
        <v>584</v>
      </c>
      <c r="W3784">
        <v>0</v>
      </c>
      <c r="X3784">
        <v>0</v>
      </c>
      <c r="Y3784">
        <v>0</v>
      </c>
      <c r="Z3784">
        <v>0</v>
      </c>
    </row>
    <row r="3785" spans="1:26" hidden="1" x14ac:dyDescent="0.25">
      <c r="A3785" t="s">
        <v>7587</v>
      </c>
      <c r="B3785" t="s">
        <v>2153</v>
      </c>
      <c r="C3785" s="4">
        <v>46064</v>
      </c>
      <c r="F3785" s="4">
        <v>47127</v>
      </c>
      <c r="G3785" t="s">
        <v>144</v>
      </c>
      <c r="H3785" t="s">
        <v>1291</v>
      </c>
      <c r="K3785" t="s">
        <v>146</v>
      </c>
      <c r="O3785" t="s">
        <v>7370</v>
      </c>
      <c r="P3785" t="s">
        <v>7581</v>
      </c>
      <c r="Q3785">
        <v>200</v>
      </c>
      <c r="R3785">
        <v>200</v>
      </c>
      <c r="W3785">
        <v>0</v>
      </c>
      <c r="X3785">
        <v>0</v>
      </c>
      <c r="Y3785">
        <v>0</v>
      </c>
      <c r="Z3785">
        <v>0</v>
      </c>
    </row>
    <row r="3786" spans="1:26" hidden="1" x14ac:dyDescent="0.25">
      <c r="A3786" t="s">
        <v>7588</v>
      </c>
      <c r="B3786" t="s">
        <v>2153</v>
      </c>
      <c r="C3786" s="4">
        <v>46015</v>
      </c>
      <c r="F3786" s="4">
        <v>46755</v>
      </c>
      <c r="G3786" t="s">
        <v>1311</v>
      </c>
      <c r="H3786" t="s">
        <v>1933</v>
      </c>
      <c r="K3786" t="s">
        <v>114</v>
      </c>
      <c r="L3786" t="s">
        <v>6052</v>
      </c>
      <c r="M3786" t="s">
        <v>68</v>
      </c>
      <c r="O3786" t="s">
        <v>7370</v>
      </c>
      <c r="P3786" t="s">
        <v>7589</v>
      </c>
      <c r="Q3786">
        <v>100</v>
      </c>
      <c r="R3786">
        <v>100</v>
      </c>
      <c r="S3786" t="s">
        <v>159</v>
      </c>
      <c r="T3786" t="s">
        <v>159</v>
      </c>
      <c r="W3786">
        <v>0</v>
      </c>
      <c r="X3786">
        <v>0</v>
      </c>
      <c r="Y3786">
        <v>0</v>
      </c>
      <c r="Z3786">
        <v>0</v>
      </c>
    </row>
    <row r="3787" spans="1:26" hidden="1" x14ac:dyDescent="0.25">
      <c r="A3787" t="s">
        <v>7590</v>
      </c>
      <c r="B3787" t="s">
        <v>2153</v>
      </c>
      <c r="C3787" s="4">
        <v>46014</v>
      </c>
      <c r="F3787" s="4">
        <v>46873</v>
      </c>
      <c r="G3787" t="s">
        <v>72</v>
      </c>
      <c r="H3787" t="s">
        <v>2057</v>
      </c>
      <c r="K3787" t="s">
        <v>41</v>
      </c>
      <c r="L3787" t="s">
        <v>6052</v>
      </c>
      <c r="M3787" t="s">
        <v>42</v>
      </c>
      <c r="O3787" t="s">
        <v>7370</v>
      </c>
      <c r="P3787" t="s">
        <v>1382</v>
      </c>
      <c r="Q3787">
        <v>100</v>
      </c>
      <c r="R3787">
        <v>100</v>
      </c>
      <c r="S3787" t="s">
        <v>159</v>
      </c>
      <c r="T3787" t="s">
        <v>159</v>
      </c>
      <c r="W3787">
        <v>0</v>
      </c>
      <c r="X3787">
        <v>0</v>
      </c>
      <c r="Y3787">
        <v>0</v>
      </c>
      <c r="Z3787">
        <v>0</v>
      </c>
    </row>
    <row r="3788" spans="1:26" hidden="1" x14ac:dyDescent="0.25">
      <c r="A3788" t="s">
        <v>7591</v>
      </c>
      <c r="B3788" t="s">
        <v>2153</v>
      </c>
      <c r="C3788" s="4">
        <v>46010</v>
      </c>
      <c r="F3788" s="4">
        <v>46360</v>
      </c>
      <c r="G3788" t="s">
        <v>52</v>
      </c>
      <c r="K3788" t="s">
        <v>53</v>
      </c>
      <c r="O3788" t="s">
        <v>7370</v>
      </c>
      <c r="Q3788">
        <v>100</v>
      </c>
      <c r="R3788">
        <v>100</v>
      </c>
      <c r="W3788">
        <v>0</v>
      </c>
      <c r="X3788">
        <v>0</v>
      </c>
      <c r="Y3788">
        <v>0</v>
      </c>
      <c r="Z3788">
        <v>0</v>
      </c>
    </row>
    <row r="3789" spans="1:26" hidden="1" x14ac:dyDescent="0.25">
      <c r="A3789" t="s">
        <v>7592</v>
      </c>
      <c r="B3789" t="s">
        <v>2153</v>
      </c>
      <c r="C3789" s="4">
        <v>45996</v>
      </c>
      <c r="F3789" s="4">
        <v>46905</v>
      </c>
      <c r="G3789" t="s">
        <v>144</v>
      </c>
      <c r="K3789" t="s">
        <v>146</v>
      </c>
      <c r="O3789" t="s">
        <v>7370</v>
      </c>
      <c r="Q3789">
        <v>150</v>
      </c>
      <c r="R3789">
        <v>150</v>
      </c>
      <c r="W3789">
        <v>0</v>
      </c>
      <c r="X3789">
        <v>0</v>
      </c>
      <c r="Y3789">
        <v>0</v>
      </c>
      <c r="Z3789">
        <v>0</v>
      </c>
    </row>
    <row r="3790" spans="1:26" hidden="1" x14ac:dyDescent="0.25">
      <c r="A3790" t="s">
        <v>7593</v>
      </c>
      <c r="B3790" t="s">
        <v>2153</v>
      </c>
      <c r="C3790" s="4">
        <v>46004</v>
      </c>
      <c r="F3790" s="4">
        <v>46473</v>
      </c>
      <c r="G3790" t="s">
        <v>52</v>
      </c>
      <c r="K3790" t="s">
        <v>53</v>
      </c>
      <c r="O3790" t="s">
        <v>7370</v>
      </c>
      <c r="Q3790">
        <v>100</v>
      </c>
      <c r="R3790">
        <v>100</v>
      </c>
      <c r="W3790">
        <v>0</v>
      </c>
      <c r="X3790">
        <v>0</v>
      </c>
      <c r="Y3790">
        <v>0</v>
      </c>
      <c r="Z3790">
        <v>0</v>
      </c>
    </row>
    <row r="3791" spans="1:26" hidden="1" x14ac:dyDescent="0.25">
      <c r="A3791" t="s">
        <v>7594</v>
      </c>
      <c r="B3791" t="s">
        <v>2153</v>
      </c>
      <c r="C3791" s="4">
        <v>46085</v>
      </c>
      <c r="F3791" s="4">
        <v>46631</v>
      </c>
      <c r="G3791" t="s">
        <v>112</v>
      </c>
      <c r="K3791" t="s">
        <v>114</v>
      </c>
      <c r="O3791" t="s">
        <v>7370</v>
      </c>
      <c r="Q3791">
        <v>96</v>
      </c>
      <c r="R3791">
        <v>96</v>
      </c>
      <c r="W3791">
        <v>0</v>
      </c>
      <c r="X3791">
        <v>0</v>
      </c>
      <c r="Y3791">
        <v>0</v>
      </c>
      <c r="Z3791">
        <v>0</v>
      </c>
    </row>
    <row r="3792" spans="1:26" hidden="1" x14ac:dyDescent="0.25">
      <c r="A3792" t="s">
        <v>7595</v>
      </c>
      <c r="B3792" t="s">
        <v>2153</v>
      </c>
      <c r="C3792" s="4">
        <v>46088</v>
      </c>
      <c r="F3792" s="4">
        <v>46905</v>
      </c>
      <c r="G3792" t="s">
        <v>173</v>
      </c>
      <c r="H3792" t="s">
        <v>1430</v>
      </c>
      <c r="K3792" t="s">
        <v>41</v>
      </c>
      <c r="O3792" t="s">
        <v>7370</v>
      </c>
      <c r="P3792" t="s">
        <v>3021</v>
      </c>
      <c r="Q3792">
        <v>200</v>
      </c>
      <c r="R3792">
        <v>200</v>
      </c>
      <c r="W3792">
        <v>0</v>
      </c>
      <c r="X3792">
        <v>0</v>
      </c>
      <c r="Y3792">
        <v>0</v>
      </c>
      <c r="Z3792">
        <v>0</v>
      </c>
    </row>
    <row r="3793" spans="1:26" hidden="1" x14ac:dyDescent="0.25">
      <c r="A3793" t="s">
        <v>7596</v>
      </c>
      <c r="B3793" t="s">
        <v>2153</v>
      </c>
      <c r="C3793" s="4">
        <v>45895</v>
      </c>
      <c r="F3793" s="4">
        <v>46997</v>
      </c>
      <c r="G3793" t="s">
        <v>1311</v>
      </c>
      <c r="H3793" t="s">
        <v>1673</v>
      </c>
      <c r="K3793" t="s">
        <v>114</v>
      </c>
      <c r="O3793" t="s">
        <v>7370</v>
      </c>
      <c r="P3793" t="s">
        <v>7597</v>
      </c>
      <c r="Q3793">
        <v>150</v>
      </c>
      <c r="R3793">
        <v>150</v>
      </c>
      <c r="S3793" t="s">
        <v>159</v>
      </c>
      <c r="T3793" t="s">
        <v>159</v>
      </c>
      <c r="W3793">
        <v>0</v>
      </c>
      <c r="X3793">
        <v>0</v>
      </c>
      <c r="Y3793">
        <v>0</v>
      </c>
      <c r="Z3793">
        <v>0</v>
      </c>
    </row>
    <row r="3794" spans="1:26" hidden="1" x14ac:dyDescent="0.25">
      <c r="A3794" t="s">
        <v>7598</v>
      </c>
      <c r="B3794" t="s">
        <v>2153</v>
      </c>
      <c r="C3794" s="4">
        <v>46052</v>
      </c>
      <c r="F3794" s="4">
        <v>46619</v>
      </c>
      <c r="G3794" t="s">
        <v>1408</v>
      </c>
      <c r="H3794" t="s">
        <v>4476</v>
      </c>
      <c r="K3794" t="s">
        <v>146</v>
      </c>
      <c r="L3794" t="s">
        <v>6052</v>
      </c>
      <c r="M3794" t="s">
        <v>68</v>
      </c>
      <c r="O3794" t="s">
        <v>7370</v>
      </c>
      <c r="P3794" t="s">
        <v>3757</v>
      </c>
      <c r="Q3794">
        <v>300</v>
      </c>
      <c r="R3794">
        <v>300</v>
      </c>
      <c r="S3794" t="s">
        <v>159</v>
      </c>
      <c r="T3794" t="s">
        <v>159</v>
      </c>
      <c r="W3794">
        <v>0</v>
      </c>
      <c r="X3794">
        <v>0</v>
      </c>
      <c r="Y3794">
        <v>0</v>
      </c>
      <c r="Z3794">
        <v>0</v>
      </c>
    </row>
    <row r="3795" spans="1:26" hidden="1" x14ac:dyDescent="0.25">
      <c r="A3795" t="s">
        <v>7599</v>
      </c>
      <c r="B3795" t="s">
        <v>2153</v>
      </c>
      <c r="C3795" s="4">
        <v>46042</v>
      </c>
      <c r="F3795" s="4">
        <v>46752</v>
      </c>
      <c r="G3795" t="s">
        <v>117</v>
      </c>
      <c r="K3795" t="s">
        <v>83</v>
      </c>
      <c r="L3795" t="s">
        <v>7356</v>
      </c>
      <c r="M3795" t="s">
        <v>7357</v>
      </c>
      <c r="O3795" t="s">
        <v>7370</v>
      </c>
      <c r="Q3795">
        <v>135</v>
      </c>
      <c r="R3795">
        <v>135</v>
      </c>
      <c r="W3795">
        <v>0</v>
      </c>
      <c r="X3795">
        <v>0</v>
      </c>
      <c r="Y3795">
        <v>0</v>
      </c>
      <c r="Z3795">
        <v>0</v>
      </c>
    </row>
    <row r="3796" spans="1:26" hidden="1" x14ac:dyDescent="0.25">
      <c r="A3796" t="s">
        <v>7600</v>
      </c>
      <c r="B3796" t="s">
        <v>2153</v>
      </c>
      <c r="C3796" s="4">
        <v>46063</v>
      </c>
      <c r="F3796" s="4">
        <v>46843</v>
      </c>
      <c r="G3796" t="s">
        <v>52</v>
      </c>
      <c r="K3796" t="s">
        <v>53</v>
      </c>
      <c r="O3796" t="s">
        <v>7370</v>
      </c>
      <c r="Q3796">
        <v>200</v>
      </c>
      <c r="R3796">
        <v>200</v>
      </c>
      <c r="W3796">
        <v>0</v>
      </c>
      <c r="X3796">
        <v>0</v>
      </c>
      <c r="Y3796">
        <v>0</v>
      </c>
      <c r="Z3796">
        <v>0</v>
      </c>
    </row>
    <row r="3797" spans="1:26" hidden="1" x14ac:dyDescent="0.25">
      <c r="A3797" t="s">
        <v>7601</v>
      </c>
      <c r="B3797" t="s">
        <v>2153</v>
      </c>
      <c r="C3797" s="4">
        <v>45960</v>
      </c>
      <c r="F3797" s="4">
        <v>47330</v>
      </c>
      <c r="G3797" t="s">
        <v>907</v>
      </c>
      <c r="H3797" t="s">
        <v>1357</v>
      </c>
      <c r="K3797" t="s">
        <v>53</v>
      </c>
      <c r="L3797" t="s">
        <v>7356</v>
      </c>
      <c r="M3797" t="s">
        <v>7357</v>
      </c>
      <c r="O3797" t="s">
        <v>7370</v>
      </c>
      <c r="P3797" t="s">
        <v>7602</v>
      </c>
      <c r="Q3797">
        <v>100</v>
      </c>
      <c r="R3797">
        <v>100</v>
      </c>
      <c r="S3797" t="s">
        <v>159</v>
      </c>
      <c r="T3797" t="s">
        <v>598</v>
      </c>
      <c r="W3797">
        <v>0</v>
      </c>
      <c r="X3797">
        <v>0</v>
      </c>
      <c r="Y3797">
        <v>0</v>
      </c>
      <c r="Z3797">
        <v>0</v>
      </c>
    </row>
    <row r="3798" spans="1:26" hidden="1" x14ac:dyDescent="0.25">
      <c r="A3798" t="s">
        <v>7603</v>
      </c>
      <c r="B3798" t="s">
        <v>2153</v>
      </c>
      <c r="C3798" s="4">
        <v>46097</v>
      </c>
      <c r="F3798" s="4">
        <v>47270</v>
      </c>
      <c r="G3798" t="s">
        <v>907</v>
      </c>
      <c r="H3798" t="s">
        <v>1350</v>
      </c>
      <c r="K3798" t="s">
        <v>53</v>
      </c>
      <c r="O3798" t="s">
        <v>7370</v>
      </c>
      <c r="P3798" t="s">
        <v>7522</v>
      </c>
      <c r="Q3798">
        <v>125</v>
      </c>
      <c r="R3798">
        <v>125</v>
      </c>
      <c r="W3798">
        <v>0</v>
      </c>
      <c r="X3798">
        <v>0</v>
      </c>
      <c r="Y3798">
        <v>0</v>
      </c>
      <c r="Z3798">
        <v>0</v>
      </c>
    </row>
    <row r="3799" spans="1:26" hidden="1" x14ac:dyDescent="0.25">
      <c r="A3799" t="s">
        <v>7604</v>
      </c>
      <c r="B3799" t="s">
        <v>2153</v>
      </c>
      <c r="C3799" s="4">
        <v>46039</v>
      </c>
      <c r="F3799" s="4">
        <v>46394</v>
      </c>
      <c r="G3799" t="s">
        <v>52</v>
      </c>
      <c r="K3799" t="s">
        <v>53</v>
      </c>
      <c r="L3799" t="s">
        <v>7356</v>
      </c>
      <c r="M3799" t="s">
        <v>7357</v>
      </c>
      <c r="O3799" t="s">
        <v>7370</v>
      </c>
      <c r="Q3799">
        <v>132</v>
      </c>
      <c r="R3799">
        <v>132</v>
      </c>
      <c r="W3799">
        <v>0</v>
      </c>
      <c r="X3799">
        <v>0</v>
      </c>
      <c r="Y3799">
        <v>0</v>
      </c>
      <c r="Z3799">
        <v>0</v>
      </c>
    </row>
    <row r="3800" spans="1:26" hidden="1" x14ac:dyDescent="0.25">
      <c r="A3800" t="s">
        <v>7605</v>
      </c>
      <c r="B3800" t="s">
        <v>2153</v>
      </c>
      <c r="C3800" s="4">
        <v>46031</v>
      </c>
      <c r="F3800" s="4">
        <v>46661</v>
      </c>
      <c r="G3800" t="s">
        <v>39</v>
      </c>
      <c r="H3800" t="s">
        <v>1485</v>
      </c>
      <c r="K3800" t="s">
        <v>41</v>
      </c>
      <c r="L3800" t="s">
        <v>7356</v>
      </c>
      <c r="M3800" t="s">
        <v>7357</v>
      </c>
      <c r="O3800" t="s">
        <v>7370</v>
      </c>
      <c r="P3800" t="s">
        <v>5199</v>
      </c>
      <c r="Q3800">
        <v>230</v>
      </c>
      <c r="R3800">
        <v>230</v>
      </c>
      <c r="W3800">
        <v>0</v>
      </c>
      <c r="X3800">
        <v>0</v>
      </c>
      <c r="Y3800">
        <v>0</v>
      </c>
      <c r="Z3800">
        <v>0</v>
      </c>
    </row>
    <row r="3801" spans="1:26" hidden="1" x14ac:dyDescent="0.25">
      <c r="A3801" t="s">
        <v>7606</v>
      </c>
      <c r="B3801" t="s">
        <v>2153</v>
      </c>
      <c r="C3801" s="4">
        <v>46062</v>
      </c>
      <c r="F3801" s="4">
        <v>46966</v>
      </c>
      <c r="G3801" t="s">
        <v>117</v>
      </c>
      <c r="K3801" t="s">
        <v>83</v>
      </c>
      <c r="L3801" t="s">
        <v>7356</v>
      </c>
      <c r="M3801" t="s">
        <v>7357</v>
      </c>
      <c r="O3801" t="s">
        <v>7370</v>
      </c>
      <c r="Q3801">
        <v>80</v>
      </c>
      <c r="R3801">
        <v>80</v>
      </c>
      <c r="W3801">
        <v>0</v>
      </c>
      <c r="X3801">
        <v>0</v>
      </c>
      <c r="Y3801">
        <v>0</v>
      </c>
      <c r="Z3801">
        <v>0</v>
      </c>
    </row>
    <row r="3802" spans="1:26" hidden="1" x14ac:dyDescent="0.25">
      <c r="A3802" t="s">
        <v>7607</v>
      </c>
      <c r="B3802" t="s">
        <v>2153</v>
      </c>
      <c r="C3802" s="4">
        <v>46105</v>
      </c>
      <c r="F3802" s="4">
        <v>46966</v>
      </c>
      <c r="G3802" t="s">
        <v>117</v>
      </c>
      <c r="K3802" t="s">
        <v>83</v>
      </c>
      <c r="L3802" t="s">
        <v>7356</v>
      </c>
      <c r="M3802" t="s">
        <v>7357</v>
      </c>
      <c r="O3802" t="s">
        <v>7370</v>
      </c>
      <c r="Q3802">
        <v>80</v>
      </c>
      <c r="R3802">
        <v>80</v>
      </c>
      <c r="W3802">
        <v>0</v>
      </c>
      <c r="X3802">
        <v>0</v>
      </c>
      <c r="Y3802">
        <v>0</v>
      </c>
      <c r="Z3802">
        <v>0</v>
      </c>
    </row>
    <row r="3803" spans="1:26" hidden="1" x14ac:dyDescent="0.25">
      <c r="A3803" t="s">
        <v>7608</v>
      </c>
      <c r="B3803" t="s">
        <v>2153</v>
      </c>
      <c r="C3803" s="4">
        <v>45980</v>
      </c>
      <c r="F3803" s="4">
        <v>46843</v>
      </c>
      <c r="G3803" t="s">
        <v>1278</v>
      </c>
      <c r="H3803" t="s">
        <v>1279</v>
      </c>
      <c r="K3803" t="s">
        <v>28</v>
      </c>
      <c r="O3803" t="s">
        <v>7370</v>
      </c>
      <c r="P3803" t="s">
        <v>6348</v>
      </c>
      <c r="Q3803">
        <v>109</v>
      </c>
      <c r="R3803">
        <v>109</v>
      </c>
      <c r="S3803" t="s">
        <v>34</v>
      </c>
      <c r="T3803" t="s">
        <v>35</v>
      </c>
      <c r="W3803">
        <v>0</v>
      </c>
      <c r="X3803">
        <v>0</v>
      </c>
      <c r="Y3803">
        <v>0</v>
      </c>
      <c r="Z3803">
        <v>0</v>
      </c>
    </row>
    <row r="3804" spans="1:26" hidden="1" x14ac:dyDescent="0.25">
      <c r="A3804" t="s">
        <v>7609</v>
      </c>
      <c r="B3804" t="s">
        <v>2153</v>
      </c>
      <c r="C3804" s="4">
        <v>46127</v>
      </c>
      <c r="F3804" s="4">
        <v>46937</v>
      </c>
      <c r="G3804" t="s">
        <v>1251</v>
      </c>
      <c r="K3804" t="s">
        <v>109</v>
      </c>
      <c r="O3804" t="s">
        <v>7370</v>
      </c>
      <c r="Q3804">
        <v>139</v>
      </c>
      <c r="R3804">
        <v>139</v>
      </c>
      <c r="W3804">
        <v>0</v>
      </c>
      <c r="X3804">
        <v>0</v>
      </c>
      <c r="Y3804">
        <v>0</v>
      </c>
      <c r="Z3804">
        <v>0</v>
      </c>
    </row>
    <row r="3805" spans="1:26" hidden="1" x14ac:dyDescent="0.25">
      <c r="A3805" t="s">
        <v>7610</v>
      </c>
      <c r="B3805" t="s">
        <v>2153</v>
      </c>
      <c r="C3805" s="4">
        <v>45965</v>
      </c>
      <c r="F3805" s="4">
        <v>46174</v>
      </c>
      <c r="G3805" t="s">
        <v>1278</v>
      </c>
      <c r="H3805" t="s">
        <v>1556</v>
      </c>
      <c r="K3805" t="s">
        <v>28</v>
      </c>
      <c r="O3805" t="s">
        <v>7370</v>
      </c>
      <c r="P3805" t="s">
        <v>1557</v>
      </c>
      <c r="Q3805">
        <v>100</v>
      </c>
      <c r="R3805">
        <v>100</v>
      </c>
      <c r="S3805" t="s">
        <v>159</v>
      </c>
      <c r="T3805" t="s">
        <v>159</v>
      </c>
      <c r="W3805">
        <v>0</v>
      </c>
      <c r="X3805">
        <v>0</v>
      </c>
      <c r="Y3805">
        <v>0</v>
      </c>
      <c r="Z3805">
        <v>0</v>
      </c>
    </row>
    <row r="3806" spans="1:26" hidden="1" x14ac:dyDescent="0.25">
      <c r="A3806" t="s">
        <v>7611</v>
      </c>
      <c r="B3806" t="s">
        <v>2153</v>
      </c>
      <c r="C3806" s="4">
        <v>46091</v>
      </c>
      <c r="F3806" s="4">
        <v>47453</v>
      </c>
      <c r="G3806" t="s">
        <v>173</v>
      </c>
      <c r="K3806" t="s">
        <v>41</v>
      </c>
      <c r="L3806" t="s">
        <v>7356</v>
      </c>
      <c r="M3806" t="s">
        <v>7357</v>
      </c>
      <c r="O3806" t="s">
        <v>7370</v>
      </c>
      <c r="Q3806">
        <v>150</v>
      </c>
      <c r="R3806">
        <v>150</v>
      </c>
      <c r="W3806">
        <v>0</v>
      </c>
      <c r="X3806">
        <v>0</v>
      </c>
      <c r="Y3806">
        <v>0</v>
      </c>
      <c r="Z3806">
        <v>0</v>
      </c>
    </row>
    <row r="3807" spans="1:26" hidden="1" x14ac:dyDescent="0.25">
      <c r="A3807" t="s">
        <v>7612</v>
      </c>
      <c r="B3807" t="s">
        <v>2153</v>
      </c>
      <c r="C3807" s="4">
        <v>46094</v>
      </c>
      <c r="F3807" s="4">
        <v>46904</v>
      </c>
      <c r="G3807" t="s">
        <v>1251</v>
      </c>
      <c r="K3807" t="s">
        <v>109</v>
      </c>
      <c r="O3807" t="s">
        <v>7370</v>
      </c>
      <c r="Q3807">
        <v>200</v>
      </c>
      <c r="R3807">
        <v>200</v>
      </c>
      <c r="W3807">
        <v>0</v>
      </c>
      <c r="X3807">
        <v>0</v>
      </c>
      <c r="Y3807">
        <v>0</v>
      </c>
      <c r="Z3807">
        <v>0</v>
      </c>
    </row>
    <row r="3808" spans="1:26" hidden="1" x14ac:dyDescent="0.25">
      <c r="A3808" t="s">
        <v>7613</v>
      </c>
      <c r="B3808" t="s">
        <v>2153</v>
      </c>
      <c r="C3808" s="4">
        <v>46125</v>
      </c>
      <c r="F3808" s="4">
        <v>46263</v>
      </c>
      <c r="G3808" t="s">
        <v>1749</v>
      </c>
      <c r="K3808" t="s">
        <v>151</v>
      </c>
      <c r="O3808" t="s">
        <v>7370</v>
      </c>
      <c r="Q3808">
        <v>632</v>
      </c>
      <c r="R3808">
        <v>632</v>
      </c>
      <c r="W3808">
        <v>0</v>
      </c>
      <c r="X3808">
        <v>0</v>
      </c>
      <c r="Y3808">
        <v>0</v>
      </c>
      <c r="Z3808">
        <v>0</v>
      </c>
    </row>
    <row r="3809" spans="1:26" hidden="1" x14ac:dyDescent="0.25">
      <c r="A3809" t="s">
        <v>7614</v>
      </c>
      <c r="B3809" t="s">
        <v>2153</v>
      </c>
      <c r="C3809" s="4">
        <v>46125</v>
      </c>
      <c r="F3809" s="4">
        <v>46263</v>
      </c>
      <c r="G3809" t="s">
        <v>1749</v>
      </c>
      <c r="K3809" t="s">
        <v>151</v>
      </c>
      <c r="O3809" t="s">
        <v>7370</v>
      </c>
      <c r="Q3809">
        <v>534</v>
      </c>
      <c r="R3809">
        <v>534</v>
      </c>
      <c r="W3809">
        <v>0</v>
      </c>
      <c r="X3809">
        <v>0</v>
      </c>
      <c r="Y3809">
        <v>0</v>
      </c>
      <c r="Z3809">
        <v>0</v>
      </c>
    </row>
    <row r="3810" spans="1:26" hidden="1" x14ac:dyDescent="0.25">
      <c r="A3810" t="s">
        <v>7615</v>
      </c>
      <c r="B3810" t="s">
        <v>2153</v>
      </c>
      <c r="C3810" s="4">
        <v>46059</v>
      </c>
      <c r="F3810" s="4">
        <v>46905</v>
      </c>
      <c r="G3810" t="s">
        <v>1278</v>
      </c>
      <c r="H3810" t="s">
        <v>1892</v>
      </c>
      <c r="K3810" t="s">
        <v>28</v>
      </c>
      <c r="O3810" t="s">
        <v>7370</v>
      </c>
      <c r="P3810" t="s">
        <v>889</v>
      </c>
      <c r="Q3810">
        <v>99</v>
      </c>
      <c r="R3810">
        <v>99</v>
      </c>
      <c r="W3810">
        <v>0</v>
      </c>
      <c r="X3810">
        <v>0</v>
      </c>
      <c r="Y3810">
        <v>0</v>
      </c>
      <c r="Z3810">
        <v>0</v>
      </c>
    </row>
    <row r="3811" spans="1:26" hidden="1" x14ac:dyDescent="0.25">
      <c r="A3811" t="s">
        <v>7616</v>
      </c>
      <c r="B3811" t="s">
        <v>2153</v>
      </c>
      <c r="C3811" s="4">
        <v>46080</v>
      </c>
      <c r="F3811" s="4">
        <v>46966</v>
      </c>
      <c r="G3811" t="s">
        <v>1278</v>
      </c>
      <c r="K3811" t="s">
        <v>28</v>
      </c>
      <c r="L3811" t="s">
        <v>7356</v>
      </c>
      <c r="M3811" t="s">
        <v>7357</v>
      </c>
      <c r="O3811" t="s">
        <v>7370</v>
      </c>
      <c r="Q3811">
        <v>100</v>
      </c>
      <c r="R3811">
        <v>100</v>
      </c>
      <c r="W3811">
        <v>0</v>
      </c>
      <c r="X3811">
        <v>0</v>
      </c>
      <c r="Y3811">
        <v>0</v>
      </c>
      <c r="Z3811">
        <v>0</v>
      </c>
    </row>
    <row r="3812" spans="1:26" hidden="1" x14ac:dyDescent="0.25">
      <c r="A3812" t="s">
        <v>7617</v>
      </c>
      <c r="B3812" t="s">
        <v>2153</v>
      </c>
      <c r="C3812" s="4">
        <v>46109</v>
      </c>
      <c r="F3812" s="4">
        <v>47026</v>
      </c>
      <c r="G3812" t="s">
        <v>1499</v>
      </c>
      <c r="K3812" t="s">
        <v>62</v>
      </c>
      <c r="L3812" t="s">
        <v>7356</v>
      </c>
      <c r="M3812" t="s">
        <v>7357</v>
      </c>
      <c r="O3812" t="s">
        <v>7370</v>
      </c>
      <c r="Q3812">
        <v>150</v>
      </c>
      <c r="R3812">
        <v>150</v>
      </c>
      <c r="W3812">
        <v>0</v>
      </c>
      <c r="X3812">
        <v>0</v>
      </c>
      <c r="Y3812">
        <v>0</v>
      </c>
      <c r="Z3812">
        <v>0</v>
      </c>
    </row>
    <row r="3813" spans="1:26" hidden="1" x14ac:dyDescent="0.25">
      <c r="A3813" t="s">
        <v>7618</v>
      </c>
      <c r="B3813" t="s">
        <v>2153</v>
      </c>
      <c r="C3813" s="4">
        <v>46105</v>
      </c>
      <c r="F3813" s="4">
        <v>45870</v>
      </c>
      <c r="G3813" t="s">
        <v>1326</v>
      </c>
      <c r="K3813" t="s">
        <v>67</v>
      </c>
      <c r="L3813" t="s">
        <v>7356</v>
      </c>
      <c r="M3813" t="s">
        <v>7357</v>
      </c>
      <c r="O3813" t="s">
        <v>7370</v>
      </c>
      <c r="Q3813">
        <v>625</v>
      </c>
      <c r="R3813">
        <v>625</v>
      </c>
      <c r="W3813">
        <v>0</v>
      </c>
      <c r="X3813">
        <v>0</v>
      </c>
      <c r="Y3813">
        <v>0</v>
      </c>
      <c r="Z3813">
        <v>0</v>
      </c>
    </row>
    <row r="3814" spans="1:26" hidden="1" x14ac:dyDescent="0.25">
      <c r="A3814" t="s">
        <v>7619</v>
      </c>
      <c r="B3814" t="s">
        <v>2153</v>
      </c>
      <c r="C3814" s="4">
        <v>46101</v>
      </c>
      <c r="F3814" s="4">
        <v>47178</v>
      </c>
      <c r="G3814" t="s">
        <v>1326</v>
      </c>
      <c r="K3814" t="s">
        <v>67</v>
      </c>
      <c r="L3814" t="s">
        <v>7356</v>
      </c>
      <c r="M3814" t="s">
        <v>7357</v>
      </c>
      <c r="O3814" t="s">
        <v>7370</v>
      </c>
      <c r="Q3814">
        <v>390</v>
      </c>
      <c r="R3814">
        <v>390</v>
      </c>
      <c r="W3814">
        <v>0</v>
      </c>
      <c r="X3814">
        <v>0</v>
      </c>
      <c r="Y3814">
        <v>0</v>
      </c>
      <c r="Z3814">
        <v>0</v>
      </c>
    </row>
    <row r="3815" spans="1:26" hidden="1" x14ac:dyDescent="0.25">
      <c r="A3815" t="s">
        <v>7620</v>
      </c>
      <c r="B3815" t="s">
        <v>2153</v>
      </c>
      <c r="C3815" s="4">
        <v>46069</v>
      </c>
      <c r="F3815" s="4">
        <v>46874</v>
      </c>
      <c r="G3815" t="s">
        <v>254</v>
      </c>
      <c r="H3815" t="s">
        <v>1691</v>
      </c>
      <c r="K3815" t="s">
        <v>98</v>
      </c>
      <c r="L3815" t="s">
        <v>6052</v>
      </c>
      <c r="M3815" t="s">
        <v>84</v>
      </c>
      <c r="O3815" t="s">
        <v>7370</v>
      </c>
      <c r="P3815" t="s">
        <v>1692</v>
      </c>
      <c r="Q3815">
        <v>150</v>
      </c>
      <c r="R3815">
        <v>150</v>
      </c>
      <c r="S3815" t="s">
        <v>159</v>
      </c>
      <c r="T3815" t="s">
        <v>159</v>
      </c>
      <c r="W3815">
        <v>0</v>
      </c>
      <c r="X3815">
        <v>0</v>
      </c>
      <c r="Y3815">
        <v>0</v>
      </c>
      <c r="Z3815">
        <v>0</v>
      </c>
    </row>
    <row r="3816" spans="1:26" hidden="1" x14ac:dyDescent="0.25">
      <c r="A3816" t="s">
        <v>7621</v>
      </c>
      <c r="B3816" t="s">
        <v>2153</v>
      </c>
      <c r="C3816" s="4">
        <v>46153</v>
      </c>
      <c r="F3816" s="4">
        <v>46968</v>
      </c>
      <c r="G3816" t="s">
        <v>3846</v>
      </c>
      <c r="H3816" t="s">
        <v>7622</v>
      </c>
      <c r="K3816" t="s">
        <v>67</v>
      </c>
      <c r="L3816" t="s">
        <v>7356</v>
      </c>
      <c r="M3816" t="s">
        <v>7357</v>
      </c>
      <c r="O3816" t="s">
        <v>7370</v>
      </c>
      <c r="P3816" t="s">
        <v>7623</v>
      </c>
      <c r="Q3816">
        <v>200</v>
      </c>
      <c r="R3816">
        <v>200</v>
      </c>
      <c r="W3816">
        <v>0</v>
      </c>
      <c r="X3816">
        <v>0</v>
      </c>
      <c r="Y3816">
        <v>0</v>
      </c>
      <c r="Z3816">
        <v>0</v>
      </c>
    </row>
    <row r="3817" spans="1:26" hidden="1" x14ac:dyDescent="0.25">
      <c r="A3817" t="s">
        <v>7624</v>
      </c>
      <c r="B3817" t="s">
        <v>2153</v>
      </c>
      <c r="C3817" s="4">
        <v>46112</v>
      </c>
      <c r="F3817" s="4">
        <v>46630</v>
      </c>
      <c r="G3817" t="s">
        <v>1278</v>
      </c>
      <c r="K3817" t="s">
        <v>28</v>
      </c>
      <c r="L3817" t="s">
        <v>7356</v>
      </c>
      <c r="M3817" t="s">
        <v>7357</v>
      </c>
      <c r="O3817" t="s">
        <v>7370</v>
      </c>
      <c r="Q3817">
        <v>75</v>
      </c>
      <c r="R3817">
        <v>75</v>
      </c>
      <c r="W3817">
        <v>0</v>
      </c>
      <c r="X3817">
        <v>0</v>
      </c>
      <c r="Y3817">
        <v>0</v>
      </c>
      <c r="Z3817">
        <v>0</v>
      </c>
    </row>
    <row r="3818" spans="1:26" hidden="1" x14ac:dyDescent="0.25">
      <c r="A3818" t="s">
        <v>7625</v>
      </c>
      <c r="B3818" t="s">
        <v>2153</v>
      </c>
      <c r="C3818" s="4">
        <v>46146</v>
      </c>
      <c r="F3818" s="4">
        <v>47239</v>
      </c>
      <c r="G3818" t="s">
        <v>39</v>
      </c>
      <c r="K3818" t="s">
        <v>41</v>
      </c>
      <c r="L3818" t="s">
        <v>7356</v>
      </c>
      <c r="M3818" t="s">
        <v>7357</v>
      </c>
      <c r="O3818" t="s">
        <v>7370</v>
      </c>
      <c r="Q3818">
        <v>108.93</v>
      </c>
      <c r="R3818">
        <v>108.93</v>
      </c>
      <c r="W3818">
        <v>0</v>
      </c>
      <c r="X3818">
        <v>0</v>
      </c>
      <c r="Y3818">
        <v>0</v>
      </c>
      <c r="Z3818">
        <v>0</v>
      </c>
    </row>
    <row r="3819" spans="1:26" hidden="1" x14ac:dyDescent="0.25">
      <c r="A3819" t="s">
        <v>7626</v>
      </c>
      <c r="B3819" t="s">
        <v>2153</v>
      </c>
      <c r="C3819" s="4">
        <v>46205</v>
      </c>
      <c r="F3819" s="4">
        <v>47635</v>
      </c>
      <c r="G3819" t="s">
        <v>117</v>
      </c>
      <c r="H3819" t="s">
        <v>1954</v>
      </c>
      <c r="K3819" t="s">
        <v>83</v>
      </c>
      <c r="L3819" t="s">
        <v>7356</v>
      </c>
      <c r="M3819" t="s">
        <v>7357</v>
      </c>
      <c r="O3819" t="s">
        <v>7370</v>
      </c>
      <c r="P3819" t="s">
        <v>7627</v>
      </c>
      <c r="Q3819">
        <v>99</v>
      </c>
      <c r="R3819">
        <v>99</v>
      </c>
      <c r="W3819">
        <v>0</v>
      </c>
      <c r="X3819">
        <v>0</v>
      </c>
      <c r="Y3819">
        <v>0</v>
      </c>
      <c r="Z3819">
        <v>0</v>
      </c>
    </row>
    <row r="3820" spans="1:26" hidden="1" x14ac:dyDescent="0.25">
      <c r="A3820" t="s">
        <v>7628</v>
      </c>
      <c r="B3820" t="s">
        <v>2153</v>
      </c>
      <c r="C3820" s="4">
        <v>46205</v>
      </c>
      <c r="F3820" s="4">
        <v>47635</v>
      </c>
      <c r="G3820" t="s">
        <v>117</v>
      </c>
      <c r="H3820" t="s">
        <v>1258</v>
      </c>
      <c r="K3820" t="s">
        <v>83</v>
      </c>
      <c r="L3820" t="s">
        <v>7356</v>
      </c>
      <c r="M3820" t="s">
        <v>7357</v>
      </c>
      <c r="O3820" t="s">
        <v>7370</v>
      </c>
      <c r="P3820" t="s">
        <v>7629</v>
      </c>
      <c r="Q3820">
        <v>99</v>
      </c>
      <c r="R3820">
        <v>99</v>
      </c>
      <c r="W3820">
        <v>0</v>
      </c>
      <c r="X3820">
        <v>0</v>
      </c>
      <c r="Y3820">
        <v>0</v>
      </c>
      <c r="Z3820">
        <v>0</v>
      </c>
    </row>
    <row r="3821" spans="1:26" hidden="1" x14ac:dyDescent="0.25">
      <c r="A3821" t="s">
        <v>7630</v>
      </c>
      <c r="B3821" t="s">
        <v>2153</v>
      </c>
      <c r="C3821" s="4">
        <v>46064</v>
      </c>
      <c r="F3821" s="4">
        <v>46645</v>
      </c>
      <c r="G3821" t="s">
        <v>1408</v>
      </c>
      <c r="H3821" t="s">
        <v>1302</v>
      </c>
      <c r="K3821" t="s">
        <v>146</v>
      </c>
      <c r="L3821" t="s">
        <v>6052</v>
      </c>
      <c r="M3821" t="s">
        <v>68</v>
      </c>
      <c r="O3821" t="s">
        <v>7370</v>
      </c>
      <c r="P3821" t="s">
        <v>7631</v>
      </c>
      <c r="Q3821">
        <v>100</v>
      </c>
      <c r="R3821">
        <v>100</v>
      </c>
      <c r="S3821" t="s">
        <v>159</v>
      </c>
      <c r="T3821" t="s">
        <v>598</v>
      </c>
      <c r="W3821">
        <v>0</v>
      </c>
      <c r="X3821">
        <v>0</v>
      </c>
      <c r="Y3821">
        <v>0</v>
      </c>
      <c r="Z3821">
        <v>0</v>
      </c>
    </row>
    <row r="3822" spans="1:26" hidden="1" x14ac:dyDescent="0.25">
      <c r="A3822" t="s">
        <v>7632</v>
      </c>
      <c r="B3822" t="s">
        <v>2153</v>
      </c>
      <c r="C3822" s="4">
        <v>45835</v>
      </c>
      <c r="F3822" s="4">
        <v>46813</v>
      </c>
      <c r="G3822" t="s">
        <v>1326</v>
      </c>
      <c r="H3822" t="s">
        <v>1285</v>
      </c>
      <c r="K3822" t="s">
        <v>67</v>
      </c>
      <c r="O3822" t="s">
        <v>7370</v>
      </c>
      <c r="P3822" t="s">
        <v>7633</v>
      </c>
      <c r="Q3822">
        <v>100</v>
      </c>
      <c r="R3822">
        <v>100</v>
      </c>
      <c r="S3822" t="s">
        <v>159</v>
      </c>
      <c r="T3822" t="s">
        <v>159</v>
      </c>
      <c r="W3822">
        <v>0</v>
      </c>
      <c r="X3822">
        <v>0</v>
      </c>
      <c r="Y3822">
        <v>0</v>
      </c>
      <c r="Z3822">
        <v>0</v>
      </c>
    </row>
    <row r="3823" spans="1:26" hidden="1" x14ac:dyDescent="0.25">
      <c r="A3823" t="s">
        <v>7634</v>
      </c>
      <c r="B3823" t="s">
        <v>2153</v>
      </c>
      <c r="C3823" s="4">
        <v>46168</v>
      </c>
      <c r="F3823" s="4">
        <v>46934</v>
      </c>
      <c r="G3823" t="s">
        <v>1326</v>
      </c>
      <c r="L3823" t="s">
        <v>7356</v>
      </c>
      <c r="M3823" t="s">
        <v>7357</v>
      </c>
      <c r="O3823" t="s">
        <v>7370</v>
      </c>
      <c r="P3823" t="s">
        <v>7635</v>
      </c>
      <c r="Q3823">
        <v>0</v>
      </c>
      <c r="R3823">
        <v>0</v>
      </c>
      <c r="W3823">
        <v>0</v>
      </c>
      <c r="X3823">
        <v>0</v>
      </c>
      <c r="Y3823">
        <v>0</v>
      </c>
      <c r="Z3823">
        <v>0</v>
      </c>
    </row>
    <row r="3824" spans="1:26" hidden="1" x14ac:dyDescent="0.25"/>
    <row r="3825" spans="1:26" hidden="1" x14ac:dyDescent="0.25"/>
    <row r="3826" spans="1:26" hidden="1" x14ac:dyDescent="0.25"/>
    <row r="3827" spans="1:26" hidden="1" x14ac:dyDescent="0.25"/>
    <row r="3828" spans="1:26" hidden="1" x14ac:dyDescent="0.25"/>
    <row r="3829" spans="1:26" x14ac:dyDescent="0.25">
      <c r="A3829">
        <f>SUBTOTAL(103,Table1[Project '#])</f>
        <v>69</v>
      </c>
      <c r="D3829" s="9">
        <f>SUBTOTAL(102,Table1[Withdrawn Date])</f>
        <v>41</v>
      </c>
      <c r="E3829" s="9">
        <f>SUBTOTAL(103,Table1[Done Date])</f>
        <v>23</v>
      </c>
      <c r="H3829">
        <f>SUBTOTAL(103,Table1[County])</f>
        <v>69</v>
      </c>
      <c r="Z3829">
        <f>SUBTOTAL(109,Table1[Decision Point 2 NRIS MW])</f>
        <v>5281.18</v>
      </c>
    </row>
    <row r="3831" spans="1:26" x14ac:dyDescent="0.25">
      <c r="D3831" s="10"/>
    </row>
  </sheetData>
  <phoneticPr fontId="19" type="noConversion"/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BAB3-A885-AA4B-B86E-51211609D77D}">
  <dimension ref="A1:A24"/>
  <sheetViews>
    <sheetView zoomScale="136" workbookViewId="0">
      <selection activeCell="B2" sqref="B2"/>
    </sheetView>
  </sheetViews>
  <sheetFormatPr baseColWidth="10" defaultRowHeight="19" x14ac:dyDescent="0.25"/>
  <cols>
    <col min="1" max="1" width="27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ECD5-9DFA-1C4E-AE63-8AFBE2A28C20}">
  <dimension ref="A3:B64"/>
  <sheetViews>
    <sheetView zoomScale="115" workbookViewId="0">
      <selection activeCell="B15" sqref="B15"/>
    </sheetView>
  </sheetViews>
  <sheetFormatPr baseColWidth="10" defaultRowHeight="19" x14ac:dyDescent="0.25"/>
  <cols>
    <col min="1" max="1" width="26.28515625" bestFit="1" customWidth="1"/>
    <col min="2" max="2" width="15.7109375" bestFit="1" customWidth="1"/>
    <col min="3" max="3" width="20.5703125" bestFit="1" customWidth="1"/>
  </cols>
  <sheetData>
    <row r="3" spans="1:2" x14ac:dyDescent="0.25">
      <c r="A3" s="6" t="s">
        <v>7637</v>
      </c>
      <c r="B3" t="s">
        <v>7640</v>
      </c>
    </row>
    <row r="4" spans="1:2" x14ac:dyDescent="0.25">
      <c r="A4" s="7" t="s">
        <v>159</v>
      </c>
      <c r="B4" s="9">
        <v>738</v>
      </c>
    </row>
    <row r="5" spans="1:2" x14ac:dyDescent="0.25">
      <c r="A5" s="8" t="s">
        <v>2153</v>
      </c>
      <c r="B5" s="9">
        <v>248</v>
      </c>
    </row>
    <row r="6" spans="1:2" x14ac:dyDescent="0.25">
      <c r="A6" s="8" t="s">
        <v>25</v>
      </c>
      <c r="B6" s="9">
        <v>27</v>
      </c>
    </row>
    <row r="7" spans="1:2" x14ac:dyDescent="0.25">
      <c r="A7" s="8" t="s">
        <v>2338</v>
      </c>
      <c r="B7" s="9">
        <v>18</v>
      </c>
    </row>
    <row r="8" spans="1:2" x14ac:dyDescent="0.25">
      <c r="A8" s="8" t="s">
        <v>2232</v>
      </c>
      <c r="B8" s="9">
        <v>5</v>
      </c>
    </row>
    <row r="9" spans="1:2" x14ac:dyDescent="0.25">
      <c r="A9" s="8" t="s">
        <v>38</v>
      </c>
      <c r="B9" s="9">
        <v>440</v>
      </c>
    </row>
    <row r="10" spans="1:2" x14ac:dyDescent="0.25">
      <c r="A10" s="7" t="s">
        <v>6448</v>
      </c>
      <c r="B10" s="9">
        <v>1</v>
      </c>
    </row>
    <row r="11" spans="1:2" x14ac:dyDescent="0.25">
      <c r="A11" s="8" t="s">
        <v>2153</v>
      </c>
      <c r="B11" s="9">
        <v>1</v>
      </c>
    </row>
    <row r="12" spans="1:2" x14ac:dyDescent="0.25">
      <c r="A12" s="7" t="s">
        <v>464</v>
      </c>
      <c r="B12" s="9">
        <v>2</v>
      </c>
    </row>
    <row r="13" spans="1:2" x14ac:dyDescent="0.25">
      <c r="A13" s="8" t="s">
        <v>25</v>
      </c>
      <c r="B13" s="9">
        <v>1</v>
      </c>
    </row>
    <row r="14" spans="1:2" x14ac:dyDescent="0.25">
      <c r="A14" s="8" t="s">
        <v>38</v>
      </c>
      <c r="B14" s="9">
        <v>1</v>
      </c>
    </row>
    <row r="15" spans="1:2" x14ac:dyDescent="0.25">
      <c r="A15" s="7" t="s">
        <v>390</v>
      </c>
      <c r="B15" s="9">
        <v>9</v>
      </c>
    </row>
    <row r="16" spans="1:2" x14ac:dyDescent="0.25">
      <c r="A16" s="8" t="s">
        <v>25</v>
      </c>
      <c r="B16" s="9">
        <v>3</v>
      </c>
    </row>
    <row r="17" spans="1:2" x14ac:dyDescent="0.25">
      <c r="A17" s="8" t="s">
        <v>38</v>
      </c>
      <c r="B17" s="9">
        <v>6</v>
      </c>
    </row>
    <row r="18" spans="1:2" x14ac:dyDescent="0.25">
      <c r="A18" s="7" t="s">
        <v>7323</v>
      </c>
      <c r="B18" s="9">
        <v>1</v>
      </c>
    </row>
    <row r="19" spans="1:2" x14ac:dyDescent="0.25">
      <c r="A19" s="8" t="s">
        <v>2153</v>
      </c>
      <c r="B19" s="9">
        <v>1</v>
      </c>
    </row>
    <row r="20" spans="1:2" x14ac:dyDescent="0.25">
      <c r="A20" s="7" t="s">
        <v>2710</v>
      </c>
      <c r="B20" s="9">
        <v>4</v>
      </c>
    </row>
    <row r="21" spans="1:2" x14ac:dyDescent="0.25">
      <c r="A21" s="8" t="s">
        <v>2153</v>
      </c>
      <c r="B21" s="9">
        <v>1</v>
      </c>
    </row>
    <row r="22" spans="1:2" x14ac:dyDescent="0.25">
      <c r="A22" s="8" t="s">
        <v>25</v>
      </c>
      <c r="B22" s="9">
        <v>2</v>
      </c>
    </row>
    <row r="23" spans="1:2" x14ac:dyDescent="0.25">
      <c r="A23" s="8" t="s">
        <v>38</v>
      </c>
      <c r="B23" s="9">
        <v>1</v>
      </c>
    </row>
    <row r="24" spans="1:2" x14ac:dyDescent="0.25">
      <c r="A24" s="7" t="s">
        <v>389</v>
      </c>
      <c r="B24" s="9">
        <v>121</v>
      </c>
    </row>
    <row r="25" spans="1:2" x14ac:dyDescent="0.25">
      <c r="A25" s="8" t="s">
        <v>2153</v>
      </c>
      <c r="B25" s="9">
        <v>49</v>
      </c>
    </row>
    <row r="26" spans="1:2" x14ac:dyDescent="0.25">
      <c r="A26" s="8" t="s">
        <v>25</v>
      </c>
      <c r="B26" s="9">
        <v>17</v>
      </c>
    </row>
    <row r="27" spans="1:2" x14ac:dyDescent="0.25">
      <c r="A27" s="8" t="s">
        <v>2338</v>
      </c>
      <c r="B27" s="9">
        <v>3</v>
      </c>
    </row>
    <row r="28" spans="1:2" x14ac:dyDescent="0.25">
      <c r="A28" s="8" t="s">
        <v>2232</v>
      </c>
      <c r="B28" s="9">
        <v>1</v>
      </c>
    </row>
    <row r="29" spans="1:2" x14ac:dyDescent="0.25">
      <c r="A29" s="8" t="s">
        <v>38</v>
      </c>
      <c r="B29" s="9">
        <v>51</v>
      </c>
    </row>
    <row r="30" spans="1:2" x14ac:dyDescent="0.25">
      <c r="A30" s="7" t="s">
        <v>3633</v>
      </c>
      <c r="B30" s="9">
        <v>3</v>
      </c>
    </row>
    <row r="31" spans="1:2" x14ac:dyDescent="0.25">
      <c r="A31" s="8" t="s">
        <v>38</v>
      </c>
      <c r="B31" s="9">
        <v>3</v>
      </c>
    </row>
    <row r="32" spans="1:2" x14ac:dyDescent="0.25">
      <c r="A32" s="7" t="s">
        <v>597</v>
      </c>
      <c r="B32" s="9">
        <v>372</v>
      </c>
    </row>
    <row r="33" spans="1:2" x14ac:dyDescent="0.25">
      <c r="A33" s="8" t="s">
        <v>2153</v>
      </c>
      <c r="B33" s="9">
        <v>105</v>
      </c>
    </row>
    <row r="34" spans="1:2" x14ac:dyDescent="0.25">
      <c r="A34" s="8" t="s">
        <v>25</v>
      </c>
      <c r="B34" s="9">
        <v>31</v>
      </c>
    </row>
    <row r="35" spans="1:2" x14ac:dyDescent="0.25">
      <c r="A35" s="8" t="s">
        <v>2338</v>
      </c>
      <c r="B35" s="9">
        <v>10</v>
      </c>
    </row>
    <row r="36" spans="1:2" x14ac:dyDescent="0.25">
      <c r="A36" s="8" t="s">
        <v>2232</v>
      </c>
      <c r="B36" s="9">
        <v>2</v>
      </c>
    </row>
    <row r="37" spans="1:2" x14ac:dyDescent="0.25">
      <c r="A37" s="8" t="s">
        <v>38</v>
      </c>
      <c r="B37" s="9">
        <v>224</v>
      </c>
    </row>
    <row r="38" spans="1:2" x14ac:dyDescent="0.25">
      <c r="A38" s="7" t="s">
        <v>637</v>
      </c>
      <c r="B38" s="9">
        <v>5</v>
      </c>
    </row>
    <row r="39" spans="1:2" x14ac:dyDescent="0.25">
      <c r="A39" s="8" t="s">
        <v>2153</v>
      </c>
      <c r="B39" s="9">
        <v>1</v>
      </c>
    </row>
    <row r="40" spans="1:2" x14ac:dyDescent="0.25">
      <c r="A40" s="8" t="s">
        <v>25</v>
      </c>
      <c r="B40" s="9">
        <v>2</v>
      </c>
    </row>
    <row r="41" spans="1:2" x14ac:dyDescent="0.25">
      <c r="A41" s="8" t="s">
        <v>38</v>
      </c>
      <c r="B41" s="9">
        <v>2</v>
      </c>
    </row>
    <row r="42" spans="1:2" x14ac:dyDescent="0.25">
      <c r="A42" s="7" t="s">
        <v>5900</v>
      </c>
      <c r="B42" s="9">
        <v>8</v>
      </c>
    </row>
    <row r="43" spans="1:2" x14ac:dyDescent="0.25">
      <c r="A43" s="8" t="s">
        <v>2153</v>
      </c>
      <c r="B43" s="9">
        <v>8</v>
      </c>
    </row>
    <row r="44" spans="1:2" x14ac:dyDescent="0.25">
      <c r="A44" s="7" t="s">
        <v>34</v>
      </c>
      <c r="B44" s="9">
        <v>1763</v>
      </c>
    </row>
    <row r="45" spans="1:2" x14ac:dyDescent="0.25">
      <c r="A45" s="8" t="s">
        <v>2153</v>
      </c>
      <c r="B45" s="9">
        <v>337</v>
      </c>
    </row>
    <row r="46" spans="1:2" x14ac:dyDescent="0.25">
      <c r="A46" s="8" t="s">
        <v>25</v>
      </c>
      <c r="B46" s="9">
        <v>335</v>
      </c>
    </row>
    <row r="47" spans="1:2" x14ac:dyDescent="0.25">
      <c r="A47" s="8" t="s">
        <v>2338</v>
      </c>
      <c r="B47" s="9">
        <v>39</v>
      </c>
    </row>
    <row r="48" spans="1:2" x14ac:dyDescent="0.25">
      <c r="A48" s="8" t="s">
        <v>38</v>
      </c>
      <c r="B48" s="9">
        <v>1052</v>
      </c>
    </row>
    <row r="49" spans="1:2" x14ac:dyDescent="0.25">
      <c r="A49" s="7" t="s">
        <v>719</v>
      </c>
      <c r="B49" s="9">
        <v>6</v>
      </c>
    </row>
    <row r="50" spans="1:2" x14ac:dyDescent="0.25">
      <c r="A50" s="8" t="s">
        <v>2153</v>
      </c>
      <c r="B50" s="9">
        <v>2</v>
      </c>
    </row>
    <row r="51" spans="1:2" x14ac:dyDescent="0.25">
      <c r="A51" s="8" t="s">
        <v>25</v>
      </c>
      <c r="B51" s="9">
        <v>1</v>
      </c>
    </row>
    <row r="52" spans="1:2" x14ac:dyDescent="0.25">
      <c r="A52" s="8" t="s">
        <v>38</v>
      </c>
      <c r="B52" s="9">
        <v>3</v>
      </c>
    </row>
    <row r="53" spans="1:2" x14ac:dyDescent="0.25">
      <c r="A53" s="7" t="s">
        <v>56</v>
      </c>
      <c r="B53" s="9">
        <v>521</v>
      </c>
    </row>
    <row r="54" spans="1:2" x14ac:dyDescent="0.25">
      <c r="A54" s="8" t="s">
        <v>2153</v>
      </c>
      <c r="B54" s="9">
        <v>134</v>
      </c>
    </row>
    <row r="55" spans="1:2" x14ac:dyDescent="0.25">
      <c r="A55" s="8" t="s">
        <v>25</v>
      </c>
      <c r="B55" s="9">
        <v>62</v>
      </c>
    </row>
    <row r="56" spans="1:2" x14ac:dyDescent="0.25">
      <c r="A56" s="8" t="s">
        <v>2338</v>
      </c>
      <c r="B56" s="9">
        <v>7</v>
      </c>
    </row>
    <row r="57" spans="1:2" x14ac:dyDescent="0.25">
      <c r="A57" s="8" t="s">
        <v>38</v>
      </c>
      <c r="B57" s="9">
        <v>318</v>
      </c>
    </row>
    <row r="58" spans="1:2" x14ac:dyDescent="0.25">
      <c r="A58" s="7" t="s">
        <v>7638</v>
      </c>
      <c r="B58" s="9">
        <v>268</v>
      </c>
    </row>
    <row r="59" spans="1:2" x14ac:dyDescent="0.25">
      <c r="A59" s="8" t="s">
        <v>2153</v>
      </c>
      <c r="B59" s="9">
        <v>143</v>
      </c>
    </row>
    <row r="60" spans="1:2" x14ac:dyDescent="0.25">
      <c r="A60" s="8" t="s">
        <v>25</v>
      </c>
      <c r="B60" s="9">
        <v>82</v>
      </c>
    </row>
    <row r="61" spans="1:2" x14ac:dyDescent="0.25">
      <c r="A61" s="8" t="s">
        <v>2232</v>
      </c>
      <c r="B61" s="9">
        <v>1</v>
      </c>
    </row>
    <row r="62" spans="1:2" x14ac:dyDescent="0.25">
      <c r="A62" s="8" t="s">
        <v>38</v>
      </c>
      <c r="B62" s="9">
        <v>42</v>
      </c>
    </row>
    <row r="63" spans="1:2" x14ac:dyDescent="0.25">
      <c r="A63" s="8" t="s">
        <v>7638</v>
      </c>
      <c r="B63" s="9"/>
    </row>
    <row r="64" spans="1:2" x14ac:dyDescent="0.25">
      <c r="A64" s="7" t="s">
        <v>7639</v>
      </c>
      <c r="B64" s="9">
        <v>3822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A673-E2F4-B84F-9583-C3D9A47FC0A2}">
  <dimension ref="A1"/>
  <sheetViews>
    <sheetView workbookViewId="0"/>
  </sheetViews>
  <sheetFormatPr baseColWidth="10" defaultRowHeight="19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A423-8E83-CE48-BE51-DD4BC66F8A11}">
  <dimension ref="A3:F10"/>
  <sheetViews>
    <sheetView topLeftCell="A5" workbookViewId="0">
      <selection activeCell="A13" sqref="A13"/>
    </sheetView>
  </sheetViews>
  <sheetFormatPr baseColWidth="10" defaultRowHeight="19" x14ac:dyDescent="0.25"/>
  <cols>
    <col min="1" max="1" width="22" bestFit="1" customWidth="1"/>
    <col min="2" max="2" width="11.85546875" bestFit="1" customWidth="1"/>
  </cols>
  <sheetData>
    <row r="3" spans="1:6" x14ac:dyDescent="0.25">
      <c r="A3" s="6" t="s">
        <v>7637</v>
      </c>
      <c r="B3" t="s">
        <v>7641</v>
      </c>
    </row>
    <row r="4" spans="1:6" x14ac:dyDescent="0.25">
      <c r="A4" s="7" t="s">
        <v>2153</v>
      </c>
      <c r="B4" s="9">
        <v>887</v>
      </c>
      <c r="D4">
        <v>887</v>
      </c>
      <c r="F4" s="11">
        <f>D4/$D$10</f>
        <v>0.24957794034890265</v>
      </c>
    </row>
    <row r="5" spans="1:6" x14ac:dyDescent="0.25">
      <c r="A5" s="7" t="s">
        <v>25</v>
      </c>
      <c r="B5" s="9">
        <v>481</v>
      </c>
      <c r="D5">
        <v>481</v>
      </c>
      <c r="F5" s="11">
        <f t="shared" ref="F5:F8" si="0">D5/$D$10</f>
        <v>0.13534046145188519</v>
      </c>
    </row>
    <row r="6" spans="1:6" x14ac:dyDescent="0.25">
      <c r="A6" s="7" t="s">
        <v>2338</v>
      </c>
      <c r="B6" s="9">
        <v>77</v>
      </c>
      <c r="D6">
        <v>77</v>
      </c>
      <c r="F6" s="11">
        <f t="shared" si="0"/>
        <v>2.1665728756330896E-2</v>
      </c>
    </row>
    <row r="7" spans="1:6" x14ac:dyDescent="0.25">
      <c r="A7" s="7" t="s">
        <v>2232</v>
      </c>
      <c r="B7" s="9">
        <v>8</v>
      </c>
      <c r="D7">
        <v>8</v>
      </c>
      <c r="F7" s="11">
        <f t="shared" si="0"/>
        <v>2.2509848058525606E-3</v>
      </c>
    </row>
    <row r="8" spans="1:6" x14ac:dyDescent="0.25">
      <c r="A8" s="7" t="s">
        <v>38</v>
      </c>
      <c r="B8" s="9">
        <v>2101</v>
      </c>
      <c r="D8">
        <v>2101</v>
      </c>
      <c r="F8" s="11">
        <f t="shared" si="0"/>
        <v>0.59116488463702865</v>
      </c>
    </row>
    <row r="9" spans="1:6" x14ac:dyDescent="0.25">
      <c r="A9" s="7" t="s">
        <v>7638</v>
      </c>
      <c r="B9" s="9"/>
    </row>
    <row r="10" spans="1:6" x14ac:dyDescent="0.25">
      <c r="A10" s="7" t="s">
        <v>7639</v>
      </c>
      <c r="B10" s="9">
        <v>3554</v>
      </c>
      <c r="D10">
        <v>3554</v>
      </c>
    </row>
  </sheetData>
  <pageMargins left="0.7" right="0.7" top="0.75" bottom="0.75" header="0.3" footer="0.3"/>
  <pageSetup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 Interactive Queue (1)</vt:lpstr>
      <vt:lpstr>Sheet1</vt:lpstr>
      <vt:lpstr>Fuel Types</vt:lpstr>
      <vt:lpstr>Sheet3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Madeline Frank</cp:lastModifiedBy>
  <dcterms:created xsi:type="dcterms:W3CDTF">2026-09-04T22:50:22Z</dcterms:created>
  <dcterms:modified xsi:type="dcterms:W3CDTF">2026-09-10T13:53:39Z</dcterms:modified>
  <cp:category/>
</cp:coreProperties>
</file>